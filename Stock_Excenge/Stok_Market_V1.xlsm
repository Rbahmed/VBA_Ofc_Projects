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bahmed\Desktop\"/>
    </mc:Choice>
  </mc:AlternateContent>
  <bookViews>
    <workbookView xWindow="0" yWindow="0" windowWidth="9420" windowHeight="6240"/>
  </bookViews>
  <sheets>
    <sheet name="Deshbord" sheetId="1" r:id="rId1"/>
    <sheet name="Company_Nmae" sheetId="3" state="hidden" r:id="rId2"/>
  </sheets>
  <definedNames>
    <definedName name="_xlnm._FilterDatabase" localSheetId="1" hidden="1">Company_Nmae!$A$1:$F$603</definedName>
    <definedName name="DropDownList">Company_Nmae!$E$2:INDEX(Company_Nmae!$E$2:$E$603,MAX(Company_Nmae!$D$2:$D$603),1)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3" i="1" l="1"/>
  <c r="J13" i="1"/>
  <c r="K12" i="1"/>
  <c r="J12" i="1"/>
  <c r="K11" i="1"/>
  <c r="J11" i="1"/>
  <c r="K10" i="1"/>
  <c r="J10" i="1"/>
  <c r="K9" i="1"/>
  <c r="J9" i="1"/>
  <c r="K8" i="1"/>
  <c r="J8" i="1"/>
  <c r="K7" i="1"/>
  <c r="J7" i="1"/>
  <c r="C2" i="3" l="1"/>
  <c r="D2" i="3" s="1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D3" i="3" l="1"/>
  <c r="D12" i="3"/>
  <c r="D14" i="3"/>
  <c r="D13" i="3"/>
  <c r="D5" i="3"/>
  <c r="D4" i="3"/>
  <c r="D15" i="3"/>
  <c r="D11" i="3"/>
  <c r="D10" i="3"/>
  <c r="D9" i="3"/>
  <c r="D7" i="3"/>
  <c r="D6" i="3"/>
  <c r="D8" i="3"/>
  <c r="D522" i="3"/>
  <c r="D530" i="3"/>
  <c r="D538" i="3"/>
  <c r="D546" i="3"/>
  <c r="D554" i="3"/>
  <c r="D562" i="3"/>
  <c r="D570" i="3"/>
  <c r="D514" i="3" l="1"/>
  <c r="D506" i="3"/>
  <c r="D498" i="3"/>
  <c r="D490" i="3"/>
  <c r="D482" i="3"/>
  <c r="D474" i="3"/>
  <c r="D466" i="3"/>
  <c r="D458" i="3"/>
  <c r="D450" i="3"/>
  <c r="D442" i="3"/>
  <c r="D434" i="3"/>
  <c r="D426" i="3"/>
  <c r="D418" i="3"/>
  <c r="D410" i="3"/>
  <c r="D402" i="3"/>
  <c r="D394" i="3"/>
  <c r="D386" i="3"/>
  <c r="D378" i="3"/>
  <c r="D370" i="3"/>
  <c r="D362" i="3"/>
  <c r="D354" i="3"/>
  <c r="D298" i="3"/>
  <c r="D290" i="3"/>
  <c r="D274" i="3"/>
  <c r="D266" i="3"/>
  <c r="D250" i="3"/>
  <c r="D242" i="3"/>
  <c r="D218" i="3"/>
  <c r="D210" i="3"/>
  <c r="D186" i="3"/>
  <c r="D178" i="3"/>
  <c r="D162" i="3"/>
  <c r="D106" i="3"/>
  <c r="D90" i="3"/>
  <c r="D82" i="3"/>
  <c r="D346" i="3"/>
  <c r="D338" i="3"/>
  <c r="D330" i="3"/>
  <c r="D314" i="3"/>
  <c r="D306" i="3"/>
  <c r="D258" i="3"/>
  <c r="D234" i="3"/>
  <c r="D226" i="3"/>
  <c r="D202" i="3"/>
  <c r="D194" i="3"/>
  <c r="D170" i="3"/>
  <c r="D146" i="3"/>
  <c r="D122" i="3"/>
  <c r="D50" i="3"/>
  <c r="D26" i="3"/>
  <c r="D66" i="3"/>
  <c r="D58" i="3"/>
  <c r="D42" i="3"/>
  <c r="D601" i="3"/>
  <c r="D585" i="3"/>
  <c r="D577" i="3"/>
  <c r="D569" i="3"/>
  <c r="D561" i="3"/>
  <c r="D553" i="3"/>
  <c r="D545" i="3"/>
  <c r="D537" i="3"/>
  <c r="D529" i="3"/>
  <c r="D521" i="3"/>
  <c r="D513" i="3"/>
  <c r="D505" i="3"/>
  <c r="D497" i="3"/>
  <c r="D489" i="3"/>
  <c r="D481" i="3"/>
  <c r="D473" i="3"/>
  <c r="D465" i="3"/>
  <c r="D457" i="3"/>
  <c r="D449" i="3"/>
  <c r="D441" i="3"/>
  <c r="D433" i="3"/>
  <c r="D425" i="3"/>
  <c r="D417" i="3"/>
  <c r="D409" i="3"/>
  <c r="D401" i="3"/>
  <c r="D393" i="3"/>
  <c r="D385" i="3"/>
  <c r="D377" i="3"/>
  <c r="D369" i="3"/>
  <c r="D361" i="3"/>
  <c r="D353" i="3"/>
  <c r="D345" i="3"/>
  <c r="D337" i="3"/>
  <c r="D329" i="3"/>
  <c r="D313" i="3"/>
  <c r="D305" i="3"/>
  <c r="D297" i="3"/>
  <c r="D281" i="3"/>
  <c r="D273" i="3"/>
  <c r="D257" i="3"/>
  <c r="D249" i="3"/>
  <c r="D233" i="3"/>
  <c r="D225" i="3"/>
  <c r="D217" i="3"/>
  <c r="D209" i="3"/>
  <c r="D193" i="3"/>
  <c r="D185" i="3"/>
  <c r="D177" i="3"/>
  <c r="D169" i="3"/>
  <c r="D161" i="3"/>
  <c r="D145" i="3"/>
  <c r="D121" i="3"/>
  <c r="D113" i="3"/>
  <c r="D105" i="3"/>
  <c r="D97" i="3"/>
  <c r="D73" i="3"/>
  <c r="D65" i="3"/>
  <c r="D57" i="3"/>
  <c r="D49" i="3"/>
  <c r="D41" i="3"/>
  <c r="D33" i="3"/>
  <c r="D25" i="3"/>
  <c r="D552" i="3"/>
  <c r="D528" i="3"/>
  <c r="D520" i="3"/>
  <c r="D512" i="3"/>
  <c r="D504" i="3"/>
  <c r="D496" i="3"/>
  <c r="D488" i="3"/>
  <c r="D480" i="3"/>
  <c r="D472" i="3"/>
  <c r="D464" i="3"/>
  <c r="D456" i="3"/>
  <c r="D448" i="3"/>
  <c r="D440" i="3"/>
  <c r="D432" i="3"/>
  <c r="D424" i="3"/>
  <c r="D416" i="3"/>
  <c r="D408" i="3"/>
  <c r="D400" i="3"/>
  <c r="D392" i="3"/>
  <c r="D384" i="3"/>
  <c r="D376" i="3"/>
  <c r="D368" i="3"/>
  <c r="D360" i="3"/>
  <c r="D344" i="3"/>
  <c r="D336" i="3"/>
  <c r="D328" i="3"/>
  <c r="D320" i="3"/>
  <c r="D312" i="3"/>
  <c r="D304" i="3"/>
  <c r="D296" i="3"/>
  <c r="D288" i="3"/>
  <c r="D256" i="3"/>
  <c r="D248" i="3"/>
  <c r="D240" i="3"/>
  <c r="D224" i="3"/>
  <c r="D216" i="3"/>
  <c r="D208" i="3"/>
  <c r="D192" i="3"/>
  <c r="D184" i="3"/>
  <c r="D160" i="3"/>
  <c r="D152" i="3"/>
  <c r="D144" i="3"/>
  <c r="D120" i="3"/>
  <c r="D112" i="3"/>
  <c r="D104" i="3"/>
  <c r="D96" i="3"/>
  <c r="D88" i="3"/>
  <c r="D80" i="3"/>
  <c r="D72" i="3"/>
  <c r="D56" i="3"/>
  <c r="D48" i="3"/>
  <c r="D32" i="3"/>
  <c r="D24" i="3"/>
  <c r="D16" i="3"/>
  <c r="D600" i="3"/>
  <c r="D568" i="3"/>
  <c r="D536" i="3"/>
  <c r="D599" i="3"/>
  <c r="D583" i="3"/>
  <c r="D575" i="3"/>
  <c r="D567" i="3"/>
  <c r="D559" i="3"/>
  <c r="D551" i="3"/>
  <c r="D543" i="3"/>
  <c r="D535" i="3"/>
  <c r="D527" i="3"/>
  <c r="D519" i="3"/>
  <c r="D511" i="3"/>
  <c r="D503" i="3"/>
  <c r="D495" i="3"/>
  <c r="D487" i="3"/>
  <c r="D479" i="3"/>
  <c r="D471" i="3"/>
  <c r="D463" i="3"/>
  <c r="D455" i="3"/>
  <c r="D447" i="3"/>
  <c r="D439" i="3"/>
  <c r="D431" i="3"/>
  <c r="D423" i="3"/>
  <c r="D415" i="3"/>
  <c r="D407" i="3"/>
  <c r="D399" i="3"/>
  <c r="D391" i="3"/>
  <c r="D383" i="3"/>
  <c r="D375" i="3"/>
  <c r="D367" i="3"/>
  <c r="D359" i="3"/>
  <c r="D351" i="3"/>
  <c r="D343" i="3"/>
  <c r="D335" i="3"/>
  <c r="D327" i="3"/>
  <c r="D311" i="3"/>
  <c r="D303" i="3"/>
  <c r="D295" i="3"/>
  <c r="D287" i="3"/>
  <c r="D279" i="3"/>
  <c r="D271" i="3"/>
  <c r="D263" i="3"/>
  <c r="D247" i="3"/>
  <c r="D231" i="3"/>
  <c r="D223" i="3"/>
  <c r="D215" i="3"/>
  <c r="D207" i="3"/>
  <c r="D199" i="3"/>
  <c r="D191" i="3"/>
  <c r="D183" i="3"/>
  <c r="D167" i="3"/>
  <c r="D159" i="3"/>
  <c r="D151" i="3"/>
  <c r="D143" i="3"/>
  <c r="D119" i="3"/>
  <c r="D111" i="3"/>
  <c r="D103" i="3"/>
  <c r="D79" i="3"/>
  <c r="D71" i="3"/>
  <c r="D63" i="3"/>
  <c r="D55" i="3"/>
  <c r="D47" i="3"/>
  <c r="D39" i="3"/>
  <c r="D31" i="3"/>
  <c r="D18" i="3"/>
  <c r="D544" i="3"/>
  <c r="D590" i="3"/>
  <c r="D582" i="3"/>
  <c r="D566" i="3"/>
  <c r="D558" i="3"/>
  <c r="D550" i="3"/>
  <c r="D542" i="3"/>
  <c r="D534" i="3"/>
  <c r="D526" i="3"/>
  <c r="D518" i="3"/>
  <c r="D510" i="3"/>
  <c r="D502" i="3"/>
  <c r="D494" i="3"/>
  <c r="D486" i="3"/>
  <c r="D478" i="3"/>
  <c r="D470" i="3"/>
  <c r="D462" i="3"/>
  <c r="D454" i="3"/>
  <c r="D446" i="3"/>
  <c r="D438" i="3"/>
  <c r="D430" i="3"/>
  <c r="D422" i="3"/>
  <c r="D414" i="3"/>
  <c r="D406" i="3"/>
  <c r="D398" i="3"/>
  <c r="D390" i="3"/>
  <c r="D382" i="3"/>
  <c r="D374" i="3"/>
  <c r="D366" i="3"/>
  <c r="D358" i="3"/>
  <c r="D342" i="3"/>
  <c r="D334" i="3"/>
  <c r="D326" i="3"/>
  <c r="D318" i="3"/>
  <c r="D302" i="3"/>
  <c r="D294" i="3"/>
  <c r="D286" i="3"/>
  <c r="D270" i="3"/>
  <c r="D262" i="3"/>
  <c r="D254" i="3"/>
  <c r="D246" i="3"/>
  <c r="D230" i="3"/>
  <c r="D222" i="3"/>
  <c r="D198" i="3"/>
  <c r="D190" i="3"/>
  <c r="D166" i="3"/>
  <c r="D150" i="3"/>
  <c r="D142" i="3"/>
  <c r="D126" i="3"/>
  <c r="D118" i="3"/>
  <c r="D110" i="3"/>
  <c r="D102" i="3"/>
  <c r="D94" i="3"/>
  <c r="D86" i="3"/>
  <c r="D78" i="3"/>
  <c r="D70" i="3"/>
  <c r="D62" i="3"/>
  <c r="D54" i="3"/>
  <c r="D46" i="3"/>
  <c r="D38" i="3"/>
  <c r="D22" i="3"/>
  <c r="D34" i="3"/>
  <c r="D584" i="3"/>
  <c r="D560" i="3"/>
  <c r="D598" i="3"/>
  <c r="D597" i="3"/>
  <c r="D589" i="3"/>
  <c r="D581" i="3"/>
  <c r="D573" i="3"/>
  <c r="D565" i="3"/>
  <c r="D557" i="3"/>
  <c r="D549" i="3"/>
  <c r="D541" i="3"/>
  <c r="D533" i="3"/>
  <c r="D525" i="3"/>
  <c r="D517" i="3"/>
  <c r="D509" i="3"/>
  <c r="D501" i="3"/>
  <c r="D493" i="3"/>
  <c r="D485" i="3"/>
  <c r="D477" i="3"/>
  <c r="D469" i="3"/>
  <c r="D461" i="3"/>
  <c r="D453" i="3"/>
  <c r="D445" i="3"/>
  <c r="D437" i="3"/>
  <c r="D429" i="3"/>
  <c r="D421" i="3"/>
  <c r="D413" i="3"/>
  <c r="D405" i="3"/>
  <c r="D397" i="3"/>
  <c r="D389" i="3"/>
  <c r="D381" i="3"/>
  <c r="D373" i="3"/>
  <c r="D365" i="3"/>
  <c r="D357" i="3"/>
  <c r="D349" i="3"/>
  <c r="D341" i="3"/>
  <c r="D333" i="3"/>
  <c r="D325" i="3"/>
  <c r="D317" i="3"/>
  <c r="D301" i="3"/>
  <c r="D285" i="3"/>
  <c r="D277" i="3"/>
  <c r="D245" i="3"/>
  <c r="D237" i="3"/>
  <c r="D229" i="3"/>
  <c r="D213" i="3"/>
  <c r="D205" i="3"/>
  <c r="D197" i="3"/>
  <c r="D189" i="3"/>
  <c r="D181" i="3"/>
  <c r="D165" i="3"/>
  <c r="D157" i="3"/>
  <c r="D149" i="3"/>
  <c r="D141" i="3"/>
  <c r="D117" i="3"/>
  <c r="D109" i="3"/>
  <c r="D101" i="3"/>
  <c r="D93" i="3"/>
  <c r="D85" i="3"/>
  <c r="D77" i="3"/>
  <c r="D69" i="3"/>
  <c r="D61" i="3"/>
  <c r="D45" i="3"/>
  <c r="D37" i="3"/>
  <c r="D596" i="3"/>
  <c r="D572" i="3"/>
  <c r="D556" i="3"/>
  <c r="D540" i="3"/>
  <c r="D532" i="3"/>
  <c r="D516" i="3"/>
  <c r="D508" i="3"/>
  <c r="D500" i="3"/>
  <c r="D492" i="3"/>
  <c r="D484" i="3"/>
  <c r="D476" i="3"/>
  <c r="D468" i="3"/>
  <c r="D460" i="3"/>
  <c r="D452" i="3"/>
  <c r="D444" i="3"/>
  <c r="D436" i="3"/>
  <c r="D428" i="3"/>
  <c r="D420" i="3"/>
  <c r="D412" i="3"/>
  <c r="D404" i="3"/>
  <c r="D396" i="3"/>
  <c r="D388" i="3"/>
  <c r="D380" i="3"/>
  <c r="D372" i="3"/>
  <c r="D364" i="3"/>
  <c r="D356" i="3"/>
  <c r="D348" i="3"/>
  <c r="D340" i="3"/>
  <c r="D332" i="3"/>
  <c r="D316" i="3"/>
  <c r="D300" i="3"/>
  <c r="D284" i="3"/>
  <c r="D276" i="3"/>
  <c r="D260" i="3"/>
  <c r="D252" i="3"/>
  <c r="D244" i="3"/>
  <c r="D228" i="3"/>
  <c r="D220" i="3"/>
  <c r="D212" i="3"/>
  <c r="D204" i="3"/>
  <c r="D196" i="3"/>
  <c r="D188" i="3"/>
  <c r="D180" i="3"/>
  <c r="D164" i="3"/>
  <c r="D156" i="3"/>
  <c r="D148" i="3"/>
  <c r="D124" i="3"/>
  <c r="D116" i="3"/>
  <c r="D108" i="3"/>
  <c r="D100" i="3"/>
  <c r="D92" i="3"/>
  <c r="D84" i="3"/>
  <c r="D76" i="3"/>
  <c r="D68" i="3"/>
  <c r="D60" i="3"/>
  <c r="D52" i="3"/>
  <c r="D44" i="3"/>
  <c r="D36" i="3"/>
  <c r="D28" i="3"/>
  <c r="D20" i="3"/>
  <c r="D588" i="3"/>
  <c r="D580" i="3"/>
  <c r="D564" i="3"/>
  <c r="D548" i="3"/>
  <c r="D524" i="3"/>
  <c r="D595" i="3"/>
  <c r="D587" i="3"/>
  <c r="D571" i="3"/>
  <c r="D563" i="3"/>
  <c r="D555" i="3"/>
  <c r="D547" i="3"/>
  <c r="D539" i="3"/>
  <c r="D531" i="3"/>
  <c r="D523" i="3"/>
  <c r="D515" i="3"/>
  <c r="D507" i="3"/>
  <c r="D499" i="3"/>
  <c r="D491" i="3"/>
  <c r="D483" i="3"/>
  <c r="D475" i="3"/>
  <c r="D467" i="3"/>
  <c r="D459" i="3"/>
  <c r="D451" i="3"/>
  <c r="D443" i="3"/>
  <c r="D435" i="3"/>
  <c r="D427" i="3"/>
  <c r="D419" i="3"/>
  <c r="D411" i="3"/>
  <c r="D403" i="3"/>
  <c r="D395" i="3"/>
  <c r="D387" i="3"/>
  <c r="D379" i="3"/>
  <c r="D371" i="3"/>
  <c r="D363" i="3"/>
  <c r="D355" i="3"/>
  <c r="D347" i="3"/>
  <c r="D339" i="3"/>
  <c r="D331" i="3"/>
  <c r="D315" i="3"/>
  <c r="D307" i="3"/>
  <c r="D299" i="3"/>
  <c r="D291" i="3"/>
  <c r="D283" i="3"/>
  <c r="D275" i="3"/>
  <c r="D259" i="3"/>
  <c r="D251" i="3"/>
  <c r="D243" i="3"/>
  <c r="D235" i="3"/>
  <c r="D227" i="3"/>
  <c r="D219" i="3"/>
  <c r="D195" i="3"/>
  <c r="D187" i="3"/>
  <c r="D179" i="3"/>
  <c r="D171" i="3"/>
  <c r="D163" i="3"/>
  <c r="D147" i="3"/>
  <c r="D123" i="3"/>
  <c r="D107" i="3"/>
  <c r="D99" i="3"/>
  <c r="D91" i="3"/>
  <c r="D83" i="3"/>
  <c r="D67" i="3"/>
  <c r="D59" i="3"/>
  <c r="D51" i="3"/>
  <c r="D43" i="3"/>
  <c r="D35" i="3"/>
  <c r="D27" i="3"/>
  <c r="D19" i="3"/>
  <c r="D264" i="3"/>
  <c r="D309" i="3"/>
  <c r="D293" i="3"/>
  <c r="D269" i="3"/>
  <c r="D261" i="3"/>
  <c r="D253" i="3"/>
  <c r="D221" i="3"/>
  <c r="D323" i="3"/>
  <c r="D267" i="3"/>
  <c r="D211" i="3"/>
  <c r="D203" i="3"/>
  <c r="D155" i="3"/>
  <c r="D139" i="3"/>
  <c r="D131" i="3"/>
  <c r="D115" i="3"/>
  <c r="D75" i="3"/>
  <c r="D603" i="3"/>
  <c r="D602" i="3"/>
  <c r="D594" i="3"/>
  <c r="D578" i="3"/>
  <c r="D322" i="3"/>
  <c r="D282" i="3"/>
  <c r="D138" i="3"/>
  <c r="D130" i="3"/>
  <c r="D114" i="3"/>
  <c r="D324" i="3"/>
  <c r="D268" i="3"/>
  <c r="D579" i="3"/>
  <c r="D586" i="3"/>
  <c r="D593" i="3"/>
  <c r="D321" i="3"/>
  <c r="D289" i="3"/>
  <c r="D265" i="3"/>
  <c r="D241" i="3"/>
  <c r="D201" i="3"/>
  <c r="D129" i="3"/>
  <c r="D292" i="3"/>
  <c r="D576" i="3"/>
  <c r="D352" i="3"/>
  <c r="D280" i="3"/>
  <c r="D272" i="3"/>
  <c r="D232" i="3"/>
  <c r="D200" i="3"/>
  <c r="D176" i="3"/>
  <c r="D168" i="3"/>
  <c r="D136" i="3"/>
  <c r="D128" i="3"/>
  <c r="D64" i="3"/>
  <c r="D40" i="3"/>
  <c r="D592" i="3"/>
  <c r="D591" i="3"/>
  <c r="D319" i="3"/>
  <c r="D255" i="3"/>
  <c r="D239" i="3"/>
  <c r="D308" i="3"/>
  <c r="D236" i="3"/>
  <c r="D574" i="3"/>
  <c r="D350" i="3"/>
  <c r="D310" i="3"/>
  <c r="D278" i="3"/>
  <c r="D238" i="3"/>
  <c r="D214" i="3"/>
  <c r="D206" i="3"/>
  <c r="D182" i="3"/>
  <c r="D174" i="3"/>
  <c r="D98" i="3"/>
  <c r="D74" i="3"/>
  <c r="D137" i="3"/>
  <c r="D89" i="3"/>
  <c r="D81" i="3"/>
  <c r="D17" i="3"/>
  <c r="D175" i="3"/>
  <c r="D135" i="3"/>
  <c r="D127" i="3"/>
  <c r="D95" i="3"/>
  <c r="D87" i="3"/>
  <c r="D23" i="3"/>
  <c r="D158" i="3"/>
  <c r="D134" i="3"/>
  <c r="D30" i="3"/>
  <c r="D173" i="3"/>
  <c r="D133" i="3"/>
  <c r="D125" i="3"/>
  <c r="D53" i="3"/>
  <c r="D29" i="3"/>
  <c r="D21" i="3"/>
  <c r="D172" i="3"/>
  <c r="D140" i="3"/>
  <c r="D132" i="3"/>
  <c r="D154" i="3"/>
  <c r="D153" i="3"/>
  <c r="E3" i="3" l="1"/>
  <c r="E2" i="3"/>
  <c r="E486" i="3"/>
  <c r="E146" i="3"/>
  <c r="E311" i="3"/>
  <c r="E127" i="3"/>
  <c r="E476" i="3"/>
  <c r="E573" i="3"/>
  <c r="E222" i="3"/>
  <c r="E214" i="3"/>
  <c r="E250" i="3"/>
  <c r="E137" i="3"/>
  <c r="E507" i="3"/>
  <c r="E61" i="3"/>
  <c r="E309" i="3"/>
  <c r="E301" i="3"/>
  <c r="E282" i="3"/>
  <c r="E224" i="3"/>
  <c r="E553" i="3"/>
  <c r="E107" i="3"/>
  <c r="E396" i="3"/>
  <c r="E388" i="3"/>
  <c r="E178" i="3"/>
  <c r="E328" i="3"/>
  <c r="E595" i="3"/>
  <c r="E390" i="3"/>
  <c r="E303" i="3"/>
  <c r="E510" i="3"/>
  <c r="E60" i="3"/>
  <c r="E415" i="3"/>
  <c r="E359" i="3"/>
  <c r="E477" i="3"/>
  <c r="E216" i="3"/>
  <c r="E185" i="3"/>
  <c r="E155" i="3"/>
  <c r="E398" i="3"/>
  <c r="E114" i="3"/>
  <c r="E41" i="3"/>
  <c r="E483" i="3"/>
  <c r="E128" i="3"/>
  <c r="E225" i="3"/>
  <c r="E473" i="3"/>
  <c r="E465" i="3"/>
  <c r="E578" i="3"/>
  <c r="E202" i="3"/>
  <c r="E580" i="3"/>
  <c r="E84" i="3"/>
  <c r="E491" i="3"/>
  <c r="E485" i="3"/>
  <c r="E62" i="3"/>
  <c r="E215" i="3"/>
  <c r="E312" i="3"/>
  <c r="E560" i="3"/>
  <c r="E552" i="3"/>
  <c r="E506" i="3"/>
  <c r="E170" i="3"/>
  <c r="E129" i="3"/>
  <c r="E492" i="3"/>
  <c r="E302" i="3"/>
  <c r="E399" i="3"/>
  <c r="E48" i="3"/>
  <c r="E40" i="3"/>
  <c r="E586" i="3"/>
  <c r="E505" i="3"/>
  <c r="E572" i="3"/>
  <c r="E389" i="3"/>
  <c r="E135" i="3"/>
  <c r="E103" i="3"/>
  <c r="E241" i="3"/>
  <c r="E589" i="3"/>
  <c r="E164" i="3"/>
  <c r="E499" i="3"/>
  <c r="E395" i="3"/>
  <c r="E469" i="3"/>
  <c r="E213" i="3"/>
  <c r="E489" i="3"/>
  <c r="E576" i="3"/>
  <c r="E64" i="3"/>
  <c r="E151" i="3"/>
  <c r="E238" i="3"/>
  <c r="E325" i="3"/>
  <c r="E412" i="3"/>
  <c r="E443" i="3"/>
  <c r="E295" i="3"/>
  <c r="E161" i="3"/>
  <c r="E248" i="3"/>
  <c r="E335" i="3"/>
  <c r="E422" i="3"/>
  <c r="E509" i="3"/>
  <c r="E563" i="3"/>
  <c r="E409" i="3"/>
  <c r="E496" i="3"/>
  <c r="E583" i="3"/>
  <c r="E71" i="3"/>
  <c r="E158" i="3"/>
  <c r="E245" i="3"/>
  <c r="E332" i="3"/>
  <c r="E427" i="3"/>
  <c r="E401" i="3"/>
  <c r="E488" i="3"/>
  <c r="E575" i="3"/>
  <c r="E63" i="3"/>
  <c r="E150" i="3"/>
  <c r="E237" i="3"/>
  <c r="E324" i="3"/>
  <c r="E419" i="3"/>
  <c r="E514" i="3"/>
  <c r="E490" i="3"/>
  <c r="E522" i="3"/>
  <c r="E122" i="3"/>
  <c r="E218" i="3"/>
  <c r="E210" i="3"/>
  <c r="E26" i="3"/>
  <c r="E82" i="3"/>
  <c r="E130" i="3"/>
  <c r="E98" i="3"/>
  <c r="E249" i="3"/>
  <c r="E446" i="3"/>
  <c r="E73" i="3"/>
  <c r="E160" i="3"/>
  <c r="E247" i="3"/>
  <c r="E334" i="3"/>
  <c r="E421" i="3"/>
  <c r="E508" i="3"/>
  <c r="E603" i="3"/>
  <c r="E91" i="3"/>
  <c r="E57" i="3"/>
  <c r="E577" i="3"/>
  <c r="E65" i="3"/>
  <c r="E152" i="3"/>
  <c r="E239" i="3"/>
  <c r="E326" i="3"/>
  <c r="E413" i="3"/>
  <c r="E500" i="3"/>
  <c r="E467" i="3"/>
  <c r="E39" i="3"/>
  <c r="E177" i="3"/>
  <c r="E264" i="3"/>
  <c r="E351" i="3"/>
  <c r="E438" i="3"/>
  <c r="E525" i="3"/>
  <c r="E13" i="3"/>
  <c r="E100" i="3"/>
  <c r="E195" i="3"/>
  <c r="E307" i="3"/>
  <c r="E300" i="3"/>
  <c r="E254" i="3"/>
  <c r="E277" i="3"/>
  <c r="E502" i="3"/>
  <c r="E77" i="3"/>
  <c r="E259" i="3"/>
  <c r="E203" i="3"/>
  <c r="E425" i="3"/>
  <c r="E512" i="3"/>
  <c r="E599" i="3"/>
  <c r="E87" i="3"/>
  <c r="E174" i="3"/>
  <c r="E261" i="3"/>
  <c r="E284" i="3"/>
  <c r="E379" i="3"/>
  <c r="E97" i="3"/>
  <c r="E184" i="3"/>
  <c r="E271" i="3"/>
  <c r="E358" i="3"/>
  <c r="E445" i="3"/>
  <c r="E532" i="3"/>
  <c r="E371" i="3"/>
  <c r="E345" i="3"/>
  <c r="E432" i="3"/>
  <c r="E519" i="3"/>
  <c r="E7" i="3"/>
  <c r="E94" i="3"/>
  <c r="E181" i="3"/>
  <c r="E268" i="3"/>
  <c r="E363" i="3"/>
  <c r="E337" i="3"/>
  <c r="E424" i="3"/>
  <c r="E511" i="3"/>
  <c r="E598" i="3"/>
  <c r="E86" i="3"/>
  <c r="E173" i="3"/>
  <c r="E260" i="3"/>
  <c r="E355" i="3"/>
  <c r="E562" i="3"/>
  <c r="E602" i="3"/>
  <c r="E458" i="3"/>
  <c r="E90" i="3"/>
  <c r="E154" i="3"/>
  <c r="E138" i="3"/>
  <c r="E402" i="3"/>
  <c r="E74" i="3"/>
  <c r="E50" i="3"/>
  <c r="E42" i="3"/>
  <c r="E121" i="3"/>
  <c r="E521" i="3"/>
  <c r="E9" i="3"/>
  <c r="E96" i="3"/>
  <c r="E183" i="3"/>
  <c r="E270" i="3"/>
  <c r="E357" i="3"/>
  <c r="E444" i="3"/>
  <c r="E539" i="3"/>
  <c r="E27" i="3"/>
  <c r="E528" i="3"/>
  <c r="E513" i="3"/>
  <c r="E600" i="3"/>
  <c r="E88" i="3"/>
  <c r="E175" i="3"/>
  <c r="E262" i="3"/>
  <c r="E349" i="3"/>
  <c r="E436" i="3"/>
  <c r="E339" i="3"/>
  <c r="E382" i="3"/>
  <c r="E113" i="3"/>
  <c r="E200" i="3"/>
  <c r="E287" i="3"/>
  <c r="E374" i="3"/>
  <c r="E461" i="3"/>
  <c r="E556" i="3"/>
  <c r="E36" i="3"/>
  <c r="E131" i="3"/>
  <c r="E115" i="3"/>
  <c r="E149" i="3"/>
  <c r="E459" i="3"/>
  <c r="E318" i="3"/>
  <c r="E231" i="3"/>
  <c r="E361" i="3"/>
  <c r="E448" i="3"/>
  <c r="E535" i="3"/>
  <c r="E23" i="3"/>
  <c r="E110" i="3"/>
  <c r="E197" i="3"/>
  <c r="E220" i="3"/>
  <c r="E315" i="3"/>
  <c r="E545" i="3"/>
  <c r="E33" i="3"/>
  <c r="E120" i="3"/>
  <c r="E207" i="3"/>
  <c r="E294" i="3"/>
  <c r="E381" i="3"/>
  <c r="E468" i="3"/>
  <c r="E243" i="3"/>
  <c r="E281" i="3"/>
  <c r="E368" i="3"/>
  <c r="E455" i="3"/>
  <c r="E542" i="3"/>
  <c r="E30" i="3"/>
  <c r="E117" i="3"/>
  <c r="E204" i="3"/>
  <c r="E299" i="3"/>
  <c r="E273" i="3"/>
  <c r="E360" i="3"/>
  <c r="E447" i="3"/>
  <c r="E534" i="3"/>
  <c r="E22" i="3"/>
  <c r="E109" i="3"/>
  <c r="E196" i="3"/>
  <c r="E291" i="3"/>
  <c r="E498" i="3"/>
  <c r="E538" i="3"/>
  <c r="E410" i="3"/>
  <c r="E66" i="3"/>
  <c r="E106" i="3"/>
  <c r="E58" i="3"/>
  <c r="E346" i="3"/>
  <c r="E34" i="3"/>
  <c r="E434" i="3"/>
  <c r="E180" i="3"/>
  <c r="E592" i="3"/>
  <c r="E457" i="3"/>
  <c r="E544" i="3"/>
  <c r="E32" i="3"/>
  <c r="E119" i="3"/>
  <c r="E206" i="3"/>
  <c r="E293" i="3"/>
  <c r="E380" i="3"/>
  <c r="E475" i="3"/>
  <c r="E211" i="3"/>
  <c r="E336" i="3"/>
  <c r="E449" i="3"/>
  <c r="E536" i="3"/>
  <c r="E24" i="3"/>
  <c r="E111" i="3"/>
  <c r="E198" i="3"/>
  <c r="E285" i="3"/>
  <c r="E372" i="3"/>
  <c r="E147" i="3"/>
  <c r="E561" i="3"/>
  <c r="E49" i="3"/>
  <c r="E136" i="3"/>
  <c r="E223" i="3"/>
  <c r="E310" i="3"/>
  <c r="E397" i="3"/>
  <c r="E484" i="3"/>
  <c r="E579" i="3"/>
  <c r="E67" i="3"/>
  <c r="E139" i="3"/>
  <c r="E533" i="3"/>
  <c r="E236" i="3"/>
  <c r="E587" i="3"/>
  <c r="E267" i="3"/>
  <c r="E297" i="3"/>
  <c r="E384" i="3"/>
  <c r="E471" i="3"/>
  <c r="E558" i="3"/>
  <c r="E46" i="3"/>
  <c r="E133" i="3"/>
  <c r="E156" i="3"/>
  <c r="E187" i="3"/>
  <c r="E481" i="3"/>
  <c r="E568" i="3"/>
  <c r="E56" i="3"/>
  <c r="E143" i="3"/>
  <c r="E230" i="3"/>
  <c r="E317" i="3"/>
  <c r="E404" i="3"/>
  <c r="E51" i="3"/>
  <c r="E217" i="3"/>
  <c r="E304" i="3"/>
  <c r="E391" i="3"/>
  <c r="E478" i="3"/>
  <c r="E565" i="3"/>
  <c r="E53" i="3"/>
  <c r="E140" i="3"/>
  <c r="E235" i="3"/>
  <c r="E209" i="3"/>
  <c r="E296" i="3"/>
  <c r="E383" i="3"/>
  <c r="E470" i="3"/>
  <c r="E557" i="3"/>
  <c r="E45" i="3"/>
  <c r="E132" i="3"/>
  <c r="E227" i="3"/>
  <c r="E570" i="3"/>
  <c r="E474" i="3"/>
  <c r="E354" i="3"/>
  <c r="E10" i="3"/>
  <c r="E18" i="3"/>
  <c r="E450" i="3"/>
  <c r="E290" i="3"/>
  <c r="E426" i="3"/>
  <c r="E378" i="3"/>
  <c r="E531" i="3"/>
  <c r="E464" i="3"/>
  <c r="E393" i="3"/>
  <c r="E480" i="3"/>
  <c r="E567" i="3"/>
  <c r="E55" i="3"/>
  <c r="E142" i="3"/>
  <c r="E229" i="3"/>
  <c r="E316" i="3"/>
  <c r="E411" i="3"/>
  <c r="E19" i="3"/>
  <c r="E208" i="3"/>
  <c r="E385" i="3"/>
  <c r="E472" i="3"/>
  <c r="E559" i="3"/>
  <c r="E47" i="3"/>
  <c r="E134" i="3"/>
  <c r="E221" i="3"/>
  <c r="E308" i="3"/>
  <c r="E377" i="3"/>
  <c r="E497" i="3"/>
  <c r="E584" i="3"/>
  <c r="E72" i="3"/>
  <c r="E159" i="3"/>
  <c r="E246" i="3"/>
  <c r="E333" i="3"/>
  <c r="E420" i="3"/>
  <c r="E515" i="3"/>
  <c r="E251" i="3"/>
  <c r="E348" i="3"/>
  <c r="E574" i="3"/>
  <c r="E85" i="3"/>
  <c r="E428" i="3"/>
  <c r="E108" i="3"/>
  <c r="E233" i="3"/>
  <c r="E320" i="3"/>
  <c r="E407" i="3"/>
  <c r="E494" i="3"/>
  <c r="E581" i="3"/>
  <c r="E69" i="3"/>
  <c r="E92" i="3"/>
  <c r="E59" i="3"/>
  <c r="E417" i="3"/>
  <c r="E504" i="3"/>
  <c r="E591" i="3"/>
  <c r="E79" i="3"/>
  <c r="E166" i="3"/>
  <c r="E253" i="3"/>
  <c r="E340" i="3"/>
  <c r="E43" i="3"/>
  <c r="E153" i="3"/>
  <c r="E240" i="3"/>
  <c r="E327" i="3"/>
  <c r="E414" i="3"/>
  <c r="E501" i="3"/>
  <c r="E596" i="3"/>
  <c r="E76" i="3"/>
  <c r="E171" i="3"/>
  <c r="E145" i="3"/>
  <c r="E232" i="3"/>
  <c r="E319" i="3"/>
  <c r="E406" i="3"/>
  <c r="E493" i="3"/>
  <c r="E588" i="3"/>
  <c r="E68" i="3"/>
  <c r="E163" i="3"/>
  <c r="E554" i="3"/>
  <c r="E594" i="3"/>
  <c r="E298" i="3"/>
  <c r="E418" i="3"/>
  <c r="E442" i="3"/>
  <c r="E394" i="3"/>
  <c r="E234" i="3"/>
  <c r="E370" i="3"/>
  <c r="E322" i="3"/>
  <c r="E403" i="3"/>
  <c r="E272" i="3"/>
  <c r="E329" i="3"/>
  <c r="E416" i="3"/>
  <c r="E503" i="3"/>
  <c r="E590" i="3"/>
  <c r="E78" i="3"/>
  <c r="E165" i="3"/>
  <c r="E252" i="3"/>
  <c r="E347" i="3"/>
  <c r="E569" i="3"/>
  <c r="E16" i="3"/>
  <c r="E321" i="3"/>
  <c r="E408" i="3"/>
  <c r="E495" i="3"/>
  <c r="E582" i="3"/>
  <c r="E70" i="3"/>
  <c r="E157" i="3"/>
  <c r="E244" i="3"/>
  <c r="E400" i="3"/>
  <c r="E433" i="3"/>
  <c r="E520" i="3"/>
  <c r="E8" i="3"/>
  <c r="E95" i="3"/>
  <c r="E182" i="3"/>
  <c r="E269" i="3"/>
  <c r="E356" i="3"/>
  <c r="E451" i="3"/>
  <c r="E123" i="3"/>
  <c r="E75" i="3"/>
  <c r="E331" i="3"/>
  <c r="E405" i="3"/>
  <c r="E597" i="3"/>
  <c r="E564" i="3"/>
  <c r="E169" i="3"/>
  <c r="E256" i="3"/>
  <c r="E343" i="3"/>
  <c r="E430" i="3"/>
  <c r="E517" i="3"/>
  <c r="E5" i="3"/>
  <c r="E28" i="3"/>
  <c r="E435" i="3"/>
  <c r="E353" i="3"/>
  <c r="E440" i="3"/>
  <c r="E527" i="3"/>
  <c r="E15" i="3"/>
  <c r="E102" i="3"/>
  <c r="E189" i="3"/>
  <c r="E276" i="3"/>
  <c r="E601" i="3"/>
  <c r="E89" i="3"/>
  <c r="E176" i="3"/>
  <c r="E263" i="3"/>
  <c r="E350" i="3"/>
  <c r="E437" i="3"/>
  <c r="E524" i="3"/>
  <c r="E12" i="3"/>
  <c r="E593" i="3"/>
  <c r="E81" i="3"/>
  <c r="E168" i="3"/>
  <c r="E255" i="3"/>
  <c r="E342" i="3"/>
  <c r="E429" i="3"/>
  <c r="E516" i="3"/>
  <c r="E4" i="3"/>
  <c r="E99" i="3"/>
  <c r="E546" i="3"/>
  <c r="E530" i="3"/>
  <c r="E242" i="3"/>
  <c r="E362" i="3"/>
  <c r="E386" i="3"/>
  <c r="E338" i="3"/>
  <c r="E194" i="3"/>
  <c r="E314" i="3"/>
  <c r="E266" i="3"/>
  <c r="E275" i="3"/>
  <c r="E80" i="3"/>
  <c r="E265" i="3"/>
  <c r="E352" i="3"/>
  <c r="E439" i="3"/>
  <c r="E526" i="3"/>
  <c r="E14" i="3"/>
  <c r="E101" i="3"/>
  <c r="E188" i="3"/>
  <c r="E283" i="3"/>
  <c r="E441" i="3"/>
  <c r="E423" i="3"/>
  <c r="E257" i="3"/>
  <c r="E344" i="3"/>
  <c r="E431" i="3"/>
  <c r="E518" i="3"/>
  <c r="E6" i="3"/>
  <c r="E93" i="3"/>
  <c r="E116" i="3"/>
  <c r="E144" i="3"/>
  <c r="E369" i="3"/>
  <c r="E456" i="3"/>
  <c r="E543" i="3"/>
  <c r="E31" i="3"/>
  <c r="E118" i="3"/>
  <c r="E205" i="3"/>
  <c r="E292" i="3"/>
  <c r="E387" i="3"/>
  <c r="E212" i="3"/>
  <c r="E585" i="3"/>
  <c r="E172" i="3"/>
  <c r="E126" i="3"/>
  <c r="E523" i="3"/>
  <c r="E341" i="3"/>
  <c r="E540" i="3"/>
  <c r="E105" i="3"/>
  <c r="E192" i="3"/>
  <c r="E279" i="3"/>
  <c r="E366" i="3"/>
  <c r="E453" i="3"/>
  <c r="E548" i="3"/>
  <c r="E571" i="3"/>
  <c r="E179" i="3"/>
  <c r="E289" i="3"/>
  <c r="E376" i="3"/>
  <c r="E463" i="3"/>
  <c r="E550" i="3"/>
  <c r="E38" i="3"/>
  <c r="E125" i="3"/>
  <c r="E148" i="3"/>
  <c r="E537" i="3"/>
  <c r="E25" i="3"/>
  <c r="E112" i="3"/>
  <c r="E199" i="3"/>
  <c r="E286" i="3"/>
  <c r="E373" i="3"/>
  <c r="E460" i="3"/>
  <c r="E555" i="3"/>
  <c r="E529" i="3"/>
  <c r="E17" i="3"/>
  <c r="E104" i="3"/>
  <c r="E191" i="3"/>
  <c r="E278" i="3"/>
  <c r="E365" i="3"/>
  <c r="E452" i="3"/>
  <c r="E547" i="3"/>
  <c r="E35" i="3"/>
  <c r="E482" i="3"/>
  <c r="E466" i="3"/>
  <c r="E186" i="3"/>
  <c r="E306" i="3"/>
  <c r="E330" i="3"/>
  <c r="E274" i="3"/>
  <c r="E162" i="3"/>
  <c r="E258" i="3"/>
  <c r="E226" i="3"/>
  <c r="E83" i="3"/>
  <c r="E487" i="3"/>
  <c r="E201" i="3"/>
  <c r="E288" i="3"/>
  <c r="E375" i="3"/>
  <c r="E462" i="3"/>
  <c r="E549" i="3"/>
  <c r="E37" i="3"/>
  <c r="E124" i="3"/>
  <c r="E219" i="3"/>
  <c r="E313" i="3"/>
  <c r="E167" i="3"/>
  <c r="E193" i="3"/>
  <c r="E280" i="3"/>
  <c r="E367" i="3"/>
  <c r="E454" i="3"/>
  <c r="E541" i="3"/>
  <c r="E29" i="3"/>
  <c r="E52" i="3"/>
  <c r="E551" i="3"/>
  <c r="E305" i="3"/>
  <c r="E392" i="3"/>
  <c r="E479" i="3"/>
  <c r="E566" i="3"/>
  <c r="E54" i="3"/>
  <c r="E141" i="3"/>
  <c r="E228" i="3"/>
  <c r="E323" i="3"/>
  <c r="E20" i="3"/>
  <c r="E11" i="3"/>
  <c r="E21" i="3"/>
  <c r="E44" i="3"/>
  <c r="E364" i="3"/>
  <c r="E190" i="3"/>
  <c r="F2" i="3"/>
  <c r="F4" i="3" l="1"/>
</calcChain>
</file>

<file path=xl/sharedStrings.xml><?xml version="1.0" encoding="utf-8"?>
<sst xmlns="http://schemas.openxmlformats.org/spreadsheetml/2006/main" count="1234" uniqueCount="1226">
  <si>
    <t>aamra networks limited)</t>
  </si>
  <si>
    <t>aamra technologies limited)</t>
  </si>
  <si>
    <t>AB Bank 1st Mutual fund)</t>
  </si>
  <si>
    <t>AB Bank Limited)</t>
  </si>
  <si>
    <t>Aman Cotton Fibrous Limited)</t>
  </si>
  <si>
    <t>ACI Limited)</t>
  </si>
  <si>
    <t>ACI Formulations Limited)</t>
  </si>
  <si>
    <t>The ACME Laboratories Limited)</t>
  </si>
  <si>
    <t>Active Fine Chemicals Limited)</t>
  </si>
  <si>
    <t>ADN Telecom Limited)</t>
  </si>
  <si>
    <t>Advent Pharma Limited)</t>
  </si>
  <si>
    <t>AFC Agro Biotech Ltd.)</t>
  </si>
  <si>
    <t>Aftab Automobiles Limited)</t>
  </si>
  <si>
    <t>Agni Systems Ltd.)</t>
  </si>
  <si>
    <t>Agrani Insurance Co. Ltd.)</t>
  </si>
  <si>
    <t>AIBL 1st Islamic Mutual Fund)</t>
  </si>
  <si>
    <t>Alif Industries Limited)</t>
  </si>
  <si>
    <t>Al-Haj Textile Mills Limited)</t>
  </si>
  <si>
    <t>Al-Arafah Islami Bank Ltd)</t>
  </si>
  <si>
    <t>Alif Manufacturing Company Ltd.)</t>
  </si>
  <si>
    <t>Alltex Industries Ltd.)</t>
  </si>
  <si>
    <t>Aman Feed Limited)</t>
  </si>
  <si>
    <t>Ambee Pharmaceuticals Ltd.)</t>
  </si>
  <si>
    <t>AMCL</t>
  </si>
  <si>
    <t>PRAN) </t>
  </si>
  <si>
    <t>Anlimayarn Dyeing Ltd.)</t>
  </si>
  <si>
    <t>Anwar Galvanizing Ltd.)</t>
  </si>
  <si>
    <t>Associated Oxygen Limited)</t>
  </si>
  <si>
    <t>Apex Foods Limited)</t>
  </si>
  <si>
    <t>Apex Footwear Limited.)</t>
  </si>
  <si>
    <t>Apex Spinning &amp; Knitting Mills Limited)</t>
  </si>
  <si>
    <t>Apex Tannery Limited)</t>
  </si>
  <si>
    <t>Appollo Ispat Complex Limited)</t>
  </si>
  <si>
    <t>APSCL Non-Convertible and Fully Redeemable Coupon Bearing Bond)</t>
  </si>
  <si>
    <t>Aramit Limited)</t>
  </si>
  <si>
    <t>Aramit Cement Limited)</t>
  </si>
  <si>
    <t>Argon Denims Limited)</t>
  </si>
  <si>
    <t>Asia Insurance Limited)</t>
  </si>
  <si>
    <t>Asia Pacific General Insurance Co. Ltd.)</t>
  </si>
  <si>
    <t>Asian Tiger Sandhani Life Growth Fund)</t>
  </si>
  <si>
    <t>Atlas Bangladesh Ltd.)</t>
  </si>
  <si>
    <t>Aziz Pipes Ltd.)</t>
  </si>
  <si>
    <t>Bangas Ltd.)</t>
  </si>
  <si>
    <t>Bank Asia Ltd.)</t>
  </si>
  <si>
    <t>Baraka Power Limited)</t>
  </si>
  <si>
    <t xml:space="preserve">Bata Shoe Company </t>
  </si>
  <si>
    <t>British American Tobacco bangladesh Company Limited)</t>
  </si>
  <si>
    <t>Bay Leasing &amp; Investment Limited)</t>
  </si>
  <si>
    <t>Bangladesh Building Systems Ltd.)</t>
  </si>
  <si>
    <t>BBS Cables Limited)</t>
  </si>
  <si>
    <t>Bangladesh Autocars Ltd.)</t>
  </si>
  <si>
    <t>BDCOM Online Ltd.)</t>
  </si>
  <si>
    <t>Bangladesh Finance and Investment Co.Ltd)</t>
  </si>
  <si>
    <t>Bangladesh Lamps Limited)</t>
  </si>
  <si>
    <t>Bangladesh Services Ltd.)</t>
  </si>
  <si>
    <t>Bd.Thai Aluminium Ltd.)</t>
  </si>
  <si>
    <t>Bangladesh Welding Electrodes Ltd.)</t>
  </si>
  <si>
    <t>Beach Hatchery Ltd.)</t>
  </si>
  <si>
    <t>Beacon Pharmaceuticals Limited)</t>
  </si>
  <si>
    <t>Bengal Windsor Thermoplastics Ltd.)</t>
  </si>
  <si>
    <t>Berger Paints Bangladesh Ltd.)</t>
  </si>
  <si>
    <t>Bangladesh Export Import Company Ltd.)</t>
  </si>
  <si>
    <t>Bangladesh General Insurance Company Ltd.)</t>
  </si>
  <si>
    <t>Bangladesh Industrial Fin. Co. Ltd.)</t>
  </si>
  <si>
    <t>Bangladesh National Insurance Company Limited)</t>
  </si>
  <si>
    <t>Bashundhara Paper Mills Limited)</t>
  </si>
  <si>
    <t>BRAC Bank Ltd.)</t>
  </si>
  <si>
    <t>Bangladesh Shipping Corporation)</t>
  </si>
  <si>
    <t>Bangladesh Submarine Cable Company Limited)</t>
  </si>
  <si>
    <t>Bangladesh Steel Re-Rolling Mills Limited)</t>
  </si>
  <si>
    <t>BSRM Steels Limited)</t>
  </si>
  <si>
    <t>Beximco Pharmaceuticals Ltd.)</t>
  </si>
  <si>
    <t>Beximco Synthetics Ltd.)</t>
  </si>
  <si>
    <t>CAPM BDBL Mutual Fund 01)</t>
  </si>
  <si>
    <t>CAPM IBBL Islamic Mutual Fund)</t>
  </si>
  <si>
    <t>Central Insurance Company Ltd.)</t>
  </si>
  <si>
    <t>Central Pharmaceuticals Limited)</t>
  </si>
  <si>
    <t>The City Bank Ltd.)</t>
  </si>
  <si>
    <t>City General Insurance Co. Ltd.)</t>
  </si>
  <si>
    <t>C &amp; A Textiles Limited)</t>
  </si>
  <si>
    <t>Confidence Cement Ltd.)</t>
  </si>
  <si>
    <t>Continental Insurance Ltd.)</t>
  </si>
  <si>
    <t>Coppertech Industries Limited)</t>
  </si>
  <si>
    <t>Crystal Insurance Company Limited)</t>
  </si>
  <si>
    <t>CVO Petrochemical Refinery Limited)</t>
  </si>
  <si>
    <t>The Dacca Dyeing &amp; Manufacturing Co.Ltd.)</t>
  </si>
  <si>
    <t>Daffodil Computers Ltd.)</t>
  </si>
  <si>
    <t>Delta Brac Housing Finance Corp. Ltd.)</t>
  </si>
  <si>
    <t>DBH First Mutual Fund)</t>
  </si>
  <si>
    <t>Aramit Cement Ltd.</t>
  </si>
  <si>
    <t>Bangladesh Luggage Ind. Ltd.</t>
  </si>
  <si>
    <t>BD Welding Electrodes Ltd.</t>
  </si>
  <si>
    <t>Bangladesh Zipper Ind. Ltd.</t>
  </si>
  <si>
    <t>Beximco Denims Ltd.</t>
  </si>
  <si>
    <t>Beximco Fisheries Ltd.</t>
  </si>
  <si>
    <t>Beximco Knitting Ltd.</t>
  </si>
  <si>
    <t>Beximco Textiles Ltd.</t>
  </si>
  <si>
    <t>Delta Life Insurance Company Ltd.)</t>
  </si>
  <si>
    <t>Delta Spinners Ltd.)</t>
  </si>
  <si>
    <t>Dhaka Electric Supply Company Ltd.)</t>
  </si>
  <si>
    <t>Deshbandhu Polymer Limited)</t>
  </si>
  <si>
    <t>Dhaka Bank Ltd.)</t>
  </si>
  <si>
    <t>Dhaka Insurance Limited)</t>
  </si>
  <si>
    <t>Dominage Steel Building Systems Limited)</t>
  </si>
  <si>
    <t>Doreen Power Generations and Systems Limited)</t>
  </si>
  <si>
    <t>Desh Garmants Ltd.)</t>
  </si>
  <si>
    <t>Dragon Sweater and Spinning Limited)</t>
  </si>
  <si>
    <t>Dulamia Cotton Spinning Mills Ltd.)</t>
  </si>
  <si>
    <t>Dutch-Bangla Bank Ltd.)</t>
  </si>
  <si>
    <t>Eastern Insurance Company Ltd.)</t>
  </si>
  <si>
    <t>Eastland Insurance Company Ltd.)</t>
  </si>
  <si>
    <t>Eastern Lubricants Ltd.)</t>
  </si>
  <si>
    <t>Eastern Bank Ltd.)</t>
  </si>
  <si>
    <t>EBL First Mutual Fund)</t>
  </si>
  <si>
    <t>EBL NRB Mutual Fund)</t>
  </si>
  <si>
    <t>Eastern Cables Ltd.)</t>
  </si>
  <si>
    <t>eGeneration Limited)</t>
  </si>
  <si>
    <t>Eastern Housing Limited)</t>
  </si>
  <si>
    <t>Express Insurance Limited)</t>
  </si>
  <si>
    <t>Emerald Oil Industries Ltd.)</t>
  </si>
  <si>
    <t>Envoy Textiles Limited)</t>
  </si>
  <si>
    <t>Energypac Power Generation Limited)</t>
  </si>
  <si>
    <t>Esquire Knit Composite Limited)</t>
  </si>
  <si>
    <t>Evince Textiles Limited)</t>
  </si>
  <si>
    <t>EXIM Bank 1st Mutual Fund)</t>
  </si>
  <si>
    <t xml:space="preserve">Export Import </t>
  </si>
  <si>
    <t xml:space="preserve">Familytex </t>
  </si>
  <si>
    <t>Far Chemical Industries Limited)</t>
  </si>
  <si>
    <t>Fareast Finance &amp; Investment Limited)</t>
  </si>
  <si>
    <t>Fareast Islami Life Insurance Co. Ltd.)</t>
  </si>
  <si>
    <t>FAS Finance &amp; Investment Limited)</t>
  </si>
  <si>
    <t>First Bangladesh Fixed Income Fund)</t>
  </si>
  <si>
    <t>Federal Insurance Company Ltd.)</t>
  </si>
  <si>
    <t>Far East Knitting &amp; Dyeing Industries Limited)</t>
  </si>
  <si>
    <t>Fine Foods Limited)</t>
  </si>
  <si>
    <t>First Finance Limited)</t>
  </si>
  <si>
    <t>First Security Islami Bank Limited)</t>
  </si>
  <si>
    <t>Fortune Shoes Limited)</t>
  </si>
  <si>
    <t>Fu-Wang Ceramic Industries Ltd.)</t>
  </si>
  <si>
    <t>Fu Wang Food Ltd.)</t>
  </si>
  <si>
    <t>GBB Power Ltd.)</t>
  </si>
  <si>
    <t>Gemini Sea Food Ltd.)</t>
  </si>
  <si>
    <t>Genex Infosys Limited)</t>
  </si>
  <si>
    <t>Generation Next Fashions Limited)</t>
  </si>
  <si>
    <t>Golden Harvest Agro Industries Ltd.)</t>
  </si>
  <si>
    <t>Global Heavy Chemicals Limited)</t>
  </si>
  <si>
    <t>Global Insurance Company Ltd.)</t>
  </si>
  <si>
    <t>Golden Son Ltd.)</t>
  </si>
  <si>
    <t>Grameenphone Ltd.)</t>
  </si>
  <si>
    <t>GPH Ispat Ltd.)</t>
  </si>
  <si>
    <t>GQ Ball Pen Industries Ltd.)</t>
  </si>
  <si>
    <t>Grameen One : Scheme Two)</t>
  </si>
  <si>
    <t>Green Delta Mutual Fund)</t>
  </si>
  <si>
    <t>Green Delta Insurance Ltd.)</t>
  </si>
  <si>
    <t xml:space="preserve">GSP Finance Company </t>
  </si>
  <si>
    <t>Hakkani Pulp &amp; Paper Mills Ltd.)</t>
  </si>
  <si>
    <t>Heidelberg Cement Bangladesh Ltd.)</t>
  </si>
  <si>
    <t>Hamid Fabrics Limited)</t>
  </si>
  <si>
    <t>H.R.Textile Ltd.)</t>
  </si>
  <si>
    <t xml:space="preserve">Hwa Well Textiles </t>
  </si>
  <si>
    <t>IBBL Mudaraba Perpetual Bond)</t>
  </si>
  <si>
    <t>The IBN SINA Pharmaceutical Industry Ltd.)</t>
  </si>
  <si>
    <t>Indo-Bangla Pharmaceuticals Limited)</t>
  </si>
  <si>
    <t>Investment Corporation Of Bangladesh)</t>
  </si>
  <si>
    <t>ICB AMCL Third NRB Mutual Fund)</t>
  </si>
  <si>
    <t>ICB AMCL First Agrani Bank Mutual Fund)</t>
  </si>
  <si>
    <t>ICB AMCL Second Mutual Fund)</t>
  </si>
  <si>
    <t>ICB Employees Provident MF 1: Scheme 1)</t>
  </si>
  <si>
    <t>ICB Islamic Bank Limited)</t>
  </si>
  <si>
    <t>ICB AMCL Sonali Bank Limited 1st Mutual Fund)</t>
  </si>
  <si>
    <t>IDLC Finance Ltd.)</t>
  </si>
  <si>
    <t>IFAD Autos Limited)</t>
  </si>
  <si>
    <t>IFIC Bank Ltd.)</t>
  </si>
  <si>
    <t>IFIC Bank 1st Mutual Fund)</t>
  </si>
  <si>
    <t>IFIL Islamic Mutual Fund-1)</t>
  </si>
  <si>
    <t>International Leasing &amp; Financial Services Ltd.)</t>
  </si>
  <si>
    <t>Imam Button Industries Ltd.)</t>
  </si>
  <si>
    <t>Intech Limited)</t>
  </si>
  <si>
    <t>Intraco Refueling Station Limited)</t>
  </si>
  <si>
    <t>IPDC Finance Limited)</t>
  </si>
  <si>
    <t>Islami Bank Bangladesh Limited)</t>
  </si>
  <si>
    <t>Islamic Finance &amp; Investment Ltd.)</t>
  </si>
  <si>
    <t>Islami Insurance Bangladesh Limited)</t>
  </si>
  <si>
    <t>Information Services Network Ltd.)</t>
  </si>
  <si>
    <t>IT Consultants Limited)</t>
  </si>
  <si>
    <t>Jamuna Bank Ltd.)</t>
  </si>
  <si>
    <t>Jamuna Oil Company Limited)</t>
  </si>
  <si>
    <t>Janata Insurance Company Ltd.)</t>
  </si>
  <si>
    <t>JMI Syringes &amp; Medical Devices Ltd.)</t>
  </si>
  <si>
    <t>Jute Spinners Ltd.)</t>
  </si>
  <si>
    <t>Karnaphuli Insurance Company Ltd.)</t>
  </si>
  <si>
    <t xml:space="preserve">Kay &amp; Que </t>
  </si>
  <si>
    <t>Khan Brothers PP Woven Bag Industries Limited)</t>
  </si>
  <si>
    <t>KDS Accessories Limited)</t>
  </si>
  <si>
    <t>Keya Cosmetics Ltd.)</t>
  </si>
  <si>
    <t xml:space="preserve">Kohinoor Chemicals Company </t>
  </si>
  <si>
    <t>Khulna Power Company Limited)</t>
  </si>
  <si>
    <t>Khulna Printing &amp; Packaging Limited)</t>
  </si>
  <si>
    <t>Kattali Textile Limited)</t>
  </si>
  <si>
    <t>LankaBangla Finance Ltd.)</t>
  </si>
  <si>
    <t>Legacy Footwear Ltd.)</t>
  </si>
  <si>
    <t>LafargeHolcim Bangladesh Limited)</t>
  </si>
  <si>
    <t>Libra Infusions Limited)</t>
  </si>
  <si>
    <t>Linde Bangladesh Limited)</t>
  </si>
  <si>
    <t xml:space="preserve">Lub-rref </t>
  </si>
  <si>
    <t>LR Global Bangladesh Mutual Fund One)</t>
  </si>
  <si>
    <t>Maksons Spinning Mills Limited)</t>
  </si>
  <si>
    <t>Malek Spinning Mills Ltd.)</t>
  </si>
  <si>
    <t>Marico Bangladesh Limited)</t>
  </si>
  <si>
    <t>Matin Spinning Mills Ltd.)</t>
  </si>
  <si>
    <t>MBL 1st Mutual Fund)</t>
  </si>
  <si>
    <t>Meghna Condensed Milk Industries Ltd.)</t>
  </si>
  <si>
    <t>Meghna Cement Mills Ltd.)</t>
  </si>
  <si>
    <t>Meghna Life Insurance Co. Ltd.)</t>
  </si>
  <si>
    <t>Meghna Pet Industries Ltd.)</t>
  </si>
  <si>
    <t>Mercantile Bank Ltd.)</t>
  </si>
  <si>
    <t>Mercantile Insurance Co. Ltd.)</t>
  </si>
  <si>
    <t>Metro Spinning Ltd.)</t>
  </si>
  <si>
    <t>Mozaffar Hossain Spinning Mills Ltd.)</t>
  </si>
  <si>
    <t>M.I. Cement Factory Limited)</t>
  </si>
  <si>
    <t>MIDAS Financing Ltd.)</t>
  </si>
  <si>
    <t>Miracle Industries Ltd.)</t>
  </si>
  <si>
    <t>Mir Akhter Hossain Limited)</t>
  </si>
  <si>
    <t>Mithun Knitting and Dyeing Ltd.)</t>
  </si>
  <si>
    <t>MJL Bangladesh Limited)</t>
  </si>
  <si>
    <t>M.L. Dyeing Limited)</t>
  </si>
  <si>
    <t>Monno Agro &amp; General Machinery Limited)</t>
  </si>
  <si>
    <t>Monno Ceramic Industries Ltd.)</t>
  </si>
  <si>
    <t>Meghna Petroleum Limited)</t>
  </si>
  <si>
    <t>Mutual Trust Bank Ltd.)</t>
  </si>
  <si>
    <t>Nahee Aluminum Composite Panel Ltd.)</t>
  </si>
  <si>
    <t>National Life Insurance Company Ltd.)</t>
  </si>
  <si>
    <t>Navana CNG Limited)</t>
  </si>
  <si>
    <t>National Bank Ltd.)</t>
  </si>
  <si>
    <t>National Credit and Commerce Bank Ltd.)</t>
  </si>
  <si>
    <t>NCCBL Mutual Fund-1)</t>
  </si>
  <si>
    <t>New Line Clothings Limited)</t>
  </si>
  <si>
    <t>National Feed Mill Limited)</t>
  </si>
  <si>
    <t>National Housing Fin. and Inv. Ltd.)</t>
  </si>
  <si>
    <t>Nitol Insurance Co. Ltd.)</t>
  </si>
  <si>
    <t>NLI First Mutual Fund)</t>
  </si>
  <si>
    <t>Northern Jute Manufacturing Co. Ltd.)</t>
  </si>
  <si>
    <t>Northern Islami Insurance Limited)</t>
  </si>
  <si>
    <t>National Polymer Industries Ltd.)</t>
  </si>
  <si>
    <t>NRB Commercial Bank Limited)</t>
  </si>
  <si>
    <t>National Tea Company Ltd.)</t>
  </si>
  <si>
    <t>National Tubes Limited)</t>
  </si>
  <si>
    <t>Nurani Dyeing &amp; Sweater Limited)</t>
  </si>
  <si>
    <t>Olympic Accessories Limited)</t>
  </si>
  <si>
    <t>Oimex Electrode Limited)</t>
  </si>
  <si>
    <t>Olympic Industries Ltd.)</t>
  </si>
  <si>
    <t>One Bank Limited)</t>
  </si>
  <si>
    <t>Orion Infusion Ltd.)</t>
  </si>
  <si>
    <t>Orion Pharma Ltd.)</t>
  </si>
  <si>
    <t>Padma Islami Life Insurance Limited)</t>
  </si>
  <si>
    <t>Padma Oil Co. Ltd.)</t>
  </si>
  <si>
    <t>Paramount Insurance Company Ltd.)</t>
  </si>
  <si>
    <t>Pacific Denims Limited)</t>
  </si>
  <si>
    <t>The Peninsula Chittagong Limited)</t>
  </si>
  <si>
    <t>Peoples Insurance Company Ltd.)</t>
  </si>
  <si>
    <t>Phoenix Finance 1st Mutual Fund)</t>
  </si>
  <si>
    <t>Pharma Aids)</t>
  </si>
  <si>
    <t>Phoenix Insurance Company Ltd.)</t>
  </si>
  <si>
    <t>Phoenix Finance and Investments Ltd.)</t>
  </si>
  <si>
    <t>PHP First Mutual Fund)</t>
  </si>
  <si>
    <t>Pioneer Insurance Company Ltd.)</t>
  </si>
  <si>
    <t>Peoples Leasing and Fin. Services Ltd.)</t>
  </si>
  <si>
    <t>Popular Life First Mutual Fund)</t>
  </si>
  <si>
    <t>Popular Life Insurance Co. Ltd.)</t>
  </si>
  <si>
    <t>Power Grid Company of Bangladesh Ltd.)</t>
  </si>
  <si>
    <t>Pragati Insurance Ltd)</t>
  </si>
  <si>
    <t>Pragati Life Insurance Ltd.)</t>
  </si>
  <si>
    <t>Premier Bank Ltd.)</t>
  </si>
  <si>
    <t>Premier Cement Mills Limited)</t>
  </si>
  <si>
    <t>Premier Leasing &amp; Finance Limited)</t>
  </si>
  <si>
    <t>Prime Bank 1st ICB AMCL Mutual Fund)</t>
  </si>
  <si>
    <t>Prime Bank Ltd.)</t>
  </si>
  <si>
    <t>Prime Finance &amp; Investment Ltd.)</t>
  </si>
  <si>
    <t>Prime Insurance Company Ltd.)</t>
  </si>
  <si>
    <t>Prime Islami Life Insurance Ltd.)</t>
  </si>
  <si>
    <t>Prime Textile Spinning Mills Limited)</t>
  </si>
  <si>
    <t>Progressive Life Insurance Co. Ltd.)</t>
  </si>
  <si>
    <t>Provati Insurance Company Limited)</t>
  </si>
  <si>
    <t>Paramount Textile Limited)</t>
  </si>
  <si>
    <t>Pubali Bank Ltd.)</t>
  </si>
  <si>
    <t>Purabi Gen. Insurance Company Ltd.)</t>
  </si>
  <si>
    <t>Quasem Industries Ltd.)</t>
  </si>
  <si>
    <t>Queen South Textile Mills Limited)</t>
  </si>
  <si>
    <t>Rahima Food Corporation Limited)</t>
  </si>
  <si>
    <t>Rahim Textile Mills Ltd.)</t>
  </si>
  <si>
    <t xml:space="preserve">RAK Ceramics </t>
  </si>
  <si>
    <t>Rangpur Foundry Ltd.)</t>
  </si>
  <si>
    <t>Rangpur Dairy &amp; Food Products Ltd.)</t>
  </si>
  <si>
    <t>Reckitt Benckiser</t>
  </si>
  <si>
    <t>Regent Textile Mills Limited)</t>
  </si>
  <si>
    <t>Reliance One the first scheme of Reliance Insurance Mutual Fund)</t>
  </si>
  <si>
    <t>Reliance Insurance Ltd.)</t>
  </si>
  <si>
    <t>Renata Ltd.)</t>
  </si>
  <si>
    <t xml:space="preserve">Renwick Jajneswar &amp; Co </t>
  </si>
  <si>
    <t>Republic Insurance Company Limited)</t>
  </si>
  <si>
    <t>Ring Shine Textiles Limited)</t>
  </si>
  <si>
    <t>R.N. Spinning Mills Limited)</t>
  </si>
  <si>
    <t>Robi Axiata Limited)</t>
  </si>
  <si>
    <t>Ratanpur Steel Re-Rolling Mills Limited)</t>
  </si>
  <si>
    <t>Runner Automobiles Limited)</t>
  </si>
  <si>
    <t>Rupali Bank Ltd.)</t>
  </si>
  <si>
    <t>Rupali Insurance Company Ltd.)</t>
  </si>
  <si>
    <t>Rupali Life Insurance Company Limited)</t>
  </si>
  <si>
    <t>Safko Spinnings Mills Ltd.)</t>
  </si>
  <si>
    <t>SAIF Powertec Limited)</t>
  </si>
  <si>
    <t>Saiham Cotton Mills Limited)</t>
  </si>
  <si>
    <t>Saiham Textile Mills Ltd.)</t>
  </si>
  <si>
    <t>S. Alam Cold Rolled Steels Ltd.)</t>
  </si>
  <si>
    <t>Salvo Chemical Industry Limited)</t>
  </si>
  <si>
    <t>Samata Leather Complex Ltd.)</t>
  </si>
  <si>
    <t>Samorita Hospital Limited)</t>
  </si>
  <si>
    <t>Sandhani Life Insurance Company Ltd.)</t>
  </si>
  <si>
    <t>Summit Alliance Port Limited)</t>
  </si>
  <si>
    <t>Savar Refractories Limited)</t>
  </si>
  <si>
    <t>Sea Pearl Beach Resort &amp; Spa Limited)</t>
  </si>
  <si>
    <t>Southeast Bank 1st Mutual Fund)</t>
  </si>
  <si>
    <t>SEML FBLSL Growth Fund)</t>
  </si>
  <si>
    <t>SEML IBBL Shariah Fund)</t>
  </si>
  <si>
    <t>SEML Lecture Equity Management Fund)</t>
  </si>
  <si>
    <t>Shahjalal Islami Bank Ltd.)</t>
  </si>
  <si>
    <t>Shasha Denims Limited)</t>
  </si>
  <si>
    <t>Shepherd Industries Limited)</t>
  </si>
  <si>
    <t>Shurwid Industries Limited)</t>
  </si>
  <si>
    <t>Shyampur Sugar Mills Ltd.)</t>
  </si>
  <si>
    <t>Social Islami Bank Limited)</t>
  </si>
  <si>
    <t>Silco Pharmaceuticals Limited)</t>
  </si>
  <si>
    <t>Silva Pharmaceuticals Limited)</t>
  </si>
  <si>
    <t>Simtex Industries Limited)</t>
  </si>
  <si>
    <t>Singer Bangladesh Limited)</t>
  </si>
  <si>
    <t>Sinobangla Industries Ltd.)</t>
  </si>
  <si>
    <t>SK Trims &amp; Industries Limited)</t>
  </si>
  <si>
    <t>Sonali Aansh Industries Limited)</t>
  </si>
  <si>
    <t>Sonali Paper &amp; Board Mills Ltd.)</t>
  </si>
  <si>
    <t>Sonar Bangla Insurance Ltd.)</t>
  </si>
  <si>
    <t>Sonargaon Textiles Ltd.)</t>
  </si>
  <si>
    <t>Southeast Bank Ltd.)</t>
  </si>
  <si>
    <t>Shinepukur Ceramics Limited)</t>
  </si>
  <si>
    <t>Shahjibazar Power Co. Ltd.)</t>
  </si>
  <si>
    <t>Square Textile Ltd.)</t>
  </si>
  <si>
    <t>Square Pharmaceuticals Ltd.)</t>
  </si>
  <si>
    <t>S. S. Steel Limited)</t>
  </si>
  <si>
    <t>Standard Ceramic Industries Ltd.)</t>
  </si>
  <si>
    <t>Standard Insurance Limited)</t>
  </si>
  <si>
    <t>Standard Bank Limited)</t>
  </si>
  <si>
    <t>Stylecraft Limited)</t>
  </si>
  <si>
    <t>Summit Power Limited)</t>
  </si>
  <si>
    <t>Sunlife Insurance Company Limited)</t>
  </si>
  <si>
    <t>5 Years BGT Bonds Issued on 21.07.2010)</t>
  </si>
  <si>
    <t>5 Years BGT Bonds Issued on 18.08.2010)</t>
  </si>
  <si>
    <t>10 Years 8.5% BGT Bond Issued 10.01.2007)</t>
  </si>
  <si>
    <t>10 Years BGT Bond Issued 02.01.2008)</t>
  </si>
  <si>
    <t>10 Years BGT Bond Issued 07.01.2009)</t>
  </si>
  <si>
    <t>10 years BGT Bond Issued 05.01.2011)</t>
  </si>
  <si>
    <t>10 Years 8.5% BGT Bond Issued 090204)</t>
  </si>
  <si>
    <t>10 Years 8.5% BGT Bond Issued 070205)</t>
  </si>
  <si>
    <t>10 Years 8.5% BGT Bond Issued 13022006)</t>
  </si>
  <si>
    <t>10 Years 8.5% BGT Bond Issued 07.02.2007)</t>
  </si>
  <si>
    <t>10 Years BGT Bond Issued 06.02.2008)</t>
  </si>
  <si>
    <t>10 Years BGT Bond Issued 04.02.2009)</t>
  </si>
  <si>
    <t>10 years BGT Bond issued on 03.02.2010)</t>
  </si>
  <si>
    <t>10 years BGT Bond Issued 02.02.2011)</t>
  </si>
  <si>
    <t>10 Years 8.5% BGT Bond Issued 07.03.2007)</t>
  </si>
  <si>
    <t>10 Years BGT Bond Issued 05.03.2008)</t>
  </si>
  <si>
    <t>10 Years BGT Bond Issued 04.03.2009)</t>
  </si>
  <si>
    <t>10 years BGT Bond issued on 03.03.2010)</t>
  </si>
  <si>
    <t>10 years BGT Bond Issued 02.03.2011)</t>
  </si>
  <si>
    <t>10 Years 8.5% BGT Bond Issued 050404)</t>
  </si>
  <si>
    <t>10 Years 8.5% BGT Bond Issued 040405)</t>
  </si>
  <si>
    <t>10 Years 8.5% BGT Bond Issued 10042006)</t>
  </si>
  <si>
    <t>10 Years BGT Bond Issued 02.04.2008)</t>
  </si>
  <si>
    <t>10 Years BGT Bond Issued 08.04.2009)</t>
  </si>
  <si>
    <t>10 years BGT Bond Issued on 07.04.2010)</t>
  </si>
  <si>
    <t>10 years BGT Bond Issued 06.04.2011)</t>
  </si>
  <si>
    <t>10 Years BGT Bond Issued 09.05.2007)</t>
  </si>
  <si>
    <t>10 Years BGT Bond Issued 07.05.2008)</t>
  </si>
  <si>
    <t>10 Years BGT Bond Issued 06.05.2009)</t>
  </si>
  <si>
    <t>10 years BGT Bond Issued 05.05.2010)</t>
  </si>
  <si>
    <t>10 years BGT Bond Issued 04.05.2011)</t>
  </si>
  <si>
    <t>10 Years 8.5% BGT Bond Issued 070604)</t>
  </si>
  <si>
    <t>10 Years 8.5% BGT Bond Issued 060605)</t>
  </si>
  <si>
    <t>10 Years 8.5% BGT Bond Issued 12062006)</t>
  </si>
  <si>
    <t>10 Years BGT Bond Issued 06.06.2007)</t>
  </si>
  <si>
    <t>10 Years BGT Bond Issued 04.06.2008)</t>
  </si>
  <si>
    <t>10 Years BGT Bond Issued 03.06.2009)</t>
  </si>
  <si>
    <t>10 Years BGT Bond Issued 02.06.2010)</t>
  </si>
  <si>
    <t>10 years BGT Bond Issued 08.06.2011)</t>
  </si>
  <si>
    <t>10 Years BGT Bond Issued 04.07.2007)</t>
  </si>
  <si>
    <t>10 Year BGT Bond Issued 02.07.2008)</t>
  </si>
  <si>
    <t>10 Years BGT Bond Issued 08.07.2009)</t>
  </si>
  <si>
    <t>10 Years BGT Bond Issued 07.07.2010)</t>
  </si>
  <si>
    <t>10 Years BGT Bond Issued 13.07.2011)</t>
  </si>
  <si>
    <t>10 Years 8.5% BGT Bond Issued 020804)</t>
  </si>
  <si>
    <t>10 Years 8.5% BGT Bond Issued 07.08.2006)</t>
  </si>
  <si>
    <t>10 Years BGT Bond Issued 08.08.2007)</t>
  </si>
  <si>
    <t>10 years BGT Bond Issued 06.08.2008)</t>
  </si>
  <si>
    <t>10 Years BGT Bond Issued 05.08.2009)</t>
  </si>
  <si>
    <t>10 years BGT Bonds issued on 04.082010)</t>
  </si>
  <si>
    <t>10 Years BGT Bond Issued 10.08.2011)</t>
  </si>
  <si>
    <t>10 Years 8.5% BGT Bond Issued 06.09.2006)</t>
  </si>
  <si>
    <t>10 Years BGT Bond Issued 05.09.2007)</t>
  </si>
  <si>
    <t>10 years BGT Bond Issued 03.09.2008)</t>
  </si>
  <si>
    <t>10 Years BGT Bond Issued 02.09.2009)</t>
  </si>
  <si>
    <t>10 years BGT Bond Issued on 08.09.2010)</t>
  </si>
  <si>
    <t>10 Years BGT Bond Issued 14.09.2011)</t>
  </si>
  <si>
    <t>10 Years 8.5% BGT Bond Issued 041004)</t>
  </si>
  <si>
    <t>10 Years 8.5% BGT Bond Issued 04.10.2006)</t>
  </si>
  <si>
    <t>10 Years BGT Bond Issued 03.10.2007)</t>
  </si>
  <si>
    <t>10 Years BGT Bond Issued 08.10.2008)</t>
  </si>
  <si>
    <t>10 Years BGT Bond Issued 07.10.2009)</t>
  </si>
  <si>
    <t>10 Years 8.5% BGT Bond Issued 08.11.2006)</t>
  </si>
  <si>
    <t>10 YEARS BGT BOND ISSUED 08.11.2007)</t>
  </si>
  <si>
    <t>10 Years BGT Bond Issued 05.11.2008)</t>
  </si>
  <si>
    <t>10 years BGT Bond Issued 03.11.2010)</t>
  </si>
  <si>
    <t>10 Years 8.5% BGT Bond Issued 291203)</t>
  </si>
  <si>
    <t>10 Years 8.5% BGT Bond Issued 061204)</t>
  </si>
  <si>
    <t>10 Years 8.5% BGT Bond Issued 121205)</t>
  </si>
  <si>
    <t>10Years 8.5% BGT Bond Issued 06.12.2006)</t>
  </si>
  <si>
    <t>10 YEARS BGT BOND ISSUED 05.12.2007)</t>
  </si>
  <si>
    <t>10 Years BGT Bond Issued 03.12.2008)</t>
  </si>
  <si>
    <t>10 years BGT Bond issued on 02.12.2009)</t>
  </si>
  <si>
    <t>10 years BGT Bond Issued 08.12.2010)</t>
  </si>
  <si>
    <t>15 Years BGT Bond Issued 09.01.2008)</t>
  </si>
  <si>
    <t>15 Years BGT Bond Issued 14.01.2009)</t>
  </si>
  <si>
    <t>15 years BGT Bond issued on 13.01.2010)</t>
  </si>
  <si>
    <t>15 Years BGT Bond Issued 13.02.2008)</t>
  </si>
  <si>
    <t>15 Years BGT Bond Issued 11.02.2009)</t>
  </si>
  <si>
    <t>15 years BGT Bond issued on 10.02.2010)</t>
  </si>
  <si>
    <t>15 Years BGT Bond Issued 09.02.2011)</t>
  </si>
  <si>
    <t>15 Years BGT Bond Issued 12.03.2008)</t>
  </si>
  <si>
    <t>15 Years BGT Bond Issued 11.03.2009)</t>
  </si>
  <si>
    <t>15 years BGT Bond issued on 10.03.2010)</t>
  </si>
  <si>
    <t>15 Years BGT Bond Issued 09.03.2011)</t>
  </si>
  <si>
    <t>15 Years BGT Bond Issued 09.04.2008)</t>
  </si>
  <si>
    <t>15 Years BGT Bond Issued 15.04.2009)</t>
  </si>
  <si>
    <t>15 years BGT Bond Issued on 15.04.2010)</t>
  </si>
  <si>
    <t>15 Years BGT Bond Issued 13.04.2011)</t>
  </si>
  <si>
    <t>15 Years BGT Bond Issued 14.05.2008)</t>
  </si>
  <si>
    <t>15 Years BGT Bond Issued 13.05.2009)</t>
  </si>
  <si>
    <t>15 years BGT Bond Issued 12.05.2010)</t>
  </si>
  <si>
    <t>15 years BGT Bond Issued 11.05.2011)</t>
  </si>
  <si>
    <t>15 Years BGT Bond Issued 11.06.2008)</t>
  </si>
  <si>
    <t>15 Years BGT Bond Issued 10.06.2009)</t>
  </si>
  <si>
    <t>15 years BGT Bond Issued 09.06.2010)</t>
  </si>
  <si>
    <t>15 years BGT Bond Issued 15.06.2011)</t>
  </si>
  <si>
    <t>15 Years BGT Bond Issued 11.07.2007)</t>
  </si>
  <si>
    <t>15 Years BGT Bond Issued 09.07.2008)</t>
  </si>
  <si>
    <t>15 Years BGT Bond Issued 15.07.2009)</t>
  </si>
  <si>
    <t>15 years BGT Bond Issued 14.07.2010)</t>
  </si>
  <si>
    <t>15 Years BGT Bond Issued 15.08.2007)</t>
  </si>
  <si>
    <t>15 years BGT Bond Issued 13.08.2008)</t>
  </si>
  <si>
    <t>15 Years BGT Bond Issued 12.08.2009)</t>
  </si>
  <si>
    <t>15 Years BGT Bond Issued 11.08.2010)</t>
  </si>
  <si>
    <t>15 Years BGT Bond Issued 17.08.2011)</t>
  </si>
  <si>
    <t>15 Years BGT Bond Issued 12.09.2007)</t>
  </si>
  <si>
    <t>15 years BGT Bond Issued 10.09.2008)</t>
  </si>
  <si>
    <t>15 Years BGT Bond Issued 09.09.2009)</t>
  </si>
  <si>
    <t>15 years BGT Bond Issued 15.09.2010)</t>
  </si>
  <si>
    <t>15 Years BGT Bond Issued 21.09.2011)</t>
  </si>
  <si>
    <t>15 Years BGT Bond Issued 11.10.2007)</t>
  </si>
  <si>
    <t>15 Years BGT Bond Issued 15.10.2008)</t>
  </si>
  <si>
    <t>15 Years BGT Bond Issued 14.10.2009)</t>
  </si>
  <si>
    <t>15 Years BGT Bond Issued 13.10.2010)</t>
  </si>
  <si>
    <t>15 YEARS BGT BOND ISSUED 14.11.2007)</t>
  </si>
  <si>
    <t>15 Years BGT Bond Issued 12.11.2008)</t>
  </si>
  <si>
    <t>15 Years BGT Bond Issued 10.11.2010)</t>
  </si>
  <si>
    <t>15 YEARS BGT BOND ISSUED 12.12.2007)</t>
  </si>
  <si>
    <t>15 Years BGT Bond Issued 11.12.2008)</t>
  </si>
  <si>
    <t>15 years BGT Bond issued on 09.12.2009)</t>
  </si>
  <si>
    <t>15 Years BGT Bond Issued 15.12.2010)</t>
  </si>
  <si>
    <t>20 Years BGT Bond Issued 23.01.2008)</t>
  </si>
  <si>
    <t>20 Years BGT Bond Issued 28.01.2009)</t>
  </si>
  <si>
    <t>20 years BGT Bond Issued 26.01.2011)</t>
  </si>
  <si>
    <t>20 Years BGT Bond Issued 27.02.2008)</t>
  </si>
  <si>
    <t>20 Years BGT Bond Issued 25.02.2009)</t>
  </si>
  <si>
    <t>20 years BGT Bond issued on 24.02.2010)</t>
  </si>
  <si>
    <t>20 Years BGT Bond Issued 23.02.2011)</t>
  </si>
  <si>
    <t>20 Years BGT Bond Issued 27.03.2008)</t>
  </si>
  <si>
    <t>20 Years BGT Bond Issued 25.03.2009)</t>
  </si>
  <si>
    <t>20 years BGT Bond Issued 24.03.2010)</t>
  </si>
  <si>
    <t>20 Years BGT Bond Issued 23.04.2008)</t>
  </si>
  <si>
    <t>20 Years BGT Bond Issued 29.04.2009)</t>
  </si>
  <si>
    <t>20 years BGT Bond Issued on 28.04.2010)</t>
  </si>
  <si>
    <t>20 years BGT Bond Issued 27.04.2011)</t>
  </si>
  <si>
    <t>20 Years BGT Bond Issued 28.05.2008)</t>
  </si>
  <si>
    <t>20 years BGT Bond Issued 26.05.2010)</t>
  </si>
  <si>
    <t>20 years BGT Bond Issued 25.05.2011)</t>
  </si>
  <si>
    <t>20 Years BGT Bond Issued 25.06.2008)</t>
  </si>
  <si>
    <t>20 Years BGT Bond Issued 24.06.2009)</t>
  </si>
  <si>
    <t>20 years BGT Bond Issued 23.06.2010)</t>
  </si>
  <si>
    <t>20 Years BGT Bond Issued 29.06.2011)</t>
  </si>
  <si>
    <t>20 Years BGT Bond Issued 25.07.2007)</t>
  </si>
  <si>
    <t>20 Years BGT Bond Issued 23.07.2008)</t>
  </si>
  <si>
    <t>20 Years BGT Bond Issued 29.07.2009)</t>
  </si>
  <si>
    <t>20 years BGT Bond Issued on 29.07.2010)</t>
  </si>
  <si>
    <t>20 Years BGT Bond Issued 27.07.2011)</t>
  </si>
  <si>
    <t>20 Years BGT Bond Issued 29.08.2007)</t>
  </si>
  <si>
    <t>20 years BGT Bond Issued 27.08.2008)</t>
  </si>
  <si>
    <t>20 Years BGT Bond Issued 26.08.2009)</t>
  </si>
  <si>
    <t>20 years BGT Bond Issued 25.08.2010)</t>
  </si>
  <si>
    <t>20 Years BGT Bond Issued 24.08.2011)</t>
  </si>
  <si>
    <t>20 Years BGT Bond Issued 26.09.2007)</t>
  </si>
  <si>
    <t>20 Years BGT Bond Issued 24.09.2008)</t>
  </si>
  <si>
    <t>20 years BGT Bond Issued 29.09.2010)</t>
  </si>
  <si>
    <t>20 Years BGT Bond Issued 28.09.2011)</t>
  </si>
  <si>
    <t>20 YEARS BGT BOND ISSUED 24.10.2007)</t>
  </si>
  <si>
    <t>20 Years BGT Bond Issued 29.10.2008)</t>
  </si>
  <si>
    <t>20 Years BGT Bond Issued 28.10.2009)</t>
  </si>
  <si>
    <t>20 years BGT Bond Issued 27.10.2010)</t>
  </si>
  <si>
    <t>20 YEARS BGT BOND ISSUED 28.11.2007)</t>
  </si>
  <si>
    <t>20 Years BGT Bond Issued 26.11.2008)</t>
  </si>
  <si>
    <t>20 years BGT Bond Issued 24.11.2010)</t>
  </si>
  <si>
    <t>20 Years BGT Bond Issued 26.12.2008)</t>
  </si>
  <si>
    <t>20 Years BGT Bond Issued 24.12.2008)</t>
  </si>
  <si>
    <t>20 years BGT Bond issued on 23.12.2009)</t>
  </si>
  <si>
    <t>20 years BGT Bond Issued 29.12.2010)</t>
  </si>
  <si>
    <t>5 Years 7.5% BGT Bond Issued 24.01.2007)</t>
  </si>
  <si>
    <t>5 Years BGT Bond Issued 16.01.2008)</t>
  </si>
  <si>
    <t>5 Years BGT Bond Issued 21.01.2009)</t>
  </si>
  <si>
    <t>5 years BGT Bond issued on 20.01.2010)</t>
  </si>
  <si>
    <t>5 years BGT Bond Issued 19.01.2011)</t>
  </si>
  <si>
    <t>5 Years 7.5% BGT Bond Issued 22.02.2007)</t>
  </si>
  <si>
    <t>5 Years BGT Bond Issued 20.02.2008)</t>
  </si>
  <si>
    <t>5 Years BGT Bond Issued 18.02.2009)</t>
  </si>
  <si>
    <t>5 years BGT Bond issued on 17.02.2010)</t>
  </si>
  <si>
    <t>5 years BGT Bond Issued 17.02.2011)</t>
  </si>
  <si>
    <t>5 Years BGT Bond Issued 19.03.2008)</t>
  </si>
  <si>
    <t>5 Years BGT Bond Issued 18.03.2009)</t>
  </si>
  <si>
    <t>5 years BGT Bond Issued on 18.03.2010)</t>
  </si>
  <si>
    <t>5 years BGT Bond Issued 16.03.2011)</t>
  </si>
  <si>
    <t>5 Years 7.5% BGT Bond Issued 18.04.2007)</t>
  </si>
  <si>
    <t>5 Years BGT Bond Issued 22.04.2009)</t>
  </si>
  <si>
    <t>5 years BGT Bond Issued on 21.04.2010)</t>
  </si>
  <si>
    <t>5 years BGT Bond Issued 20.04.2011)</t>
  </si>
  <si>
    <t>5 Years BGT Bond Issued 20.05.2009)</t>
  </si>
  <si>
    <t>5 years BGT Bond Issued 18.05.2011)</t>
  </si>
  <si>
    <t>5 Years BGT Bond Issued 18.06.2008)</t>
  </si>
  <si>
    <t>5 Years BGT Bond Issued 16.06.2010)</t>
  </si>
  <si>
    <t>5 years BGT Bond Issued on 22.06.11)</t>
  </si>
  <si>
    <t>5 Years BGT Bond Issued 18.07.2007)</t>
  </si>
  <si>
    <t>5 Year BGT Bond Issued 16.07.2008)</t>
  </si>
  <si>
    <t>5 Years BGT Bond Issued 22.07.2009)</t>
  </si>
  <si>
    <t>5 Years BGT Bond Issued 06.07.2011)</t>
  </si>
  <si>
    <t>5 Year 7.5% BGT Bond Issued 07.08.2006)</t>
  </si>
  <si>
    <t>5 Years BGT Bond Issued 22.08.2007)</t>
  </si>
  <si>
    <t>5 years BGT Bond Issued 20.08.2008)</t>
  </si>
  <si>
    <t>5 Years BGT Bond Issued 19.08.2009)</t>
  </si>
  <si>
    <t>5 years BGT Bond Issued on 03.08.11)</t>
  </si>
  <si>
    <t>5 Years 7.5% BGT Bond Issued 20.09.2006)</t>
  </si>
  <si>
    <t>5 Years BGT Bond Issued 19.09.2007)</t>
  </si>
  <si>
    <t>5 years BGT Bond Issued 17.09.2008)</t>
  </si>
  <si>
    <t>5 Years BGT Bond Issued 16.09.2009)</t>
  </si>
  <si>
    <t>5 Years BGT Bond Issued 22.09.2010)</t>
  </si>
  <si>
    <t>5 Years BGT Bond Issued 07.09.2011)</t>
  </si>
  <si>
    <t>5 Years 7.5% BGT Bond Issued 18.10.2006)</t>
  </si>
  <si>
    <t>5 Years BGT Bond Issued 17.10.2007)</t>
  </si>
  <si>
    <t>5 Years BGT Bond Issued 22.10.2008)</t>
  </si>
  <si>
    <t>5 Years BGT Bond Issued 21.10.2009)</t>
  </si>
  <si>
    <t>5 Years BGT Bond Issued 20.10.2010)</t>
  </si>
  <si>
    <t>5 Years 7.5% BGT Bond Issued 22.11.2006)</t>
  </si>
  <si>
    <t>5 Years BGT Bond Issued 21.11.2007)</t>
  </si>
  <si>
    <t>5 Years BGT Bond Issued 19.11.2008)</t>
  </si>
  <si>
    <t>5 years BGT Bond issued on 18.11.2009)</t>
  </si>
  <si>
    <t>5 Years BGT Bond Issued 21.11.2010)</t>
  </si>
  <si>
    <t>5 Years 7.5% BGT Bonds Issued 20.12.2006)</t>
  </si>
  <si>
    <t>5 Years BGT Bond Issued 19.12.2007)</t>
  </si>
  <si>
    <t>5 Years BGT Bond Issued 17.12.2008)</t>
  </si>
  <si>
    <t>5 years BGT Bond issued on 17.12.2009)</t>
  </si>
  <si>
    <t>5 Years BGT Bond Issued 22.12.2010)</t>
  </si>
  <si>
    <t>Takaful Islami Insurance Limited)</t>
  </si>
  <si>
    <t>Tallu Spinning Mills Ltd.)</t>
  </si>
  <si>
    <t>Taufika Foods and Agro Industries Limited)</t>
  </si>
  <si>
    <t>Titas Gas Transmission &amp; Dist. Co. Ltd.)</t>
  </si>
  <si>
    <t>Tosrifa Industries Limited)</t>
  </si>
  <si>
    <t>Trust Bank 1st Mutual Fund)</t>
  </si>
  <si>
    <t>Trust Bank Limited)</t>
  </si>
  <si>
    <t>Tung Hai Knitting &amp; Dyeing Limited)</t>
  </si>
  <si>
    <t>United Commercial Bank Ltd.)</t>
  </si>
  <si>
    <t>Unilever Consumer Care Limited)</t>
  </si>
  <si>
    <t>Union Capital Limited)</t>
  </si>
  <si>
    <t>Unique Hotel &amp; Resorts Limited)</t>
  </si>
  <si>
    <t>United Finance Limited)</t>
  </si>
  <si>
    <t>United Insurance Ltd.)</t>
  </si>
  <si>
    <t>United Power Generation &amp; Distribution Company Ltd.)</t>
  </si>
  <si>
    <t>Usmania Glass Sheet Factory Limited)</t>
  </si>
  <si>
    <t>Uttara Bank Limited)</t>
  </si>
  <si>
    <t>Uttara Finance and Investments Limited)</t>
  </si>
  <si>
    <t>Vanguard AML BD Finance Mutual Fund One)</t>
  </si>
  <si>
    <t>Vanguard AML Rupali Bank Balanced Fund)</t>
  </si>
  <si>
    <t>VFS Thread Dyeing Limited)</t>
  </si>
  <si>
    <t>Walton Hi-Tech Industries Ltd.)</t>
  </si>
  <si>
    <t>Wata Chemicals Limited)</t>
  </si>
  <si>
    <t>Western Marine Shipyard Limited)</t>
  </si>
  <si>
    <t>Yeakin Polymer Limited)</t>
  </si>
  <si>
    <t>Zaheen Spinning Limited)</t>
  </si>
  <si>
    <t>Zahintex Industries Limited)</t>
  </si>
  <si>
    <t>Zeal Bangla Sugar Mills Ltd.)</t>
  </si>
  <si>
    <t>First Janata Bank Mutual Fund)</t>
  </si>
  <si>
    <t>Prime Finance First Mutual Fund)</t>
  </si>
  <si>
    <t>AAMRANET</t>
  </si>
  <si>
    <t>AAMRATECH</t>
  </si>
  <si>
    <t>ABB1STMF</t>
  </si>
  <si>
    <t>ABBANK</t>
  </si>
  <si>
    <t>ACFL</t>
  </si>
  <si>
    <t>ACI</t>
  </si>
  <si>
    <t>ACIFORMULA</t>
  </si>
  <si>
    <t>ACMELAB</t>
  </si>
  <si>
    <t>ACTIVEFINE</t>
  </si>
  <si>
    <t>ADNTEL</t>
  </si>
  <si>
    <t>ADVENT</t>
  </si>
  <si>
    <t>AFCAGRO</t>
  </si>
  <si>
    <t>AFTABAUTO</t>
  </si>
  <si>
    <t>AGNISYSL</t>
  </si>
  <si>
    <t>AGRANINS</t>
  </si>
  <si>
    <t>AIBL1STIMF</t>
  </si>
  <si>
    <t>AIL</t>
  </si>
  <si>
    <t>AL-HAJTEX</t>
  </si>
  <si>
    <t>ALARABANK</t>
  </si>
  <si>
    <t>ALIF</t>
  </si>
  <si>
    <t>ALLTEX</t>
  </si>
  <si>
    <t>AMANFEED</t>
  </si>
  <si>
    <t>AMBEEPHA</t>
  </si>
  <si>
    <t>ANLIMAYARN</t>
  </si>
  <si>
    <t>ANWARGALV</t>
  </si>
  <si>
    <t>AOL</t>
  </si>
  <si>
    <t>APEXFOODS</t>
  </si>
  <si>
    <t>APEXFOOT</t>
  </si>
  <si>
    <t>APEXSPINN</t>
  </si>
  <si>
    <t>APEXTANRY</t>
  </si>
  <si>
    <t>APOLOISPAT</t>
  </si>
  <si>
    <t>APSCLBOND</t>
  </si>
  <si>
    <t>ARAMIT</t>
  </si>
  <si>
    <t>ARAMITCEM</t>
  </si>
  <si>
    <t>ARGONDENIM</t>
  </si>
  <si>
    <t>ASIAINS</t>
  </si>
  <si>
    <t>ASIAPACINS</t>
  </si>
  <si>
    <t>ATCSLGF</t>
  </si>
  <si>
    <t>ATLASBANG</t>
  </si>
  <si>
    <t>AZIZPIPES</t>
  </si>
  <si>
    <t>BANGAS</t>
  </si>
  <si>
    <t>BANKASIA</t>
  </si>
  <si>
    <t>BARKAPOWER</t>
  </si>
  <si>
    <t>BATASHOE</t>
  </si>
  <si>
    <t>BATBC</t>
  </si>
  <si>
    <t>BAYLEASING</t>
  </si>
  <si>
    <t>BBS</t>
  </si>
  <si>
    <t>BBSCABLES</t>
  </si>
  <si>
    <t>BDAUTOCA</t>
  </si>
  <si>
    <t>BDCOM</t>
  </si>
  <si>
    <t>BDFINANCE</t>
  </si>
  <si>
    <t>BDLAMPS</t>
  </si>
  <si>
    <t>BDSERVICE</t>
  </si>
  <si>
    <t>BDTHAI</t>
  </si>
  <si>
    <t>BDWELDING</t>
  </si>
  <si>
    <t>BEACHHATCH</t>
  </si>
  <si>
    <t>BEACONPHAR</t>
  </si>
  <si>
    <t>BENGALWTL</t>
  </si>
  <si>
    <t>BERGERPBL</t>
  </si>
  <si>
    <t>BEXIMCO</t>
  </si>
  <si>
    <t>BGIC</t>
  </si>
  <si>
    <t>BIFC</t>
  </si>
  <si>
    <t>BNICL</t>
  </si>
  <si>
    <t>BPML</t>
  </si>
  <si>
    <t>BRACBANK</t>
  </si>
  <si>
    <t>BSC</t>
  </si>
  <si>
    <t>BSCCL</t>
  </si>
  <si>
    <t>BSRMLTD</t>
  </si>
  <si>
    <t>BSRMSTEEL</t>
  </si>
  <si>
    <t>BXPHARMA</t>
  </si>
  <si>
    <t>BXSYNTH</t>
  </si>
  <si>
    <t>CAPMBDBLMF</t>
  </si>
  <si>
    <t>CAPMIBBLMF</t>
  </si>
  <si>
    <t>CENTRALINS</t>
  </si>
  <si>
    <t>CENTRALPHL</t>
  </si>
  <si>
    <t>CITYBANK</t>
  </si>
  <si>
    <t>CITYGENINS</t>
  </si>
  <si>
    <t>CNATEX</t>
  </si>
  <si>
    <t>CONFIDCEM</t>
  </si>
  <si>
    <t>CONTININS</t>
  </si>
  <si>
    <t>COPPERTECH</t>
  </si>
  <si>
    <t>CRYSTALINS</t>
  </si>
  <si>
    <t>CVOPRL</t>
  </si>
  <si>
    <t>DACCADYE</t>
  </si>
  <si>
    <t>DAFODILCOM</t>
  </si>
  <si>
    <t>DBH</t>
  </si>
  <si>
    <t>DBH1STMF</t>
  </si>
  <si>
    <t>DEBARACEM</t>
  </si>
  <si>
    <t>DEBBDLUGG</t>
  </si>
  <si>
    <t>DEBBDWELD</t>
  </si>
  <si>
    <t>DEBBDZIPP</t>
  </si>
  <si>
    <t>DEBBXDENIM</t>
  </si>
  <si>
    <t>DEBBXFISH</t>
  </si>
  <si>
    <t>DEBBXKNI</t>
  </si>
  <si>
    <t>DEBBXTEX</t>
  </si>
  <si>
    <t>DELTALIFE</t>
  </si>
  <si>
    <t>DELTASPINN</t>
  </si>
  <si>
    <t>DESCO</t>
  </si>
  <si>
    <t>DESHBANDHU</t>
  </si>
  <si>
    <t>DHAKABANK</t>
  </si>
  <si>
    <t>DHAKAINS</t>
  </si>
  <si>
    <t>DOMINAGE</t>
  </si>
  <si>
    <t>DOREENPWR</t>
  </si>
  <si>
    <t>DSHGARME</t>
  </si>
  <si>
    <t>DSSL</t>
  </si>
  <si>
    <t>DULAMIACOT</t>
  </si>
  <si>
    <t>DUTCHBANGL</t>
  </si>
  <si>
    <t>EASTERNINS</t>
  </si>
  <si>
    <t>EASTLAND</t>
  </si>
  <si>
    <t>EASTRNLUB</t>
  </si>
  <si>
    <t>EBL</t>
  </si>
  <si>
    <t>EBL1STMF</t>
  </si>
  <si>
    <t>EBLNRBMF</t>
  </si>
  <si>
    <t>ECABLES</t>
  </si>
  <si>
    <t>EGEN</t>
  </si>
  <si>
    <t>EHL</t>
  </si>
  <si>
    <t>EIL</t>
  </si>
  <si>
    <t>EMERALDOIL</t>
  </si>
  <si>
    <t>ENVOYTEX</t>
  </si>
  <si>
    <t>EPGL</t>
  </si>
  <si>
    <t>ESQUIRENIT</t>
  </si>
  <si>
    <t>ETL</t>
  </si>
  <si>
    <t>EXIM1STMF</t>
  </si>
  <si>
    <t>EXIMBANK</t>
  </si>
  <si>
    <t>FAMILYTEX</t>
  </si>
  <si>
    <t>FARCHEM</t>
  </si>
  <si>
    <t>FAREASTFIN</t>
  </si>
  <si>
    <t>FAREASTLIF</t>
  </si>
  <si>
    <t>FASFIN</t>
  </si>
  <si>
    <t>FBFIF</t>
  </si>
  <si>
    <t>FEDERALINS</t>
  </si>
  <si>
    <t>FEKDIL</t>
  </si>
  <si>
    <t>FINEFOODS</t>
  </si>
  <si>
    <t>FIRSTFIN</t>
  </si>
  <si>
    <t>FIRSTSBANK</t>
  </si>
  <si>
    <t>FORTUNE</t>
  </si>
  <si>
    <t>FUWANGCER</t>
  </si>
  <si>
    <t>FUWANGFOOD</t>
  </si>
  <si>
    <t>GBBPOWER</t>
  </si>
  <si>
    <t>GEMINISEA</t>
  </si>
  <si>
    <t>GENEXIL</t>
  </si>
  <si>
    <t>GENNEXT</t>
  </si>
  <si>
    <t>GHAIL</t>
  </si>
  <si>
    <t>GHCL</t>
  </si>
  <si>
    <t>GLOBALINS</t>
  </si>
  <si>
    <t>GOLDENSON</t>
  </si>
  <si>
    <t>GP</t>
  </si>
  <si>
    <t>GPHISPAT</t>
  </si>
  <si>
    <t>GQBALLPEN</t>
  </si>
  <si>
    <t>GRAMEENS2</t>
  </si>
  <si>
    <t>GREENDELMF</t>
  </si>
  <si>
    <t>GREENDELT</t>
  </si>
  <si>
    <t>GSPFINANCE</t>
  </si>
  <si>
    <t>HAKKANIPUL</t>
  </si>
  <si>
    <t>HEIDELBCEM</t>
  </si>
  <si>
    <t>HFL</t>
  </si>
  <si>
    <t>HRTEX</t>
  </si>
  <si>
    <t>HWAWELLTEX</t>
  </si>
  <si>
    <t>IBBLPBOND</t>
  </si>
  <si>
    <t>IBNSINA</t>
  </si>
  <si>
    <t>IBP</t>
  </si>
  <si>
    <t>ICB</t>
  </si>
  <si>
    <t>ICB3RDNRB</t>
  </si>
  <si>
    <t>ICBAGRANI1</t>
  </si>
  <si>
    <t>ICBAMCL2ND</t>
  </si>
  <si>
    <t>ICBEPMF1S1</t>
  </si>
  <si>
    <t>ICBIBANK</t>
  </si>
  <si>
    <t>ICBSONALI1</t>
  </si>
  <si>
    <t>IDLC</t>
  </si>
  <si>
    <t>IFADAUTOS</t>
  </si>
  <si>
    <t>IFIC</t>
  </si>
  <si>
    <t>IFIC1STMF</t>
  </si>
  <si>
    <t>IFILISLMF1</t>
  </si>
  <si>
    <t>ILFSL</t>
  </si>
  <si>
    <t>IMAMBUTTON</t>
  </si>
  <si>
    <t>INTECH</t>
  </si>
  <si>
    <t>INTRACO</t>
  </si>
  <si>
    <t>IPDC</t>
  </si>
  <si>
    <t>ISLAMIBANK</t>
  </si>
  <si>
    <t>ISLAMICFIN</t>
  </si>
  <si>
    <t>ISLAMIINS</t>
  </si>
  <si>
    <t>ISNLTD</t>
  </si>
  <si>
    <t>ITC</t>
  </si>
  <si>
    <t>JAMUNABANK</t>
  </si>
  <si>
    <t>JAMUNAOIL</t>
  </si>
  <si>
    <t>JANATAINS</t>
  </si>
  <si>
    <t>JMISMDL</t>
  </si>
  <si>
    <t>JUTESPINN</t>
  </si>
  <si>
    <t>KARNAPHULI</t>
  </si>
  <si>
    <t>KAY&amp;QUE</t>
  </si>
  <si>
    <t>KBPPWBIL</t>
  </si>
  <si>
    <t>KDSALTD</t>
  </si>
  <si>
    <t>KEYACOSMET</t>
  </si>
  <si>
    <t>KOHINOOR</t>
  </si>
  <si>
    <t>KPCL</t>
  </si>
  <si>
    <t>KPPL</t>
  </si>
  <si>
    <t>KTL</t>
  </si>
  <si>
    <t>LANKABAFIN</t>
  </si>
  <si>
    <t>LEGACYFOOT</t>
  </si>
  <si>
    <t>LHBL</t>
  </si>
  <si>
    <t>LIBRAINFU</t>
  </si>
  <si>
    <t>LINDEBD</t>
  </si>
  <si>
    <t>LRBDL</t>
  </si>
  <si>
    <t>LRGLOBMF1</t>
  </si>
  <si>
    <t>MAKSONSPIN</t>
  </si>
  <si>
    <t>MALEKSPIN</t>
  </si>
  <si>
    <t>MARICO</t>
  </si>
  <si>
    <t>MATINSPINN</t>
  </si>
  <si>
    <t>MBL1STMF</t>
  </si>
  <si>
    <t>MEGCONMILK</t>
  </si>
  <si>
    <t>MEGHNACEM</t>
  </si>
  <si>
    <t>MEGHNALIFE</t>
  </si>
  <si>
    <t>MEGHNAPET</t>
  </si>
  <si>
    <t>MERCANBANK</t>
  </si>
  <si>
    <t>MERCINS</t>
  </si>
  <si>
    <t>METROSPIN</t>
  </si>
  <si>
    <t>MHSML</t>
  </si>
  <si>
    <t>MICEMENT</t>
  </si>
  <si>
    <t>MIDASFIN</t>
  </si>
  <si>
    <t>MIRACLEIND</t>
  </si>
  <si>
    <t>MIRAKHTER</t>
  </si>
  <si>
    <t>MITHUNKNIT</t>
  </si>
  <si>
    <t>MJLBD</t>
  </si>
  <si>
    <t>MLDYEING</t>
  </si>
  <si>
    <t>MONNOAGML</t>
  </si>
  <si>
    <t>MONNOCERA</t>
  </si>
  <si>
    <t>MPETROLEUM</t>
  </si>
  <si>
    <t>MTB</t>
  </si>
  <si>
    <t>NAHEEACP</t>
  </si>
  <si>
    <t>NATLIFEINS</t>
  </si>
  <si>
    <t>NAVANACNG</t>
  </si>
  <si>
    <t>NBL</t>
  </si>
  <si>
    <t>NCCBANK</t>
  </si>
  <si>
    <t>NCCBLMF1</t>
  </si>
  <si>
    <t>NEWLINE</t>
  </si>
  <si>
    <t>NFML</t>
  </si>
  <si>
    <t>NHFIL</t>
  </si>
  <si>
    <t>NITOLINS</t>
  </si>
  <si>
    <t>NLI1STMF</t>
  </si>
  <si>
    <t>NORTHERN</t>
  </si>
  <si>
    <t>NORTHRNINS</t>
  </si>
  <si>
    <t>NPOLYMAR</t>
  </si>
  <si>
    <t>NRBCBANK</t>
  </si>
  <si>
    <t>NTC</t>
  </si>
  <si>
    <t>NTLTUBES</t>
  </si>
  <si>
    <t>NURANI</t>
  </si>
  <si>
    <t>OAL</t>
  </si>
  <si>
    <t>OIMEX</t>
  </si>
  <si>
    <t>OLYMPIC</t>
  </si>
  <si>
    <t>ONEBANKLTD</t>
  </si>
  <si>
    <t>ORIONINFU</t>
  </si>
  <si>
    <t>ORIONPHARM</t>
  </si>
  <si>
    <t>PADMALIFE</t>
  </si>
  <si>
    <t>PADMAOIL</t>
  </si>
  <si>
    <t>PARAMOUNT</t>
  </si>
  <si>
    <t>PDL</t>
  </si>
  <si>
    <t>PENINSULA</t>
  </si>
  <si>
    <t>PEOPLESINS</t>
  </si>
  <si>
    <t>PF1STMF</t>
  </si>
  <si>
    <t>PHARMAID</t>
  </si>
  <si>
    <t>PHENIXINS</t>
  </si>
  <si>
    <t>PHOENIXFIN</t>
  </si>
  <si>
    <t>PHPMF1</t>
  </si>
  <si>
    <t>PIONEERINS</t>
  </si>
  <si>
    <t>PLFSL</t>
  </si>
  <si>
    <t>POPULAR1MF</t>
  </si>
  <si>
    <t>POPULARLIF</t>
  </si>
  <si>
    <t>POWERGRID</t>
  </si>
  <si>
    <t>PRAGATIINS</t>
  </si>
  <si>
    <t>PRAGATILIF</t>
  </si>
  <si>
    <t>PREMIERBAN</t>
  </si>
  <si>
    <t>PREMIERCEM</t>
  </si>
  <si>
    <t>PREMIERLEA</t>
  </si>
  <si>
    <t>PRIME1ICBA</t>
  </si>
  <si>
    <t>PRIMEBANK</t>
  </si>
  <si>
    <t>PRIMEFIN</t>
  </si>
  <si>
    <t>PRIMEINSUR</t>
  </si>
  <si>
    <t>PRIMELIFE</t>
  </si>
  <si>
    <t>PRIMETEX</t>
  </si>
  <si>
    <t>PROGRESLIF</t>
  </si>
  <si>
    <t>PROVATIINS</t>
  </si>
  <si>
    <t>PTL</t>
  </si>
  <si>
    <t>PUBALIBANK</t>
  </si>
  <si>
    <t>PURABIGEN</t>
  </si>
  <si>
    <t>QUASEMIND</t>
  </si>
  <si>
    <t>QUEENSOUTH</t>
  </si>
  <si>
    <t>RAHIMAFOOD</t>
  </si>
  <si>
    <t>RAHIMTEXT</t>
  </si>
  <si>
    <t>RAKCERAMIC</t>
  </si>
  <si>
    <t>RANFOUNDRY</t>
  </si>
  <si>
    <t>RDFOOD</t>
  </si>
  <si>
    <t>RECKITTBEN</t>
  </si>
  <si>
    <t>REGENTTEX</t>
  </si>
  <si>
    <t>RELIANCE1</t>
  </si>
  <si>
    <t>RELIANCINS</t>
  </si>
  <si>
    <t>RENATA</t>
  </si>
  <si>
    <t>RENWICKJA</t>
  </si>
  <si>
    <t>REPUBLIC</t>
  </si>
  <si>
    <t>RINGSHINE</t>
  </si>
  <si>
    <t>RNSPIN</t>
  </si>
  <si>
    <t>ROBI</t>
  </si>
  <si>
    <t>RSRMSTEEL</t>
  </si>
  <si>
    <t>RUNNERAUTO</t>
  </si>
  <si>
    <t>RUPALIBANK</t>
  </si>
  <si>
    <t>RUPALIINS</t>
  </si>
  <si>
    <t>RUPALILIFE</t>
  </si>
  <si>
    <t>SAFKOSPINN</t>
  </si>
  <si>
    <t>SAIFPOWER</t>
  </si>
  <si>
    <t>SAIHAMCOT</t>
  </si>
  <si>
    <t>SAIHAMTEX</t>
  </si>
  <si>
    <t>SALAMCRST</t>
  </si>
  <si>
    <t>SALVOCHEM</t>
  </si>
  <si>
    <t>SAMATALETH</t>
  </si>
  <si>
    <t>SAMORITA</t>
  </si>
  <si>
    <t>SANDHANINS</t>
  </si>
  <si>
    <t>SAPORTL</t>
  </si>
  <si>
    <t>SAVAREFR</t>
  </si>
  <si>
    <t>SEAPEARL</t>
  </si>
  <si>
    <t>SEBL1STMF</t>
  </si>
  <si>
    <t>SEMLFBSLGF</t>
  </si>
  <si>
    <t>SEMLIBBLSF</t>
  </si>
  <si>
    <t>SEMLLECMF</t>
  </si>
  <si>
    <t>SHAHJABANK</t>
  </si>
  <si>
    <t>SHASHADNIM</t>
  </si>
  <si>
    <t>SHEPHERD</t>
  </si>
  <si>
    <t>SHURWID</t>
  </si>
  <si>
    <t>SHYAMPSUG</t>
  </si>
  <si>
    <t>SIBL</t>
  </si>
  <si>
    <t>SILCOPHL</t>
  </si>
  <si>
    <t>SILVAPHL</t>
  </si>
  <si>
    <t>SIMTEX</t>
  </si>
  <si>
    <t>SINGERBD</t>
  </si>
  <si>
    <t>SINOBANGLA</t>
  </si>
  <si>
    <t>SKTRIMS</t>
  </si>
  <si>
    <t>SONALIANSH</t>
  </si>
  <si>
    <t>SONALIPAPR</t>
  </si>
  <si>
    <t>SONARBAINS</t>
  </si>
  <si>
    <t>SONARGAON</t>
  </si>
  <si>
    <t>SOUTHEASTB</t>
  </si>
  <si>
    <t>SPCERAMICS</t>
  </si>
  <si>
    <t>SPCL</t>
  </si>
  <si>
    <t>SQUARETEXT</t>
  </si>
  <si>
    <t>SQURPHARMA</t>
  </si>
  <si>
    <t>SSSTEEL</t>
  </si>
  <si>
    <t>STANCERAM</t>
  </si>
  <si>
    <t>STANDARINS</t>
  </si>
  <si>
    <t>STANDBANKL</t>
  </si>
  <si>
    <t>STYLECRAFT</t>
  </si>
  <si>
    <t>SUMITPOWER</t>
  </si>
  <si>
    <t>SUNLIFEINS</t>
  </si>
  <si>
    <t>T05Y0715</t>
  </si>
  <si>
    <t>T05Y0815</t>
  </si>
  <si>
    <t>T10Y0117</t>
  </si>
  <si>
    <t>T10Y0118</t>
  </si>
  <si>
    <t>T10Y0119</t>
  </si>
  <si>
    <t>T10Y0121</t>
  </si>
  <si>
    <t>T10Y0214</t>
  </si>
  <si>
    <t>T10Y0215</t>
  </si>
  <si>
    <t>T10Y0216</t>
  </si>
  <si>
    <t>T10Y0217</t>
  </si>
  <si>
    <t>T10Y0218</t>
  </si>
  <si>
    <t>T10Y0219</t>
  </si>
  <si>
    <t>T10Y0220</t>
  </si>
  <si>
    <t>T10Y0221</t>
  </si>
  <si>
    <t>T10Y0317</t>
  </si>
  <si>
    <t>T10Y0318</t>
  </si>
  <si>
    <t>T10Y0319</t>
  </si>
  <si>
    <t>T10Y0320</t>
  </si>
  <si>
    <t>T10Y0321</t>
  </si>
  <si>
    <t>T10Y0414</t>
  </si>
  <si>
    <t>T10Y0415</t>
  </si>
  <si>
    <t>T10Y0416</t>
  </si>
  <si>
    <t>T10Y0418</t>
  </si>
  <si>
    <t>T10Y0419</t>
  </si>
  <si>
    <t>T10Y0420</t>
  </si>
  <si>
    <t>T10Y0421</t>
  </si>
  <si>
    <t>T10Y0517</t>
  </si>
  <si>
    <t>T10Y0518</t>
  </si>
  <si>
    <t>T10Y0519</t>
  </si>
  <si>
    <t>T10Y0520</t>
  </si>
  <si>
    <t>T10Y0521</t>
  </si>
  <si>
    <t>T10Y0614</t>
  </si>
  <si>
    <t>T10Y0615</t>
  </si>
  <si>
    <t>T10Y0616</t>
  </si>
  <si>
    <t>T10Y0617</t>
  </si>
  <si>
    <t>T10Y0618</t>
  </si>
  <si>
    <t>T10Y0619</t>
  </si>
  <si>
    <t>T10Y0620</t>
  </si>
  <si>
    <t>T10Y0621</t>
  </si>
  <si>
    <t>T10Y0717</t>
  </si>
  <si>
    <t>T10Y0718</t>
  </si>
  <si>
    <t>T10Y0719</t>
  </si>
  <si>
    <t>T10Y0720</t>
  </si>
  <si>
    <t>T10Y0721</t>
  </si>
  <si>
    <t>T10Y0814</t>
  </si>
  <si>
    <t>T10Y0816</t>
  </si>
  <si>
    <t>T10Y0817</t>
  </si>
  <si>
    <t>T10Y0818</t>
  </si>
  <si>
    <t>T10Y0819</t>
  </si>
  <si>
    <t>T10Y0820</t>
  </si>
  <si>
    <t>T10Y0821</t>
  </si>
  <si>
    <t>T10Y0916</t>
  </si>
  <si>
    <t>T10Y0917</t>
  </si>
  <si>
    <t>T10Y0918</t>
  </si>
  <si>
    <t>T10Y0919</t>
  </si>
  <si>
    <t>T10Y0920</t>
  </si>
  <si>
    <t>T10Y0921</t>
  </si>
  <si>
    <t>T10Y1014</t>
  </si>
  <si>
    <t>T10Y1016</t>
  </si>
  <si>
    <t>T10Y1017</t>
  </si>
  <si>
    <t>T10Y1018</t>
  </si>
  <si>
    <t>T10Y1019</t>
  </si>
  <si>
    <t>T10Y1116</t>
  </si>
  <si>
    <t>T10Y1117</t>
  </si>
  <si>
    <t>T10Y1118</t>
  </si>
  <si>
    <t>T10Y1120</t>
  </si>
  <si>
    <t>T10Y1213</t>
  </si>
  <si>
    <t>T10Y1214</t>
  </si>
  <si>
    <t>T10Y1215</t>
  </si>
  <si>
    <t>T10Y1216</t>
  </si>
  <si>
    <t>T10Y1217</t>
  </si>
  <si>
    <t>T10Y1218</t>
  </si>
  <si>
    <t>T10Y1219</t>
  </si>
  <si>
    <t>T10Y1220</t>
  </si>
  <si>
    <t>T15Y0123</t>
  </si>
  <si>
    <t>T15Y0124</t>
  </si>
  <si>
    <t>T15Y0125</t>
  </si>
  <si>
    <t>T15Y0223</t>
  </si>
  <si>
    <t>T15Y0224</t>
  </si>
  <si>
    <t>T15Y0225</t>
  </si>
  <si>
    <t>T15Y0226</t>
  </si>
  <si>
    <t>T15Y0323</t>
  </si>
  <si>
    <t>T15Y0324</t>
  </si>
  <si>
    <t>T15Y0325</t>
  </si>
  <si>
    <t>T15Y0326</t>
  </si>
  <si>
    <t>T15Y0423</t>
  </si>
  <si>
    <t>T15Y0424</t>
  </si>
  <si>
    <t>T15Y0425</t>
  </si>
  <si>
    <t>T15Y0426</t>
  </si>
  <si>
    <t>T15Y0523</t>
  </si>
  <si>
    <t>T15Y0524</t>
  </si>
  <si>
    <t>T15Y0525</t>
  </si>
  <si>
    <t>T15Y0526</t>
  </si>
  <si>
    <t>T15Y0623</t>
  </si>
  <si>
    <t>T15Y0624</t>
  </si>
  <si>
    <t>T15Y0625</t>
  </si>
  <si>
    <t>T15Y0626</t>
  </si>
  <si>
    <t>T15Y0722</t>
  </si>
  <si>
    <t>T15Y0723</t>
  </si>
  <si>
    <t>T15Y0724</t>
  </si>
  <si>
    <t>T15Y0725</t>
  </si>
  <si>
    <t>T15Y0822</t>
  </si>
  <si>
    <t>T15Y0823</t>
  </si>
  <si>
    <t>T15Y0824</t>
  </si>
  <si>
    <t>T15Y0825</t>
  </si>
  <si>
    <t>T15Y0826</t>
  </si>
  <si>
    <t>T15Y0922</t>
  </si>
  <si>
    <t>T15Y0923</t>
  </si>
  <si>
    <t>T15Y0924</t>
  </si>
  <si>
    <t>T15Y0925</t>
  </si>
  <si>
    <t>T15Y0926</t>
  </si>
  <si>
    <t>T15Y1022</t>
  </si>
  <si>
    <t>T15Y1023</t>
  </si>
  <si>
    <t>T15Y1024</t>
  </si>
  <si>
    <t>T15Y1025</t>
  </si>
  <si>
    <t>T15Y1122</t>
  </si>
  <si>
    <t>T15Y1123</t>
  </si>
  <si>
    <t>T15Y1125</t>
  </si>
  <si>
    <t>T15Y1222</t>
  </si>
  <si>
    <t>T15Y1223</t>
  </si>
  <si>
    <t>T15Y1224</t>
  </si>
  <si>
    <t>T15Y1225</t>
  </si>
  <si>
    <t>T20Y0128</t>
  </si>
  <si>
    <t>T20Y0129</t>
  </si>
  <si>
    <t>T20Y0131</t>
  </si>
  <si>
    <t>T20Y0228</t>
  </si>
  <si>
    <t>T20Y0229</t>
  </si>
  <si>
    <t>T20Y0230</t>
  </si>
  <si>
    <t>T20Y0231</t>
  </si>
  <si>
    <t>T20Y0328</t>
  </si>
  <si>
    <t>T20Y0329</t>
  </si>
  <si>
    <t>T20Y0330</t>
  </si>
  <si>
    <t>T20Y0428</t>
  </si>
  <si>
    <t>T20Y0429</t>
  </si>
  <si>
    <t>T20Y0430</t>
  </si>
  <si>
    <t>T20Y0431</t>
  </si>
  <si>
    <t>T20Y0528</t>
  </si>
  <si>
    <t>T20Y0530</t>
  </si>
  <si>
    <t>T20Y0531</t>
  </si>
  <si>
    <t>T20Y0628</t>
  </si>
  <si>
    <t>T20Y0629</t>
  </si>
  <si>
    <t>T20Y0630</t>
  </si>
  <si>
    <t>T20Y0631</t>
  </si>
  <si>
    <t>T20Y0727</t>
  </si>
  <si>
    <t>T20Y0728</t>
  </si>
  <si>
    <t>T20Y0729</t>
  </si>
  <si>
    <t>T20Y0730</t>
  </si>
  <si>
    <t>T20Y0731</t>
  </si>
  <si>
    <t>T20Y0827</t>
  </si>
  <si>
    <t>T20Y0828</t>
  </si>
  <si>
    <t>T20Y0829</t>
  </si>
  <si>
    <t>T20Y0830</t>
  </si>
  <si>
    <t>T20Y0831</t>
  </si>
  <si>
    <t>T20Y0927</t>
  </si>
  <si>
    <t>T20Y0928</t>
  </si>
  <si>
    <t>T20Y0930</t>
  </si>
  <si>
    <t>T20Y0931</t>
  </si>
  <si>
    <t>T20Y1027</t>
  </si>
  <si>
    <t>T20Y1028</t>
  </si>
  <si>
    <t>T20Y1029</t>
  </si>
  <si>
    <t>T20Y1030</t>
  </si>
  <si>
    <t>T20Y1127</t>
  </si>
  <si>
    <t>T20Y1128</t>
  </si>
  <si>
    <t>T20Y1130</t>
  </si>
  <si>
    <t>T20Y1227</t>
  </si>
  <si>
    <t>T20Y1228</t>
  </si>
  <si>
    <t>T20Y1229</t>
  </si>
  <si>
    <t>T20Y1230</t>
  </si>
  <si>
    <t>T5Y0112</t>
  </si>
  <si>
    <t>T5Y0113</t>
  </si>
  <si>
    <t>T5Y0114</t>
  </si>
  <si>
    <t>T5Y0115</t>
  </si>
  <si>
    <t>T5Y0116</t>
  </si>
  <si>
    <t>T5Y0212</t>
  </si>
  <si>
    <t>T5Y0213</t>
  </si>
  <si>
    <t>T5Y0214</t>
  </si>
  <si>
    <t>T5Y0215</t>
  </si>
  <si>
    <t>T5Y0216</t>
  </si>
  <si>
    <t>T5Y0313</t>
  </si>
  <si>
    <t>T5Y0314</t>
  </si>
  <si>
    <t>T5Y0315</t>
  </si>
  <si>
    <t>T5Y0316</t>
  </si>
  <si>
    <t>T5Y0412</t>
  </si>
  <si>
    <t>T5Y0414</t>
  </si>
  <si>
    <t>T5Y0415</t>
  </si>
  <si>
    <t>T5Y0416</t>
  </si>
  <si>
    <t>T5Y0514</t>
  </si>
  <si>
    <t>T5Y0516</t>
  </si>
  <si>
    <t>T5Y0613</t>
  </si>
  <si>
    <t>T5Y0615</t>
  </si>
  <si>
    <t>T5Y0616</t>
  </si>
  <si>
    <t>T5Y0712</t>
  </si>
  <si>
    <t>T5Y0713</t>
  </si>
  <si>
    <t>T5Y0714</t>
  </si>
  <si>
    <t>T5Y0716</t>
  </si>
  <si>
    <t>T5Y0811</t>
  </si>
  <si>
    <t>T5Y0812</t>
  </si>
  <si>
    <t>T5Y0813</t>
  </si>
  <si>
    <t>T5Y0814</t>
  </si>
  <si>
    <t>T5Y0816</t>
  </si>
  <si>
    <t>T5Y0911</t>
  </si>
  <si>
    <t>T5Y0912</t>
  </si>
  <si>
    <t>T5Y0913</t>
  </si>
  <si>
    <t>T5Y0914</t>
  </si>
  <si>
    <t>T5Y0915</t>
  </si>
  <si>
    <t>T5Y0916</t>
  </si>
  <si>
    <t>T5Y1011</t>
  </si>
  <si>
    <t>T5Y1012</t>
  </si>
  <si>
    <t>T5Y1013</t>
  </si>
  <si>
    <t>T5Y1014</t>
  </si>
  <si>
    <t>T5Y1015</t>
  </si>
  <si>
    <t>T5Y1111</t>
  </si>
  <si>
    <t>T5Y1112</t>
  </si>
  <si>
    <t>T5Y1113</t>
  </si>
  <si>
    <t>T5Y1114</t>
  </si>
  <si>
    <t>T5Y1115</t>
  </si>
  <si>
    <t>T5Y1211</t>
  </si>
  <si>
    <t>T5Y1212</t>
  </si>
  <si>
    <t>T5Y1213</t>
  </si>
  <si>
    <t>T5Y1214</t>
  </si>
  <si>
    <t>T5Y1215</t>
  </si>
  <si>
    <t>TAKAFULINS</t>
  </si>
  <si>
    <t>TALLUSPIN</t>
  </si>
  <si>
    <t>TAUFIKA</t>
  </si>
  <si>
    <t>TITASGAS</t>
  </si>
  <si>
    <t>TOSRIFA</t>
  </si>
  <si>
    <t>TRUSTB1MF</t>
  </si>
  <si>
    <t>TRUSTBANK</t>
  </si>
  <si>
    <t>TUNGHAI</t>
  </si>
  <si>
    <t>UCB</t>
  </si>
  <si>
    <t>UNILEVERCL</t>
  </si>
  <si>
    <t>UNIONCAP</t>
  </si>
  <si>
    <t>UNIQUEHRL</t>
  </si>
  <si>
    <t>UNITEDFIN</t>
  </si>
  <si>
    <t>UNITEDINS</t>
  </si>
  <si>
    <t>UPGDCL</t>
  </si>
  <si>
    <t>USMANIAGL</t>
  </si>
  <si>
    <t>UTTARABANK</t>
  </si>
  <si>
    <t>UTTARAFIN</t>
  </si>
  <si>
    <t>VAMLBDMF1</t>
  </si>
  <si>
    <t>VAMLRBBF</t>
  </si>
  <si>
    <t>VFSTDL</t>
  </si>
  <si>
    <t>WALTONHIL</t>
  </si>
  <si>
    <t>WATACHEM</t>
  </si>
  <si>
    <t>WMSHIPYARD</t>
  </si>
  <si>
    <t>YPL</t>
  </si>
  <si>
    <t>ZAHEENSPIN</t>
  </si>
  <si>
    <t>ZAHINTEX</t>
  </si>
  <si>
    <t>ZEALBANGLA</t>
  </si>
  <si>
    <t>1JANATAMF</t>
  </si>
  <si>
    <t>1STPRIMFMF</t>
  </si>
  <si>
    <t> Company's Name</t>
  </si>
  <si>
    <t> Company's Code</t>
  </si>
  <si>
    <t>Company_Name</t>
  </si>
  <si>
    <t>Low</t>
  </si>
  <si>
    <t>High</t>
  </si>
  <si>
    <t>Day Range</t>
  </si>
  <si>
    <t>Green Delta Mutual Fund</t>
  </si>
  <si>
    <t>Lub-rref (Bangladesh) Limited</t>
  </si>
  <si>
    <t>Current_PP</t>
  </si>
  <si>
    <t>YesterDay CPP</t>
  </si>
  <si>
    <t>Last UD</t>
  </si>
  <si>
    <t>Last UT</t>
  </si>
  <si>
    <t>Bying PP</t>
  </si>
  <si>
    <t>Quantity</t>
  </si>
  <si>
    <t>Deviation</t>
  </si>
  <si>
    <t>Gain/Loss</t>
  </si>
  <si>
    <t>Trend</t>
  </si>
  <si>
    <t>ACI Limited</t>
  </si>
  <si>
    <t>ACI Formulations Limited</t>
  </si>
  <si>
    <t>The ACME Laboratories Limited</t>
  </si>
  <si>
    <t>AB Bank 1st Mutual fund</t>
  </si>
  <si>
    <t>Coppertech Industries Limited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</si>
</sst>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\ %;[Red]\-0.0\ %"/>
    <numFmt numFmtId="165" formatCode="0;[Red]\-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/>
      <top/>
      <bottom style="thin">
        <color rgb="FF7F7F7F"/>
      </bottom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7" fillId="6" borderId="4" applyNumberFormat="0" applyFont="0" applyAlignment="0" applyProtection="0"/>
    <xf numFmtId="9" fontId="7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1" fillId="3" borderId="1" xfId="1" applyFont="1" applyFill="1"/>
    <xf numFmtId="0" fontId="1" fillId="3" borderId="3" xfId="1" applyFont="1" applyFill="1" applyBorder="1"/>
    <xf numFmtId="0" fontId="4" fillId="5" borderId="1" xfId="1" applyFont="1" applyFill="1"/>
    <xf numFmtId="0" fontId="5" fillId="5" borderId="1" xfId="1" applyFont="1" applyFill="1"/>
    <xf numFmtId="0" fontId="6" fillId="0" borderId="0" xfId="0" applyFont="1"/>
    <xf numFmtId="18" fontId="0" fillId="6" borderId="4" xfId="2" applyNumberFormat="1" applyFont="1"/>
    <xf numFmtId="0" fontId="5" fillId="7" borderId="4" xfId="2" applyFont="1" applyFill="1"/>
    <xf numFmtId="15" fontId="0" fillId="6" borderId="4" xfId="2" applyNumberFormat="1" applyFont="1"/>
    <xf numFmtId="0" fontId="1" fillId="3" borderId="2" xfId="1" applyFont="1" applyFill="1" applyBorder="1"/>
    <xf numFmtId="0" fontId="0" fillId="0" borderId="0" xfId="0" applyFill="1"/>
    <xf numFmtId="0" fontId="8" fillId="0" borderId="0" xfId="0" applyFont="1" applyFill="1" applyAlignment="1">
      <alignment horizontal="left"/>
    </xf>
    <xf numFmtId="0" fontId="1" fillId="3" borderId="5" xfId="1" applyFont="1" applyFill="1" applyBorder="1"/>
    <xf numFmtId="0" fontId="4" fillId="0" borderId="2" xfId="0" applyFont="1" applyBorder="1"/>
    <xf numFmtId="164" fontId="4" fillId="0" borderId="2" xfId="0" applyNumberFormat="1" applyFont="1" applyBorder="1"/>
    <xf numFmtId="165" fontId="5" fillId="0" borderId="2" xfId="0" applyNumberFormat="1" applyFont="1" applyBorder="1"/>
    <xf numFmtId="0" fontId="5" fillId="0" borderId="2" xfId="0" applyFont="1" applyBorder="1"/>
    <xf numFmtId="0" fontId="1" fillId="8" borderId="2" xfId="1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/>
    </xf>
    <xf numFmtId="9" fontId="0" fillId="0" borderId="0" xfId="3" applyFont="1"/>
  </cellXfs>
  <cellStyles count="4">
    <cellStyle name="Calculation" xfId="1" builtinId="22"/>
    <cellStyle name="Normal" xfId="0" builtinId="0"/>
    <cellStyle name="Note" xfId="2" builtinId="10"/>
    <cellStyle name="Percent" xfId="3" builtinId="5"/>
  </cellStyles>
  <dxfs count="0"/>
  <tableStyles count="0" defaultTableStyle="TableStyleMedium2" defaultPivotStyle="PivotStyleLight16"/>
  <colors>
    <mruColors>
      <color rgb="FFE4E4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38100</xdr:rowOff>
        </xdr:from>
        <xdr:to>
          <xdr:col>1</xdr:col>
          <xdr:colOff>809625</xdr:colOff>
          <xdr:row>1</xdr:row>
          <xdr:rowOff>180975</xdr:rowOff>
        </xdr:to>
        <xdr:sp macro="" textlink="">
          <xdr:nvSpPr>
            <xdr:cNvPr id="1029" name="ComboBox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809625</xdr:colOff>
          <xdr:row>0</xdr:row>
          <xdr:rowOff>28575</xdr:rowOff>
        </xdr:from>
        <xdr:to>
          <xdr:col>2</xdr:col>
          <xdr:colOff>428625</xdr:colOff>
          <xdr:row>1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838200</xdr:colOff>
          <xdr:row>0</xdr:row>
          <xdr:rowOff>28575</xdr:rowOff>
        </xdr:from>
        <xdr:to>
          <xdr:col>5</xdr:col>
          <xdr:colOff>0</xdr:colOff>
          <xdr:row>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Live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3</xdr:row>
          <xdr:rowOff>114300</xdr:rowOff>
        </xdr:from>
        <xdr:to>
          <xdr:col>6</xdr:col>
          <xdr:colOff>0</xdr:colOff>
          <xdr:row>4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ctrlProp" Target="../ctrlProps/ctrlProp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6"/>
  <sheetViews>
    <sheetView showGridLines="0" tabSelected="1" workbookViewId="0">
      <selection activeCell="M13" sqref="M13"/>
    </sheetView>
  </sheetViews>
  <sheetFormatPr defaultRowHeight="15" x14ac:dyDescent="0.25"/>
  <cols>
    <col min="1" max="1" width="16.140625" style="1" customWidth="1"/>
    <col min="2" max="2" width="17.5703125" customWidth="1"/>
    <col min="3" max="3" width="12.7109375" style="1" customWidth="1"/>
    <col min="6" max="6" width="13.42578125" customWidth="1"/>
    <col min="8" max="8" width="11.7109375" customWidth="1"/>
    <col min="10" max="10" width="9.5703125" bestFit="1" customWidth="1"/>
    <col min="11" max="11" width="9.7109375" style="1" bestFit="1" customWidth="1"/>
    <col min="13" max="13" width="9.5703125" bestFit="1" customWidth="1"/>
  </cols>
  <sheetData>
    <row r="1" spans="1:13" x14ac:dyDescent="0.25">
      <c r="A1" s="6"/>
      <c r="G1" s="8" t="s">
        <v>1214</v>
      </c>
      <c r="H1" s="9">
        <v>44280</v>
      </c>
      <c r="K1"/>
    </row>
    <row r="2" spans="1:13" x14ac:dyDescent="0.25">
      <c r="G2" s="8" t="s">
        <v>1215</v>
      </c>
      <c r="H2" s="7">
        <v>0.65625</v>
      </c>
      <c r="K2"/>
      <c r="M2" s="20"/>
    </row>
    <row r="3" spans="1:13" x14ac:dyDescent="0.25">
      <c r="J3" s="11"/>
      <c r="K3" s="11"/>
    </row>
    <row r="4" spans="1:13" x14ac:dyDescent="0.25">
      <c r="K4"/>
    </row>
    <row r="5" spans="1:13" x14ac:dyDescent="0.25">
      <c r="D5" s="19" t="s">
        <v>1209</v>
      </c>
      <c r="E5" s="19"/>
      <c r="K5"/>
    </row>
    <row r="6" spans="1:13" x14ac:dyDescent="0.25">
      <c r="A6" s="2" t="s">
        <v>605</v>
      </c>
      <c r="B6" s="2" t="s">
        <v>1206</v>
      </c>
      <c r="C6" s="2" t="s">
        <v>1212</v>
      </c>
      <c r="D6" s="3" t="s">
        <v>1207</v>
      </c>
      <c r="E6" s="3" t="s">
        <v>1208</v>
      </c>
      <c r="F6" s="13" t="s">
        <v>1213</v>
      </c>
      <c r="G6" s="18" t="s">
        <v>1220</v>
      </c>
      <c r="H6" s="10" t="s">
        <v>1216</v>
      </c>
      <c r="I6" s="10" t="s">
        <v>1217</v>
      </c>
      <c r="J6" s="10" t="s">
        <v>1218</v>
      </c>
      <c r="K6" s="10" t="s">
        <v>1219</v>
      </c>
    </row>
    <row r="7" spans="1:13" x14ac:dyDescent="0.25">
      <c r="A7" s="5" t="s">
        <v>753</v>
      </c>
      <c r="B7" s="4" t="s">
        <v>1210</v>
      </c>
      <c r="C7" s="5">
        <v>6.5</v>
      </c>
      <c r="D7" s="4">
        <v>6.5</v>
      </c>
      <c r="E7" s="4">
        <v>6.7</v>
      </c>
      <c r="F7" s="4">
        <v>6.6</v>
      </c>
      <c r="G7" s="12">
        <v>-9.9999999999999645E-2</v>
      </c>
      <c r="H7" s="14">
        <v>7.8</v>
      </c>
      <c r="I7" s="14">
        <v>5000</v>
      </c>
      <c r="J7" s="15">
        <f>IF(H7&lt;&gt;"",(C7-H7)/H7,"")</f>
        <v>-0.16666666666666666</v>
      </c>
      <c r="K7" s="16">
        <f>IF(I7&lt;&gt;"",((C7*I7)-(I7*C7*0.004)-(H7*I7)-(I7*H7*0.004)),"")</f>
        <v>-6786</v>
      </c>
      <c r="M7" s="20"/>
    </row>
    <row r="8" spans="1:13" x14ac:dyDescent="0.25">
      <c r="A8" s="5" t="s">
        <v>805</v>
      </c>
      <c r="B8" s="4" t="s">
        <v>1211</v>
      </c>
      <c r="C8" s="5">
        <v>37.799999999999997</v>
      </c>
      <c r="D8" s="4">
        <v>36.200000000000003</v>
      </c>
      <c r="E8" s="4">
        <v>38.799999999999997</v>
      </c>
      <c r="F8" s="4">
        <v>36.799999999999997</v>
      </c>
      <c r="G8" s="12">
        <v>1</v>
      </c>
      <c r="H8" s="14">
        <v>39.799999999999997</v>
      </c>
      <c r="I8" s="14">
        <v>250</v>
      </c>
      <c r="J8" s="15">
        <f>IF(H8&lt;&gt;"",(C8-H8)/H8,"")</f>
        <v>-5.0251256281407038E-2</v>
      </c>
      <c r="K8" s="16">
        <f>IF(I8&lt;&gt;"",((C8*I8)-(I8*C8*0.004)-(H8*I8)-(I8*H8*0.004)),"")</f>
        <v>-577.59999999999923</v>
      </c>
    </row>
    <row r="9" spans="1:13" x14ac:dyDescent="0.25">
      <c r="A9" s="5" t="s">
        <v>608</v>
      </c>
      <c r="B9" s="4" t="s">
        <v>1221</v>
      </c>
      <c r="C9" s="5">
        <v>243.4</v>
      </c>
      <c r="D9" s="4">
        <v>242.2</v>
      </c>
      <c r="E9" s="4">
        <v>245.5</v>
      </c>
      <c r="F9" s="4">
        <v>242.6</v>
      </c>
      <c r="G9" s="12">
        <v>0.80000000000001137</v>
      </c>
      <c r="H9" s="14"/>
      <c r="I9" s="14"/>
      <c r="J9" s="15" t="str">
        <f>IF(H9&lt;&gt;"",(C9-H9)/H9,"")</f>
        <v/>
      </c>
      <c r="K9" s="16" t="str">
        <f>IF(I9&lt;&gt;"",((C9*I9)-(I9*C9*0.004)-(H9*I9)-(I9*H9*0.004)),"")</f>
        <v/>
      </c>
    </row>
    <row r="10" spans="1:13" x14ac:dyDescent="0.25">
      <c r="A10" s="5" t="s">
        <v>609</v>
      </c>
      <c r="B10" s="4" t="s">
        <v>1222</v>
      </c>
      <c r="C10" s="5">
        <v>116.3</v>
      </c>
      <c r="D10" s="4">
        <v>116.1</v>
      </c>
      <c r="E10" s="4">
        <v>116.3</v>
      </c>
      <c r="F10" s="4">
        <v>116</v>
      </c>
      <c r="G10" s="12">
        <v>0.29999999999999716</v>
      </c>
      <c r="H10" s="14"/>
      <c r="I10" s="14"/>
      <c r="J10" s="15" t="str">
        <f>IF(H10&lt;&gt;"",(C10-H10)/H10,"")</f>
        <v/>
      </c>
      <c r="K10" s="16" t="str">
        <f>IF(I10&lt;&gt;"",((C10*I10)-(I10*C10*0.004)-(H10*I10)-(I10*H10*0.004)),"")</f>
        <v/>
      </c>
    </row>
    <row r="11" spans="1:13" x14ac:dyDescent="0.25">
      <c r="A11" s="5" t="s">
        <v>610</v>
      </c>
      <c r="B11" s="4" t="s">
        <v>1223</v>
      </c>
      <c r="C11" s="5">
        <v>68</v>
      </c>
      <c r="D11" s="4">
        <v>66.900000000000006</v>
      </c>
      <c r="E11" s="4">
        <v>68</v>
      </c>
      <c r="F11" s="4">
        <v>67</v>
      </c>
      <c r="G11" s="12">
        <v>1</v>
      </c>
      <c r="H11" s="14"/>
      <c r="I11" s="14"/>
      <c r="J11" s="15" t="str">
        <f>IF(H11&lt;&gt;"",(C11-H11)/H11,"")</f>
        <v/>
      </c>
      <c r="K11" s="16" t="str">
        <f>IF(I11&lt;&gt;"",((C11*I11)-(I11*C11*0.004)-(H11*I11)-(I11*H11*0.004)),"")</f>
        <v/>
      </c>
    </row>
    <row r="12" spans="1:13" x14ac:dyDescent="0.25">
      <c r="A12" s="5" t="s">
        <v>605</v>
      </c>
      <c r="B12" s="4" t="s">
        <v>1224</v>
      </c>
      <c r="C12" s="5">
        <v>5.0999999999999996</v>
      </c>
      <c r="D12" s="4">
        <v>5</v>
      </c>
      <c r="E12" s="4">
        <v>5.2</v>
      </c>
      <c r="F12" s="4">
        <v>5.0999999999999996</v>
      </c>
      <c r="G12" s="12">
        <v>0</v>
      </c>
      <c r="H12" s="14"/>
      <c r="I12" s="14"/>
      <c r="J12" s="15" t="str">
        <f>IF(H12&lt;&gt;"",(C12-H12)/H12,"")</f>
        <v/>
      </c>
      <c r="K12" s="16" t="str">
        <f>IF(I12&lt;&gt;"",((C12*I12)-(I12*C12*0.004)-(H12*I12)-(I12*H12*0.004)),"")</f>
        <v/>
      </c>
    </row>
    <row r="13" spans="1:13" x14ac:dyDescent="0.25">
      <c r="A13" s="5" t="s">
        <v>683</v>
      </c>
      <c r="B13" s="4" t="s">
        <v>1225</v>
      </c>
      <c r="C13" s="5">
        <v>20.7</v>
      </c>
      <c r="D13" s="4">
        <v>20.7</v>
      </c>
      <c r="E13" s="4">
        <v>20.7</v>
      </c>
      <c r="F13" s="4">
        <v>20.7</v>
      </c>
      <c r="G13" s="12">
        <v>0</v>
      </c>
      <c r="H13" s="14"/>
      <c r="I13" s="14"/>
      <c r="J13" s="15" t="str">
        <f>IF(H13&lt;&gt;"",(C13-H13)/H13,"")</f>
        <v/>
      </c>
      <c r="K13" s="16" t="str">
        <f>IF(I13&lt;&gt;"",((C13*I13)-(I13*C13*0.004)-(H13*I13)-(I13*H13*0.004)),"")</f>
        <v/>
      </c>
    </row>
    <row r="14" spans="1:13" x14ac:dyDescent="0.25">
      <c r="A14" s="5"/>
      <c r="B14" s="4"/>
      <c r="C14" s="5"/>
      <c r="D14" s="4"/>
      <c r="E14" s="4"/>
      <c r="F14" s="4"/>
      <c r="G14" s="12"/>
      <c r="H14" s="14"/>
      <c r="I14" s="14"/>
      <c r="J14" s="15"/>
      <c r="K14" s="17"/>
    </row>
    <row r="15" spans="1:13" x14ac:dyDescent="0.25">
      <c r="A15" s="5"/>
      <c r="B15" s="4"/>
      <c r="C15" s="5"/>
      <c r="D15" s="4"/>
      <c r="E15" s="4"/>
      <c r="F15" s="4"/>
      <c r="G15" s="12"/>
      <c r="H15" s="14"/>
      <c r="I15" s="14"/>
      <c r="J15" s="15"/>
      <c r="K15" s="17"/>
    </row>
    <row r="16" spans="1:13" x14ac:dyDescent="0.25">
      <c r="A16" s="5"/>
      <c r="B16" s="4"/>
      <c r="C16" s="5"/>
      <c r="D16" s="4"/>
      <c r="E16" s="4"/>
      <c r="F16" s="4"/>
      <c r="G16" s="12"/>
      <c r="H16" s="14"/>
      <c r="I16" s="14"/>
      <c r="J16" s="15"/>
      <c r="K16" s="17"/>
    </row>
  </sheetData>
  <dataConsolidate/>
  <mergeCells count="1">
    <mergeCell ref="D5:E5"/>
  </mergeCells>
  <conditionalFormatting sqref="L7:L15">
    <cfRule type="iconSet" priority="4">
      <iconSet iconSet="3Arrows">
        <cfvo type="percent" val="0"/>
        <cfvo type="percent" val="33"/>
        <cfvo type="percent" val="67"/>
      </iconSet>
    </cfRule>
  </conditionalFormatting>
  <conditionalFormatting sqref="G7:G20">
    <cfRule type="iconSet" priority="3">
      <iconSet iconSet="3Arrows">
        <cfvo type="percent" val="0"/>
        <cfvo type="num" val="0"/>
        <cfvo type="num" val="0"/>
      </iconSet>
    </cfRule>
  </conditionalFormatting>
  <conditionalFormatting sqref="L16">
    <cfRule type="iconSet" priority="5">
      <iconSet iconSet="3Arrows">
        <cfvo type="percent" val="0"/>
        <cfvo type="percent" val="33"/>
        <cfvo type="percent" val="67"/>
      </iconSet>
    </cfRule>
  </conditionalFormatting>
  <conditionalFormatting sqref="G16">
    <cfRule type="iconSet" priority="6">
      <iconSet iconSet="3Arrows">
        <cfvo type="percent" val="0"/>
        <cfvo type="num" val="0"/>
        <cfvo type="num" val="0"/>
      </iconSet>
    </cfRule>
  </conditionalFormatting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029" r:id="rId3" name="ComboBox1">
          <controlPr defaultSize="0" print="0" autoLine="0" linkedCell="A1" listFillRange="DropDownList" r:id="rId4">
            <anchor moveWithCells="1">
              <from>
                <xdr:col>0</xdr:col>
                <xdr:colOff>9525</xdr:colOff>
                <xdr:row>0</xdr:row>
                <xdr:rowOff>38100</xdr:rowOff>
              </from>
              <to>
                <xdr:col>1</xdr:col>
                <xdr:colOff>809625</xdr:colOff>
                <xdr:row>1</xdr:row>
                <xdr:rowOff>180975</xdr:rowOff>
              </to>
            </anchor>
          </controlPr>
        </control>
      </mc:Choice>
      <mc:Fallback>
        <control shapeId="1029" r:id="rId3" name="ComboBox1"/>
      </mc:Fallback>
    </mc:AlternateContent>
    <mc:AlternateContent xmlns:mc="http://schemas.openxmlformats.org/markup-compatibility/2006">
      <mc:Choice Requires="x14">
        <control shapeId="1030" r:id="rId5" name="Button 6">
          <controlPr defaultSize="0" print="0" autoFill="0" autoPict="0" macro="[0]!Adding_Code">
            <anchor moveWithCells="1" sizeWithCells="1">
              <from>
                <xdr:col>1</xdr:col>
                <xdr:colOff>809625</xdr:colOff>
                <xdr:row>0</xdr:row>
                <xdr:rowOff>28575</xdr:rowOff>
              </from>
              <to>
                <xdr:col>2</xdr:col>
                <xdr:colOff>428625</xdr:colOff>
                <xdr:row>1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6" name="Button 7">
          <controlPr defaultSize="0" print="0" autoFill="0" autoPict="0" macro="[0]!ImportDhakaStockData_Update">
            <anchor moveWithCells="1" sizeWithCells="1">
              <from>
                <xdr:col>2</xdr:col>
                <xdr:colOff>838200</xdr:colOff>
                <xdr:row>0</xdr:row>
                <xdr:rowOff>28575</xdr:rowOff>
              </from>
              <to>
                <xdr:col>5</xdr:col>
                <xdr:colOff>0</xdr:colOff>
                <xdr:row>1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" name="Button 9">
          <controlPr defaultSize="0" print="0" autoFill="0" autoPict="0" macro="[0]!clearData">
            <anchor moveWithCells="1" sizeWithCells="1">
              <from>
                <xdr:col>5</xdr:col>
                <xdr:colOff>9525</xdr:colOff>
                <xdr:row>3</xdr:row>
                <xdr:rowOff>114300</xdr:rowOff>
              </from>
              <to>
                <xdr:col>6</xdr:col>
                <xdr:colOff>0</xdr:colOff>
                <xdr:row>4</xdr:row>
                <xdr:rowOff>180975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03"/>
  <sheetViews>
    <sheetView workbookViewId="0">
      <selection activeCell="G14" sqref="G14"/>
    </sheetView>
  </sheetViews>
  <sheetFormatPr defaultRowHeight="15" x14ac:dyDescent="0.25"/>
  <cols>
    <col min="2" max="2" width="25.5703125" customWidth="1"/>
  </cols>
  <sheetData>
    <row r="1" spans="1:6" x14ac:dyDescent="0.25">
      <c r="A1" s="1" t="s">
        <v>1205</v>
      </c>
      <c r="B1" s="1" t="s">
        <v>1204</v>
      </c>
    </row>
    <row r="2" spans="1:6" x14ac:dyDescent="0.25">
      <c r="A2" t="s">
        <v>603</v>
      </c>
      <c r="B2" t="s">
        <v>0</v>
      </c>
      <c r="C2">
        <f>--ISNUMBER(IFERROR(SEARCH(Deshbord!$A$1,A2,1),""))</f>
        <v>1</v>
      </c>
      <c r="D2">
        <f>IF(C2=1,COUNTIF($C$2:C2,1),"")</f>
        <v>1</v>
      </c>
      <c r="E2" t="str">
        <f>IFERROR(INDEX($A$2:$A$603,MATCH(ROWS($D$2:D2),$D$2:$D$603,0)),"")</f>
        <v>AAMRANET</v>
      </c>
      <c r="F2" t="str">
        <f>$E$2:INDEX($E$2:$E$603,MAX($D$2:$D$603),1)</f>
        <v>AAMRANET</v>
      </c>
    </row>
    <row r="3" spans="1:6" x14ac:dyDescent="0.25">
      <c r="A3" t="s">
        <v>604</v>
      </c>
      <c r="B3" t="s">
        <v>1</v>
      </c>
      <c r="C3">
        <f>--ISNUMBER(IFERROR(SEARCH(Deshbord!$A$1,A3,1),""))</f>
        <v>1</v>
      </c>
      <c r="D3">
        <f>IF(C3=1,COUNTIF($C$2:C3,1),"")</f>
        <v>2</v>
      </c>
      <c r="E3" t="str">
        <f>IFERROR(INDEX($A$2:$A$603,MATCH(ROWS($D$2:D3),$D$2:$D$603,0)),"")</f>
        <v>AAMRATECH</v>
      </c>
    </row>
    <row r="4" spans="1:6" x14ac:dyDescent="0.25">
      <c r="A4" t="s">
        <v>605</v>
      </c>
      <c r="B4" t="s">
        <v>2</v>
      </c>
      <c r="C4">
        <f>--ISNUMBER(IFERROR(SEARCH(Deshbord!$A$1,A4,1),""))</f>
        <v>1</v>
      </c>
      <c r="D4">
        <f>IF(C4=1,COUNTIF($C$2:C4,1),"")</f>
        <v>3</v>
      </c>
      <c r="E4" t="str">
        <f>IFERROR(INDEX($A$2:$A$603,MATCH(ROWS($D$2:D4),$D$2:$D$603,0)),"")</f>
        <v>ABB1STMF</v>
      </c>
      <c r="F4" t="str">
        <f>$E$2:INDEX($E$2:$E$603,MAX($E$3:$E$603),1)</f>
        <v>ABB1STMF</v>
      </c>
    </row>
    <row r="5" spans="1:6" x14ac:dyDescent="0.25">
      <c r="A5" t="s">
        <v>606</v>
      </c>
      <c r="B5" t="s">
        <v>3</v>
      </c>
      <c r="C5">
        <f>--ISNUMBER(IFERROR(SEARCH(Deshbord!$A$1,A5,1),""))</f>
        <v>1</v>
      </c>
      <c r="D5">
        <f>IF(C5=1,COUNTIF($C$2:C5,1),"")</f>
        <v>4</v>
      </c>
      <c r="E5" t="str">
        <f>IFERROR(INDEX($A$2:$A$603,MATCH(ROWS($D$2:D5),$D$2:$D$603,0)),"")</f>
        <v>ABBANK</v>
      </c>
    </row>
    <row r="6" spans="1:6" x14ac:dyDescent="0.25">
      <c r="A6" t="s">
        <v>607</v>
      </c>
      <c r="B6" t="s">
        <v>4</v>
      </c>
      <c r="C6">
        <f>--ISNUMBER(IFERROR(SEARCH(Deshbord!$A$1,A6,1),""))</f>
        <v>1</v>
      </c>
      <c r="D6">
        <f>IF(C6=1,COUNTIF($C$2:C6,1),"")</f>
        <v>5</v>
      </c>
      <c r="E6" t="str">
        <f>IFERROR(INDEX($A$2:$A$603,MATCH(ROWS($D$2:D6),$D$2:$D$603,0)),"")</f>
        <v>ACFL</v>
      </c>
    </row>
    <row r="7" spans="1:6" x14ac:dyDescent="0.25">
      <c r="A7" t="s">
        <v>608</v>
      </c>
      <c r="B7" t="s">
        <v>5</v>
      </c>
      <c r="C7">
        <f>--ISNUMBER(IFERROR(SEARCH(Deshbord!$A$1,A7,1),""))</f>
        <v>1</v>
      </c>
      <c r="D7">
        <f>IF(C7=1,COUNTIF($C$2:C7,1),"")</f>
        <v>6</v>
      </c>
      <c r="E7" t="str">
        <f>IFERROR(INDEX($A$2:$A$603,MATCH(ROWS($D$2:D7),$D$2:$D$603,0)),"")</f>
        <v>ACI</v>
      </c>
    </row>
    <row r="8" spans="1:6" x14ac:dyDescent="0.25">
      <c r="A8" t="s">
        <v>609</v>
      </c>
      <c r="B8" t="s">
        <v>6</v>
      </c>
      <c r="C8">
        <f>--ISNUMBER(IFERROR(SEARCH(Deshbord!$A$1,A8,1),""))</f>
        <v>1</v>
      </c>
      <c r="D8">
        <f>IF(C8=1,COUNTIF($C$2:C8,1),"")</f>
        <v>7</v>
      </c>
      <c r="E8" t="str">
        <f>IFERROR(INDEX($A$2:$A$603,MATCH(ROWS($D$2:D8),$D$2:$D$603,0)),"")</f>
        <v>ACIFORMULA</v>
      </c>
    </row>
    <row r="9" spans="1:6" x14ac:dyDescent="0.25">
      <c r="A9" t="s">
        <v>610</v>
      </c>
      <c r="B9" t="s">
        <v>7</v>
      </c>
      <c r="C9">
        <f>--ISNUMBER(IFERROR(SEARCH(Deshbord!$A$1,A9,1),""))</f>
        <v>1</v>
      </c>
      <c r="D9">
        <f>IF(C9=1,COUNTIF($C$2:C9,1),"")</f>
        <v>8</v>
      </c>
      <c r="E9" t="str">
        <f>IFERROR(INDEX($A$2:$A$603,MATCH(ROWS($D$2:D9),$D$2:$D$603,0)),"")</f>
        <v>ACMELAB</v>
      </c>
    </row>
    <row r="10" spans="1:6" x14ac:dyDescent="0.25">
      <c r="A10" t="s">
        <v>611</v>
      </c>
      <c r="B10" t="s">
        <v>8</v>
      </c>
      <c r="C10">
        <f>--ISNUMBER(IFERROR(SEARCH(Deshbord!$A$1,A10,1),""))</f>
        <v>1</v>
      </c>
      <c r="D10">
        <f>IF(C10=1,COUNTIF($C$2:C10,1),"")</f>
        <v>9</v>
      </c>
      <c r="E10" t="str">
        <f>IFERROR(INDEX($A$2:$A$603,MATCH(ROWS($D$2:D10),$D$2:$D$603,0)),"")</f>
        <v>ACTIVEFINE</v>
      </c>
    </row>
    <row r="11" spans="1:6" x14ac:dyDescent="0.25">
      <c r="A11" t="s">
        <v>612</v>
      </c>
      <c r="B11" t="s">
        <v>9</v>
      </c>
      <c r="C11">
        <f>--ISNUMBER(IFERROR(SEARCH(Deshbord!$A$1,A11,1),""))</f>
        <v>1</v>
      </c>
      <c r="D11">
        <f>IF(C11=1,COUNTIF($C$2:C11,1),"")</f>
        <v>10</v>
      </c>
      <c r="E11" t="str">
        <f>IFERROR(INDEX($A$2:$A$603,MATCH(ROWS($D$2:D11),$D$2:$D$603,0)),"")</f>
        <v>ADNTEL</v>
      </c>
    </row>
    <row r="12" spans="1:6" x14ac:dyDescent="0.25">
      <c r="A12" t="s">
        <v>613</v>
      </c>
      <c r="B12" t="s">
        <v>10</v>
      </c>
      <c r="C12">
        <f>--ISNUMBER(IFERROR(SEARCH(Deshbord!$A$1,A12,1),""))</f>
        <v>1</v>
      </c>
      <c r="D12">
        <f>IF(C12=1,COUNTIF($C$2:C12,1),"")</f>
        <v>11</v>
      </c>
      <c r="E12" t="str">
        <f>IFERROR(INDEX($A$2:$A$603,MATCH(ROWS($D$2:D12),$D$2:$D$603,0)),"")</f>
        <v>ADVENT</v>
      </c>
    </row>
    <row r="13" spans="1:6" x14ac:dyDescent="0.25">
      <c r="A13" t="s">
        <v>614</v>
      </c>
      <c r="B13" t="s">
        <v>11</v>
      </c>
      <c r="C13">
        <f>--ISNUMBER(IFERROR(SEARCH(Deshbord!$A$1,A13,1),""))</f>
        <v>1</v>
      </c>
      <c r="D13">
        <f>IF(C13=1,COUNTIF($C$2:C13,1),"")</f>
        <v>12</v>
      </c>
      <c r="E13" t="str">
        <f>IFERROR(INDEX($A$2:$A$603,MATCH(ROWS($D$2:D13),$D$2:$D$603,0)),"")</f>
        <v>AFCAGRO</v>
      </c>
    </row>
    <row r="14" spans="1:6" x14ac:dyDescent="0.25">
      <c r="A14" t="s">
        <v>615</v>
      </c>
      <c r="B14" t="s">
        <v>12</v>
      </c>
      <c r="C14">
        <f>--ISNUMBER(IFERROR(SEARCH(Deshbord!$A$1,A14,1),""))</f>
        <v>1</v>
      </c>
      <c r="D14">
        <f>IF(C14=1,COUNTIF($C$2:C14,1),"")</f>
        <v>13</v>
      </c>
      <c r="E14" t="str">
        <f>IFERROR(INDEX($A$2:$A$603,MATCH(ROWS($D$2:D14),$D$2:$D$603,0)),"")</f>
        <v>AFTABAUTO</v>
      </c>
    </row>
    <row r="15" spans="1:6" x14ac:dyDescent="0.25">
      <c r="A15" t="s">
        <v>616</v>
      </c>
      <c r="B15" t="s">
        <v>13</v>
      </c>
      <c r="C15">
        <f>--ISNUMBER(IFERROR(SEARCH(Deshbord!$A$1,A15,1),""))</f>
        <v>1</v>
      </c>
      <c r="D15">
        <f>IF(C15=1,COUNTIF($C$2:C15,1),"")</f>
        <v>14</v>
      </c>
      <c r="E15" t="str">
        <f>IFERROR(INDEX($A$2:$A$603,MATCH(ROWS($D$2:D15),$D$2:$D$603,0)),"")</f>
        <v>AGNISYSL</v>
      </c>
    </row>
    <row r="16" spans="1:6" x14ac:dyDescent="0.25">
      <c r="A16" t="s">
        <v>617</v>
      </c>
      <c r="B16" t="s">
        <v>14</v>
      </c>
      <c r="C16">
        <f>--ISNUMBER(IFERROR(SEARCH(Deshbord!$A$1,A16,1),""))</f>
        <v>1</v>
      </c>
      <c r="D16">
        <f>IF(C16=1,COUNTIF($C$2:C16,1),"")</f>
        <v>15</v>
      </c>
      <c r="E16" t="str">
        <f>IFERROR(INDEX($A$2:$A$603,MATCH(ROWS($D$2:D16),$D$2:$D$603,0)),"")</f>
        <v>AGRANINS</v>
      </c>
    </row>
    <row r="17" spans="1:5" x14ac:dyDescent="0.25">
      <c r="A17" t="s">
        <v>618</v>
      </c>
      <c r="B17" t="s">
        <v>15</v>
      </c>
      <c r="C17">
        <f>--ISNUMBER(IFERROR(SEARCH(Deshbord!$A$1,A17,1),""))</f>
        <v>1</v>
      </c>
      <c r="D17">
        <f>IF(C17=1,COUNTIF($C$2:C17,1),"")</f>
        <v>16</v>
      </c>
      <c r="E17" t="str">
        <f>IFERROR(INDEX($A$2:$A$603,MATCH(ROWS($D$2:D17),$D$2:$D$603,0)),"")</f>
        <v>AIBL1STIMF</v>
      </c>
    </row>
    <row r="18" spans="1:5" x14ac:dyDescent="0.25">
      <c r="A18" t="s">
        <v>619</v>
      </c>
      <c r="B18" t="s">
        <v>16</v>
      </c>
      <c r="C18">
        <f>--ISNUMBER(IFERROR(SEARCH(Deshbord!$A$1,A18,1),""))</f>
        <v>1</v>
      </c>
      <c r="D18">
        <f>IF(C18=1,COUNTIF($C$2:C18,1),"")</f>
        <v>17</v>
      </c>
      <c r="E18" t="str">
        <f>IFERROR(INDEX($A$2:$A$603,MATCH(ROWS($D$2:D18),$D$2:$D$603,0)),"")</f>
        <v>AIL</v>
      </c>
    </row>
    <row r="19" spans="1:5" x14ac:dyDescent="0.25">
      <c r="A19" t="s">
        <v>620</v>
      </c>
      <c r="B19" t="s">
        <v>17</v>
      </c>
      <c r="C19">
        <f>--ISNUMBER(IFERROR(SEARCH(Deshbord!$A$1,A19,1),""))</f>
        <v>1</v>
      </c>
      <c r="D19">
        <f>IF(C19=1,COUNTIF($C$2:C19,1),"")</f>
        <v>18</v>
      </c>
      <c r="E19" t="str">
        <f>IFERROR(INDEX($A$2:$A$603,MATCH(ROWS($D$2:D19),$D$2:$D$603,0)),"")</f>
        <v>AL-HAJTEX</v>
      </c>
    </row>
    <row r="20" spans="1:5" x14ac:dyDescent="0.25">
      <c r="A20" t="s">
        <v>621</v>
      </c>
      <c r="B20" t="s">
        <v>18</v>
      </c>
      <c r="C20">
        <f>--ISNUMBER(IFERROR(SEARCH(Deshbord!$A$1,A20,1),""))</f>
        <v>1</v>
      </c>
      <c r="D20">
        <f>IF(C20=1,COUNTIF($C$2:C20,1),"")</f>
        <v>19</v>
      </c>
      <c r="E20" t="str">
        <f>IFERROR(INDEX($A$2:$A$603,MATCH(ROWS($D$2:D20),$D$2:$D$603,0)),"")</f>
        <v>ALARABANK</v>
      </c>
    </row>
    <row r="21" spans="1:5" x14ac:dyDescent="0.25">
      <c r="A21" t="s">
        <v>622</v>
      </c>
      <c r="B21" t="s">
        <v>19</v>
      </c>
      <c r="C21">
        <f>--ISNUMBER(IFERROR(SEARCH(Deshbord!$A$1,A21,1),""))</f>
        <v>1</v>
      </c>
      <c r="D21">
        <f>IF(C21=1,COUNTIF($C$2:C21,1),"")</f>
        <v>20</v>
      </c>
      <c r="E21" t="str">
        <f>IFERROR(INDEX($A$2:$A$603,MATCH(ROWS($D$2:D21),$D$2:$D$603,0)),"")</f>
        <v>ALIF</v>
      </c>
    </row>
    <row r="22" spans="1:5" x14ac:dyDescent="0.25">
      <c r="A22" t="s">
        <v>623</v>
      </c>
      <c r="B22" t="s">
        <v>20</v>
      </c>
      <c r="C22">
        <f>--ISNUMBER(IFERROR(SEARCH(Deshbord!$A$1,A22,1),""))</f>
        <v>1</v>
      </c>
      <c r="D22">
        <f>IF(C22=1,COUNTIF($C$2:C22,1),"")</f>
        <v>21</v>
      </c>
      <c r="E22" t="str">
        <f>IFERROR(INDEX($A$2:$A$603,MATCH(ROWS($D$2:D22),$D$2:$D$603,0)),"")</f>
        <v>ALLTEX</v>
      </c>
    </row>
    <row r="23" spans="1:5" x14ac:dyDescent="0.25">
      <c r="A23" t="s">
        <v>624</v>
      </c>
      <c r="B23" t="s">
        <v>21</v>
      </c>
      <c r="C23">
        <f>--ISNUMBER(IFERROR(SEARCH(Deshbord!$A$1,A23,1),""))</f>
        <v>1</v>
      </c>
      <c r="D23">
        <f>IF(C23=1,COUNTIF($C$2:C23,1),"")</f>
        <v>22</v>
      </c>
      <c r="E23" t="str">
        <f>IFERROR(INDEX($A$2:$A$603,MATCH(ROWS($D$2:D23),$D$2:$D$603,0)),"")</f>
        <v>AMANFEED</v>
      </c>
    </row>
    <row r="24" spans="1:5" x14ac:dyDescent="0.25">
      <c r="A24" t="s">
        <v>625</v>
      </c>
      <c r="B24" t="s">
        <v>22</v>
      </c>
      <c r="C24">
        <f>--ISNUMBER(IFERROR(SEARCH(Deshbord!$A$1,A24,1),""))</f>
        <v>1</v>
      </c>
      <c r="D24">
        <f>IF(C24=1,COUNTIF($C$2:C24,1),"")</f>
        <v>23</v>
      </c>
      <c r="E24" t="str">
        <f>IFERROR(INDEX($A$2:$A$603,MATCH(ROWS($D$2:D24),$D$2:$D$603,0)),"")</f>
        <v>AMBEEPHA</v>
      </c>
    </row>
    <row r="25" spans="1:5" x14ac:dyDescent="0.25">
      <c r="A25" t="s">
        <v>23</v>
      </c>
      <c r="B25" t="s">
        <v>24</v>
      </c>
      <c r="C25">
        <f>--ISNUMBER(IFERROR(SEARCH(Deshbord!$A$1,A25,1),""))</f>
        <v>1</v>
      </c>
      <c r="D25">
        <f>IF(C25=1,COUNTIF($C$2:C25,1),"")</f>
        <v>24</v>
      </c>
      <c r="E25" t="str">
        <f>IFERROR(INDEX($A$2:$A$603,MATCH(ROWS($D$2:D25),$D$2:$D$603,0)),"")</f>
        <v>AMCL</v>
      </c>
    </row>
    <row r="26" spans="1:5" x14ac:dyDescent="0.25">
      <c r="A26" t="s">
        <v>626</v>
      </c>
      <c r="B26" t="s">
        <v>25</v>
      </c>
      <c r="C26">
        <f>--ISNUMBER(IFERROR(SEARCH(Deshbord!$A$1,A26,1),""))</f>
        <v>1</v>
      </c>
      <c r="D26">
        <f>IF(C26=1,COUNTIF($C$2:C26,1),"")</f>
        <v>25</v>
      </c>
      <c r="E26" t="str">
        <f>IFERROR(INDEX($A$2:$A$603,MATCH(ROWS($D$2:D26),$D$2:$D$603,0)),"")</f>
        <v>ANLIMAYARN</v>
      </c>
    </row>
    <row r="27" spans="1:5" x14ac:dyDescent="0.25">
      <c r="A27" t="s">
        <v>627</v>
      </c>
      <c r="B27" t="s">
        <v>26</v>
      </c>
      <c r="C27">
        <f>--ISNUMBER(IFERROR(SEARCH(Deshbord!$A$1,A27,1),""))</f>
        <v>1</v>
      </c>
      <c r="D27">
        <f>IF(C27=1,COUNTIF($C$2:C27,1),"")</f>
        <v>26</v>
      </c>
      <c r="E27" t="str">
        <f>IFERROR(INDEX($A$2:$A$603,MATCH(ROWS($D$2:D27),$D$2:$D$603,0)),"")</f>
        <v>ANWARGALV</v>
      </c>
    </row>
    <row r="28" spans="1:5" x14ac:dyDescent="0.25">
      <c r="A28" t="s">
        <v>628</v>
      </c>
      <c r="B28" t="s">
        <v>27</v>
      </c>
      <c r="C28">
        <f>--ISNUMBER(IFERROR(SEARCH(Deshbord!$A$1,A28,1),""))</f>
        <v>1</v>
      </c>
      <c r="D28">
        <f>IF(C28=1,COUNTIF($C$2:C28,1),"")</f>
        <v>27</v>
      </c>
      <c r="E28" t="str">
        <f>IFERROR(INDEX($A$2:$A$603,MATCH(ROWS($D$2:D28),$D$2:$D$603,0)),"")</f>
        <v>AOL</v>
      </c>
    </row>
    <row r="29" spans="1:5" x14ac:dyDescent="0.25">
      <c r="A29" t="s">
        <v>629</v>
      </c>
      <c r="B29" t="s">
        <v>28</v>
      </c>
      <c r="C29">
        <f>--ISNUMBER(IFERROR(SEARCH(Deshbord!$A$1,A29,1),""))</f>
        <v>1</v>
      </c>
      <c r="D29">
        <f>IF(C29=1,COUNTIF($C$2:C29,1),"")</f>
        <v>28</v>
      </c>
      <c r="E29" t="str">
        <f>IFERROR(INDEX($A$2:$A$603,MATCH(ROWS($D$2:D29),$D$2:$D$603,0)),"")</f>
        <v>APEXFOODS</v>
      </c>
    </row>
    <row r="30" spans="1:5" x14ac:dyDescent="0.25">
      <c r="A30" t="s">
        <v>630</v>
      </c>
      <c r="B30" t="s">
        <v>29</v>
      </c>
      <c r="C30">
        <f>--ISNUMBER(IFERROR(SEARCH(Deshbord!$A$1,A30,1),""))</f>
        <v>1</v>
      </c>
      <c r="D30">
        <f>IF(C30=1,COUNTIF($C$2:C30,1),"")</f>
        <v>29</v>
      </c>
      <c r="E30" t="str">
        <f>IFERROR(INDEX($A$2:$A$603,MATCH(ROWS($D$2:D30),$D$2:$D$603,0)),"")</f>
        <v>APEXFOOT</v>
      </c>
    </row>
    <row r="31" spans="1:5" x14ac:dyDescent="0.25">
      <c r="A31" t="s">
        <v>631</v>
      </c>
      <c r="B31" t="s">
        <v>30</v>
      </c>
      <c r="C31">
        <f>--ISNUMBER(IFERROR(SEARCH(Deshbord!$A$1,A31,1),""))</f>
        <v>1</v>
      </c>
      <c r="D31">
        <f>IF(C31=1,COUNTIF($C$2:C31,1),"")</f>
        <v>30</v>
      </c>
      <c r="E31" t="str">
        <f>IFERROR(INDEX($A$2:$A$603,MATCH(ROWS($D$2:D31),$D$2:$D$603,0)),"")</f>
        <v>APEXSPINN</v>
      </c>
    </row>
    <row r="32" spans="1:5" x14ac:dyDescent="0.25">
      <c r="A32" t="s">
        <v>632</v>
      </c>
      <c r="B32" t="s">
        <v>31</v>
      </c>
      <c r="C32">
        <f>--ISNUMBER(IFERROR(SEARCH(Deshbord!$A$1,A32,1),""))</f>
        <v>1</v>
      </c>
      <c r="D32">
        <f>IF(C32=1,COUNTIF($C$2:C32,1),"")</f>
        <v>31</v>
      </c>
      <c r="E32" t="str">
        <f>IFERROR(INDEX($A$2:$A$603,MATCH(ROWS($D$2:D32),$D$2:$D$603,0)),"")</f>
        <v>APEXTANRY</v>
      </c>
    </row>
    <row r="33" spans="1:5" x14ac:dyDescent="0.25">
      <c r="A33" t="s">
        <v>633</v>
      </c>
      <c r="B33" t="s">
        <v>32</v>
      </c>
      <c r="C33">
        <f>--ISNUMBER(IFERROR(SEARCH(Deshbord!$A$1,A33,1),""))</f>
        <v>1</v>
      </c>
      <c r="D33">
        <f>IF(C33=1,COUNTIF($C$2:C33,1),"")</f>
        <v>32</v>
      </c>
      <c r="E33" t="str">
        <f>IFERROR(INDEX($A$2:$A$603,MATCH(ROWS($D$2:D33),$D$2:$D$603,0)),"")</f>
        <v>APOLOISPAT</v>
      </c>
    </row>
    <row r="34" spans="1:5" x14ac:dyDescent="0.25">
      <c r="A34" t="s">
        <v>634</v>
      </c>
      <c r="B34" t="s">
        <v>33</v>
      </c>
      <c r="C34">
        <f>--ISNUMBER(IFERROR(SEARCH(Deshbord!$A$1,A34,1),""))</f>
        <v>1</v>
      </c>
      <c r="D34">
        <f>IF(C34=1,COUNTIF($C$2:C34,1),"")</f>
        <v>33</v>
      </c>
      <c r="E34" t="str">
        <f>IFERROR(INDEX($A$2:$A$603,MATCH(ROWS($D$2:D34),$D$2:$D$603,0)),"")</f>
        <v>APSCLBOND</v>
      </c>
    </row>
    <row r="35" spans="1:5" x14ac:dyDescent="0.25">
      <c r="A35" t="s">
        <v>635</v>
      </c>
      <c r="B35" t="s">
        <v>34</v>
      </c>
      <c r="C35">
        <f>--ISNUMBER(IFERROR(SEARCH(Deshbord!$A$1,A35,1),""))</f>
        <v>1</v>
      </c>
      <c r="D35">
        <f>IF(C35=1,COUNTIF($C$2:C35,1),"")</f>
        <v>34</v>
      </c>
      <c r="E35" t="str">
        <f>IFERROR(INDEX($A$2:$A$603,MATCH(ROWS($D$2:D35),$D$2:$D$603,0)),"")</f>
        <v>ARAMIT</v>
      </c>
    </row>
    <row r="36" spans="1:5" x14ac:dyDescent="0.25">
      <c r="A36" t="s">
        <v>636</v>
      </c>
      <c r="B36" t="s">
        <v>35</v>
      </c>
      <c r="C36">
        <f>--ISNUMBER(IFERROR(SEARCH(Deshbord!$A$1,A36,1),""))</f>
        <v>1</v>
      </c>
      <c r="D36">
        <f>IF(C36=1,COUNTIF($C$2:C36,1),"")</f>
        <v>35</v>
      </c>
      <c r="E36" t="str">
        <f>IFERROR(INDEX($A$2:$A$603,MATCH(ROWS($D$2:D36),$D$2:$D$603,0)),"")</f>
        <v>ARAMITCEM</v>
      </c>
    </row>
    <row r="37" spans="1:5" x14ac:dyDescent="0.25">
      <c r="A37" t="s">
        <v>637</v>
      </c>
      <c r="B37" t="s">
        <v>36</v>
      </c>
      <c r="C37">
        <f>--ISNUMBER(IFERROR(SEARCH(Deshbord!$A$1,A37,1),""))</f>
        <v>1</v>
      </c>
      <c r="D37">
        <f>IF(C37=1,COUNTIF($C$2:C37,1),"")</f>
        <v>36</v>
      </c>
      <c r="E37" t="str">
        <f>IFERROR(INDEX($A$2:$A$603,MATCH(ROWS($D$2:D37),$D$2:$D$603,0)),"")</f>
        <v>ARGONDENIM</v>
      </c>
    </row>
    <row r="38" spans="1:5" x14ac:dyDescent="0.25">
      <c r="A38" t="s">
        <v>638</v>
      </c>
      <c r="B38" t="s">
        <v>37</v>
      </c>
      <c r="C38">
        <f>--ISNUMBER(IFERROR(SEARCH(Deshbord!$A$1,A38,1),""))</f>
        <v>1</v>
      </c>
      <c r="D38">
        <f>IF(C38=1,COUNTIF($C$2:C38,1),"")</f>
        <v>37</v>
      </c>
      <c r="E38" t="str">
        <f>IFERROR(INDEX($A$2:$A$603,MATCH(ROWS($D$2:D38),$D$2:$D$603,0)),"")</f>
        <v>ASIAINS</v>
      </c>
    </row>
    <row r="39" spans="1:5" x14ac:dyDescent="0.25">
      <c r="A39" t="s">
        <v>639</v>
      </c>
      <c r="B39" t="s">
        <v>38</v>
      </c>
      <c r="C39">
        <f>--ISNUMBER(IFERROR(SEARCH(Deshbord!$A$1,A39,1),""))</f>
        <v>1</v>
      </c>
      <c r="D39">
        <f>IF(C39=1,COUNTIF($C$2:C39,1),"")</f>
        <v>38</v>
      </c>
      <c r="E39" t="str">
        <f>IFERROR(INDEX($A$2:$A$603,MATCH(ROWS($D$2:D39),$D$2:$D$603,0)),"")</f>
        <v>ASIAPACINS</v>
      </c>
    </row>
    <row r="40" spans="1:5" x14ac:dyDescent="0.25">
      <c r="A40" t="s">
        <v>640</v>
      </c>
      <c r="B40" t="s">
        <v>39</v>
      </c>
      <c r="C40">
        <f>--ISNUMBER(IFERROR(SEARCH(Deshbord!$A$1,A40,1),""))</f>
        <v>1</v>
      </c>
      <c r="D40">
        <f>IF(C40=1,COUNTIF($C$2:C40,1),"")</f>
        <v>39</v>
      </c>
      <c r="E40" t="str">
        <f>IFERROR(INDEX($A$2:$A$603,MATCH(ROWS($D$2:D40),$D$2:$D$603,0)),"")</f>
        <v>ATCSLGF</v>
      </c>
    </row>
    <row r="41" spans="1:5" x14ac:dyDescent="0.25">
      <c r="A41" t="s">
        <v>641</v>
      </c>
      <c r="B41" t="s">
        <v>40</v>
      </c>
      <c r="C41">
        <f>--ISNUMBER(IFERROR(SEARCH(Deshbord!$A$1,A41,1),""))</f>
        <v>1</v>
      </c>
      <c r="D41">
        <f>IF(C41=1,COUNTIF($C$2:C41,1),"")</f>
        <v>40</v>
      </c>
      <c r="E41" t="str">
        <f>IFERROR(INDEX($A$2:$A$603,MATCH(ROWS($D$2:D41),$D$2:$D$603,0)),"")</f>
        <v>ATLASBANG</v>
      </c>
    </row>
    <row r="42" spans="1:5" x14ac:dyDescent="0.25">
      <c r="A42" t="s">
        <v>642</v>
      </c>
      <c r="B42" t="s">
        <v>41</v>
      </c>
      <c r="C42">
        <f>--ISNUMBER(IFERROR(SEARCH(Deshbord!$A$1,A42,1),""))</f>
        <v>1</v>
      </c>
      <c r="D42">
        <f>IF(C42=1,COUNTIF($C$2:C42,1),"")</f>
        <v>41</v>
      </c>
      <c r="E42" t="str">
        <f>IFERROR(INDEX($A$2:$A$603,MATCH(ROWS($D$2:D42),$D$2:$D$603,0)),"")</f>
        <v>AZIZPIPES</v>
      </c>
    </row>
    <row r="43" spans="1:5" x14ac:dyDescent="0.25">
      <c r="A43" t="s">
        <v>643</v>
      </c>
      <c r="B43" t="s">
        <v>42</v>
      </c>
      <c r="C43">
        <f>--ISNUMBER(IFERROR(SEARCH(Deshbord!$A$1,A43,1),""))</f>
        <v>1</v>
      </c>
      <c r="D43">
        <f>IF(C43=1,COUNTIF($C$2:C43,1),"")</f>
        <v>42</v>
      </c>
      <c r="E43" t="str">
        <f>IFERROR(INDEX($A$2:$A$603,MATCH(ROWS($D$2:D43),$D$2:$D$603,0)),"")</f>
        <v>BANGAS</v>
      </c>
    </row>
    <row r="44" spans="1:5" x14ac:dyDescent="0.25">
      <c r="A44" t="s">
        <v>644</v>
      </c>
      <c r="B44" t="s">
        <v>43</v>
      </c>
      <c r="C44">
        <f>--ISNUMBER(IFERROR(SEARCH(Deshbord!$A$1,A44,1),""))</f>
        <v>1</v>
      </c>
      <c r="D44">
        <f>IF(C44=1,COUNTIF($C$2:C44,1),"")</f>
        <v>43</v>
      </c>
      <c r="E44" t="str">
        <f>IFERROR(INDEX($A$2:$A$603,MATCH(ROWS($D$2:D44),$D$2:$D$603,0)),"")</f>
        <v>BANKASIA</v>
      </c>
    </row>
    <row r="45" spans="1:5" x14ac:dyDescent="0.25">
      <c r="A45" t="s">
        <v>645</v>
      </c>
      <c r="B45" t="s">
        <v>44</v>
      </c>
      <c r="C45">
        <f>--ISNUMBER(IFERROR(SEARCH(Deshbord!$A$1,A45,1),""))</f>
        <v>1</v>
      </c>
      <c r="D45">
        <f>IF(C45=1,COUNTIF($C$2:C45,1),"")</f>
        <v>44</v>
      </c>
      <c r="E45" t="str">
        <f>IFERROR(INDEX($A$2:$A$603,MATCH(ROWS($D$2:D45),$D$2:$D$603,0)),"")</f>
        <v>BARKAPOWER</v>
      </c>
    </row>
    <row r="46" spans="1:5" x14ac:dyDescent="0.25">
      <c r="A46" t="s">
        <v>646</v>
      </c>
      <c r="B46" t="s">
        <v>45</v>
      </c>
      <c r="C46">
        <f>--ISNUMBER(IFERROR(SEARCH(Deshbord!$A$1,A46,1),""))</f>
        <v>1</v>
      </c>
      <c r="D46">
        <f>IF(C46=1,COUNTIF($C$2:C46,1),"")</f>
        <v>45</v>
      </c>
      <c r="E46" t="str">
        <f>IFERROR(INDEX($A$2:$A$603,MATCH(ROWS($D$2:D46),$D$2:$D$603,0)),"")</f>
        <v>BATASHOE</v>
      </c>
    </row>
    <row r="47" spans="1:5" x14ac:dyDescent="0.25">
      <c r="A47" t="s">
        <v>647</v>
      </c>
      <c r="B47" t="s">
        <v>46</v>
      </c>
      <c r="C47">
        <f>--ISNUMBER(IFERROR(SEARCH(Deshbord!$A$1,A47,1),""))</f>
        <v>1</v>
      </c>
      <c r="D47">
        <f>IF(C47=1,COUNTIF($C$2:C47,1),"")</f>
        <v>46</v>
      </c>
      <c r="E47" t="str">
        <f>IFERROR(INDEX($A$2:$A$603,MATCH(ROWS($D$2:D47),$D$2:$D$603,0)),"")</f>
        <v>BATBC</v>
      </c>
    </row>
    <row r="48" spans="1:5" x14ac:dyDescent="0.25">
      <c r="A48" t="s">
        <v>648</v>
      </c>
      <c r="B48" t="s">
        <v>47</v>
      </c>
      <c r="C48">
        <f>--ISNUMBER(IFERROR(SEARCH(Deshbord!$A$1,A48,1),""))</f>
        <v>1</v>
      </c>
      <c r="D48">
        <f>IF(C48=1,COUNTIF($C$2:C48,1),"")</f>
        <v>47</v>
      </c>
      <c r="E48" t="str">
        <f>IFERROR(INDEX($A$2:$A$603,MATCH(ROWS($D$2:D48),$D$2:$D$603,0)),"")</f>
        <v>BAYLEASING</v>
      </c>
    </row>
    <row r="49" spans="1:5" x14ac:dyDescent="0.25">
      <c r="A49" t="s">
        <v>649</v>
      </c>
      <c r="B49" t="s">
        <v>48</v>
      </c>
      <c r="C49">
        <f>--ISNUMBER(IFERROR(SEARCH(Deshbord!$A$1,A49,1),""))</f>
        <v>1</v>
      </c>
      <c r="D49">
        <f>IF(C49=1,COUNTIF($C$2:C49,1),"")</f>
        <v>48</v>
      </c>
      <c r="E49" t="str">
        <f>IFERROR(INDEX($A$2:$A$603,MATCH(ROWS($D$2:D49),$D$2:$D$603,0)),"")</f>
        <v>BBS</v>
      </c>
    </row>
    <row r="50" spans="1:5" x14ac:dyDescent="0.25">
      <c r="A50" t="s">
        <v>650</v>
      </c>
      <c r="B50" t="s">
        <v>49</v>
      </c>
      <c r="C50">
        <f>--ISNUMBER(IFERROR(SEARCH(Deshbord!$A$1,A50,1),""))</f>
        <v>1</v>
      </c>
      <c r="D50">
        <f>IF(C50=1,COUNTIF($C$2:C50,1),"")</f>
        <v>49</v>
      </c>
      <c r="E50" t="str">
        <f>IFERROR(INDEX($A$2:$A$603,MATCH(ROWS($D$2:D50),$D$2:$D$603,0)),"")</f>
        <v>BBSCABLES</v>
      </c>
    </row>
    <row r="51" spans="1:5" x14ac:dyDescent="0.25">
      <c r="A51" t="s">
        <v>651</v>
      </c>
      <c r="B51" t="s">
        <v>50</v>
      </c>
      <c r="C51">
        <f>--ISNUMBER(IFERROR(SEARCH(Deshbord!$A$1,A51,1),""))</f>
        <v>1</v>
      </c>
      <c r="D51">
        <f>IF(C51=1,COUNTIF($C$2:C51,1),"")</f>
        <v>50</v>
      </c>
      <c r="E51" t="str">
        <f>IFERROR(INDEX($A$2:$A$603,MATCH(ROWS($D$2:D51),$D$2:$D$603,0)),"")</f>
        <v>BDAUTOCA</v>
      </c>
    </row>
    <row r="52" spans="1:5" x14ac:dyDescent="0.25">
      <c r="A52" t="s">
        <v>652</v>
      </c>
      <c r="B52" t="s">
        <v>51</v>
      </c>
      <c r="C52">
        <f>--ISNUMBER(IFERROR(SEARCH(Deshbord!$A$1,A52,1),""))</f>
        <v>1</v>
      </c>
      <c r="D52">
        <f>IF(C52=1,COUNTIF($C$2:C52,1),"")</f>
        <v>51</v>
      </c>
      <c r="E52" t="str">
        <f>IFERROR(INDEX($A$2:$A$603,MATCH(ROWS($D$2:D52),$D$2:$D$603,0)),"")</f>
        <v>BDCOM</v>
      </c>
    </row>
    <row r="53" spans="1:5" x14ac:dyDescent="0.25">
      <c r="A53" t="s">
        <v>653</v>
      </c>
      <c r="B53" t="s">
        <v>52</v>
      </c>
      <c r="C53">
        <f>--ISNUMBER(IFERROR(SEARCH(Deshbord!$A$1,A53,1),""))</f>
        <v>1</v>
      </c>
      <c r="D53">
        <f>IF(C53=1,COUNTIF($C$2:C53,1),"")</f>
        <v>52</v>
      </c>
      <c r="E53" t="str">
        <f>IFERROR(INDEX($A$2:$A$603,MATCH(ROWS($D$2:D53),$D$2:$D$603,0)),"")</f>
        <v>BDFINANCE</v>
      </c>
    </row>
    <row r="54" spans="1:5" x14ac:dyDescent="0.25">
      <c r="A54" t="s">
        <v>654</v>
      </c>
      <c r="B54" t="s">
        <v>53</v>
      </c>
      <c r="C54">
        <f>--ISNUMBER(IFERROR(SEARCH(Deshbord!$A$1,A54,1),""))</f>
        <v>1</v>
      </c>
      <c r="D54">
        <f>IF(C54=1,COUNTIF($C$2:C54,1),"")</f>
        <v>53</v>
      </c>
      <c r="E54" t="str">
        <f>IFERROR(INDEX($A$2:$A$603,MATCH(ROWS($D$2:D54),$D$2:$D$603,0)),"")</f>
        <v>BDLAMPS</v>
      </c>
    </row>
    <row r="55" spans="1:5" x14ac:dyDescent="0.25">
      <c r="A55" t="s">
        <v>655</v>
      </c>
      <c r="B55" t="s">
        <v>54</v>
      </c>
      <c r="C55">
        <f>--ISNUMBER(IFERROR(SEARCH(Deshbord!$A$1,A55,1),""))</f>
        <v>1</v>
      </c>
      <c r="D55">
        <f>IF(C55=1,COUNTIF($C$2:C55,1),"")</f>
        <v>54</v>
      </c>
      <c r="E55" t="str">
        <f>IFERROR(INDEX($A$2:$A$603,MATCH(ROWS($D$2:D55),$D$2:$D$603,0)),"")</f>
        <v>BDSERVICE</v>
      </c>
    </row>
    <row r="56" spans="1:5" x14ac:dyDescent="0.25">
      <c r="A56" t="s">
        <v>656</v>
      </c>
      <c r="B56" t="s">
        <v>55</v>
      </c>
      <c r="C56">
        <f>--ISNUMBER(IFERROR(SEARCH(Deshbord!$A$1,A56,1),""))</f>
        <v>1</v>
      </c>
      <c r="D56">
        <f>IF(C56=1,COUNTIF($C$2:C56,1),"")</f>
        <v>55</v>
      </c>
      <c r="E56" t="str">
        <f>IFERROR(INDEX($A$2:$A$603,MATCH(ROWS($D$2:D56),$D$2:$D$603,0)),"")</f>
        <v>BDTHAI</v>
      </c>
    </row>
    <row r="57" spans="1:5" x14ac:dyDescent="0.25">
      <c r="A57" t="s">
        <v>657</v>
      </c>
      <c r="B57" t="s">
        <v>56</v>
      </c>
      <c r="C57">
        <f>--ISNUMBER(IFERROR(SEARCH(Deshbord!$A$1,A57,1),""))</f>
        <v>1</v>
      </c>
      <c r="D57">
        <f>IF(C57=1,COUNTIF($C$2:C57,1),"")</f>
        <v>56</v>
      </c>
      <c r="E57" t="str">
        <f>IFERROR(INDEX($A$2:$A$603,MATCH(ROWS($D$2:D57),$D$2:$D$603,0)),"")</f>
        <v>BDWELDING</v>
      </c>
    </row>
    <row r="58" spans="1:5" x14ac:dyDescent="0.25">
      <c r="A58" t="s">
        <v>658</v>
      </c>
      <c r="B58" t="s">
        <v>57</v>
      </c>
      <c r="C58">
        <f>--ISNUMBER(IFERROR(SEARCH(Deshbord!$A$1,A58,1),""))</f>
        <v>1</v>
      </c>
      <c r="D58">
        <f>IF(C58=1,COUNTIF($C$2:C58,1),"")</f>
        <v>57</v>
      </c>
      <c r="E58" t="str">
        <f>IFERROR(INDEX($A$2:$A$603,MATCH(ROWS($D$2:D58),$D$2:$D$603,0)),"")</f>
        <v>BEACHHATCH</v>
      </c>
    </row>
    <row r="59" spans="1:5" x14ac:dyDescent="0.25">
      <c r="A59" t="s">
        <v>659</v>
      </c>
      <c r="B59" t="s">
        <v>58</v>
      </c>
      <c r="C59">
        <f>--ISNUMBER(IFERROR(SEARCH(Deshbord!$A$1,A59,1),""))</f>
        <v>1</v>
      </c>
      <c r="D59">
        <f>IF(C59=1,COUNTIF($C$2:C59,1),"")</f>
        <v>58</v>
      </c>
      <c r="E59" t="str">
        <f>IFERROR(INDEX($A$2:$A$603,MATCH(ROWS($D$2:D59),$D$2:$D$603,0)),"")</f>
        <v>BEACONPHAR</v>
      </c>
    </row>
    <row r="60" spans="1:5" x14ac:dyDescent="0.25">
      <c r="A60" t="s">
        <v>660</v>
      </c>
      <c r="B60" t="s">
        <v>59</v>
      </c>
      <c r="C60">
        <f>--ISNUMBER(IFERROR(SEARCH(Deshbord!$A$1,A60,1),""))</f>
        <v>1</v>
      </c>
      <c r="D60">
        <f>IF(C60=1,COUNTIF($C$2:C60,1),"")</f>
        <v>59</v>
      </c>
      <c r="E60" t="str">
        <f>IFERROR(INDEX($A$2:$A$603,MATCH(ROWS($D$2:D60),$D$2:$D$603,0)),"")</f>
        <v>BENGALWTL</v>
      </c>
    </row>
    <row r="61" spans="1:5" x14ac:dyDescent="0.25">
      <c r="A61" t="s">
        <v>661</v>
      </c>
      <c r="B61" t="s">
        <v>60</v>
      </c>
      <c r="C61">
        <f>--ISNUMBER(IFERROR(SEARCH(Deshbord!$A$1,A61,1),""))</f>
        <v>1</v>
      </c>
      <c r="D61">
        <f>IF(C61=1,COUNTIF($C$2:C61,1),"")</f>
        <v>60</v>
      </c>
      <c r="E61" t="str">
        <f>IFERROR(INDEX($A$2:$A$603,MATCH(ROWS($D$2:D61),$D$2:$D$603,0)),"")</f>
        <v>BERGERPBL</v>
      </c>
    </row>
    <row r="62" spans="1:5" x14ac:dyDescent="0.25">
      <c r="A62" t="s">
        <v>662</v>
      </c>
      <c r="B62" t="s">
        <v>61</v>
      </c>
      <c r="C62">
        <f>--ISNUMBER(IFERROR(SEARCH(Deshbord!$A$1,A62,1),""))</f>
        <v>1</v>
      </c>
      <c r="D62">
        <f>IF(C62=1,COUNTIF($C$2:C62,1),"")</f>
        <v>61</v>
      </c>
      <c r="E62" t="str">
        <f>IFERROR(INDEX($A$2:$A$603,MATCH(ROWS($D$2:D62),$D$2:$D$603,0)),"")</f>
        <v>BEXIMCO</v>
      </c>
    </row>
    <row r="63" spans="1:5" x14ac:dyDescent="0.25">
      <c r="A63" t="s">
        <v>663</v>
      </c>
      <c r="B63" t="s">
        <v>62</v>
      </c>
      <c r="C63">
        <f>--ISNUMBER(IFERROR(SEARCH(Deshbord!$A$1,A63,1),""))</f>
        <v>1</v>
      </c>
      <c r="D63">
        <f>IF(C63=1,COUNTIF($C$2:C63,1),"")</f>
        <v>62</v>
      </c>
      <c r="E63" t="str">
        <f>IFERROR(INDEX($A$2:$A$603,MATCH(ROWS($D$2:D63),$D$2:$D$603,0)),"")</f>
        <v>BGIC</v>
      </c>
    </row>
    <row r="64" spans="1:5" x14ac:dyDescent="0.25">
      <c r="A64" t="s">
        <v>664</v>
      </c>
      <c r="B64" t="s">
        <v>63</v>
      </c>
      <c r="C64">
        <f>--ISNUMBER(IFERROR(SEARCH(Deshbord!$A$1,A64,1),""))</f>
        <v>1</v>
      </c>
      <c r="D64">
        <f>IF(C64=1,COUNTIF($C$2:C64,1),"")</f>
        <v>63</v>
      </c>
      <c r="E64" t="str">
        <f>IFERROR(INDEX($A$2:$A$603,MATCH(ROWS($D$2:D64),$D$2:$D$603,0)),"")</f>
        <v>BIFC</v>
      </c>
    </row>
    <row r="65" spans="1:5" x14ac:dyDescent="0.25">
      <c r="A65" t="s">
        <v>665</v>
      </c>
      <c r="B65" t="s">
        <v>64</v>
      </c>
      <c r="C65">
        <f>--ISNUMBER(IFERROR(SEARCH(Deshbord!$A$1,A65,1),""))</f>
        <v>1</v>
      </c>
      <c r="D65">
        <f>IF(C65=1,COUNTIF($C$2:C65,1),"")</f>
        <v>64</v>
      </c>
      <c r="E65" t="str">
        <f>IFERROR(INDEX($A$2:$A$603,MATCH(ROWS($D$2:D65),$D$2:$D$603,0)),"")</f>
        <v>BNICL</v>
      </c>
    </row>
    <row r="66" spans="1:5" x14ac:dyDescent="0.25">
      <c r="A66" t="s">
        <v>666</v>
      </c>
      <c r="B66" t="s">
        <v>65</v>
      </c>
      <c r="C66">
        <f>--ISNUMBER(IFERROR(SEARCH(Deshbord!$A$1,A66,1),""))</f>
        <v>1</v>
      </c>
      <c r="D66">
        <f>IF(C66=1,COUNTIF($C$2:C66,1),"")</f>
        <v>65</v>
      </c>
      <c r="E66" t="str">
        <f>IFERROR(INDEX($A$2:$A$603,MATCH(ROWS($D$2:D66),$D$2:$D$603,0)),"")</f>
        <v>BPML</v>
      </c>
    </row>
    <row r="67" spans="1:5" x14ac:dyDescent="0.25">
      <c r="A67" t="s">
        <v>667</v>
      </c>
      <c r="B67" t="s">
        <v>66</v>
      </c>
      <c r="C67">
        <f>--ISNUMBER(IFERROR(SEARCH(Deshbord!$A$1,A67,1),""))</f>
        <v>1</v>
      </c>
      <c r="D67">
        <f>IF(C67=1,COUNTIF($C$2:C67,1),"")</f>
        <v>66</v>
      </c>
      <c r="E67" t="str">
        <f>IFERROR(INDEX($A$2:$A$603,MATCH(ROWS($D$2:D67),$D$2:$D$603,0)),"")</f>
        <v>BRACBANK</v>
      </c>
    </row>
    <row r="68" spans="1:5" x14ac:dyDescent="0.25">
      <c r="A68" t="s">
        <v>668</v>
      </c>
      <c r="B68" t="s">
        <v>67</v>
      </c>
      <c r="C68">
        <f>--ISNUMBER(IFERROR(SEARCH(Deshbord!$A$1,A68,1),""))</f>
        <v>1</v>
      </c>
      <c r="D68">
        <f>IF(C68=1,COUNTIF($C$2:C68,1),"")</f>
        <v>67</v>
      </c>
      <c r="E68" t="str">
        <f>IFERROR(INDEX($A$2:$A$603,MATCH(ROWS($D$2:D68),$D$2:$D$603,0)),"")</f>
        <v>BSC</v>
      </c>
    </row>
    <row r="69" spans="1:5" x14ac:dyDescent="0.25">
      <c r="A69" t="s">
        <v>669</v>
      </c>
      <c r="B69" t="s">
        <v>68</v>
      </c>
      <c r="C69">
        <f>--ISNUMBER(IFERROR(SEARCH(Deshbord!$A$1,A69,1),""))</f>
        <v>1</v>
      </c>
      <c r="D69">
        <f>IF(C69=1,COUNTIF($C$2:C69,1),"")</f>
        <v>68</v>
      </c>
      <c r="E69" t="str">
        <f>IFERROR(INDEX($A$2:$A$603,MATCH(ROWS($D$2:D69),$D$2:$D$603,0)),"")</f>
        <v>BSCCL</v>
      </c>
    </row>
    <row r="70" spans="1:5" x14ac:dyDescent="0.25">
      <c r="A70" t="s">
        <v>670</v>
      </c>
      <c r="B70" t="s">
        <v>69</v>
      </c>
      <c r="C70">
        <f>--ISNUMBER(IFERROR(SEARCH(Deshbord!$A$1,A70,1),""))</f>
        <v>1</v>
      </c>
      <c r="D70">
        <f>IF(C70=1,COUNTIF($C$2:C70,1),"")</f>
        <v>69</v>
      </c>
      <c r="E70" t="str">
        <f>IFERROR(INDEX($A$2:$A$603,MATCH(ROWS($D$2:D70),$D$2:$D$603,0)),"")</f>
        <v>BSRMLTD</v>
      </c>
    </row>
    <row r="71" spans="1:5" x14ac:dyDescent="0.25">
      <c r="A71" t="s">
        <v>671</v>
      </c>
      <c r="B71" t="s">
        <v>70</v>
      </c>
      <c r="C71">
        <f>--ISNUMBER(IFERROR(SEARCH(Deshbord!$A$1,A71,1),""))</f>
        <v>1</v>
      </c>
      <c r="D71">
        <f>IF(C71=1,COUNTIF($C$2:C71,1),"")</f>
        <v>70</v>
      </c>
      <c r="E71" t="str">
        <f>IFERROR(INDEX($A$2:$A$603,MATCH(ROWS($D$2:D71),$D$2:$D$603,0)),"")</f>
        <v>BSRMSTEEL</v>
      </c>
    </row>
    <row r="72" spans="1:5" x14ac:dyDescent="0.25">
      <c r="A72" t="s">
        <v>672</v>
      </c>
      <c r="B72" t="s">
        <v>71</v>
      </c>
      <c r="C72">
        <f>--ISNUMBER(IFERROR(SEARCH(Deshbord!$A$1,A72,1),""))</f>
        <v>1</v>
      </c>
      <c r="D72">
        <f>IF(C72=1,COUNTIF($C$2:C72,1),"")</f>
        <v>71</v>
      </c>
      <c r="E72" t="str">
        <f>IFERROR(INDEX($A$2:$A$603,MATCH(ROWS($D$2:D72),$D$2:$D$603,0)),"")</f>
        <v>BXPHARMA</v>
      </c>
    </row>
    <row r="73" spans="1:5" x14ac:dyDescent="0.25">
      <c r="A73" t="s">
        <v>673</v>
      </c>
      <c r="B73" t="s">
        <v>72</v>
      </c>
      <c r="C73">
        <f>--ISNUMBER(IFERROR(SEARCH(Deshbord!$A$1,A73,1),""))</f>
        <v>1</v>
      </c>
      <c r="D73">
        <f>IF(C73=1,COUNTIF($C$2:C73,1),"")</f>
        <v>72</v>
      </c>
      <c r="E73" t="str">
        <f>IFERROR(INDEX($A$2:$A$603,MATCH(ROWS($D$2:D73),$D$2:$D$603,0)),"")</f>
        <v>BXSYNTH</v>
      </c>
    </row>
    <row r="74" spans="1:5" x14ac:dyDescent="0.25">
      <c r="A74" t="s">
        <v>674</v>
      </c>
      <c r="B74" t="s">
        <v>73</v>
      </c>
      <c r="C74">
        <f>--ISNUMBER(IFERROR(SEARCH(Deshbord!$A$1,A74,1),""))</f>
        <v>1</v>
      </c>
      <c r="D74">
        <f>IF(C74=1,COUNTIF($C$2:C74,1),"")</f>
        <v>73</v>
      </c>
      <c r="E74" t="str">
        <f>IFERROR(INDEX($A$2:$A$603,MATCH(ROWS($D$2:D74),$D$2:$D$603,0)),"")</f>
        <v>CAPMBDBLMF</v>
      </c>
    </row>
    <row r="75" spans="1:5" x14ac:dyDescent="0.25">
      <c r="A75" t="s">
        <v>675</v>
      </c>
      <c r="B75" t="s">
        <v>74</v>
      </c>
      <c r="C75">
        <f>--ISNUMBER(IFERROR(SEARCH(Deshbord!$A$1,A75,1),""))</f>
        <v>1</v>
      </c>
      <c r="D75">
        <f>IF(C75=1,COUNTIF($C$2:C75,1),"")</f>
        <v>74</v>
      </c>
      <c r="E75" t="str">
        <f>IFERROR(INDEX($A$2:$A$603,MATCH(ROWS($D$2:D75),$D$2:$D$603,0)),"")</f>
        <v>CAPMIBBLMF</v>
      </c>
    </row>
    <row r="76" spans="1:5" x14ac:dyDescent="0.25">
      <c r="A76" t="s">
        <v>676</v>
      </c>
      <c r="B76" t="s">
        <v>75</v>
      </c>
      <c r="C76">
        <f>--ISNUMBER(IFERROR(SEARCH(Deshbord!$A$1,A76,1),""))</f>
        <v>1</v>
      </c>
      <c r="D76">
        <f>IF(C76=1,COUNTIF($C$2:C76,1),"")</f>
        <v>75</v>
      </c>
      <c r="E76" t="str">
        <f>IFERROR(INDEX($A$2:$A$603,MATCH(ROWS($D$2:D76),$D$2:$D$603,0)),"")</f>
        <v>CENTRALINS</v>
      </c>
    </row>
    <row r="77" spans="1:5" x14ac:dyDescent="0.25">
      <c r="A77" t="s">
        <v>677</v>
      </c>
      <c r="B77" t="s">
        <v>76</v>
      </c>
      <c r="C77">
        <f>--ISNUMBER(IFERROR(SEARCH(Deshbord!$A$1,A77,1),""))</f>
        <v>1</v>
      </c>
      <c r="D77">
        <f>IF(C77=1,COUNTIF($C$2:C77,1),"")</f>
        <v>76</v>
      </c>
      <c r="E77" t="str">
        <f>IFERROR(INDEX($A$2:$A$603,MATCH(ROWS($D$2:D77),$D$2:$D$603,0)),"")</f>
        <v>CENTRALPHL</v>
      </c>
    </row>
    <row r="78" spans="1:5" x14ac:dyDescent="0.25">
      <c r="A78" t="s">
        <v>678</v>
      </c>
      <c r="B78" t="s">
        <v>77</v>
      </c>
      <c r="C78">
        <f>--ISNUMBER(IFERROR(SEARCH(Deshbord!$A$1,A78,1),""))</f>
        <v>1</v>
      </c>
      <c r="D78">
        <f>IF(C78=1,COUNTIF($C$2:C78,1),"")</f>
        <v>77</v>
      </c>
      <c r="E78" t="str">
        <f>IFERROR(INDEX($A$2:$A$603,MATCH(ROWS($D$2:D78),$D$2:$D$603,0)),"")</f>
        <v>CITYBANK</v>
      </c>
    </row>
    <row r="79" spans="1:5" x14ac:dyDescent="0.25">
      <c r="A79" t="s">
        <v>679</v>
      </c>
      <c r="B79" t="s">
        <v>78</v>
      </c>
      <c r="C79">
        <f>--ISNUMBER(IFERROR(SEARCH(Deshbord!$A$1,A79,1),""))</f>
        <v>1</v>
      </c>
      <c r="D79">
        <f>IF(C79=1,COUNTIF($C$2:C79,1),"")</f>
        <v>78</v>
      </c>
      <c r="E79" t="str">
        <f>IFERROR(INDEX($A$2:$A$603,MATCH(ROWS($D$2:D79),$D$2:$D$603,0)),"")</f>
        <v>CITYGENINS</v>
      </c>
    </row>
    <row r="80" spans="1:5" x14ac:dyDescent="0.25">
      <c r="A80" t="s">
        <v>680</v>
      </c>
      <c r="B80" t="s">
        <v>79</v>
      </c>
      <c r="C80">
        <f>--ISNUMBER(IFERROR(SEARCH(Deshbord!$A$1,A80,1),""))</f>
        <v>1</v>
      </c>
      <c r="D80">
        <f>IF(C80=1,COUNTIF($C$2:C80,1),"")</f>
        <v>79</v>
      </c>
      <c r="E80" t="str">
        <f>IFERROR(INDEX($A$2:$A$603,MATCH(ROWS($D$2:D80),$D$2:$D$603,0)),"")</f>
        <v>CNATEX</v>
      </c>
    </row>
    <row r="81" spans="1:5" x14ac:dyDescent="0.25">
      <c r="A81" t="s">
        <v>681</v>
      </c>
      <c r="B81" t="s">
        <v>80</v>
      </c>
      <c r="C81">
        <f>--ISNUMBER(IFERROR(SEARCH(Deshbord!$A$1,A81,1),""))</f>
        <v>1</v>
      </c>
      <c r="D81">
        <f>IF(C81=1,COUNTIF($C$2:C81,1),"")</f>
        <v>80</v>
      </c>
      <c r="E81" t="str">
        <f>IFERROR(INDEX($A$2:$A$603,MATCH(ROWS($D$2:D81),$D$2:$D$603,0)),"")</f>
        <v>CONFIDCEM</v>
      </c>
    </row>
    <row r="82" spans="1:5" x14ac:dyDescent="0.25">
      <c r="A82" t="s">
        <v>682</v>
      </c>
      <c r="B82" t="s">
        <v>81</v>
      </c>
      <c r="C82">
        <f>--ISNUMBER(IFERROR(SEARCH(Deshbord!$A$1,A82,1),""))</f>
        <v>1</v>
      </c>
      <c r="D82">
        <f>IF(C82=1,COUNTIF($C$2:C82,1),"")</f>
        <v>81</v>
      </c>
      <c r="E82" t="str">
        <f>IFERROR(INDEX($A$2:$A$603,MATCH(ROWS($D$2:D82),$D$2:$D$603,0)),"")</f>
        <v>CONTININS</v>
      </c>
    </row>
    <row r="83" spans="1:5" x14ac:dyDescent="0.25">
      <c r="A83" t="s">
        <v>683</v>
      </c>
      <c r="B83" t="s">
        <v>82</v>
      </c>
      <c r="C83">
        <f>--ISNUMBER(IFERROR(SEARCH(Deshbord!$A$1,A83,1),""))</f>
        <v>1</v>
      </c>
      <c r="D83">
        <f>IF(C83=1,COUNTIF($C$2:C83,1),"")</f>
        <v>82</v>
      </c>
      <c r="E83" t="str">
        <f>IFERROR(INDEX($A$2:$A$603,MATCH(ROWS($D$2:D83),$D$2:$D$603,0)),"")</f>
        <v>COPPERTECH</v>
      </c>
    </row>
    <row r="84" spans="1:5" x14ac:dyDescent="0.25">
      <c r="A84" t="s">
        <v>684</v>
      </c>
      <c r="B84" t="s">
        <v>83</v>
      </c>
      <c r="C84">
        <f>--ISNUMBER(IFERROR(SEARCH(Deshbord!$A$1,A84,1),""))</f>
        <v>1</v>
      </c>
      <c r="D84">
        <f>IF(C84=1,COUNTIF($C$2:C84,1),"")</f>
        <v>83</v>
      </c>
      <c r="E84" t="str">
        <f>IFERROR(INDEX($A$2:$A$603,MATCH(ROWS($D$2:D84),$D$2:$D$603,0)),"")</f>
        <v>CRYSTALINS</v>
      </c>
    </row>
    <row r="85" spans="1:5" x14ac:dyDescent="0.25">
      <c r="A85" t="s">
        <v>685</v>
      </c>
      <c r="B85" t="s">
        <v>84</v>
      </c>
      <c r="C85">
        <f>--ISNUMBER(IFERROR(SEARCH(Deshbord!$A$1,A85,1),""))</f>
        <v>1</v>
      </c>
      <c r="D85">
        <f>IF(C85=1,COUNTIF($C$2:C85,1),"")</f>
        <v>84</v>
      </c>
      <c r="E85" t="str">
        <f>IFERROR(INDEX($A$2:$A$603,MATCH(ROWS($D$2:D85),$D$2:$D$603,0)),"")</f>
        <v>CVOPRL</v>
      </c>
    </row>
    <row r="86" spans="1:5" x14ac:dyDescent="0.25">
      <c r="A86" t="s">
        <v>686</v>
      </c>
      <c r="B86" t="s">
        <v>85</v>
      </c>
      <c r="C86">
        <f>--ISNUMBER(IFERROR(SEARCH(Deshbord!$A$1,A86,1),""))</f>
        <v>1</v>
      </c>
      <c r="D86">
        <f>IF(C86=1,COUNTIF($C$2:C86,1),"")</f>
        <v>85</v>
      </c>
      <c r="E86" t="str">
        <f>IFERROR(INDEX($A$2:$A$603,MATCH(ROWS($D$2:D86),$D$2:$D$603,0)),"")</f>
        <v>DACCADYE</v>
      </c>
    </row>
    <row r="87" spans="1:5" x14ac:dyDescent="0.25">
      <c r="A87" t="s">
        <v>687</v>
      </c>
      <c r="B87" t="s">
        <v>86</v>
      </c>
      <c r="C87">
        <f>--ISNUMBER(IFERROR(SEARCH(Deshbord!$A$1,A87,1),""))</f>
        <v>1</v>
      </c>
      <c r="D87">
        <f>IF(C87=1,COUNTIF($C$2:C87,1),"")</f>
        <v>86</v>
      </c>
      <c r="E87" t="str">
        <f>IFERROR(INDEX($A$2:$A$603,MATCH(ROWS($D$2:D87),$D$2:$D$603,0)),"")</f>
        <v>DAFODILCOM</v>
      </c>
    </row>
    <row r="88" spans="1:5" x14ac:dyDescent="0.25">
      <c r="A88" t="s">
        <v>688</v>
      </c>
      <c r="B88" t="s">
        <v>87</v>
      </c>
      <c r="C88">
        <f>--ISNUMBER(IFERROR(SEARCH(Deshbord!$A$1,A88,1),""))</f>
        <v>1</v>
      </c>
      <c r="D88">
        <f>IF(C88=1,COUNTIF($C$2:C88,1),"")</f>
        <v>87</v>
      </c>
      <c r="E88" t="str">
        <f>IFERROR(INDEX($A$2:$A$603,MATCH(ROWS($D$2:D88),$D$2:$D$603,0)),"")</f>
        <v>DBH</v>
      </c>
    </row>
    <row r="89" spans="1:5" x14ac:dyDescent="0.25">
      <c r="A89" t="s">
        <v>689</v>
      </c>
      <c r="B89" t="s">
        <v>88</v>
      </c>
      <c r="C89">
        <f>--ISNUMBER(IFERROR(SEARCH(Deshbord!$A$1,A89,1),""))</f>
        <v>1</v>
      </c>
      <c r="D89">
        <f>IF(C89=1,COUNTIF($C$2:C89,1),"")</f>
        <v>88</v>
      </c>
      <c r="E89" t="str">
        <f>IFERROR(INDEX($A$2:$A$603,MATCH(ROWS($D$2:D89),$D$2:$D$603,0)),"")</f>
        <v>DBH1STMF</v>
      </c>
    </row>
    <row r="90" spans="1:5" x14ac:dyDescent="0.25">
      <c r="A90" t="s">
        <v>690</v>
      </c>
      <c r="B90" t="s">
        <v>89</v>
      </c>
      <c r="C90">
        <f>--ISNUMBER(IFERROR(SEARCH(Deshbord!$A$1,A90,1),""))</f>
        <v>1</v>
      </c>
      <c r="D90">
        <f>IF(C90=1,COUNTIF($C$2:C90,1),"")</f>
        <v>89</v>
      </c>
      <c r="E90" t="str">
        <f>IFERROR(INDEX($A$2:$A$603,MATCH(ROWS($D$2:D90),$D$2:$D$603,0)),"")</f>
        <v>DEBARACEM</v>
      </c>
    </row>
    <row r="91" spans="1:5" x14ac:dyDescent="0.25">
      <c r="A91" t="s">
        <v>691</v>
      </c>
      <c r="B91" t="s">
        <v>90</v>
      </c>
      <c r="C91">
        <f>--ISNUMBER(IFERROR(SEARCH(Deshbord!$A$1,A91,1),""))</f>
        <v>1</v>
      </c>
      <c r="D91">
        <f>IF(C91=1,COUNTIF($C$2:C91,1),"")</f>
        <v>90</v>
      </c>
      <c r="E91" t="str">
        <f>IFERROR(INDEX($A$2:$A$603,MATCH(ROWS($D$2:D91),$D$2:$D$603,0)),"")</f>
        <v>DEBBDLUGG</v>
      </c>
    </row>
    <row r="92" spans="1:5" x14ac:dyDescent="0.25">
      <c r="A92" t="s">
        <v>692</v>
      </c>
      <c r="B92" t="s">
        <v>91</v>
      </c>
      <c r="C92">
        <f>--ISNUMBER(IFERROR(SEARCH(Deshbord!$A$1,A92,1),""))</f>
        <v>1</v>
      </c>
      <c r="D92">
        <f>IF(C92=1,COUNTIF($C$2:C92,1),"")</f>
        <v>91</v>
      </c>
      <c r="E92" t="str">
        <f>IFERROR(INDEX($A$2:$A$603,MATCH(ROWS($D$2:D92),$D$2:$D$603,0)),"")</f>
        <v>DEBBDWELD</v>
      </c>
    </row>
    <row r="93" spans="1:5" x14ac:dyDescent="0.25">
      <c r="A93" t="s">
        <v>693</v>
      </c>
      <c r="B93" t="s">
        <v>92</v>
      </c>
      <c r="C93">
        <f>--ISNUMBER(IFERROR(SEARCH(Deshbord!$A$1,A93,1),""))</f>
        <v>1</v>
      </c>
      <c r="D93">
        <f>IF(C93=1,COUNTIF($C$2:C93,1),"")</f>
        <v>92</v>
      </c>
      <c r="E93" t="str">
        <f>IFERROR(INDEX($A$2:$A$603,MATCH(ROWS($D$2:D93),$D$2:$D$603,0)),"")</f>
        <v>DEBBDZIPP</v>
      </c>
    </row>
    <row r="94" spans="1:5" x14ac:dyDescent="0.25">
      <c r="A94" t="s">
        <v>694</v>
      </c>
      <c r="B94" t="s">
        <v>93</v>
      </c>
      <c r="C94">
        <f>--ISNUMBER(IFERROR(SEARCH(Deshbord!$A$1,A94,1),""))</f>
        <v>1</v>
      </c>
      <c r="D94">
        <f>IF(C94=1,COUNTIF($C$2:C94,1),"")</f>
        <v>93</v>
      </c>
      <c r="E94" t="str">
        <f>IFERROR(INDEX($A$2:$A$603,MATCH(ROWS($D$2:D94),$D$2:$D$603,0)),"")</f>
        <v>DEBBXDENIM</v>
      </c>
    </row>
    <row r="95" spans="1:5" x14ac:dyDescent="0.25">
      <c r="A95" t="s">
        <v>695</v>
      </c>
      <c r="B95" t="s">
        <v>94</v>
      </c>
      <c r="C95">
        <f>--ISNUMBER(IFERROR(SEARCH(Deshbord!$A$1,A95,1),""))</f>
        <v>1</v>
      </c>
      <c r="D95">
        <f>IF(C95=1,COUNTIF($C$2:C95,1),"")</f>
        <v>94</v>
      </c>
      <c r="E95" t="str">
        <f>IFERROR(INDEX($A$2:$A$603,MATCH(ROWS($D$2:D95),$D$2:$D$603,0)),"")</f>
        <v>DEBBXFISH</v>
      </c>
    </row>
    <row r="96" spans="1:5" x14ac:dyDescent="0.25">
      <c r="A96" t="s">
        <v>696</v>
      </c>
      <c r="B96" t="s">
        <v>95</v>
      </c>
      <c r="C96">
        <f>--ISNUMBER(IFERROR(SEARCH(Deshbord!$A$1,A96,1),""))</f>
        <v>1</v>
      </c>
      <c r="D96">
        <f>IF(C96=1,COUNTIF($C$2:C96,1),"")</f>
        <v>95</v>
      </c>
      <c r="E96" t="str">
        <f>IFERROR(INDEX($A$2:$A$603,MATCH(ROWS($D$2:D96),$D$2:$D$603,0)),"")</f>
        <v>DEBBXKNI</v>
      </c>
    </row>
    <row r="97" spans="1:5" x14ac:dyDescent="0.25">
      <c r="A97" t="s">
        <v>697</v>
      </c>
      <c r="B97" t="s">
        <v>96</v>
      </c>
      <c r="C97">
        <f>--ISNUMBER(IFERROR(SEARCH(Deshbord!$A$1,A97,1),""))</f>
        <v>1</v>
      </c>
      <c r="D97">
        <f>IF(C97=1,COUNTIF($C$2:C97,1),"")</f>
        <v>96</v>
      </c>
      <c r="E97" t="str">
        <f>IFERROR(INDEX($A$2:$A$603,MATCH(ROWS($D$2:D97),$D$2:$D$603,0)),"")</f>
        <v>DEBBXTEX</v>
      </c>
    </row>
    <row r="98" spans="1:5" x14ac:dyDescent="0.25">
      <c r="A98" t="s">
        <v>698</v>
      </c>
      <c r="B98" t="s">
        <v>97</v>
      </c>
      <c r="C98">
        <f>--ISNUMBER(IFERROR(SEARCH(Deshbord!$A$1,A98,1),""))</f>
        <v>1</v>
      </c>
      <c r="D98">
        <f>IF(C98=1,COUNTIF($C$2:C98,1),"")</f>
        <v>97</v>
      </c>
      <c r="E98" t="str">
        <f>IFERROR(INDEX($A$2:$A$603,MATCH(ROWS($D$2:D98),$D$2:$D$603,0)),"")</f>
        <v>DELTALIFE</v>
      </c>
    </row>
    <row r="99" spans="1:5" x14ac:dyDescent="0.25">
      <c r="A99" t="s">
        <v>699</v>
      </c>
      <c r="B99" t="s">
        <v>98</v>
      </c>
      <c r="C99">
        <f>--ISNUMBER(IFERROR(SEARCH(Deshbord!$A$1,A99,1),""))</f>
        <v>1</v>
      </c>
      <c r="D99">
        <f>IF(C99=1,COUNTIF($C$2:C99,1),"")</f>
        <v>98</v>
      </c>
      <c r="E99" t="str">
        <f>IFERROR(INDEX($A$2:$A$603,MATCH(ROWS($D$2:D99),$D$2:$D$603,0)),"")</f>
        <v>DELTASPINN</v>
      </c>
    </row>
    <row r="100" spans="1:5" x14ac:dyDescent="0.25">
      <c r="A100" t="s">
        <v>700</v>
      </c>
      <c r="B100" t="s">
        <v>99</v>
      </c>
      <c r="C100">
        <f>--ISNUMBER(IFERROR(SEARCH(Deshbord!$A$1,A100,1),""))</f>
        <v>1</v>
      </c>
      <c r="D100">
        <f>IF(C100=1,COUNTIF($C$2:C100,1),"")</f>
        <v>99</v>
      </c>
      <c r="E100" t="str">
        <f>IFERROR(INDEX($A$2:$A$603,MATCH(ROWS($D$2:D100),$D$2:$D$603,0)),"")</f>
        <v>DESCO</v>
      </c>
    </row>
    <row r="101" spans="1:5" x14ac:dyDescent="0.25">
      <c r="A101" t="s">
        <v>701</v>
      </c>
      <c r="B101" t="s">
        <v>100</v>
      </c>
      <c r="C101">
        <f>--ISNUMBER(IFERROR(SEARCH(Deshbord!$A$1,A101,1),""))</f>
        <v>1</v>
      </c>
      <c r="D101">
        <f>IF(C101=1,COUNTIF($C$2:C101,1),"")</f>
        <v>100</v>
      </c>
      <c r="E101" t="str">
        <f>IFERROR(INDEX($A$2:$A$603,MATCH(ROWS($D$2:D101),$D$2:$D$603,0)),"")</f>
        <v>DESHBANDHU</v>
      </c>
    </row>
    <row r="102" spans="1:5" x14ac:dyDescent="0.25">
      <c r="A102" t="s">
        <v>702</v>
      </c>
      <c r="B102" t="s">
        <v>101</v>
      </c>
      <c r="C102">
        <f>--ISNUMBER(IFERROR(SEARCH(Deshbord!$A$1,A102,1),""))</f>
        <v>1</v>
      </c>
      <c r="D102">
        <f>IF(C102=1,COUNTIF($C$2:C102,1),"")</f>
        <v>101</v>
      </c>
      <c r="E102" t="str">
        <f>IFERROR(INDEX($A$2:$A$603,MATCH(ROWS($D$2:D102),$D$2:$D$603,0)),"")</f>
        <v>DHAKABANK</v>
      </c>
    </row>
    <row r="103" spans="1:5" x14ac:dyDescent="0.25">
      <c r="A103" t="s">
        <v>703</v>
      </c>
      <c r="B103" t="s">
        <v>102</v>
      </c>
      <c r="C103">
        <f>--ISNUMBER(IFERROR(SEARCH(Deshbord!$A$1,A103,1),""))</f>
        <v>1</v>
      </c>
      <c r="D103">
        <f>IF(C103=1,COUNTIF($C$2:C103,1),"")</f>
        <v>102</v>
      </c>
      <c r="E103" t="str">
        <f>IFERROR(INDEX($A$2:$A$603,MATCH(ROWS($D$2:D103),$D$2:$D$603,0)),"")</f>
        <v>DHAKAINS</v>
      </c>
    </row>
    <row r="104" spans="1:5" x14ac:dyDescent="0.25">
      <c r="A104" t="s">
        <v>704</v>
      </c>
      <c r="B104" t="s">
        <v>103</v>
      </c>
      <c r="C104">
        <f>--ISNUMBER(IFERROR(SEARCH(Deshbord!$A$1,A104,1),""))</f>
        <v>1</v>
      </c>
      <c r="D104">
        <f>IF(C104=1,COUNTIF($C$2:C104,1),"")</f>
        <v>103</v>
      </c>
      <c r="E104" t="str">
        <f>IFERROR(INDEX($A$2:$A$603,MATCH(ROWS($D$2:D104),$D$2:$D$603,0)),"")</f>
        <v>DOMINAGE</v>
      </c>
    </row>
    <row r="105" spans="1:5" x14ac:dyDescent="0.25">
      <c r="A105" t="s">
        <v>705</v>
      </c>
      <c r="B105" t="s">
        <v>104</v>
      </c>
      <c r="C105">
        <f>--ISNUMBER(IFERROR(SEARCH(Deshbord!$A$1,A105,1),""))</f>
        <v>1</v>
      </c>
      <c r="D105">
        <f>IF(C105=1,COUNTIF($C$2:C105,1),"")</f>
        <v>104</v>
      </c>
      <c r="E105" t="str">
        <f>IFERROR(INDEX($A$2:$A$603,MATCH(ROWS($D$2:D105),$D$2:$D$603,0)),"")</f>
        <v>DOREENPWR</v>
      </c>
    </row>
    <row r="106" spans="1:5" x14ac:dyDescent="0.25">
      <c r="A106" t="s">
        <v>706</v>
      </c>
      <c r="B106" t="s">
        <v>105</v>
      </c>
      <c r="C106">
        <f>--ISNUMBER(IFERROR(SEARCH(Deshbord!$A$1,A106,1),""))</f>
        <v>1</v>
      </c>
      <c r="D106">
        <f>IF(C106=1,COUNTIF($C$2:C106,1),"")</f>
        <v>105</v>
      </c>
      <c r="E106" t="str">
        <f>IFERROR(INDEX($A$2:$A$603,MATCH(ROWS($D$2:D106),$D$2:$D$603,0)),"")</f>
        <v>DSHGARME</v>
      </c>
    </row>
    <row r="107" spans="1:5" x14ac:dyDescent="0.25">
      <c r="A107" t="s">
        <v>707</v>
      </c>
      <c r="B107" t="s">
        <v>106</v>
      </c>
      <c r="C107">
        <f>--ISNUMBER(IFERROR(SEARCH(Deshbord!$A$1,A107,1),""))</f>
        <v>1</v>
      </c>
      <c r="D107">
        <f>IF(C107=1,COUNTIF($C$2:C107,1),"")</f>
        <v>106</v>
      </c>
      <c r="E107" t="str">
        <f>IFERROR(INDEX($A$2:$A$603,MATCH(ROWS($D$2:D107),$D$2:$D$603,0)),"")</f>
        <v>DSSL</v>
      </c>
    </row>
    <row r="108" spans="1:5" x14ac:dyDescent="0.25">
      <c r="A108" t="s">
        <v>708</v>
      </c>
      <c r="B108" t="s">
        <v>107</v>
      </c>
      <c r="C108">
        <f>--ISNUMBER(IFERROR(SEARCH(Deshbord!$A$1,A108,1),""))</f>
        <v>1</v>
      </c>
      <c r="D108">
        <f>IF(C108=1,COUNTIF($C$2:C108,1),"")</f>
        <v>107</v>
      </c>
      <c r="E108" t="str">
        <f>IFERROR(INDEX($A$2:$A$603,MATCH(ROWS($D$2:D108),$D$2:$D$603,0)),"")</f>
        <v>DULAMIACOT</v>
      </c>
    </row>
    <row r="109" spans="1:5" x14ac:dyDescent="0.25">
      <c r="A109" t="s">
        <v>709</v>
      </c>
      <c r="B109" t="s">
        <v>108</v>
      </c>
      <c r="C109">
        <f>--ISNUMBER(IFERROR(SEARCH(Deshbord!$A$1,A109,1),""))</f>
        <v>1</v>
      </c>
      <c r="D109">
        <f>IF(C109=1,COUNTIF($C$2:C109,1),"")</f>
        <v>108</v>
      </c>
      <c r="E109" t="str">
        <f>IFERROR(INDEX($A$2:$A$603,MATCH(ROWS($D$2:D109),$D$2:$D$603,0)),"")</f>
        <v>DUTCHBANGL</v>
      </c>
    </row>
    <row r="110" spans="1:5" x14ac:dyDescent="0.25">
      <c r="A110" t="s">
        <v>710</v>
      </c>
      <c r="B110" t="s">
        <v>109</v>
      </c>
      <c r="C110">
        <f>--ISNUMBER(IFERROR(SEARCH(Deshbord!$A$1,A110,1),""))</f>
        <v>1</v>
      </c>
      <c r="D110">
        <f>IF(C110=1,COUNTIF($C$2:C110,1),"")</f>
        <v>109</v>
      </c>
      <c r="E110" t="str">
        <f>IFERROR(INDEX($A$2:$A$603,MATCH(ROWS($D$2:D110),$D$2:$D$603,0)),"")</f>
        <v>EASTERNINS</v>
      </c>
    </row>
    <row r="111" spans="1:5" x14ac:dyDescent="0.25">
      <c r="A111" t="s">
        <v>711</v>
      </c>
      <c r="B111" t="s">
        <v>110</v>
      </c>
      <c r="C111">
        <f>--ISNUMBER(IFERROR(SEARCH(Deshbord!$A$1,A111,1),""))</f>
        <v>1</v>
      </c>
      <c r="D111">
        <f>IF(C111=1,COUNTIF($C$2:C111,1),"")</f>
        <v>110</v>
      </c>
      <c r="E111" t="str">
        <f>IFERROR(INDEX($A$2:$A$603,MATCH(ROWS($D$2:D111),$D$2:$D$603,0)),"")</f>
        <v>EASTLAND</v>
      </c>
    </row>
    <row r="112" spans="1:5" x14ac:dyDescent="0.25">
      <c r="A112" t="s">
        <v>712</v>
      </c>
      <c r="B112" t="s">
        <v>111</v>
      </c>
      <c r="C112">
        <f>--ISNUMBER(IFERROR(SEARCH(Deshbord!$A$1,A112,1),""))</f>
        <v>1</v>
      </c>
      <c r="D112">
        <f>IF(C112=1,COUNTIF($C$2:C112,1),"")</f>
        <v>111</v>
      </c>
      <c r="E112" t="str">
        <f>IFERROR(INDEX($A$2:$A$603,MATCH(ROWS($D$2:D112),$D$2:$D$603,0)),"")</f>
        <v>EASTRNLUB</v>
      </c>
    </row>
    <row r="113" spans="1:5" x14ac:dyDescent="0.25">
      <c r="A113" t="s">
        <v>713</v>
      </c>
      <c r="B113" t="s">
        <v>112</v>
      </c>
      <c r="C113">
        <f>--ISNUMBER(IFERROR(SEARCH(Deshbord!$A$1,A113,1),""))</f>
        <v>1</v>
      </c>
      <c r="D113">
        <f>IF(C113=1,COUNTIF($C$2:C113,1),"")</f>
        <v>112</v>
      </c>
      <c r="E113" t="str">
        <f>IFERROR(INDEX($A$2:$A$603,MATCH(ROWS($D$2:D113),$D$2:$D$603,0)),"")</f>
        <v>EBL</v>
      </c>
    </row>
    <row r="114" spans="1:5" x14ac:dyDescent="0.25">
      <c r="A114" t="s">
        <v>714</v>
      </c>
      <c r="B114" t="s">
        <v>113</v>
      </c>
      <c r="C114">
        <f>--ISNUMBER(IFERROR(SEARCH(Deshbord!$A$1,A114,1),""))</f>
        <v>1</v>
      </c>
      <c r="D114">
        <f>IF(C114=1,COUNTIF($C$2:C114,1),"")</f>
        <v>113</v>
      </c>
      <c r="E114" t="str">
        <f>IFERROR(INDEX($A$2:$A$603,MATCH(ROWS($D$2:D114),$D$2:$D$603,0)),"")</f>
        <v>EBL1STMF</v>
      </c>
    </row>
    <row r="115" spans="1:5" x14ac:dyDescent="0.25">
      <c r="A115" t="s">
        <v>715</v>
      </c>
      <c r="B115" t="s">
        <v>114</v>
      </c>
      <c r="C115">
        <f>--ISNUMBER(IFERROR(SEARCH(Deshbord!$A$1,A115,1),""))</f>
        <v>1</v>
      </c>
      <c r="D115">
        <f>IF(C115=1,COUNTIF($C$2:C115,1),"")</f>
        <v>114</v>
      </c>
      <c r="E115" t="str">
        <f>IFERROR(INDEX($A$2:$A$603,MATCH(ROWS($D$2:D115),$D$2:$D$603,0)),"")</f>
        <v>EBLNRBMF</v>
      </c>
    </row>
    <row r="116" spans="1:5" x14ac:dyDescent="0.25">
      <c r="A116" t="s">
        <v>716</v>
      </c>
      <c r="B116" t="s">
        <v>115</v>
      </c>
      <c r="C116">
        <f>--ISNUMBER(IFERROR(SEARCH(Deshbord!$A$1,A116,1),""))</f>
        <v>1</v>
      </c>
      <c r="D116">
        <f>IF(C116=1,COUNTIF($C$2:C116,1),"")</f>
        <v>115</v>
      </c>
      <c r="E116" t="str">
        <f>IFERROR(INDEX($A$2:$A$603,MATCH(ROWS($D$2:D116),$D$2:$D$603,0)),"")</f>
        <v>ECABLES</v>
      </c>
    </row>
    <row r="117" spans="1:5" x14ac:dyDescent="0.25">
      <c r="A117" t="s">
        <v>717</v>
      </c>
      <c r="B117" t="s">
        <v>116</v>
      </c>
      <c r="C117">
        <f>--ISNUMBER(IFERROR(SEARCH(Deshbord!$A$1,A117,1),""))</f>
        <v>1</v>
      </c>
      <c r="D117">
        <f>IF(C117=1,COUNTIF($C$2:C117,1),"")</f>
        <v>116</v>
      </c>
      <c r="E117" t="str">
        <f>IFERROR(INDEX($A$2:$A$603,MATCH(ROWS($D$2:D117),$D$2:$D$603,0)),"")</f>
        <v>EGEN</v>
      </c>
    </row>
    <row r="118" spans="1:5" x14ac:dyDescent="0.25">
      <c r="A118" t="s">
        <v>718</v>
      </c>
      <c r="B118" t="s">
        <v>117</v>
      </c>
      <c r="C118">
        <f>--ISNUMBER(IFERROR(SEARCH(Deshbord!$A$1,A118,1),""))</f>
        <v>1</v>
      </c>
      <c r="D118">
        <f>IF(C118=1,COUNTIF($C$2:C118,1),"")</f>
        <v>117</v>
      </c>
      <c r="E118" t="str">
        <f>IFERROR(INDEX($A$2:$A$603,MATCH(ROWS($D$2:D118),$D$2:$D$603,0)),"")</f>
        <v>EHL</v>
      </c>
    </row>
    <row r="119" spans="1:5" x14ac:dyDescent="0.25">
      <c r="A119" t="s">
        <v>719</v>
      </c>
      <c r="B119" t="s">
        <v>118</v>
      </c>
      <c r="C119">
        <f>--ISNUMBER(IFERROR(SEARCH(Deshbord!$A$1,A119,1),""))</f>
        <v>1</v>
      </c>
      <c r="D119">
        <f>IF(C119=1,COUNTIF($C$2:C119,1),"")</f>
        <v>118</v>
      </c>
      <c r="E119" t="str">
        <f>IFERROR(INDEX($A$2:$A$603,MATCH(ROWS($D$2:D119),$D$2:$D$603,0)),"")</f>
        <v>EIL</v>
      </c>
    </row>
    <row r="120" spans="1:5" x14ac:dyDescent="0.25">
      <c r="A120" t="s">
        <v>720</v>
      </c>
      <c r="B120" t="s">
        <v>119</v>
      </c>
      <c r="C120">
        <f>--ISNUMBER(IFERROR(SEARCH(Deshbord!$A$1,A120,1),""))</f>
        <v>1</v>
      </c>
      <c r="D120">
        <f>IF(C120=1,COUNTIF($C$2:C120,1),"")</f>
        <v>119</v>
      </c>
      <c r="E120" t="str">
        <f>IFERROR(INDEX($A$2:$A$603,MATCH(ROWS($D$2:D120),$D$2:$D$603,0)),"")</f>
        <v>EMERALDOIL</v>
      </c>
    </row>
    <row r="121" spans="1:5" x14ac:dyDescent="0.25">
      <c r="A121" t="s">
        <v>721</v>
      </c>
      <c r="B121" t="s">
        <v>120</v>
      </c>
      <c r="C121">
        <f>--ISNUMBER(IFERROR(SEARCH(Deshbord!$A$1,A121,1),""))</f>
        <v>1</v>
      </c>
      <c r="D121">
        <f>IF(C121=1,COUNTIF($C$2:C121,1),"")</f>
        <v>120</v>
      </c>
      <c r="E121" t="str">
        <f>IFERROR(INDEX($A$2:$A$603,MATCH(ROWS($D$2:D121),$D$2:$D$603,0)),"")</f>
        <v>ENVOYTEX</v>
      </c>
    </row>
    <row r="122" spans="1:5" x14ac:dyDescent="0.25">
      <c r="A122" t="s">
        <v>722</v>
      </c>
      <c r="B122" t="s">
        <v>121</v>
      </c>
      <c r="C122">
        <f>--ISNUMBER(IFERROR(SEARCH(Deshbord!$A$1,A122,1),""))</f>
        <v>1</v>
      </c>
      <c r="D122">
        <f>IF(C122=1,COUNTIF($C$2:C122,1),"")</f>
        <v>121</v>
      </c>
      <c r="E122" t="str">
        <f>IFERROR(INDEX($A$2:$A$603,MATCH(ROWS($D$2:D122),$D$2:$D$603,0)),"")</f>
        <v>EPGL</v>
      </c>
    </row>
    <row r="123" spans="1:5" x14ac:dyDescent="0.25">
      <c r="A123" t="s">
        <v>723</v>
      </c>
      <c r="B123" t="s">
        <v>122</v>
      </c>
      <c r="C123">
        <f>--ISNUMBER(IFERROR(SEARCH(Deshbord!$A$1,A123,1),""))</f>
        <v>1</v>
      </c>
      <c r="D123">
        <f>IF(C123=1,COUNTIF($C$2:C123,1),"")</f>
        <v>122</v>
      </c>
      <c r="E123" t="str">
        <f>IFERROR(INDEX($A$2:$A$603,MATCH(ROWS($D$2:D123),$D$2:$D$603,0)),"")</f>
        <v>ESQUIRENIT</v>
      </c>
    </row>
    <row r="124" spans="1:5" x14ac:dyDescent="0.25">
      <c r="A124" t="s">
        <v>724</v>
      </c>
      <c r="B124" t="s">
        <v>123</v>
      </c>
      <c r="C124">
        <f>--ISNUMBER(IFERROR(SEARCH(Deshbord!$A$1,A124,1),""))</f>
        <v>1</v>
      </c>
      <c r="D124">
        <f>IF(C124=1,COUNTIF($C$2:C124,1),"")</f>
        <v>123</v>
      </c>
      <c r="E124" t="str">
        <f>IFERROR(INDEX($A$2:$A$603,MATCH(ROWS($D$2:D124),$D$2:$D$603,0)),"")</f>
        <v>ETL</v>
      </c>
    </row>
    <row r="125" spans="1:5" x14ac:dyDescent="0.25">
      <c r="A125" t="s">
        <v>725</v>
      </c>
      <c r="B125" t="s">
        <v>124</v>
      </c>
      <c r="C125">
        <f>--ISNUMBER(IFERROR(SEARCH(Deshbord!$A$1,A125,1),""))</f>
        <v>1</v>
      </c>
      <c r="D125">
        <f>IF(C125=1,COUNTIF($C$2:C125,1),"")</f>
        <v>124</v>
      </c>
      <c r="E125" t="str">
        <f>IFERROR(INDEX($A$2:$A$603,MATCH(ROWS($D$2:D125),$D$2:$D$603,0)),"")</f>
        <v>EXIM1STMF</v>
      </c>
    </row>
    <row r="126" spans="1:5" x14ac:dyDescent="0.25">
      <c r="A126" t="s">
        <v>726</v>
      </c>
      <c r="B126" t="s">
        <v>125</v>
      </c>
      <c r="C126">
        <f>--ISNUMBER(IFERROR(SEARCH(Deshbord!$A$1,A126,1),""))</f>
        <v>1</v>
      </c>
      <c r="D126">
        <f>IF(C126=1,COUNTIF($C$2:C126,1),"")</f>
        <v>125</v>
      </c>
      <c r="E126" t="str">
        <f>IFERROR(INDEX($A$2:$A$603,MATCH(ROWS($D$2:D126),$D$2:$D$603,0)),"")</f>
        <v>EXIMBANK</v>
      </c>
    </row>
    <row r="127" spans="1:5" x14ac:dyDescent="0.25">
      <c r="A127" t="s">
        <v>727</v>
      </c>
      <c r="B127" t="s">
        <v>126</v>
      </c>
      <c r="C127">
        <f>--ISNUMBER(IFERROR(SEARCH(Deshbord!$A$1,A127,1),""))</f>
        <v>1</v>
      </c>
      <c r="D127">
        <f>IF(C127=1,COUNTIF($C$2:C127,1),"")</f>
        <v>126</v>
      </c>
      <c r="E127" t="str">
        <f>IFERROR(INDEX($A$2:$A$603,MATCH(ROWS($D$2:D127),$D$2:$D$603,0)),"")</f>
        <v>FAMILYTEX</v>
      </c>
    </row>
    <row r="128" spans="1:5" x14ac:dyDescent="0.25">
      <c r="A128" t="s">
        <v>728</v>
      </c>
      <c r="B128" t="s">
        <v>127</v>
      </c>
      <c r="C128">
        <f>--ISNUMBER(IFERROR(SEARCH(Deshbord!$A$1,A128,1),""))</f>
        <v>1</v>
      </c>
      <c r="D128">
        <f>IF(C128=1,COUNTIF($C$2:C128,1),"")</f>
        <v>127</v>
      </c>
      <c r="E128" t="str">
        <f>IFERROR(INDEX($A$2:$A$603,MATCH(ROWS($D$2:D128),$D$2:$D$603,0)),"")</f>
        <v>FARCHEM</v>
      </c>
    </row>
    <row r="129" spans="1:5" x14ac:dyDescent="0.25">
      <c r="A129" t="s">
        <v>729</v>
      </c>
      <c r="B129" t="s">
        <v>128</v>
      </c>
      <c r="C129">
        <f>--ISNUMBER(IFERROR(SEARCH(Deshbord!$A$1,A129,1),""))</f>
        <v>1</v>
      </c>
      <c r="D129">
        <f>IF(C129=1,COUNTIF($C$2:C129,1),"")</f>
        <v>128</v>
      </c>
      <c r="E129" t="str">
        <f>IFERROR(INDEX($A$2:$A$603,MATCH(ROWS($D$2:D129),$D$2:$D$603,0)),"")</f>
        <v>FAREASTFIN</v>
      </c>
    </row>
    <row r="130" spans="1:5" x14ac:dyDescent="0.25">
      <c r="A130" t="s">
        <v>730</v>
      </c>
      <c r="B130" t="s">
        <v>129</v>
      </c>
      <c r="C130">
        <f>--ISNUMBER(IFERROR(SEARCH(Deshbord!$A$1,A130,1),""))</f>
        <v>1</v>
      </c>
      <c r="D130">
        <f>IF(C130=1,COUNTIF($C$2:C130,1),"")</f>
        <v>129</v>
      </c>
      <c r="E130" t="str">
        <f>IFERROR(INDEX($A$2:$A$603,MATCH(ROWS($D$2:D130),$D$2:$D$603,0)),"")</f>
        <v>FAREASTLIF</v>
      </c>
    </row>
    <row r="131" spans="1:5" x14ac:dyDescent="0.25">
      <c r="A131" t="s">
        <v>731</v>
      </c>
      <c r="B131" t="s">
        <v>130</v>
      </c>
      <c r="C131">
        <f>--ISNUMBER(IFERROR(SEARCH(Deshbord!$A$1,A131,1),""))</f>
        <v>1</v>
      </c>
      <c r="D131">
        <f>IF(C131=1,COUNTIF($C$2:C131,1),"")</f>
        <v>130</v>
      </c>
      <c r="E131" t="str">
        <f>IFERROR(INDEX($A$2:$A$603,MATCH(ROWS($D$2:D131),$D$2:$D$603,0)),"")</f>
        <v>FASFIN</v>
      </c>
    </row>
    <row r="132" spans="1:5" x14ac:dyDescent="0.25">
      <c r="A132" t="s">
        <v>732</v>
      </c>
      <c r="B132" t="s">
        <v>131</v>
      </c>
      <c r="C132">
        <f>--ISNUMBER(IFERROR(SEARCH(Deshbord!$A$1,A132,1),""))</f>
        <v>1</v>
      </c>
      <c r="D132">
        <f>IF(C132=1,COUNTIF($C$2:C132,1),"")</f>
        <v>131</v>
      </c>
      <c r="E132" t="str">
        <f>IFERROR(INDEX($A$2:$A$603,MATCH(ROWS($D$2:D132),$D$2:$D$603,0)),"")</f>
        <v>FBFIF</v>
      </c>
    </row>
    <row r="133" spans="1:5" x14ac:dyDescent="0.25">
      <c r="A133" t="s">
        <v>733</v>
      </c>
      <c r="B133" t="s">
        <v>132</v>
      </c>
      <c r="C133">
        <f>--ISNUMBER(IFERROR(SEARCH(Deshbord!$A$1,A133,1),""))</f>
        <v>1</v>
      </c>
      <c r="D133">
        <f>IF(C133=1,COUNTIF($C$2:C133,1),"")</f>
        <v>132</v>
      </c>
      <c r="E133" t="str">
        <f>IFERROR(INDEX($A$2:$A$603,MATCH(ROWS($D$2:D133),$D$2:$D$603,0)),"")</f>
        <v>FEDERALINS</v>
      </c>
    </row>
    <row r="134" spans="1:5" x14ac:dyDescent="0.25">
      <c r="A134" t="s">
        <v>734</v>
      </c>
      <c r="B134" t="s">
        <v>133</v>
      </c>
      <c r="C134">
        <f>--ISNUMBER(IFERROR(SEARCH(Deshbord!$A$1,A134,1),""))</f>
        <v>1</v>
      </c>
      <c r="D134">
        <f>IF(C134=1,COUNTIF($C$2:C134,1),"")</f>
        <v>133</v>
      </c>
      <c r="E134" t="str">
        <f>IFERROR(INDEX($A$2:$A$603,MATCH(ROWS($D$2:D134),$D$2:$D$603,0)),"")</f>
        <v>FEKDIL</v>
      </c>
    </row>
    <row r="135" spans="1:5" x14ac:dyDescent="0.25">
      <c r="A135" t="s">
        <v>735</v>
      </c>
      <c r="B135" t="s">
        <v>134</v>
      </c>
      <c r="C135">
        <f>--ISNUMBER(IFERROR(SEARCH(Deshbord!$A$1,A135,1),""))</f>
        <v>1</v>
      </c>
      <c r="D135">
        <f>IF(C135=1,COUNTIF($C$2:C135,1),"")</f>
        <v>134</v>
      </c>
      <c r="E135" t="str">
        <f>IFERROR(INDEX($A$2:$A$603,MATCH(ROWS($D$2:D135),$D$2:$D$603,0)),"")</f>
        <v>FINEFOODS</v>
      </c>
    </row>
    <row r="136" spans="1:5" x14ac:dyDescent="0.25">
      <c r="A136" t="s">
        <v>736</v>
      </c>
      <c r="B136" t="s">
        <v>135</v>
      </c>
      <c r="C136">
        <f>--ISNUMBER(IFERROR(SEARCH(Deshbord!$A$1,A136,1),""))</f>
        <v>1</v>
      </c>
      <c r="D136">
        <f>IF(C136=1,COUNTIF($C$2:C136,1),"")</f>
        <v>135</v>
      </c>
      <c r="E136" t="str">
        <f>IFERROR(INDEX($A$2:$A$603,MATCH(ROWS($D$2:D136),$D$2:$D$603,0)),"")</f>
        <v>FIRSTFIN</v>
      </c>
    </row>
    <row r="137" spans="1:5" x14ac:dyDescent="0.25">
      <c r="A137" t="s">
        <v>737</v>
      </c>
      <c r="B137" t="s">
        <v>136</v>
      </c>
      <c r="C137">
        <f>--ISNUMBER(IFERROR(SEARCH(Deshbord!$A$1,A137,1),""))</f>
        <v>1</v>
      </c>
      <c r="D137">
        <f>IF(C137=1,COUNTIF($C$2:C137,1),"")</f>
        <v>136</v>
      </c>
      <c r="E137" t="str">
        <f>IFERROR(INDEX($A$2:$A$603,MATCH(ROWS($D$2:D137),$D$2:$D$603,0)),"")</f>
        <v>FIRSTSBANK</v>
      </c>
    </row>
    <row r="138" spans="1:5" x14ac:dyDescent="0.25">
      <c r="A138" t="s">
        <v>738</v>
      </c>
      <c r="B138" t="s">
        <v>137</v>
      </c>
      <c r="C138">
        <f>--ISNUMBER(IFERROR(SEARCH(Deshbord!$A$1,A138,1),""))</f>
        <v>1</v>
      </c>
      <c r="D138">
        <f>IF(C138=1,COUNTIF($C$2:C138,1),"")</f>
        <v>137</v>
      </c>
      <c r="E138" t="str">
        <f>IFERROR(INDEX($A$2:$A$603,MATCH(ROWS($D$2:D138),$D$2:$D$603,0)),"")</f>
        <v>FORTUNE</v>
      </c>
    </row>
    <row r="139" spans="1:5" x14ac:dyDescent="0.25">
      <c r="A139" t="s">
        <v>739</v>
      </c>
      <c r="B139" t="s">
        <v>138</v>
      </c>
      <c r="C139">
        <f>--ISNUMBER(IFERROR(SEARCH(Deshbord!$A$1,A139,1),""))</f>
        <v>1</v>
      </c>
      <c r="D139">
        <f>IF(C139=1,COUNTIF($C$2:C139,1),"")</f>
        <v>138</v>
      </c>
      <c r="E139" t="str">
        <f>IFERROR(INDEX($A$2:$A$603,MATCH(ROWS($D$2:D139),$D$2:$D$603,0)),"")</f>
        <v>FUWANGCER</v>
      </c>
    </row>
    <row r="140" spans="1:5" x14ac:dyDescent="0.25">
      <c r="A140" t="s">
        <v>740</v>
      </c>
      <c r="B140" t="s">
        <v>139</v>
      </c>
      <c r="C140">
        <f>--ISNUMBER(IFERROR(SEARCH(Deshbord!$A$1,A140,1),""))</f>
        <v>1</v>
      </c>
      <c r="D140">
        <f>IF(C140=1,COUNTIF($C$2:C140,1),"")</f>
        <v>139</v>
      </c>
      <c r="E140" t="str">
        <f>IFERROR(INDEX($A$2:$A$603,MATCH(ROWS($D$2:D140),$D$2:$D$603,0)),"")</f>
        <v>FUWANGFOOD</v>
      </c>
    </row>
    <row r="141" spans="1:5" x14ac:dyDescent="0.25">
      <c r="A141" t="s">
        <v>741</v>
      </c>
      <c r="B141" t="s">
        <v>140</v>
      </c>
      <c r="C141">
        <f>--ISNUMBER(IFERROR(SEARCH(Deshbord!$A$1,A141,1),""))</f>
        <v>1</v>
      </c>
      <c r="D141">
        <f>IF(C141=1,COUNTIF($C$2:C141,1),"")</f>
        <v>140</v>
      </c>
      <c r="E141" t="str">
        <f>IFERROR(INDEX($A$2:$A$603,MATCH(ROWS($D$2:D141),$D$2:$D$603,0)),"")</f>
        <v>GBBPOWER</v>
      </c>
    </row>
    <row r="142" spans="1:5" x14ac:dyDescent="0.25">
      <c r="A142" t="s">
        <v>742</v>
      </c>
      <c r="B142" t="s">
        <v>141</v>
      </c>
      <c r="C142">
        <f>--ISNUMBER(IFERROR(SEARCH(Deshbord!$A$1,A142,1),""))</f>
        <v>1</v>
      </c>
      <c r="D142">
        <f>IF(C142=1,COUNTIF($C$2:C142,1),"")</f>
        <v>141</v>
      </c>
      <c r="E142" t="str">
        <f>IFERROR(INDEX($A$2:$A$603,MATCH(ROWS($D$2:D142),$D$2:$D$603,0)),"")</f>
        <v>GEMINISEA</v>
      </c>
    </row>
    <row r="143" spans="1:5" x14ac:dyDescent="0.25">
      <c r="A143" t="s">
        <v>743</v>
      </c>
      <c r="B143" t="s">
        <v>142</v>
      </c>
      <c r="C143">
        <f>--ISNUMBER(IFERROR(SEARCH(Deshbord!$A$1,A143,1),""))</f>
        <v>1</v>
      </c>
      <c r="D143">
        <f>IF(C143=1,COUNTIF($C$2:C143,1),"")</f>
        <v>142</v>
      </c>
      <c r="E143" t="str">
        <f>IFERROR(INDEX($A$2:$A$603,MATCH(ROWS($D$2:D143),$D$2:$D$603,0)),"")</f>
        <v>GENEXIL</v>
      </c>
    </row>
    <row r="144" spans="1:5" x14ac:dyDescent="0.25">
      <c r="A144" t="s">
        <v>744</v>
      </c>
      <c r="B144" t="s">
        <v>143</v>
      </c>
      <c r="C144">
        <f>--ISNUMBER(IFERROR(SEARCH(Deshbord!$A$1,A144,1),""))</f>
        <v>1</v>
      </c>
      <c r="D144">
        <f>IF(C144=1,COUNTIF($C$2:C144,1),"")</f>
        <v>143</v>
      </c>
      <c r="E144" t="str">
        <f>IFERROR(INDEX($A$2:$A$603,MATCH(ROWS($D$2:D144),$D$2:$D$603,0)),"")</f>
        <v>GENNEXT</v>
      </c>
    </row>
    <row r="145" spans="1:5" x14ac:dyDescent="0.25">
      <c r="A145" t="s">
        <v>745</v>
      </c>
      <c r="B145" t="s">
        <v>144</v>
      </c>
      <c r="C145">
        <f>--ISNUMBER(IFERROR(SEARCH(Deshbord!$A$1,A145,1),""))</f>
        <v>1</v>
      </c>
      <c r="D145">
        <f>IF(C145=1,COUNTIF($C$2:C145,1),"")</f>
        <v>144</v>
      </c>
      <c r="E145" t="str">
        <f>IFERROR(INDEX($A$2:$A$603,MATCH(ROWS($D$2:D145),$D$2:$D$603,0)),"")</f>
        <v>GHAIL</v>
      </c>
    </row>
    <row r="146" spans="1:5" x14ac:dyDescent="0.25">
      <c r="A146" t="s">
        <v>746</v>
      </c>
      <c r="B146" t="s">
        <v>145</v>
      </c>
      <c r="C146">
        <f>--ISNUMBER(IFERROR(SEARCH(Deshbord!$A$1,A146,1),""))</f>
        <v>1</v>
      </c>
      <c r="D146">
        <f>IF(C146=1,COUNTIF($C$2:C146,1),"")</f>
        <v>145</v>
      </c>
      <c r="E146" t="str">
        <f>IFERROR(INDEX($A$2:$A$603,MATCH(ROWS($D$2:D146),$D$2:$D$603,0)),"")</f>
        <v>GHCL</v>
      </c>
    </row>
    <row r="147" spans="1:5" x14ac:dyDescent="0.25">
      <c r="A147" t="s">
        <v>747</v>
      </c>
      <c r="B147" t="s">
        <v>146</v>
      </c>
      <c r="C147">
        <f>--ISNUMBER(IFERROR(SEARCH(Deshbord!$A$1,A147,1),""))</f>
        <v>1</v>
      </c>
      <c r="D147">
        <f>IF(C147=1,COUNTIF($C$2:C147,1),"")</f>
        <v>146</v>
      </c>
      <c r="E147" t="str">
        <f>IFERROR(INDEX($A$2:$A$603,MATCH(ROWS($D$2:D147),$D$2:$D$603,0)),"")</f>
        <v>GLOBALINS</v>
      </c>
    </row>
    <row r="148" spans="1:5" x14ac:dyDescent="0.25">
      <c r="A148" t="s">
        <v>748</v>
      </c>
      <c r="B148" t="s">
        <v>147</v>
      </c>
      <c r="C148">
        <f>--ISNUMBER(IFERROR(SEARCH(Deshbord!$A$1,A148,1),""))</f>
        <v>1</v>
      </c>
      <c r="D148">
        <f>IF(C148=1,COUNTIF($C$2:C148,1),"")</f>
        <v>147</v>
      </c>
      <c r="E148" t="str">
        <f>IFERROR(INDEX($A$2:$A$603,MATCH(ROWS($D$2:D148),$D$2:$D$603,0)),"")</f>
        <v>GOLDENSON</v>
      </c>
    </row>
    <row r="149" spans="1:5" x14ac:dyDescent="0.25">
      <c r="A149" t="s">
        <v>749</v>
      </c>
      <c r="B149" t="s">
        <v>148</v>
      </c>
      <c r="C149">
        <f>--ISNUMBER(IFERROR(SEARCH(Deshbord!$A$1,A149,1),""))</f>
        <v>1</v>
      </c>
      <c r="D149">
        <f>IF(C149=1,COUNTIF($C$2:C149,1),"")</f>
        <v>148</v>
      </c>
      <c r="E149" t="str">
        <f>IFERROR(INDEX($A$2:$A$603,MATCH(ROWS($D$2:D149),$D$2:$D$603,0)),"")</f>
        <v>GP</v>
      </c>
    </row>
    <row r="150" spans="1:5" x14ac:dyDescent="0.25">
      <c r="A150" t="s">
        <v>750</v>
      </c>
      <c r="B150" t="s">
        <v>149</v>
      </c>
      <c r="C150">
        <f>--ISNUMBER(IFERROR(SEARCH(Deshbord!$A$1,A150,1),""))</f>
        <v>1</v>
      </c>
      <c r="D150">
        <f>IF(C150=1,COUNTIF($C$2:C150,1),"")</f>
        <v>149</v>
      </c>
      <c r="E150" t="str">
        <f>IFERROR(INDEX($A$2:$A$603,MATCH(ROWS($D$2:D150),$D$2:$D$603,0)),"")</f>
        <v>GPHISPAT</v>
      </c>
    </row>
    <row r="151" spans="1:5" x14ac:dyDescent="0.25">
      <c r="A151" t="s">
        <v>751</v>
      </c>
      <c r="B151" t="s">
        <v>150</v>
      </c>
      <c r="C151">
        <f>--ISNUMBER(IFERROR(SEARCH(Deshbord!$A$1,A151,1),""))</f>
        <v>1</v>
      </c>
      <c r="D151">
        <f>IF(C151=1,COUNTIF($C$2:C151,1),"")</f>
        <v>150</v>
      </c>
      <c r="E151" t="str">
        <f>IFERROR(INDEX($A$2:$A$603,MATCH(ROWS($D$2:D151),$D$2:$D$603,0)),"")</f>
        <v>GQBALLPEN</v>
      </c>
    </row>
    <row r="152" spans="1:5" x14ac:dyDescent="0.25">
      <c r="A152" t="s">
        <v>752</v>
      </c>
      <c r="B152" t="s">
        <v>151</v>
      </c>
      <c r="C152">
        <f>--ISNUMBER(IFERROR(SEARCH(Deshbord!$A$1,A152,1),""))</f>
        <v>1</v>
      </c>
      <c r="D152">
        <f>IF(C152=1,COUNTIF($C$2:C152,1),"")</f>
        <v>151</v>
      </c>
      <c r="E152" t="str">
        <f>IFERROR(INDEX($A$2:$A$603,MATCH(ROWS($D$2:D152),$D$2:$D$603,0)),"")</f>
        <v>GRAMEENS2</v>
      </c>
    </row>
    <row r="153" spans="1:5" x14ac:dyDescent="0.25">
      <c r="A153" t="s">
        <v>753</v>
      </c>
      <c r="B153" t="s">
        <v>152</v>
      </c>
      <c r="C153">
        <f>--ISNUMBER(IFERROR(SEARCH(Deshbord!$A$1,A153,1),""))</f>
        <v>1</v>
      </c>
      <c r="D153">
        <f>IF(C153=1,COUNTIF($C$2:C153,1),"")</f>
        <v>152</v>
      </c>
      <c r="E153" t="str">
        <f>IFERROR(INDEX($A$2:$A$603,MATCH(ROWS($D$2:D153),$D$2:$D$603,0)),"")</f>
        <v>GREENDELMF</v>
      </c>
    </row>
    <row r="154" spans="1:5" x14ac:dyDescent="0.25">
      <c r="A154" t="s">
        <v>754</v>
      </c>
      <c r="B154" t="s">
        <v>153</v>
      </c>
      <c r="C154">
        <f>--ISNUMBER(IFERROR(SEARCH(Deshbord!$A$1,A154,1),""))</f>
        <v>1</v>
      </c>
      <c r="D154">
        <f>IF(C154=1,COUNTIF($C$2:C154,1),"")</f>
        <v>153</v>
      </c>
      <c r="E154" t="str">
        <f>IFERROR(INDEX($A$2:$A$603,MATCH(ROWS($D$2:D154),$D$2:$D$603,0)),"")</f>
        <v>GREENDELT</v>
      </c>
    </row>
    <row r="155" spans="1:5" x14ac:dyDescent="0.25">
      <c r="A155" t="s">
        <v>755</v>
      </c>
      <c r="B155" t="s">
        <v>154</v>
      </c>
      <c r="C155">
        <f>--ISNUMBER(IFERROR(SEARCH(Deshbord!$A$1,A155,1),""))</f>
        <v>1</v>
      </c>
      <c r="D155">
        <f>IF(C155=1,COUNTIF($C$2:C155,1),"")</f>
        <v>154</v>
      </c>
      <c r="E155" t="str">
        <f>IFERROR(INDEX($A$2:$A$603,MATCH(ROWS($D$2:D155),$D$2:$D$603,0)),"")</f>
        <v>GSPFINANCE</v>
      </c>
    </row>
    <row r="156" spans="1:5" x14ac:dyDescent="0.25">
      <c r="A156" t="s">
        <v>756</v>
      </c>
      <c r="B156" t="s">
        <v>155</v>
      </c>
      <c r="C156">
        <f>--ISNUMBER(IFERROR(SEARCH(Deshbord!$A$1,A156,1),""))</f>
        <v>1</v>
      </c>
      <c r="D156">
        <f>IF(C156=1,COUNTIF($C$2:C156,1),"")</f>
        <v>155</v>
      </c>
      <c r="E156" t="str">
        <f>IFERROR(INDEX($A$2:$A$603,MATCH(ROWS($D$2:D156),$D$2:$D$603,0)),"")</f>
        <v>HAKKANIPUL</v>
      </c>
    </row>
    <row r="157" spans="1:5" x14ac:dyDescent="0.25">
      <c r="A157" t="s">
        <v>757</v>
      </c>
      <c r="B157" t="s">
        <v>156</v>
      </c>
      <c r="C157">
        <f>--ISNUMBER(IFERROR(SEARCH(Deshbord!$A$1,A157,1),""))</f>
        <v>1</v>
      </c>
      <c r="D157">
        <f>IF(C157=1,COUNTIF($C$2:C157,1),"")</f>
        <v>156</v>
      </c>
      <c r="E157" t="str">
        <f>IFERROR(INDEX($A$2:$A$603,MATCH(ROWS($D$2:D157),$D$2:$D$603,0)),"")</f>
        <v>HEIDELBCEM</v>
      </c>
    </row>
    <row r="158" spans="1:5" x14ac:dyDescent="0.25">
      <c r="A158" t="s">
        <v>758</v>
      </c>
      <c r="B158" t="s">
        <v>157</v>
      </c>
      <c r="C158">
        <f>--ISNUMBER(IFERROR(SEARCH(Deshbord!$A$1,A158,1),""))</f>
        <v>1</v>
      </c>
      <c r="D158">
        <f>IF(C158=1,COUNTIF($C$2:C158,1),"")</f>
        <v>157</v>
      </c>
      <c r="E158" t="str">
        <f>IFERROR(INDEX($A$2:$A$603,MATCH(ROWS($D$2:D158),$D$2:$D$603,0)),"")</f>
        <v>HFL</v>
      </c>
    </row>
    <row r="159" spans="1:5" x14ac:dyDescent="0.25">
      <c r="A159" t="s">
        <v>759</v>
      </c>
      <c r="B159" t="s">
        <v>158</v>
      </c>
      <c r="C159">
        <f>--ISNUMBER(IFERROR(SEARCH(Deshbord!$A$1,A159,1),""))</f>
        <v>1</v>
      </c>
      <c r="D159">
        <f>IF(C159=1,COUNTIF($C$2:C159,1),"")</f>
        <v>158</v>
      </c>
      <c r="E159" t="str">
        <f>IFERROR(INDEX($A$2:$A$603,MATCH(ROWS($D$2:D159),$D$2:$D$603,0)),"")</f>
        <v>HRTEX</v>
      </c>
    </row>
    <row r="160" spans="1:5" x14ac:dyDescent="0.25">
      <c r="A160" t="s">
        <v>760</v>
      </c>
      <c r="B160" t="s">
        <v>159</v>
      </c>
      <c r="C160">
        <f>--ISNUMBER(IFERROR(SEARCH(Deshbord!$A$1,A160,1),""))</f>
        <v>1</v>
      </c>
      <c r="D160">
        <f>IF(C160=1,COUNTIF($C$2:C160,1),"")</f>
        <v>159</v>
      </c>
      <c r="E160" t="str">
        <f>IFERROR(INDEX($A$2:$A$603,MATCH(ROWS($D$2:D160),$D$2:$D$603,0)),"")</f>
        <v>HWAWELLTEX</v>
      </c>
    </row>
    <row r="161" spans="1:5" x14ac:dyDescent="0.25">
      <c r="A161" t="s">
        <v>761</v>
      </c>
      <c r="B161" t="s">
        <v>160</v>
      </c>
      <c r="C161">
        <f>--ISNUMBER(IFERROR(SEARCH(Deshbord!$A$1,A161,1),""))</f>
        <v>1</v>
      </c>
      <c r="D161">
        <f>IF(C161=1,COUNTIF($C$2:C161,1),"")</f>
        <v>160</v>
      </c>
      <c r="E161" t="str">
        <f>IFERROR(INDEX($A$2:$A$603,MATCH(ROWS($D$2:D161),$D$2:$D$603,0)),"")</f>
        <v>IBBLPBOND</v>
      </c>
    </row>
    <row r="162" spans="1:5" x14ac:dyDescent="0.25">
      <c r="A162" t="s">
        <v>762</v>
      </c>
      <c r="B162" t="s">
        <v>161</v>
      </c>
      <c r="C162">
        <f>--ISNUMBER(IFERROR(SEARCH(Deshbord!$A$1,A162,1),""))</f>
        <v>1</v>
      </c>
      <c r="D162">
        <f>IF(C162=1,COUNTIF($C$2:C162,1),"")</f>
        <v>161</v>
      </c>
      <c r="E162" t="str">
        <f>IFERROR(INDEX($A$2:$A$603,MATCH(ROWS($D$2:D162),$D$2:$D$603,0)),"")</f>
        <v>IBNSINA</v>
      </c>
    </row>
    <row r="163" spans="1:5" x14ac:dyDescent="0.25">
      <c r="A163" t="s">
        <v>763</v>
      </c>
      <c r="B163" t="s">
        <v>162</v>
      </c>
      <c r="C163">
        <f>--ISNUMBER(IFERROR(SEARCH(Deshbord!$A$1,A163,1),""))</f>
        <v>1</v>
      </c>
      <c r="D163">
        <f>IF(C163=1,COUNTIF($C$2:C163,1),"")</f>
        <v>162</v>
      </c>
      <c r="E163" t="str">
        <f>IFERROR(INDEX($A$2:$A$603,MATCH(ROWS($D$2:D163),$D$2:$D$603,0)),"")</f>
        <v>IBP</v>
      </c>
    </row>
    <row r="164" spans="1:5" x14ac:dyDescent="0.25">
      <c r="A164" t="s">
        <v>764</v>
      </c>
      <c r="B164" t="s">
        <v>163</v>
      </c>
      <c r="C164">
        <f>--ISNUMBER(IFERROR(SEARCH(Deshbord!$A$1,A164,1),""))</f>
        <v>1</v>
      </c>
      <c r="D164">
        <f>IF(C164=1,COUNTIF($C$2:C164,1),"")</f>
        <v>163</v>
      </c>
      <c r="E164" t="str">
        <f>IFERROR(INDEX($A$2:$A$603,MATCH(ROWS($D$2:D164),$D$2:$D$603,0)),"")</f>
        <v>ICB</v>
      </c>
    </row>
    <row r="165" spans="1:5" x14ac:dyDescent="0.25">
      <c r="A165" t="s">
        <v>765</v>
      </c>
      <c r="B165" t="s">
        <v>164</v>
      </c>
      <c r="C165">
        <f>--ISNUMBER(IFERROR(SEARCH(Deshbord!$A$1,A165,1),""))</f>
        <v>1</v>
      </c>
      <c r="D165">
        <f>IF(C165=1,COUNTIF($C$2:C165,1),"")</f>
        <v>164</v>
      </c>
      <c r="E165" t="str">
        <f>IFERROR(INDEX($A$2:$A$603,MATCH(ROWS($D$2:D165),$D$2:$D$603,0)),"")</f>
        <v>ICB3RDNRB</v>
      </c>
    </row>
    <row r="166" spans="1:5" x14ac:dyDescent="0.25">
      <c r="A166" t="s">
        <v>766</v>
      </c>
      <c r="B166" t="s">
        <v>165</v>
      </c>
      <c r="C166">
        <f>--ISNUMBER(IFERROR(SEARCH(Deshbord!$A$1,A166,1),""))</f>
        <v>1</v>
      </c>
      <c r="D166">
        <f>IF(C166=1,COUNTIF($C$2:C166,1),"")</f>
        <v>165</v>
      </c>
      <c r="E166" t="str">
        <f>IFERROR(INDEX($A$2:$A$603,MATCH(ROWS($D$2:D166),$D$2:$D$603,0)),"")</f>
        <v>ICBAGRANI1</v>
      </c>
    </row>
    <row r="167" spans="1:5" x14ac:dyDescent="0.25">
      <c r="A167" t="s">
        <v>767</v>
      </c>
      <c r="B167" t="s">
        <v>166</v>
      </c>
      <c r="C167">
        <f>--ISNUMBER(IFERROR(SEARCH(Deshbord!$A$1,A167,1),""))</f>
        <v>1</v>
      </c>
      <c r="D167">
        <f>IF(C167=1,COUNTIF($C$2:C167,1),"")</f>
        <v>166</v>
      </c>
      <c r="E167" t="str">
        <f>IFERROR(INDEX($A$2:$A$603,MATCH(ROWS($D$2:D167),$D$2:$D$603,0)),"")</f>
        <v>ICBAMCL2ND</v>
      </c>
    </row>
    <row r="168" spans="1:5" x14ac:dyDescent="0.25">
      <c r="A168" t="s">
        <v>768</v>
      </c>
      <c r="B168" t="s">
        <v>167</v>
      </c>
      <c r="C168">
        <f>--ISNUMBER(IFERROR(SEARCH(Deshbord!$A$1,A168,1),""))</f>
        <v>1</v>
      </c>
      <c r="D168">
        <f>IF(C168=1,COUNTIF($C$2:C168,1),"")</f>
        <v>167</v>
      </c>
      <c r="E168" t="str">
        <f>IFERROR(INDEX($A$2:$A$603,MATCH(ROWS($D$2:D168),$D$2:$D$603,0)),"")</f>
        <v>ICBEPMF1S1</v>
      </c>
    </row>
    <row r="169" spans="1:5" x14ac:dyDescent="0.25">
      <c r="A169" t="s">
        <v>769</v>
      </c>
      <c r="B169" t="s">
        <v>168</v>
      </c>
      <c r="C169">
        <f>--ISNUMBER(IFERROR(SEARCH(Deshbord!$A$1,A169,1),""))</f>
        <v>1</v>
      </c>
      <c r="D169">
        <f>IF(C169=1,COUNTIF($C$2:C169,1),"")</f>
        <v>168</v>
      </c>
      <c r="E169" t="str">
        <f>IFERROR(INDEX($A$2:$A$603,MATCH(ROWS($D$2:D169),$D$2:$D$603,0)),"")</f>
        <v>ICBIBANK</v>
      </c>
    </row>
    <row r="170" spans="1:5" x14ac:dyDescent="0.25">
      <c r="A170" t="s">
        <v>770</v>
      </c>
      <c r="B170" t="s">
        <v>169</v>
      </c>
      <c r="C170">
        <f>--ISNUMBER(IFERROR(SEARCH(Deshbord!$A$1,A170,1),""))</f>
        <v>1</v>
      </c>
      <c r="D170">
        <f>IF(C170=1,COUNTIF($C$2:C170,1),"")</f>
        <v>169</v>
      </c>
      <c r="E170" t="str">
        <f>IFERROR(INDEX($A$2:$A$603,MATCH(ROWS($D$2:D170),$D$2:$D$603,0)),"")</f>
        <v>ICBSONALI1</v>
      </c>
    </row>
    <row r="171" spans="1:5" x14ac:dyDescent="0.25">
      <c r="A171" t="s">
        <v>771</v>
      </c>
      <c r="B171" t="s">
        <v>170</v>
      </c>
      <c r="C171">
        <f>--ISNUMBER(IFERROR(SEARCH(Deshbord!$A$1,A171,1),""))</f>
        <v>1</v>
      </c>
      <c r="D171">
        <f>IF(C171=1,COUNTIF($C$2:C171,1),"")</f>
        <v>170</v>
      </c>
      <c r="E171" t="str">
        <f>IFERROR(INDEX($A$2:$A$603,MATCH(ROWS($D$2:D171),$D$2:$D$603,0)),"")</f>
        <v>IDLC</v>
      </c>
    </row>
    <row r="172" spans="1:5" x14ac:dyDescent="0.25">
      <c r="A172" t="s">
        <v>772</v>
      </c>
      <c r="B172" t="s">
        <v>171</v>
      </c>
      <c r="C172">
        <f>--ISNUMBER(IFERROR(SEARCH(Deshbord!$A$1,A172,1),""))</f>
        <v>1</v>
      </c>
      <c r="D172">
        <f>IF(C172=1,COUNTIF($C$2:C172,1),"")</f>
        <v>171</v>
      </c>
      <c r="E172" t="str">
        <f>IFERROR(INDEX($A$2:$A$603,MATCH(ROWS($D$2:D172),$D$2:$D$603,0)),"")</f>
        <v>IFADAUTOS</v>
      </c>
    </row>
    <row r="173" spans="1:5" x14ac:dyDescent="0.25">
      <c r="A173" t="s">
        <v>773</v>
      </c>
      <c r="B173" t="s">
        <v>172</v>
      </c>
      <c r="C173">
        <f>--ISNUMBER(IFERROR(SEARCH(Deshbord!$A$1,A173,1),""))</f>
        <v>1</v>
      </c>
      <c r="D173">
        <f>IF(C173=1,COUNTIF($C$2:C173,1),"")</f>
        <v>172</v>
      </c>
      <c r="E173" t="str">
        <f>IFERROR(INDEX($A$2:$A$603,MATCH(ROWS($D$2:D173),$D$2:$D$603,0)),"")</f>
        <v>IFIC</v>
      </c>
    </row>
    <row r="174" spans="1:5" x14ac:dyDescent="0.25">
      <c r="A174" t="s">
        <v>774</v>
      </c>
      <c r="B174" t="s">
        <v>173</v>
      </c>
      <c r="C174">
        <f>--ISNUMBER(IFERROR(SEARCH(Deshbord!$A$1,A174,1),""))</f>
        <v>1</v>
      </c>
      <c r="D174">
        <f>IF(C174=1,COUNTIF($C$2:C174,1),"")</f>
        <v>173</v>
      </c>
      <c r="E174" t="str">
        <f>IFERROR(INDEX($A$2:$A$603,MATCH(ROWS($D$2:D174),$D$2:$D$603,0)),"")</f>
        <v>IFIC1STMF</v>
      </c>
    </row>
    <row r="175" spans="1:5" x14ac:dyDescent="0.25">
      <c r="A175" t="s">
        <v>775</v>
      </c>
      <c r="B175" t="s">
        <v>174</v>
      </c>
      <c r="C175">
        <f>--ISNUMBER(IFERROR(SEARCH(Deshbord!$A$1,A175,1),""))</f>
        <v>1</v>
      </c>
      <c r="D175">
        <f>IF(C175=1,COUNTIF($C$2:C175,1),"")</f>
        <v>174</v>
      </c>
      <c r="E175" t="str">
        <f>IFERROR(INDEX($A$2:$A$603,MATCH(ROWS($D$2:D175),$D$2:$D$603,0)),"")</f>
        <v>IFILISLMF1</v>
      </c>
    </row>
    <row r="176" spans="1:5" x14ac:dyDescent="0.25">
      <c r="A176" t="s">
        <v>776</v>
      </c>
      <c r="B176" t="s">
        <v>175</v>
      </c>
      <c r="C176">
        <f>--ISNUMBER(IFERROR(SEARCH(Deshbord!$A$1,A176,1),""))</f>
        <v>1</v>
      </c>
      <c r="D176">
        <f>IF(C176=1,COUNTIF($C$2:C176,1),"")</f>
        <v>175</v>
      </c>
      <c r="E176" t="str">
        <f>IFERROR(INDEX($A$2:$A$603,MATCH(ROWS($D$2:D176),$D$2:$D$603,0)),"")</f>
        <v>ILFSL</v>
      </c>
    </row>
    <row r="177" spans="1:5" x14ac:dyDescent="0.25">
      <c r="A177" t="s">
        <v>777</v>
      </c>
      <c r="B177" t="s">
        <v>176</v>
      </c>
      <c r="C177">
        <f>--ISNUMBER(IFERROR(SEARCH(Deshbord!$A$1,A177,1),""))</f>
        <v>1</v>
      </c>
      <c r="D177">
        <f>IF(C177=1,COUNTIF($C$2:C177,1),"")</f>
        <v>176</v>
      </c>
      <c r="E177" t="str">
        <f>IFERROR(INDEX($A$2:$A$603,MATCH(ROWS($D$2:D177),$D$2:$D$603,0)),"")</f>
        <v>IMAMBUTTON</v>
      </c>
    </row>
    <row r="178" spans="1:5" x14ac:dyDescent="0.25">
      <c r="A178" t="s">
        <v>778</v>
      </c>
      <c r="B178" t="s">
        <v>177</v>
      </c>
      <c r="C178">
        <f>--ISNUMBER(IFERROR(SEARCH(Deshbord!$A$1,A178,1),""))</f>
        <v>1</v>
      </c>
      <c r="D178">
        <f>IF(C178=1,COUNTIF($C$2:C178,1),"")</f>
        <v>177</v>
      </c>
      <c r="E178" t="str">
        <f>IFERROR(INDEX($A$2:$A$603,MATCH(ROWS($D$2:D178),$D$2:$D$603,0)),"")</f>
        <v>INTECH</v>
      </c>
    </row>
    <row r="179" spans="1:5" x14ac:dyDescent="0.25">
      <c r="A179" t="s">
        <v>779</v>
      </c>
      <c r="B179" t="s">
        <v>178</v>
      </c>
      <c r="C179">
        <f>--ISNUMBER(IFERROR(SEARCH(Deshbord!$A$1,A179,1),""))</f>
        <v>1</v>
      </c>
      <c r="D179">
        <f>IF(C179=1,COUNTIF($C$2:C179,1),"")</f>
        <v>178</v>
      </c>
      <c r="E179" t="str">
        <f>IFERROR(INDEX($A$2:$A$603,MATCH(ROWS($D$2:D179),$D$2:$D$603,0)),"")</f>
        <v>INTRACO</v>
      </c>
    </row>
    <row r="180" spans="1:5" x14ac:dyDescent="0.25">
      <c r="A180" t="s">
        <v>780</v>
      </c>
      <c r="B180" t="s">
        <v>179</v>
      </c>
      <c r="C180">
        <f>--ISNUMBER(IFERROR(SEARCH(Deshbord!$A$1,A180,1),""))</f>
        <v>1</v>
      </c>
      <c r="D180">
        <f>IF(C180=1,COUNTIF($C$2:C180,1),"")</f>
        <v>179</v>
      </c>
      <c r="E180" t="str">
        <f>IFERROR(INDEX($A$2:$A$603,MATCH(ROWS($D$2:D180),$D$2:$D$603,0)),"")</f>
        <v>IPDC</v>
      </c>
    </row>
    <row r="181" spans="1:5" x14ac:dyDescent="0.25">
      <c r="A181" t="s">
        <v>781</v>
      </c>
      <c r="B181" t="s">
        <v>180</v>
      </c>
      <c r="C181">
        <f>--ISNUMBER(IFERROR(SEARCH(Deshbord!$A$1,A181,1),""))</f>
        <v>1</v>
      </c>
      <c r="D181">
        <f>IF(C181=1,COUNTIF($C$2:C181,1),"")</f>
        <v>180</v>
      </c>
      <c r="E181" t="str">
        <f>IFERROR(INDEX($A$2:$A$603,MATCH(ROWS($D$2:D181),$D$2:$D$603,0)),"")</f>
        <v>ISLAMIBANK</v>
      </c>
    </row>
    <row r="182" spans="1:5" x14ac:dyDescent="0.25">
      <c r="A182" t="s">
        <v>782</v>
      </c>
      <c r="B182" t="s">
        <v>181</v>
      </c>
      <c r="C182">
        <f>--ISNUMBER(IFERROR(SEARCH(Deshbord!$A$1,A182,1),""))</f>
        <v>1</v>
      </c>
      <c r="D182">
        <f>IF(C182=1,COUNTIF($C$2:C182,1),"")</f>
        <v>181</v>
      </c>
      <c r="E182" t="str">
        <f>IFERROR(INDEX($A$2:$A$603,MATCH(ROWS($D$2:D182),$D$2:$D$603,0)),"")</f>
        <v>ISLAMICFIN</v>
      </c>
    </row>
    <row r="183" spans="1:5" x14ac:dyDescent="0.25">
      <c r="A183" t="s">
        <v>783</v>
      </c>
      <c r="B183" t="s">
        <v>182</v>
      </c>
      <c r="C183">
        <f>--ISNUMBER(IFERROR(SEARCH(Deshbord!$A$1,A183,1),""))</f>
        <v>1</v>
      </c>
      <c r="D183">
        <f>IF(C183=1,COUNTIF($C$2:C183,1),"")</f>
        <v>182</v>
      </c>
      <c r="E183" t="str">
        <f>IFERROR(INDEX($A$2:$A$603,MATCH(ROWS($D$2:D183),$D$2:$D$603,0)),"")</f>
        <v>ISLAMIINS</v>
      </c>
    </row>
    <row r="184" spans="1:5" x14ac:dyDescent="0.25">
      <c r="A184" t="s">
        <v>784</v>
      </c>
      <c r="B184" t="s">
        <v>183</v>
      </c>
      <c r="C184">
        <f>--ISNUMBER(IFERROR(SEARCH(Deshbord!$A$1,A184,1),""))</f>
        <v>1</v>
      </c>
      <c r="D184">
        <f>IF(C184=1,COUNTIF($C$2:C184,1),"")</f>
        <v>183</v>
      </c>
      <c r="E184" t="str">
        <f>IFERROR(INDEX($A$2:$A$603,MATCH(ROWS($D$2:D184),$D$2:$D$603,0)),"")</f>
        <v>ISNLTD</v>
      </c>
    </row>
    <row r="185" spans="1:5" x14ac:dyDescent="0.25">
      <c r="A185" t="s">
        <v>785</v>
      </c>
      <c r="B185" t="s">
        <v>184</v>
      </c>
      <c r="C185">
        <f>--ISNUMBER(IFERROR(SEARCH(Deshbord!$A$1,A185,1),""))</f>
        <v>1</v>
      </c>
      <c r="D185">
        <f>IF(C185=1,COUNTIF($C$2:C185,1),"")</f>
        <v>184</v>
      </c>
      <c r="E185" t="str">
        <f>IFERROR(INDEX($A$2:$A$603,MATCH(ROWS($D$2:D185),$D$2:$D$603,0)),"")</f>
        <v>ITC</v>
      </c>
    </row>
    <row r="186" spans="1:5" x14ac:dyDescent="0.25">
      <c r="A186" t="s">
        <v>786</v>
      </c>
      <c r="B186" t="s">
        <v>185</v>
      </c>
      <c r="C186">
        <f>--ISNUMBER(IFERROR(SEARCH(Deshbord!$A$1,A186,1),""))</f>
        <v>1</v>
      </c>
      <c r="D186">
        <f>IF(C186=1,COUNTIF($C$2:C186,1),"")</f>
        <v>185</v>
      </c>
      <c r="E186" t="str">
        <f>IFERROR(INDEX($A$2:$A$603,MATCH(ROWS($D$2:D186),$D$2:$D$603,0)),"")</f>
        <v>JAMUNABANK</v>
      </c>
    </row>
    <row r="187" spans="1:5" x14ac:dyDescent="0.25">
      <c r="A187" t="s">
        <v>787</v>
      </c>
      <c r="B187" t="s">
        <v>186</v>
      </c>
      <c r="C187">
        <f>--ISNUMBER(IFERROR(SEARCH(Deshbord!$A$1,A187,1),""))</f>
        <v>1</v>
      </c>
      <c r="D187">
        <f>IF(C187=1,COUNTIF($C$2:C187,1),"")</f>
        <v>186</v>
      </c>
      <c r="E187" t="str">
        <f>IFERROR(INDEX($A$2:$A$603,MATCH(ROWS($D$2:D187),$D$2:$D$603,0)),"")</f>
        <v>JAMUNAOIL</v>
      </c>
    </row>
    <row r="188" spans="1:5" x14ac:dyDescent="0.25">
      <c r="A188" t="s">
        <v>788</v>
      </c>
      <c r="B188" t="s">
        <v>187</v>
      </c>
      <c r="C188">
        <f>--ISNUMBER(IFERROR(SEARCH(Deshbord!$A$1,A188,1),""))</f>
        <v>1</v>
      </c>
      <c r="D188">
        <f>IF(C188=1,COUNTIF($C$2:C188,1),"")</f>
        <v>187</v>
      </c>
      <c r="E188" t="str">
        <f>IFERROR(INDEX($A$2:$A$603,MATCH(ROWS($D$2:D188),$D$2:$D$603,0)),"")</f>
        <v>JANATAINS</v>
      </c>
    </row>
    <row r="189" spans="1:5" x14ac:dyDescent="0.25">
      <c r="A189" t="s">
        <v>789</v>
      </c>
      <c r="B189" t="s">
        <v>188</v>
      </c>
      <c r="C189">
        <f>--ISNUMBER(IFERROR(SEARCH(Deshbord!$A$1,A189,1),""))</f>
        <v>1</v>
      </c>
      <c r="D189">
        <f>IF(C189=1,COUNTIF($C$2:C189,1),"")</f>
        <v>188</v>
      </c>
      <c r="E189" t="str">
        <f>IFERROR(INDEX($A$2:$A$603,MATCH(ROWS($D$2:D189),$D$2:$D$603,0)),"")</f>
        <v>JMISMDL</v>
      </c>
    </row>
    <row r="190" spans="1:5" x14ac:dyDescent="0.25">
      <c r="A190" t="s">
        <v>790</v>
      </c>
      <c r="B190" t="s">
        <v>189</v>
      </c>
      <c r="C190">
        <f>--ISNUMBER(IFERROR(SEARCH(Deshbord!$A$1,A190,1),""))</f>
        <v>1</v>
      </c>
      <c r="D190">
        <f>IF(C190=1,COUNTIF($C$2:C190,1),"")</f>
        <v>189</v>
      </c>
      <c r="E190" t="str">
        <f>IFERROR(INDEX($A$2:$A$603,MATCH(ROWS($D$2:D190),$D$2:$D$603,0)),"")</f>
        <v>JUTESPINN</v>
      </c>
    </row>
    <row r="191" spans="1:5" x14ac:dyDescent="0.25">
      <c r="A191" t="s">
        <v>791</v>
      </c>
      <c r="B191" t="s">
        <v>190</v>
      </c>
      <c r="C191">
        <f>--ISNUMBER(IFERROR(SEARCH(Deshbord!$A$1,A191,1),""))</f>
        <v>1</v>
      </c>
      <c r="D191">
        <f>IF(C191=1,COUNTIF($C$2:C191,1),"")</f>
        <v>190</v>
      </c>
      <c r="E191" t="str">
        <f>IFERROR(INDEX($A$2:$A$603,MATCH(ROWS($D$2:D191),$D$2:$D$603,0)),"")</f>
        <v>KARNAPHULI</v>
      </c>
    </row>
    <row r="192" spans="1:5" x14ac:dyDescent="0.25">
      <c r="A192" t="s">
        <v>792</v>
      </c>
      <c r="B192" t="s">
        <v>191</v>
      </c>
      <c r="C192">
        <f>--ISNUMBER(IFERROR(SEARCH(Deshbord!$A$1,A192,1),""))</f>
        <v>1</v>
      </c>
      <c r="D192">
        <f>IF(C192=1,COUNTIF($C$2:C192,1),"")</f>
        <v>191</v>
      </c>
      <c r="E192" t="str">
        <f>IFERROR(INDEX($A$2:$A$603,MATCH(ROWS($D$2:D192),$D$2:$D$603,0)),"")</f>
        <v>KAY&amp;QUE</v>
      </c>
    </row>
    <row r="193" spans="1:5" x14ac:dyDescent="0.25">
      <c r="A193" t="s">
        <v>793</v>
      </c>
      <c r="B193" t="s">
        <v>192</v>
      </c>
      <c r="C193">
        <f>--ISNUMBER(IFERROR(SEARCH(Deshbord!$A$1,A193,1),""))</f>
        <v>1</v>
      </c>
      <c r="D193">
        <f>IF(C193=1,COUNTIF($C$2:C193,1),"")</f>
        <v>192</v>
      </c>
      <c r="E193" t="str">
        <f>IFERROR(INDEX($A$2:$A$603,MATCH(ROWS($D$2:D193),$D$2:$D$603,0)),"")</f>
        <v>KBPPWBIL</v>
      </c>
    </row>
    <row r="194" spans="1:5" x14ac:dyDescent="0.25">
      <c r="A194" t="s">
        <v>794</v>
      </c>
      <c r="B194" t="s">
        <v>193</v>
      </c>
      <c r="C194">
        <f>--ISNUMBER(IFERROR(SEARCH(Deshbord!$A$1,A194,1),""))</f>
        <v>1</v>
      </c>
      <c r="D194">
        <f>IF(C194=1,COUNTIF($C$2:C194,1),"")</f>
        <v>193</v>
      </c>
      <c r="E194" t="str">
        <f>IFERROR(INDEX($A$2:$A$603,MATCH(ROWS($D$2:D194),$D$2:$D$603,0)),"")</f>
        <v>KDSALTD</v>
      </c>
    </row>
    <row r="195" spans="1:5" x14ac:dyDescent="0.25">
      <c r="A195" t="s">
        <v>795</v>
      </c>
      <c r="B195" t="s">
        <v>194</v>
      </c>
      <c r="C195">
        <f>--ISNUMBER(IFERROR(SEARCH(Deshbord!$A$1,A195,1),""))</f>
        <v>1</v>
      </c>
      <c r="D195">
        <f>IF(C195=1,COUNTIF($C$2:C195,1),"")</f>
        <v>194</v>
      </c>
      <c r="E195" t="str">
        <f>IFERROR(INDEX($A$2:$A$603,MATCH(ROWS($D$2:D195),$D$2:$D$603,0)),"")</f>
        <v>KEYACOSMET</v>
      </c>
    </row>
    <row r="196" spans="1:5" x14ac:dyDescent="0.25">
      <c r="A196" t="s">
        <v>796</v>
      </c>
      <c r="B196" t="s">
        <v>195</v>
      </c>
      <c r="C196">
        <f>--ISNUMBER(IFERROR(SEARCH(Deshbord!$A$1,A196,1),""))</f>
        <v>1</v>
      </c>
      <c r="D196">
        <f>IF(C196=1,COUNTIF($C$2:C196,1),"")</f>
        <v>195</v>
      </c>
      <c r="E196" t="str">
        <f>IFERROR(INDEX($A$2:$A$603,MATCH(ROWS($D$2:D196),$D$2:$D$603,0)),"")</f>
        <v>KOHINOOR</v>
      </c>
    </row>
    <row r="197" spans="1:5" x14ac:dyDescent="0.25">
      <c r="A197" t="s">
        <v>797</v>
      </c>
      <c r="B197" t="s">
        <v>196</v>
      </c>
      <c r="C197">
        <f>--ISNUMBER(IFERROR(SEARCH(Deshbord!$A$1,A197,1),""))</f>
        <v>1</v>
      </c>
      <c r="D197">
        <f>IF(C197=1,COUNTIF($C$2:C197,1),"")</f>
        <v>196</v>
      </c>
      <c r="E197" t="str">
        <f>IFERROR(INDEX($A$2:$A$603,MATCH(ROWS($D$2:D197),$D$2:$D$603,0)),"")</f>
        <v>KPCL</v>
      </c>
    </row>
    <row r="198" spans="1:5" x14ac:dyDescent="0.25">
      <c r="A198" t="s">
        <v>798</v>
      </c>
      <c r="B198" t="s">
        <v>197</v>
      </c>
      <c r="C198">
        <f>--ISNUMBER(IFERROR(SEARCH(Deshbord!$A$1,A198,1),""))</f>
        <v>1</v>
      </c>
      <c r="D198">
        <f>IF(C198=1,COUNTIF($C$2:C198,1),"")</f>
        <v>197</v>
      </c>
      <c r="E198" t="str">
        <f>IFERROR(INDEX($A$2:$A$603,MATCH(ROWS($D$2:D198),$D$2:$D$603,0)),"")</f>
        <v>KPPL</v>
      </c>
    </row>
    <row r="199" spans="1:5" x14ac:dyDescent="0.25">
      <c r="A199" t="s">
        <v>799</v>
      </c>
      <c r="B199" t="s">
        <v>198</v>
      </c>
      <c r="C199">
        <f>--ISNUMBER(IFERROR(SEARCH(Deshbord!$A$1,A199,1),""))</f>
        <v>1</v>
      </c>
      <c r="D199">
        <f>IF(C199=1,COUNTIF($C$2:C199,1),"")</f>
        <v>198</v>
      </c>
      <c r="E199" t="str">
        <f>IFERROR(INDEX($A$2:$A$603,MATCH(ROWS($D$2:D199),$D$2:$D$603,0)),"")</f>
        <v>KTL</v>
      </c>
    </row>
    <row r="200" spans="1:5" x14ac:dyDescent="0.25">
      <c r="A200" t="s">
        <v>800</v>
      </c>
      <c r="B200" t="s">
        <v>199</v>
      </c>
      <c r="C200">
        <f>--ISNUMBER(IFERROR(SEARCH(Deshbord!$A$1,A200,1),""))</f>
        <v>1</v>
      </c>
      <c r="D200">
        <f>IF(C200=1,COUNTIF($C$2:C200,1),"")</f>
        <v>199</v>
      </c>
      <c r="E200" t="str">
        <f>IFERROR(INDEX($A$2:$A$603,MATCH(ROWS($D$2:D200),$D$2:$D$603,0)),"")</f>
        <v>LANKABAFIN</v>
      </c>
    </row>
    <row r="201" spans="1:5" x14ac:dyDescent="0.25">
      <c r="A201" t="s">
        <v>801</v>
      </c>
      <c r="B201" t="s">
        <v>200</v>
      </c>
      <c r="C201">
        <f>--ISNUMBER(IFERROR(SEARCH(Deshbord!$A$1,A201,1),""))</f>
        <v>1</v>
      </c>
      <c r="D201">
        <f>IF(C201=1,COUNTIF($C$2:C201,1),"")</f>
        <v>200</v>
      </c>
      <c r="E201" t="str">
        <f>IFERROR(INDEX($A$2:$A$603,MATCH(ROWS($D$2:D201),$D$2:$D$603,0)),"")</f>
        <v>LEGACYFOOT</v>
      </c>
    </row>
    <row r="202" spans="1:5" x14ac:dyDescent="0.25">
      <c r="A202" t="s">
        <v>802</v>
      </c>
      <c r="B202" t="s">
        <v>201</v>
      </c>
      <c r="C202">
        <f>--ISNUMBER(IFERROR(SEARCH(Deshbord!$A$1,A202,1),""))</f>
        <v>1</v>
      </c>
      <c r="D202">
        <f>IF(C202=1,COUNTIF($C$2:C202,1),"")</f>
        <v>201</v>
      </c>
      <c r="E202" t="str">
        <f>IFERROR(INDEX($A$2:$A$603,MATCH(ROWS($D$2:D202),$D$2:$D$603,0)),"")</f>
        <v>LHBL</v>
      </c>
    </row>
    <row r="203" spans="1:5" x14ac:dyDescent="0.25">
      <c r="A203" t="s">
        <v>803</v>
      </c>
      <c r="B203" t="s">
        <v>202</v>
      </c>
      <c r="C203">
        <f>--ISNUMBER(IFERROR(SEARCH(Deshbord!$A$1,A203,1),""))</f>
        <v>1</v>
      </c>
      <c r="D203">
        <f>IF(C203=1,COUNTIF($C$2:C203,1),"")</f>
        <v>202</v>
      </c>
      <c r="E203" t="str">
        <f>IFERROR(INDEX($A$2:$A$603,MATCH(ROWS($D$2:D203),$D$2:$D$603,0)),"")</f>
        <v>LIBRAINFU</v>
      </c>
    </row>
    <row r="204" spans="1:5" x14ac:dyDescent="0.25">
      <c r="A204" t="s">
        <v>804</v>
      </c>
      <c r="B204" t="s">
        <v>203</v>
      </c>
      <c r="C204">
        <f>--ISNUMBER(IFERROR(SEARCH(Deshbord!$A$1,A204,1),""))</f>
        <v>1</v>
      </c>
      <c r="D204">
        <f>IF(C204=1,COUNTIF($C$2:C204,1),"")</f>
        <v>203</v>
      </c>
      <c r="E204" t="str">
        <f>IFERROR(INDEX($A$2:$A$603,MATCH(ROWS($D$2:D204),$D$2:$D$603,0)),"")</f>
        <v>LINDEBD</v>
      </c>
    </row>
    <row r="205" spans="1:5" x14ac:dyDescent="0.25">
      <c r="A205" t="s">
        <v>805</v>
      </c>
      <c r="B205" t="s">
        <v>204</v>
      </c>
      <c r="C205">
        <f>--ISNUMBER(IFERROR(SEARCH(Deshbord!$A$1,A205,1),""))</f>
        <v>1</v>
      </c>
      <c r="D205">
        <f>IF(C205=1,COUNTIF($C$2:C205,1),"")</f>
        <v>204</v>
      </c>
      <c r="E205" t="str">
        <f>IFERROR(INDEX($A$2:$A$603,MATCH(ROWS($D$2:D205),$D$2:$D$603,0)),"")</f>
        <v>LRBDL</v>
      </c>
    </row>
    <row r="206" spans="1:5" x14ac:dyDescent="0.25">
      <c r="A206" t="s">
        <v>806</v>
      </c>
      <c r="B206" t="s">
        <v>205</v>
      </c>
      <c r="C206">
        <f>--ISNUMBER(IFERROR(SEARCH(Deshbord!$A$1,A206,1),""))</f>
        <v>1</v>
      </c>
      <c r="D206">
        <f>IF(C206=1,COUNTIF($C$2:C206,1),"")</f>
        <v>205</v>
      </c>
      <c r="E206" t="str">
        <f>IFERROR(INDEX($A$2:$A$603,MATCH(ROWS($D$2:D206),$D$2:$D$603,0)),"")</f>
        <v>LRGLOBMF1</v>
      </c>
    </row>
    <row r="207" spans="1:5" x14ac:dyDescent="0.25">
      <c r="A207" t="s">
        <v>807</v>
      </c>
      <c r="B207" t="s">
        <v>206</v>
      </c>
      <c r="C207">
        <f>--ISNUMBER(IFERROR(SEARCH(Deshbord!$A$1,A207,1),""))</f>
        <v>1</v>
      </c>
      <c r="D207">
        <f>IF(C207=1,COUNTIF($C$2:C207,1),"")</f>
        <v>206</v>
      </c>
      <c r="E207" t="str">
        <f>IFERROR(INDEX($A$2:$A$603,MATCH(ROWS($D$2:D207),$D$2:$D$603,0)),"")</f>
        <v>MAKSONSPIN</v>
      </c>
    </row>
    <row r="208" spans="1:5" x14ac:dyDescent="0.25">
      <c r="A208" t="s">
        <v>808</v>
      </c>
      <c r="B208" t="s">
        <v>207</v>
      </c>
      <c r="C208">
        <f>--ISNUMBER(IFERROR(SEARCH(Deshbord!$A$1,A208,1),""))</f>
        <v>1</v>
      </c>
      <c r="D208">
        <f>IF(C208=1,COUNTIF($C$2:C208,1),"")</f>
        <v>207</v>
      </c>
      <c r="E208" t="str">
        <f>IFERROR(INDEX($A$2:$A$603,MATCH(ROWS($D$2:D208),$D$2:$D$603,0)),"")</f>
        <v>MALEKSPIN</v>
      </c>
    </row>
    <row r="209" spans="1:5" x14ac:dyDescent="0.25">
      <c r="A209" t="s">
        <v>809</v>
      </c>
      <c r="B209" t="s">
        <v>208</v>
      </c>
      <c r="C209">
        <f>--ISNUMBER(IFERROR(SEARCH(Deshbord!$A$1,A209,1),""))</f>
        <v>1</v>
      </c>
      <c r="D209">
        <f>IF(C209=1,COUNTIF($C$2:C209,1),"")</f>
        <v>208</v>
      </c>
      <c r="E209" t="str">
        <f>IFERROR(INDEX($A$2:$A$603,MATCH(ROWS($D$2:D209),$D$2:$D$603,0)),"")</f>
        <v>MARICO</v>
      </c>
    </row>
    <row r="210" spans="1:5" x14ac:dyDescent="0.25">
      <c r="A210" t="s">
        <v>810</v>
      </c>
      <c r="B210" t="s">
        <v>209</v>
      </c>
      <c r="C210">
        <f>--ISNUMBER(IFERROR(SEARCH(Deshbord!$A$1,A210,1),""))</f>
        <v>1</v>
      </c>
      <c r="D210">
        <f>IF(C210=1,COUNTIF($C$2:C210,1),"")</f>
        <v>209</v>
      </c>
      <c r="E210" t="str">
        <f>IFERROR(INDEX($A$2:$A$603,MATCH(ROWS($D$2:D210),$D$2:$D$603,0)),"")</f>
        <v>MATINSPINN</v>
      </c>
    </row>
    <row r="211" spans="1:5" x14ac:dyDescent="0.25">
      <c r="A211" t="s">
        <v>811</v>
      </c>
      <c r="B211" t="s">
        <v>210</v>
      </c>
      <c r="C211">
        <f>--ISNUMBER(IFERROR(SEARCH(Deshbord!$A$1,A211,1),""))</f>
        <v>1</v>
      </c>
      <c r="D211">
        <f>IF(C211=1,COUNTIF($C$2:C211,1),"")</f>
        <v>210</v>
      </c>
      <c r="E211" t="str">
        <f>IFERROR(INDEX($A$2:$A$603,MATCH(ROWS($D$2:D211),$D$2:$D$603,0)),"")</f>
        <v>MBL1STMF</v>
      </c>
    </row>
    <row r="212" spans="1:5" x14ac:dyDescent="0.25">
      <c r="A212" t="s">
        <v>812</v>
      </c>
      <c r="B212" t="s">
        <v>211</v>
      </c>
      <c r="C212">
        <f>--ISNUMBER(IFERROR(SEARCH(Deshbord!$A$1,A212,1),""))</f>
        <v>1</v>
      </c>
      <c r="D212">
        <f>IF(C212=1,COUNTIF($C$2:C212,1),"")</f>
        <v>211</v>
      </c>
      <c r="E212" t="str">
        <f>IFERROR(INDEX($A$2:$A$603,MATCH(ROWS($D$2:D212),$D$2:$D$603,0)),"")</f>
        <v>MEGCONMILK</v>
      </c>
    </row>
    <row r="213" spans="1:5" x14ac:dyDescent="0.25">
      <c r="A213" t="s">
        <v>813</v>
      </c>
      <c r="B213" t="s">
        <v>212</v>
      </c>
      <c r="C213">
        <f>--ISNUMBER(IFERROR(SEARCH(Deshbord!$A$1,A213,1),""))</f>
        <v>1</v>
      </c>
      <c r="D213">
        <f>IF(C213=1,COUNTIF($C$2:C213,1),"")</f>
        <v>212</v>
      </c>
      <c r="E213" t="str">
        <f>IFERROR(INDEX($A$2:$A$603,MATCH(ROWS($D$2:D213),$D$2:$D$603,0)),"")</f>
        <v>MEGHNACEM</v>
      </c>
    </row>
    <row r="214" spans="1:5" x14ac:dyDescent="0.25">
      <c r="A214" t="s">
        <v>814</v>
      </c>
      <c r="B214" t="s">
        <v>213</v>
      </c>
      <c r="C214">
        <f>--ISNUMBER(IFERROR(SEARCH(Deshbord!$A$1,A214,1),""))</f>
        <v>1</v>
      </c>
      <c r="D214">
        <f>IF(C214=1,COUNTIF($C$2:C214,1),"")</f>
        <v>213</v>
      </c>
      <c r="E214" t="str">
        <f>IFERROR(INDEX($A$2:$A$603,MATCH(ROWS($D$2:D214),$D$2:$D$603,0)),"")</f>
        <v>MEGHNALIFE</v>
      </c>
    </row>
    <row r="215" spans="1:5" x14ac:dyDescent="0.25">
      <c r="A215" t="s">
        <v>815</v>
      </c>
      <c r="B215" t="s">
        <v>214</v>
      </c>
      <c r="C215">
        <f>--ISNUMBER(IFERROR(SEARCH(Deshbord!$A$1,A215,1),""))</f>
        <v>1</v>
      </c>
      <c r="D215">
        <f>IF(C215=1,COUNTIF($C$2:C215,1),"")</f>
        <v>214</v>
      </c>
      <c r="E215" t="str">
        <f>IFERROR(INDEX($A$2:$A$603,MATCH(ROWS($D$2:D215),$D$2:$D$603,0)),"")</f>
        <v>MEGHNAPET</v>
      </c>
    </row>
    <row r="216" spans="1:5" x14ac:dyDescent="0.25">
      <c r="A216" t="s">
        <v>816</v>
      </c>
      <c r="B216" t="s">
        <v>215</v>
      </c>
      <c r="C216">
        <f>--ISNUMBER(IFERROR(SEARCH(Deshbord!$A$1,A216,1),""))</f>
        <v>1</v>
      </c>
      <c r="D216">
        <f>IF(C216=1,COUNTIF($C$2:C216,1),"")</f>
        <v>215</v>
      </c>
      <c r="E216" t="str">
        <f>IFERROR(INDEX($A$2:$A$603,MATCH(ROWS($D$2:D216),$D$2:$D$603,0)),"")</f>
        <v>MERCANBANK</v>
      </c>
    </row>
    <row r="217" spans="1:5" x14ac:dyDescent="0.25">
      <c r="A217" t="s">
        <v>817</v>
      </c>
      <c r="B217" t="s">
        <v>216</v>
      </c>
      <c r="C217">
        <f>--ISNUMBER(IFERROR(SEARCH(Deshbord!$A$1,A217,1),""))</f>
        <v>1</v>
      </c>
      <c r="D217">
        <f>IF(C217=1,COUNTIF($C$2:C217,1),"")</f>
        <v>216</v>
      </c>
      <c r="E217" t="str">
        <f>IFERROR(INDEX($A$2:$A$603,MATCH(ROWS($D$2:D217),$D$2:$D$603,0)),"")</f>
        <v>MERCINS</v>
      </c>
    </row>
    <row r="218" spans="1:5" x14ac:dyDescent="0.25">
      <c r="A218" t="s">
        <v>818</v>
      </c>
      <c r="B218" t="s">
        <v>217</v>
      </c>
      <c r="C218">
        <f>--ISNUMBER(IFERROR(SEARCH(Deshbord!$A$1,A218,1),""))</f>
        <v>1</v>
      </c>
      <c r="D218">
        <f>IF(C218=1,COUNTIF($C$2:C218,1),"")</f>
        <v>217</v>
      </c>
      <c r="E218" t="str">
        <f>IFERROR(INDEX($A$2:$A$603,MATCH(ROWS($D$2:D218),$D$2:$D$603,0)),"")</f>
        <v>METROSPIN</v>
      </c>
    </row>
    <row r="219" spans="1:5" x14ac:dyDescent="0.25">
      <c r="A219" t="s">
        <v>819</v>
      </c>
      <c r="B219" t="s">
        <v>218</v>
      </c>
      <c r="C219">
        <f>--ISNUMBER(IFERROR(SEARCH(Deshbord!$A$1,A219,1),""))</f>
        <v>1</v>
      </c>
      <c r="D219">
        <f>IF(C219=1,COUNTIF($C$2:C219,1),"")</f>
        <v>218</v>
      </c>
      <c r="E219" t="str">
        <f>IFERROR(INDEX($A$2:$A$603,MATCH(ROWS($D$2:D219),$D$2:$D$603,0)),"")</f>
        <v>MHSML</v>
      </c>
    </row>
    <row r="220" spans="1:5" x14ac:dyDescent="0.25">
      <c r="A220" t="s">
        <v>820</v>
      </c>
      <c r="B220" t="s">
        <v>219</v>
      </c>
      <c r="C220">
        <f>--ISNUMBER(IFERROR(SEARCH(Deshbord!$A$1,A220,1),""))</f>
        <v>1</v>
      </c>
      <c r="D220">
        <f>IF(C220=1,COUNTIF($C$2:C220,1),"")</f>
        <v>219</v>
      </c>
      <c r="E220" t="str">
        <f>IFERROR(INDEX($A$2:$A$603,MATCH(ROWS($D$2:D220),$D$2:$D$603,0)),"")</f>
        <v>MICEMENT</v>
      </c>
    </row>
    <row r="221" spans="1:5" x14ac:dyDescent="0.25">
      <c r="A221" t="s">
        <v>821</v>
      </c>
      <c r="B221" t="s">
        <v>220</v>
      </c>
      <c r="C221">
        <f>--ISNUMBER(IFERROR(SEARCH(Deshbord!$A$1,A221,1),""))</f>
        <v>1</v>
      </c>
      <c r="D221">
        <f>IF(C221=1,COUNTIF($C$2:C221,1),"")</f>
        <v>220</v>
      </c>
      <c r="E221" t="str">
        <f>IFERROR(INDEX($A$2:$A$603,MATCH(ROWS($D$2:D221),$D$2:$D$603,0)),"")</f>
        <v>MIDASFIN</v>
      </c>
    </row>
    <row r="222" spans="1:5" x14ac:dyDescent="0.25">
      <c r="A222" t="s">
        <v>822</v>
      </c>
      <c r="B222" t="s">
        <v>221</v>
      </c>
      <c r="C222">
        <f>--ISNUMBER(IFERROR(SEARCH(Deshbord!$A$1,A222,1),""))</f>
        <v>1</v>
      </c>
      <c r="D222">
        <f>IF(C222=1,COUNTIF($C$2:C222,1),"")</f>
        <v>221</v>
      </c>
      <c r="E222" t="str">
        <f>IFERROR(INDEX($A$2:$A$603,MATCH(ROWS($D$2:D222),$D$2:$D$603,0)),"")</f>
        <v>MIRACLEIND</v>
      </c>
    </row>
    <row r="223" spans="1:5" x14ac:dyDescent="0.25">
      <c r="A223" t="s">
        <v>823</v>
      </c>
      <c r="B223" t="s">
        <v>222</v>
      </c>
      <c r="C223">
        <f>--ISNUMBER(IFERROR(SEARCH(Deshbord!$A$1,A223,1),""))</f>
        <v>1</v>
      </c>
      <c r="D223">
        <f>IF(C223=1,COUNTIF($C$2:C223,1),"")</f>
        <v>222</v>
      </c>
      <c r="E223" t="str">
        <f>IFERROR(INDEX($A$2:$A$603,MATCH(ROWS($D$2:D223),$D$2:$D$603,0)),"")</f>
        <v>MIRAKHTER</v>
      </c>
    </row>
    <row r="224" spans="1:5" x14ac:dyDescent="0.25">
      <c r="A224" t="s">
        <v>824</v>
      </c>
      <c r="B224" t="s">
        <v>223</v>
      </c>
      <c r="C224">
        <f>--ISNUMBER(IFERROR(SEARCH(Deshbord!$A$1,A224,1),""))</f>
        <v>1</v>
      </c>
      <c r="D224">
        <f>IF(C224=1,COUNTIF($C$2:C224,1),"")</f>
        <v>223</v>
      </c>
      <c r="E224" t="str">
        <f>IFERROR(INDEX($A$2:$A$603,MATCH(ROWS($D$2:D224),$D$2:$D$603,0)),"")</f>
        <v>MITHUNKNIT</v>
      </c>
    </row>
    <row r="225" spans="1:5" x14ac:dyDescent="0.25">
      <c r="A225" t="s">
        <v>825</v>
      </c>
      <c r="B225" t="s">
        <v>224</v>
      </c>
      <c r="C225">
        <f>--ISNUMBER(IFERROR(SEARCH(Deshbord!$A$1,A225,1),""))</f>
        <v>1</v>
      </c>
      <c r="D225">
        <f>IF(C225=1,COUNTIF($C$2:C225,1),"")</f>
        <v>224</v>
      </c>
      <c r="E225" t="str">
        <f>IFERROR(INDEX($A$2:$A$603,MATCH(ROWS($D$2:D225),$D$2:$D$603,0)),"")</f>
        <v>MJLBD</v>
      </c>
    </row>
    <row r="226" spans="1:5" x14ac:dyDescent="0.25">
      <c r="A226" t="s">
        <v>826</v>
      </c>
      <c r="B226" t="s">
        <v>225</v>
      </c>
      <c r="C226">
        <f>--ISNUMBER(IFERROR(SEARCH(Deshbord!$A$1,A226,1),""))</f>
        <v>1</v>
      </c>
      <c r="D226">
        <f>IF(C226=1,COUNTIF($C$2:C226,1),"")</f>
        <v>225</v>
      </c>
      <c r="E226" t="str">
        <f>IFERROR(INDEX($A$2:$A$603,MATCH(ROWS($D$2:D226),$D$2:$D$603,0)),"")</f>
        <v>MLDYEING</v>
      </c>
    </row>
    <row r="227" spans="1:5" x14ac:dyDescent="0.25">
      <c r="A227" t="s">
        <v>827</v>
      </c>
      <c r="B227" t="s">
        <v>226</v>
      </c>
      <c r="C227">
        <f>--ISNUMBER(IFERROR(SEARCH(Deshbord!$A$1,A227,1),""))</f>
        <v>1</v>
      </c>
      <c r="D227">
        <f>IF(C227=1,COUNTIF($C$2:C227,1),"")</f>
        <v>226</v>
      </c>
      <c r="E227" t="str">
        <f>IFERROR(INDEX($A$2:$A$603,MATCH(ROWS($D$2:D227),$D$2:$D$603,0)),"")</f>
        <v>MONNOAGML</v>
      </c>
    </row>
    <row r="228" spans="1:5" x14ac:dyDescent="0.25">
      <c r="A228" t="s">
        <v>828</v>
      </c>
      <c r="B228" t="s">
        <v>227</v>
      </c>
      <c r="C228">
        <f>--ISNUMBER(IFERROR(SEARCH(Deshbord!$A$1,A228,1),""))</f>
        <v>1</v>
      </c>
      <c r="D228">
        <f>IF(C228=1,COUNTIF($C$2:C228,1),"")</f>
        <v>227</v>
      </c>
      <c r="E228" t="str">
        <f>IFERROR(INDEX($A$2:$A$603,MATCH(ROWS($D$2:D228),$D$2:$D$603,0)),"")</f>
        <v>MONNOCERA</v>
      </c>
    </row>
    <row r="229" spans="1:5" x14ac:dyDescent="0.25">
      <c r="A229" t="s">
        <v>829</v>
      </c>
      <c r="B229" t="s">
        <v>228</v>
      </c>
      <c r="C229">
        <f>--ISNUMBER(IFERROR(SEARCH(Deshbord!$A$1,A229,1),""))</f>
        <v>1</v>
      </c>
      <c r="D229">
        <f>IF(C229=1,COUNTIF($C$2:C229,1),"")</f>
        <v>228</v>
      </c>
      <c r="E229" t="str">
        <f>IFERROR(INDEX($A$2:$A$603,MATCH(ROWS($D$2:D229),$D$2:$D$603,0)),"")</f>
        <v>MPETROLEUM</v>
      </c>
    </row>
    <row r="230" spans="1:5" x14ac:dyDescent="0.25">
      <c r="A230" t="s">
        <v>830</v>
      </c>
      <c r="B230" t="s">
        <v>229</v>
      </c>
      <c r="C230">
        <f>--ISNUMBER(IFERROR(SEARCH(Deshbord!$A$1,A230,1),""))</f>
        <v>1</v>
      </c>
      <c r="D230">
        <f>IF(C230=1,COUNTIF($C$2:C230,1),"")</f>
        <v>229</v>
      </c>
      <c r="E230" t="str">
        <f>IFERROR(INDEX($A$2:$A$603,MATCH(ROWS($D$2:D230),$D$2:$D$603,0)),"")</f>
        <v>MTB</v>
      </c>
    </row>
    <row r="231" spans="1:5" x14ac:dyDescent="0.25">
      <c r="A231" t="s">
        <v>831</v>
      </c>
      <c r="B231" t="s">
        <v>230</v>
      </c>
      <c r="C231">
        <f>--ISNUMBER(IFERROR(SEARCH(Deshbord!$A$1,A231,1),""))</f>
        <v>1</v>
      </c>
      <c r="D231">
        <f>IF(C231=1,COUNTIF($C$2:C231,1),"")</f>
        <v>230</v>
      </c>
      <c r="E231" t="str">
        <f>IFERROR(INDEX($A$2:$A$603,MATCH(ROWS($D$2:D231),$D$2:$D$603,0)),"")</f>
        <v>NAHEEACP</v>
      </c>
    </row>
    <row r="232" spans="1:5" x14ac:dyDescent="0.25">
      <c r="A232" t="s">
        <v>832</v>
      </c>
      <c r="B232" t="s">
        <v>231</v>
      </c>
      <c r="C232">
        <f>--ISNUMBER(IFERROR(SEARCH(Deshbord!$A$1,A232,1),""))</f>
        <v>1</v>
      </c>
      <c r="D232">
        <f>IF(C232=1,COUNTIF($C$2:C232,1),"")</f>
        <v>231</v>
      </c>
      <c r="E232" t="str">
        <f>IFERROR(INDEX($A$2:$A$603,MATCH(ROWS($D$2:D232),$D$2:$D$603,0)),"")</f>
        <v>NATLIFEINS</v>
      </c>
    </row>
    <row r="233" spans="1:5" x14ac:dyDescent="0.25">
      <c r="A233" t="s">
        <v>833</v>
      </c>
      <c r="B233" t="s">
        <v>232</v>
      </c>
      <c r="C233">
        <f>--ISNUMBER(IFERROR(SEARCH(Deshbord!$A$1,A233,1),""))</f>
        <v>1</v>
      </c>
      <c r="D233">
        <f>IF(C233=1,COUNTIF($C$2:C233,1),"")</f>
        <v>232</v>
      </c>
      <c r="E233" t="str">
        <f>IFERROR(INDEX($A$2:$A$603,MATCH(ROWS($D$2:D233),$D$2:$D$603,0)),"")</f>
        <v>NAVANACNG</v>
      </c>
    </row>
    <row r="234" spans="1:5" x14ac:dyDescent="0.25">
      <c r="A234" t="s">
        <v>834</v>
      </c>
      <c r="B234" t="s">
        <v>233</v>
      </c>
      <c r="C234">
        <f>--ISNUMBER(IFERROR(SEARCH(Deshbord!$A$1,A234,1),""))</f>
        <v>1</v>
      </c>
      <c r="D234">
        <f>IF(C234=1,COUNTIF($C$2:C234,1),"")</f>
        <v>233</v>
      </c>
      <c r="E234" t="str">
        <f>IFERROR(INDEX($A$2:$A$603,MATCH(ROWS($D$2:D234),$D$2:$D$603,0)),"")</f>
        <v>NBL</v>
      </c>
    </row>
    <row r="235" spans="1:5" x14ac:dyDescent="0.25">
      <c r="A235" t="s">
        <v>835</v>
      </c>
      <c r="B235" t="s">
        <v>234</v>
      </c>
      <c r="C235">
        <f>--ISNUMBER(IFERROR(SEARCH(Deshbord!$A$1,A235,1),""))</f>
        <v>1</v>
      </c>
      <c r="D235">
        <f>IF(C235=1,COUNTIF($C$2:C235,1),"")</f>
        <v>234</v>
      </c>
      <c r="E235" t="str">
        <f>IFERROR(INDEX($A$2:$A$603,MATCH(ROWS($D$2:D235),$D$2:$D$603,0)),"")</f>
        <v>NCCBANK</v>
      </c>
    </row>
    <row r="236" spans="1:5" x14ac:dyDescent="0.25">
      <c r="A236" t="s">
        <v>836</v>
      </c>
      <c r="B236" t="s">
        <v>235</v>
      </c>
      <c r="C236">
        <f>--ISNUMBER(IFERROR(SEARCH(Deshbord!$A$1,A236,1),""))</f>
        <v>1</v>
      </c>
      <c r="D236">
        <f>IF(C236=1,COUNTIF($C$2:C236,1),"")</f>
        <v>235</v>
      </c>
      <c r="E236" t="str">
        <f>IFERROR(INDEX($A$2:$A$603,MATCH(ROWS($D$2:D236),$D$2:$D$603,0)),"")</f>
        <v>NCCBLMF1</v>
      </c>
    </row>
    <row r="237" spans="1:5" x14ac:dyDescent="0.25">
      <c r="A237" t="s">
        <v>837</v>
      </c>
      <c r="B237" t="s">
        <v>236</v>
      </c>
      <c r="C237">
        <f>--ISNUMBER(IFERROR(SEARCH(Deshbord!$A$1,A237,1),""))</f>
        <v>1</v>
      </c>
      <c r="D237">
        <f>IF(C237=1,COUNTIF($C$2:C237,1),"")</f>
        <v>236</v>
      </c>
      <c r="E237" t="str">
        <f>IFERROR(INDEX($A$2:$A$603,MATCH(ROWS($D$2:D237),$D$2:$D$603,0)),"")</f>
        <v>NEWLINE</v>
      </c>
    </row>
    <row r="238" spans="1:5" x14ac:dyDescent="0.25">
      <c r="A238" t="s">
        <v>838</v>
      </c>
      <c r="B238" t="s">
        <v>237</v>
      </c>
      <c r="C238">
        <f>--ISNUMBER(IFERROR(SEARCH(Deshbord!$A$1,A238,1),""))</f>
        <v>1</v>
      </c>
      <c r="D238">
        <f>IF(C238=1,COUNTIF($C$2:C238,1),"")</f>
        <v>237</v>
      </c>
      <c r="E238" t="str">
        <f>IFERROR(INDEX($A$2:$A$603,MATCH(ROWS($D$2:D238),$D$2:$D$603,0)),"")</f>
        <v>NFML</v>
      </c>
    </row>
    <row r="239" spans="1:5" x14ac:dyDescent="0.25">
      <c r="A239" t="s">
        <v>839</v>
      </c>
      <c r="B239" t="s">
        <v>238</v>
      </c>
      <c r="C239">
        <f>--ISNUMBER(IFERROR(SEARCH(Deshbord!$A$1,A239,1),""))</f>
        <v>1</v>
      </c>
      <c r="D239">
        <f>IF(C239=1,COUNTIF($C$2:C239,1),"")</f>
        <v>238</v>
      </c>
      <c r="E239" t="str">
        <f>IFERROR(INDEX($A$2:$A$603,MATCH(ROWS($D$2:D239),$D$2:$D$603,0)),"")</f>
        <v>NHFIL</v>
      </c>
    </row>
    <row r="240" spans="1:5" x14ac:dyDescent="0.25">
      <c r="A240" t="s">
        <v>840</v>
      </c>
      <c r="B240" t="s">
        <v>239</v>
      </c>
      <c r="C240">
        <f>--ISNUMBER(IFERROR(SEARCH(Deshbord!$A$1,A240,1),""))</f>
        <v>1</v>
      </c>
      <c r="D240">
        <f>IF(C240=1,COUNTIF($C$2:C240,1),"")</f>
        <v>239</v>
      </c>
      <c r="E240" t="str">
        <f>IFERROR(INDEX($A$2:$A$603,MATCH(ROWS($D$2:D240),$D$2:$D$603,0)),"")</f>
        <v>NITOLINS</v>
      </c>
    </row>
    <row r="241" spans="1:5" x14ac:dyDescent="0.25">
      <c r="A241" t="s">
        <v>841</v>
      </c>
      <c r="B241" t="s">
        <v>240</v>
      </c>
      <c r="C241">
        <f>--ISNUMBER(IFERROR(SEARCH(Deshbord!$A$1,A241,1),""))</f>
        <v>1</v>
      </c>
      <c r="D241">
        <f>IF(C241=1,COUNTIF($C$2:C241,1),"")</f>
        <v>240</v>
      </c>
      <c r="E241" t="str">
        <f>IFERROR(INDEX($A$2:$A$603,MATCH(ROWS($D$2:D241),$D$2:$D$603,0)),"")</f>
        <v>NLI1STMF</v>
      </c>
    </row>
    <row r="242" spans="1:5" x14ac:dyDescent="0.25">
      <c r="A242" t="s">
        <v>842</v>
      </c>
      <c r="B242" t="s">
        <v>241</v>
      </c>
      <c r="C242">
        <f>--ISNUMBER(IFERROR(SEARCH(Deshbord!$A$1,A242,1),""))</f>
        <v>1</v>
      </c>
      <c r="D242">
        <f>IF(C242=1,COUNTIF($C$2:C242,1),"")</f>
        <v>241</v>
      </c>
      <c r="E242" t="str">
        <f>IFERROR(INDEX($A$2:$A$603,MATCH(ROWS($D$2:D242),$D$2:$D$603,0)),"")</f>
        <v>NORTHERN</v>
      </c>
    </row>
    <row r="243" spans="1:5" x14ac:dyDescent="0.25">
      <c r="A243" t="s">
        <v>843</v>
      </c>
      <c r="B243" t="s">
        <v>242</v>
      </c>
      <c r="C243">
        <f>--ISNUMBER(IFERROR(SEARCH(Deshbord!$A$1,A243,1),""))</f>
        <v>1</v>
      </c>
      <c r="D243">
        <f>IF(C243=1,COUNTIF($C$2:C243,1),"")</f>
        <v>242</v>
      </c>
      <c r="E243" t="str">
        <f>IFERROR(INDEX($A$2:$A$603,MATCH(ROWS($D$2:D243),$D$2:$D$603,0)),"")</f>
        <v>NORTHRNINS</v>
      </c>
    </row>
    <row r="244" spans="1:5" x14ac:dyDescent="0.25">
      <c r="A244" t="s">
        <v>844</v>
      </c>
      <c r="B244" t="s">
        <v>243</v>
      </c>
      <c r="C244">
        <f>--ISNUMBER(IFERROR(SEARCH(Deshbord!$A$1,A244,1),""))</f>
        <v>1</v>
      </c>
      <c r="D244">
        <f>IF(C244=1,COUNTIF($C$2:C244,1),"")</f>
        <v>243</v>
      </c>
      <c r="E244" t="str">
        <f>IFERROR(INDEX($A$2:$A$603,MATCH(ROWS($D$2:D244),$D$2:$D$603,0)),"")</f>
        <v>NPOLYMAR</v>
      </c>
    </row>
    <row r="245" spans="1:5" x14ac:dyDescent="0.25">
      <c r="A245" t="s">
        <v>845</v>
      </c>
      <c r="B245" t="s">
        <v>244</v>
      </c>
      <c r="C245">
        <f>--ISNUMBER(IFERROR(SEARCH(Deshbord!$A$1,A245,1),""))</f>
        <v>1</v>
      </c>
      <c r="D245">
        <f>IF(C245=1,COUNTIF($C$2:C245,1),"")</f>
        <v>244</v>
      </c>
      <c r="E245" t="str">
        <f>IFERROR(INDEX($A$2:$A$603,MATCH(ROWS($D$2:D245),$D$2:$D$603,0)),"")</f>
        <v>NRBCBANK</v>
      </c>
    </row>
    <row r="246" spans="1:5" x14ac:dyDescent="0.25">
      <c r="A246" t="s">
        <v>846</v>
      </c>
      <c r="B246" t="s">
        <v>245</v>
      </c>
      <c r="C246">
        <f>--ISNUMBER(IFERROR(SEARCH(Deshbord!$A$1,A246,1),""))</f>
        <v>1</v>
      </c>
      <c r="D246">
        <f>IF(C246=1,COUNTIF($C$2:C246,1),"")</f>
        <v>245</v>
      </c>
      <c r="E246" t="str">
        <f>IFERROR(INDEX($A$2:$A$603,MATCH(ROWS($D$2:D246),$D$2:$D$603,0)),"")</f>
        <v>NTC</v>
      </c>
    </row>
    <row r="247" spans="1:5" x14ac:dyDescent="0.25">
      <c r="A247" t="s">
        <v>847</v>
      </c>
      <c r="B247" t="s">
        <v>246</v>
      </c>
      <c r="C247">
        <f>--ISNUMBER(IFERROR(SEARCH(Deshbord!$A$1,A247,1),""))</f>
        <v>1</v>
      </c>
      <c r="D247">
        <f>IF(C247=1,COUNTIF($C$2:C247,1),"")</f>
        <v>246</v>
      </c>
      <c r="E247" t="str">
        <f>IFERROR(INDEX($A$2:$A$603,MATCH(ROWS($D$2:D247),$D$2:$D$603,0)),"")</f>
        <v>NTLTUBES</v>
      </c>
    </row>
    <row r="248" spans="1:5" x14ac:dyDescent="0.25">
      <c r="A248" t="s">
        <v>848</v>
      </c>
      <c r="B248" t="s">
        <v>247</v>
      </c>
      <c r="C248">
        <f>--ISNUMBER(IFERROR(SEARCH(Deshbord!$A$1,A248,1),""))</f>
        <v>1</v>
      </c>
      <c r="D248">
        <f>IF(C248=1,COUNTIF($C$2:C248,1),"")</f>
        <v>247</v>
      </c>
      <c r="E248" t="str">
        <f>IFERROR(INDEX($A$2:$A$603,MATCH(ROWS($D$2:D248),$D$2:$D$603,0)),"")</f>
        <v>NURANI</v>
      </c>
    </row>
    <row r="249" spans="1:5" x14ac:dyDescent="0.25">
      <c r="A249" t="s">
        <v>849</v>
      </c>
      <c r="B249" t="s">
        <v>248</v>
      </c>
      <c r="C249">
        <f>--ISNUMBER(IFERROR(SEARCH(Deshbord!$A$1,A249,1),""))</f>
        <v>1</v>
      </c>
      <c r="D249">
        <f>IF(C249=1,COUNTIF($C$2:C249,1),"")</f>
        <v>248</v>
      </c>
      <c r="E249" t="str">
        <f>IFERROR(INDEX($A$2:$A$603,MATCH(ROWS($D$2:D249),$D$2:$D$603,0)),"")</f>
        <v>OAL</v>
      </c>
    </row>
    <row r="250" spans="1:5" x14ac:dyDescent="0.25">
      <c r="A250" t="s">
        <v>850</v>
      </c>
      <c r="B250" t="s">
        <v>249</v>
      </c>
      <c r="C250">
        <f>--ISNUMBER(IFERROR(SEARCH(Deshbord!$A$1,A250,1),""))</f>
        <v>1</v>
      </c>
      <c r="D250">
        <f>IF(C250=1,COUNTIF($C$2:C250,1),"")</f>
        <v>249</v>
      </c>
      <c r="E250" t="str">
        <f>IFERROR(INDEX($A$2:$A$603,MATCH(ROWS($D$2:D250),$D$2:$D$603,0)),"")</f>
        <v>OIMEX</v>
      </c>
    </row>
    <row r="251" spans="1:5" x14ac:dyDescent="0.25">
      <c r="A251" t="s">
        <v>851</v>
      </c>
      <c r="B251" t="s">
        <v>250</v>
      </c>
      <c r="C251">
        <f>--ISNUMBER(IFERROR(SEARCH(Deshbord!$A$1,A251,1),""))</f>
        <v>1</v>
      </c>
      <c r="D251">
        <f>IF(C251=1,COUNTIF($C$2:C251,1),"")</f>
        <v>250</v>
      </c>
      <c r="E251" t="str">
        <f>IFERROR(INDEX($A$2:$A$603,MATCH(ROWS($D$2:D251),$D$2:$D$603,0)),"")</f>
        <v>OLYMPIC</v>
      </c>
    </row>
    <row r="252" spans="1:5" x14ac:dyDescent="0.25">
      <c r="A252" t="s">
        <v>852</v>
      </c>
      <c r="B252" t="s">
        <v>251</v>
      </c>
      <c r="C252">
        <f>--ISNUMBER(IFERROR(SEARCH(Deshbord!$A$1,A252,1),""))</f>
        <v>1</v>
      </c>
      <c r="D252">
        <f>IF(C252=1,COUNTIF($C$2:C252,1),"")</f>
        <v>251</v>
      </c>
      <c r="E252" t="str">
        <f>IFERROR(INDEX($A$2:$A$603,MATCH(ROWS($D$2:D252),$D$2:$D$603,0)),"")</f>
        <v>ONEBANKLTD</v>
      </c>
    </row>
    <row r="253" spans="1:5" x14ac:dyDescent="0.25">
      <c r="A253" t="s">
        <v>853</v>
      </c>
      <c r="B253" t="s">
        <v>252</v>
      </c>
      <c r="C253">
        <f>--ISNUMBER(IFERROR(SEARCH(Deshbord!$A$1,A253,1),""))</f>
        <v>1</v>
      </c>
      <c r="D253">
        <f>IF(C253=1,COUNTIF($C$2:C253,1),"")</f>
        <v>252</v>
      </c>
      <c r="E253" t="str">
        <f>IFERROR(INDEX($A$2:$A$603,MATCH(ROWS($D$2:D253),$D$2:$D$603,0)),"")</f>
        <v>ORIONINFU</v>
      </c>
    </row>
    <row r="254" spans="1:5" x14ac:dyDescent="0.25">
      <c r="A254" t="s">
        <v>854</v>
      </c>
      <c r="B254" t="s">
        <v>253</v>
      </c>
      <c r="C254">
        <f>--ISNUMBER(IFERROR(SEARCH(Deshbord!$A$1,A254,1),""))</f>
        <v>1</v>
      </c>
      <c r="D254">
        <f>IF(C254=1,COUNTIF($C$2:C254,1),"")</f>
        <v>253</v>
      </c>
      <c r="E254" t="str">
        <f>IFERROR(INDEX($A$2:$A$603,MATCH(ROWS($D$2:D254),$D$2:$D$603,0)),"")</f>
        <v>ORIONPHARM</v>
      </c>
    </row>
    <row r="255" spans="1:5" x14ac:dyDescent="0.25">
      <c r="A255" t="s">
        <v>855</v>
      </c>
      <c r="B255" t="s">
        <v>254</v>
      </c>
      <c r="C255">
        <f>--ISNUMBER(IFERROR(SEARCH(Deshbord!$A$1,A255,1),""))</f>
        <v>1</v>
      </c>
      <c r="D255">
        <f>IF(C255=1,COUNTIF($C$2:C255,1),"")</f>
        <v>254</v>
      </c>
      <c r="E255" t="str">
        <f>IFERROR(INDEX($A$2:$A$603,MATCH(ROWS($D$2:D255),$D$2:$D$603,0)),"")</f>
        <v>PADMALIFE</v>
      </c>
    </row>
    <row r="256" spans="1:5" x14ac:dyDescent="0.25">
      <c r="A256" t="s">
        <v>856</v>
      </c>
      <c r="B256" t="s">
        <v>255</v>
      </c>
      <c r="C256">
        <f>--ISNUMBER(IFERROR(SEARCH(Deshbord!$A$1,A256,1),""))</f>
        <v>1</v>
      </c>
      <c r="D256">
        <f>IF(C256=1,COUNTIF($C$2:C256,1),"")</f>
        <v>255</v>
      </c>
      <c r="E256" t="str">
        <f>IFERROR(INDEX($A$2:$A$603,MATCH(ROWS($D$2:D256),$D$2:$D$603,0)),"")</f>
        <v>PADMAOIL</v>
      </c>
    </row>
    <row r="257" spans="1:5" x14ac:dyDescent="0.25">
      <c r="A257" t="s">
        <v>857</v>
      </c>
      <c r="B257" t="s">
        <v>256</v>
      </c>
      <c r="C257">
        <f>--ISNUMBER(IFERROR(SEARCH(Deshbord!$A$1,A257,1),""))</f>
        <v>1</v>
      </c>
      <c r="D257">
        <f>IF(C257=1,COUNTIF($C$2:C257,1),"")</f>
        <v>256</v>
      </c>
      <c r="E257" t="str">
        <f>IFERROR(INDEX($A$2:$A$603,MATCH(ROWS($D$2:D257),$D$2:$D$603,0)),"")</f>
        <v>PARAMOUNT</v>
      </c>
    </row>
    <row r="258" spans="1:5" x14ac:dyDescent="0.25">
      <c r="A258" t="s">
        <v>858</v>
      </c>
      <c r="B258" t="s">
        <v>257</v>
      </c>
      <c r="C258">
        <f>--ISNUMBER(IFERROR(SEARCH(Deshbord!$A$1,A258,1),""))</f>
        <v>1</v>
      </c>
      <c r="D258">
        <f>IF(C258=1,COUNTIF($C$2:C258,1),"")</f>
        <v>257</v>
      </c>
      <c r="E258" t="str">
        <f>IFERROR(INDEX($A$2:$A$603,MATCH(ROWS($D$2:D258),$D$2:$D$603,0)),"")</f>
        <v>PDL</v>
      </c>
    </row>
    <row r="259" spans="1:5" x14ac:dyDescent="0.25">
      <c r="A259" t="s">
        <v>859</v>
      </c>
      <c r="B259" t="s">
        <v>258</v>
      </c>
      <c r="C259">
        <f>--ISNUMBER(IFERROR(SEARCH(Deshbord!$A$1,A259,1),""))</f>
        <v>1</v>
      </c>
      <c r="D259">
        <f>IF(C259=1,COUNTIF($C$2:C259,1),"")</f>
        <v>258</v>
      </c>
      <c r="E259" t="str">
        <f>IFERROR(INDEX($A$2:$A$603,MATCH(ROWS($D$2:D259),$D$2:$D$603,0)),"")</f>
        <v>PENINSULA</v>
      </c>
    </row>
    <row r="260" spans="1:5" x14ac:dyDescent="0.25">
      <c r="A260" t="s">
        <v>860</v>
      </c>
      <c r="B260" t="s">
        <v>259</v>
      </c>
      <c r="C260">
        <f>--ISNUMBER(IFERROR(SEARCH(Deshbord!$A$1,A260,1),""))</f>
        <v>1</v>
      </c>
      <c r="D260">
        <f>IF(C260=1,COUNTIF($C$2:C260,1),"")</f>
        <v>259</v>
      </c>
      <c r="E260" t="str">
        <f>IFERROR(INDEX($A$2:$A$603,MATCH(ROWS($D$2:D260),$D$2:$D$603,0)),"")</f>
        <v>PEOPLESINS</v>
      </c>
    </row>
    <row r="261" spans="1:5" x14ac:dyDescent="0.25">
      <c r="A261" t="s">
        <v>861</v>
      </c>
      <c r="B261" t="s">
        <v>260</v>
      </c>
      <c r="C261">
        <f>--ISNUMBER(IFERROR(SEARCH(Deshbord!$A$1,A261,1),""))</f>
        <v>1</v>
      </c>
      <c r="D261">
        <f>IF(C261=1,COUNTIF($C$2:C261,1),"")</f>
        <v>260</v>
      </c>
      <c r="E261" t="str">
        <f>IFERROR(INDEX($A$2:$A$603,MATCH(ROWS($D$2:D261),$D$2:$D$603,0)),"")</f>
        <v>PF1STMF</v>
      </c>
    </row>
    <row r="262" spans="1:5" x14ac:dyDescent="0.25">
      <c r="A262" t="s">
        <v>862</v>
      </c>
      <c r="B262" t="s">
        <v>261</v>
      </c>
      <c r="C262">
        <f>--ISNUMBER(IFERROR(SEARCH(Deshbord!$A$1,A262,1),""))</f>
        <v>1</v>
      </c>
      <c r="D262">
        <f>IF(C262=1,COUNTIF($C$2:C262,1),"")</f>
        <v>261</v>
      </c>
      <c r="E262" t="str">
        <f>IFERROR(INDEX($A$2:$A$603,MATCH(ROWS($D$2:D262),$D$2:$D$603,0)),"")</f>
        <v>PHARMAID</v>
      </c>
    </row>
    <row r="263" spans="1:5" x14ac:dyDescent="0.25">
      <c r="A263" t="s">
        <v>863</v>
      </c>
      <c r="B263" t="s">
        <v>262</v>
      </c>
      <c r="C263">
        <f>--ISNUMBER(IFERROR(SEARCH(Deshbord!$A$1,A263,1),""))</f>
        <v>1</v>
      </c>
      <c r="D263">
        <f>IF(C263=1,COUNTIF($C$2:C263,1),"")</f>
        <v>262</v>
      </c>
      <c r="E263" t="str">
        <f>IFERROR(INDEX($A$2:$A$603,MATCH(ROWS($D$2:D263),$D$2:$D$603,0)),"")</f>
        <v>PHENIXINS</v>
      </c>
    </row>
    <row r="264" spans="1:5" x14ac:dyDescent="0.25">
      <c r="A264" t="s">
        <v>864</v>
      </c>
      <c r="B264" t="s">
        <v>263</v>
      </c>
      <c r="C264">
        <f>--ISNUMBER(IFERROR(SEARCH(Deshbord!$A$1,A264,1),""))</f>
        <v>1</v>
      </c>
      <c r="D264">
        <f>IF(C264=1,COUNTIF($C$2:C264,1),"")</f>
        <v>263</v>
      </c>
      <c r="E264" t="str">
        <f>IFERROR(INDEX($A$2:$A$603,MATCH(ROWS($D$2:D264),$D$2:$D$603,0)),"")</f>
        <v>PHOENIXFIN</v>
      </c>
    </row>
    <row r="265" spans="1:5" x14ac:dyDescent="0.25">
      <c r="A265" t="s">
        <v>865</v>
      </c>
      <c r="B265" t="s">
        <v>264</v>
      </c>
      <c r="C265">
        <f>--ISNUMBER(IFERROR(SEARCH(Deshbord!$A$1,A265,1),""))</f>
        <v>1</v>
      </c>
      <c r="D265">
        <f>IF(C265=1,COUNTIF($C$2:C265,1),"")</f>
        <v>264</v>
      </c>
      <c r="E265" t="str">
        <f>IFERROR(INDEX($A$2:$A$603,MATCH(ROWS($D$2:D265),$D$2:$D$603,0)),"")</f>
        <v>PHPMF1</v>
      </c>
    </row>
    <row r="266" spans="1:5" x14ac:dyDescent="0.25">
      <c r="A266" t="s">
        <v>866</v>
      </c>
      <c r="B266" t="s">
        <v>265</v>
      </c>
      <c r="C266">
        <f>--ISNUMBER(IFERROR(SEARCH(Deshbord!$A$1,A266,1),""))</f>
        <v>1</v>
      </c>
      <c r="D266">
        <f>IF(C266=1,COUNTIF($C$2:C266,1),"")</f>
        <v>265</v>
      </c>
      <c r="E266" t="str">
        <f>IFERROR(INDEX($A$2:$A$603,MATCH(ROWS($D$2:D266),$D$2:$D$603,0)),"")</f>
        <v>PIONEERINS</v>
      </c>
    </row>
    <row r="267" spans="1:5" x14ac:dyDescent="0.25">
      <c r="A267" t="s">
        <v>867</v>
      </c>
      <c r="B267" t="s">
        <v>266</v>
      </c>
      <c r="C267">
        <f>--ISNUMBER(IFERROR(SEARCH(Deshbord!$A$1,A267,1),""))</f>
        <v>1</v>
      </c>
      <c r="D267">
        <f>IF(C267=1,COUNTIF($C$2:C267,1),"")</f>
        <v>266</v>
      </c>
      <c r="E267" t="str">
        <f>IFERROR(INDEX($A$2:$A$603,MATCH(ROWS($D$2:D267),$D$2:$D$603,0)),"")</f>
        <v>PLFSL</v>
      </c>
    </row>
    <row r="268" spans="1:5" x14ac:dyDescent="0.25">
      <c r="A268" t="s">
        <v>868</v>
      </c>
      <c r="B268" t="s">
        <v>267</v>
      </c>
      <c r="C268">
        <f>--ISNUMBER(IFERROR(SEARCH(Deshbord!$A$1,A268,1),""))</f>
        <v>1</v>
      </c>
      <c r="D268">
        <f>IF(C268=1,COUNTIF($C$2:C268,1),"")</f>
        <v>267</v>
      </c>
      <c r="E268" t="str">
        <f>IFERROR(INDEX($A$2:$A$603,MATCH(ROWS($D$2:D268),$D$2:$D$603,0)),"")</f>
        <v>POPULAR1MF</v>
      </c>
    </row>
    <row r="269" spans="1:5" x14ac:dyDescent="0.25">
      <c r="A269" t="s">
        <v>869</v>
      </c>
      <c r="B269" t="s">
        <v>268</v>
      </c>
      <c r="C269">
        <f>--ISNUMBER(IFERROR(SEARCH(Deshbord!$A$1,A269,1),""))</f>
        <v>1</v>
      </c>
      <c r="D269">
        <f>IF(C269=1,COUNTIF($C$2:C269,1),"")</f>
        <v>268</v>
      </c>
      <c r="E269" t="str">
        <f>IFERROR(INDEX($A$2:$A$603,MATCH(ROWS($D$2:D269),$D$2:$D$603,0)),"")</f>
        <v>POPULARLIF</v>
      </c>
    </row>
    <row r="270" spans="1:5" x14ac:dyDescent="0.25">
      <c r="A270" t="s">
        <v>870</v>
      </c>
      <c r="B270" t="s">
        <v>269</v>
      </c>
      <c r="C270">
        <f>--ISNUMBER(IFERROR(SEARCH(Deshbord!$A$1,A270,1),""))</f>
        <v>1</v>
      </c>
      <c r="D270">
        <f>IF(C270=1,COUNTIF($C$2:C270,1),"")</f>
        <v>269</v>
      </c>
      <c r="E270" t="str">
        <f>IFERROR(INDEX($A$2:$A$603,MATCH(ROWS($D$2:D270),$D$2:$D$603,0)),"")</f>
        <v>POWERGRID</v>
      </c>
    </row>
    <row r="271" spans="1:5" x14ac:dyDescent="0.25">
      <c r="A271" t="s">
        <v>871</v>
      </c>
      <c r="B271" t="s">
        <v>270</v>
      </c>
      <c r="C271">
        <f>--ISNUMBER(IFERROR(SEARCH(Deshbord!$A$1,A271,1),""))</f>
        <v>1</v>
      </c>
      <c r="D271">
        <f>IF(C271=1,COUNTIF($C$2:C271,1),"")</f>
        <v>270</v>
      </c>
      <c r="E271" t="str">
        <f>IFERROR(INDEX($A$2:$A$603,MATCH(ROWS($D$2:D271),$D$2:$D$603,0)),"")</f>
        <v>PRAGATIINS</v>
      </c>
    </row>
    <row r="272" spans="1:5" x14ac:dyDescent="0.25">
      <c r="A272" t="s">
        <v>872</v>
      </c>
      <c r="B272" t="s">
        <v>271</v>
      </c>
      <c r="C272">
        <f>--ISNUMBER(IFERROR(SEARCH(Deshbord!$A$1,A272,1),""))</f>
        <v>1</v>
      </c>
      <c r="D272">
        <f>IF(C272=1,COUNTIF($C$2:C272,1),"")</f>
        <v>271</v>
      </c>
      <c r="E272" t="str">
        <f>IFERROR(INDEX($A$2:$A$603,MATCH(ROWS($D$2:D272),$D$2:$D$603,0)),"")</f>
        <v>PRAGATILIF</v>
      </c>
    </row>
    <row r="273" spans="1:5" x14ac:dyDescent="0.25">
      <c r="A273" t="s">
        <v>873</v>
      </c>
      <c r="B273" t="s">
        <v>272</v>
      </c>
      <c r="C273">
        <f>--ISNUMBER(IFERROR(SEARCH(Deshbord!$A$1,A273,1),""))</f>
        <v>1</v>
      </c>
      <c r="D273">
        <f>IF(C273=1,COUNTIF($C$2:C273,1),"")</f>
        <v>272</v>
      </c>
      <c r="E273" t="str">
        <f>IFERROR(INDEX($A$2:$A$603,MATCH(ROWS($D$2:D273),$D$2:$D$603,0)),"")</f>
        <v>PREMIERBAN</v>
      </c>
    </row>
    <row r="274" spans="1:5" x14ac:dyDescent="0.25">
      <c r="A274" t="s">
        <v>874</v>
      </c>
      <c r="B274" t="s">
        <v>273</v>
      </c>
      <c r="C274">
        <f>--ISNUMBER(IFERROR(SEARCH(Deshbord!$A$1,A274,1),""))</f>
        <v>1</v>
      </c>
      <c r="D274">
        <f>IF(C274=1,COUNTIF($C$2:C274,1),"")</f>
        <v>273</v>
      </c>
      <c r="E274" t="str">
        <f>IFERROR(INDEX($A$2:$A$603,MATCH(ROWS($D$2:D274),$D$2:$D$603,0)),"")</f>
        <v>PREMIERCEM</v>
      </c>
    </row>
    <row r="275" spans="1:5" x14ac:dyDescent="0.25">
      <c r="A275" t="s">
        <v>875</v>
      </c>
      <c r="B275" t="s">
        <v>274</v>
      </c>
      <c r="C275">
        <f>--ISNUMBER(IFERROR(SEARCH(Deshbord!$A$1,A275,1),""))</f>
        <v>1</v>
      </c>
      <c r="D275">
        <f>IF(C275=1,COUNTIF($C$2:C275,1),"")</f>
        <v>274</v>
      </c>
      <c r="E275" t="str">
        <f>IFERROR(INDEX($A$2:$A$603,MATCH(ROWS($D$2:D275),$D$2:$D$603,0)),"")</f>
        <v>PREMIERLEA</v>
      </c>
    </row>
    <row r="276" spans="1:5" x14ac:dyDescent="0.25">
      <c r="A276" t="s">
        <v>876</v>
      </c>
      <c r="B276" t="s">
        <v>275</v>
      </c>
      <c r="C276">
        <f>--ISNUMBER(IFERROR(SEARCH(Deshbord!$A$1,A276,1),""))</f>
        <v>1</v>
      </c>
      <c r="D276">
        <f>IF(C276=1,COUNTIF($C$2:C276,1),"")</f>
        <v>275</v>
      </c>
      <c r="E276" t="str">
        <f>IFERROR(INDEX($A$2:$A$603,MATCH(ROWS($D$2:D276),$D$2:$D$603,0)),"")</f>
        <v>PRIME1ICBA</v>
      </c>
    </row>
    <row r="277" spans="1:5" x14ac:dyDescent="0.25">
      <c r="A277" t="s">
        <v>877</v>
      </c>
      <c r="B277" t="s">
        <v>276</v>
      </c>
      <c r="C277">
        <f>--ISNUMBER(IFERROR(SEARCH(Deshbord!$A$1,A277,1),""))</f>
        <v>1</v>
      </c>
      <c r="D277">
        <f>IF(C277=1,COUNTIF($C$2:C277,1),"")</f>
        <v>276</v>
      </c>
      <c r="E277" t="str">
        <f>IFERROR(INDEX($A$2:$A$603,MATCH(ROWS($D$2:D277),$D$2:$D$603,0)),"")</f>
        <v>PRIMEBANK</v>
      </c>
    </row>
    <row r="278" spans="1:5" x14ac:dyDescent="0.25">
      <c r="A278" t="s">
        <v>878</v>
      </c>
      <c r="B278" t="s">
        <v>277</v>
      </c>
      <c r="C278">
        <f>--ISNUMBER(IFERROR(SEARCH(Deshbord!$A$1,A278,1),""))</f>
        <v>1</v>
      </c>
      <c r="D278">
        <f>IF(C278=1,COUNTIF($C$2:C278,1),"")</f>
        <v>277</v>
      </c>
      <c r="E278" t="str">
        <f>IFERROR(INDEX($A$2:$A$603,MATCH(ROWS($D$2:D278),$D$2:$D$603,0)),"")</f>
        <v>PRIMEFIN</v>
      </c>
    </row>
    <row r="279" spans="1:5" x14ac:dyDescent="0.25">
      <c r="A279" t="s">
        <v>879</v>
      </c>
      <c r="B279" t="s">
        <v>278</v>
      </c>
      <c r="C279">
        <f>--ISNUMBER(IFERROR(SEARCH(Deshbord!$A$1,A279,1),""))</f>
        <v>1</v>
      </c>
      <c r="D279">
        <f>IF(C279=1,COUNTIF($C$2:C279,1),"")</f>
        <v>278</v>
      </c>
      <c r="E279" t="str">
        <f>IFERROR(INDEX($A$2:$A$603,MATCH(ROWS($D$2:D279),$D$2:$D$603,0)),"")</f>
        <v>PRIMEINSUR</v>
      </c>
    </row>
    <row r="280" spans="1:5" x14ac:dyDescent="0.25">
      <c r="A280" t="s">
        <v>880</v>
      </c>
      <c r="B280" t="s">
        <v>279</v>
      </c>
      <c r="C280">
        <f>--ISNUMBER(IFERROR(SEARCH(Deshbord!$A$1,A280,1),""))</f>
        <v>1</v>
      </c>
      <c r="D280">
        <f>IF(C280=1,COUNTIF($C$2:C280,1),"")</f>
        <v>279</v>
      </c>
      <c r="E280" t="str">
        <f>IFERROR(INDEX($A$2:$A$603,MATCH(ROWS($D$2:D280),$D$2:$D$603,0)),"")</f>
        <v>PRIMELIFE</v>
      </c>
    </row>
    <row r="281" spans="1:5" x14ac:dyDescent="0.25">
      <c r="A281" t="s">
        <v>881</v>
      </c>
      <c r="B281" t="s">
        <v>280</v>
      </c>
      <c r="C281">
        <f>--ISNUMBER(IFERROR(SEARCH(Deshbord!$A$1,A281,1),""))</f>
        <v>1</v>
      </c>
      <c r="D281">
        <f>IF(C281=1,COUNTIF($C$2:C281,1),"")</f>
        <v>280</v>
      </c>
      <c r="E281" t="str">
        <f>IFERROR(INDEX($A$2:$A$603,MATCH(ROWS($D$2:D281),$D$2:$D$603,0)),"")</f>
        <v>PRIMETEX</v>
      </c>
    </row>
    <row r="282" spans="1:5" x14ac:dyDescent="0.25">
      <c r="A282" t="s">
        <v>882</v>
      </c>
      <c r="B282" t="s">
        <v>281</v>
      </c>
      <c r="C282">
        <f>--ISNUMBER(IFERROR(SEARCH(Deshbord!$A$1,A282,1),""))</f>
        <v>1</v>
      </c>
      <c r="D282">
        <f>IF(C282=1,COUNTIF($C$2:C282,1),"")</f>
        <v>281</v>
      </c>
      <c r="E282" t="str">
        <f>IFERROR(INDEX($A$2:$A$603,MATCH(ROWS($D$2:D282),$D$2:$D$603,0)),"")</f>
        <v>PROGRESLIF</v>
      </c>
    </row>
    <row r="283" spans="1:5" x14ac:dyDescent="0.25">
      <c r="A283" t="s">
        <v>883</v>
      </c>
      <c r="B283" t="s">
        <v>282</v>
      </c>
      <c r="C283">
        <f>--ISNUMBER(IFERROR(SEARCH(Deshbord!$A$1,A283,1),""))</f>
        <v>1</v>
      </c>
      <c r="D283">
        <f>IF(C283=1,COUNTIF($C$2:C283,1),"")</f>
        <v>282</v>
      </c>
      <c r="E283" t="str">
        <f>IFERROR(INDEX($A$2:$A$603,MATCH(ROWS($D$2:D283),$D$2:$D$603,0)),"")</f>
        <v>PROVATIINS</v>
      </c>
    </row>
    <row r="284" spans="1:5" x14ac:dyDescent="0.25">
      <c r="A284" t="s">
        <v>884</v>
      </c>
      <c r="B284" t="s">
        <v>283</v>
      </c>
      <c r="C284">
        <f>--ISNUMBER(IFERROR(SEARCH(Deshbord!$A$1,A284,1),""))</f>
        <v>1</v>
      </c>
      <c r="D284">
        <f>IF(C284=1,COUNTIF($C$2:C284,1),"")</f>
        <v>283</v>
      </c>
      <c r="E284" t="str">
        <f>IFERROR(INDEX($A$2:$A$603,MATCH(ROWS($D$2:D284),$D$2:$D$603,0)),"")</f>
        <v>PTL</v>
      </c>
    </row>
    <row r="285" spans="1:5" x14ac:dyDescent="0.25">
      <c r="A285" t="s">
        <v>885</v>
      </c>
      <c r="B285" t="s">
        <v>284</v>
      </c>
      <c r="C285">
        <f>--ISNUMBER(IFERROR(SEARCH(Deshbord!$A$1,A285,1),""))</f>
        <v>1</v>
      </c>
      <c r="D285">
        <f>IF(C285=1,COUNTIF($C$2:C285,1),"")</f>
        <v>284</v>
      </c>
      <c r="E285" t="str">
        <f>IFERROR(INDEX($A$2:$A$603,MATCH(ROWS($D$2:D285),$D$2:$D$603,0)),"")</f>
        <v>PUBALIBANK</v>
      </c>
    </row>
    <row r="286" spans="1:5" x14ac:dyDescent="0.25">
      <c r="A286" t="s">
        <v>886</v>
      </c>
      <c r="B286" t="s">
        <v>285</v>
      </c>
      <c r="C286">
        <f>--ISNUMBER(IFERROR(SEARCH(Deshbord!$A$1,A286,1),""))</f>
        <v>1</v>
      </c>
      <c r="D286">
        <f>IF(C286=1,COUNTIF($C$2:C286,1),"")</f>
        <v>285</v>
      </c>
      <c r="E286" t="str">
        <f>IFERROR(INDEX($A$2:$A$603,MATCH(ROWS($D$2:D286),$D$2:$D$603,0)),"")</f>
        <v>PURABIGEN</v>
      </c>
    </row>
    <row r="287" spans="1:5" x14ac:dyDescent="0.25">
      <c r="A287" t="s">
        <v>887</v>
      </c>
      <c r="B287" t="s">
        <v>286</v>
      </c>
      <c r="C287">
        <f>--ISNUMBER(IFERROR(SEARCH(Deshbord!$A$1,A287,1),""))</f>
        <v>1</v>
      </c>
      <c r="D287">
        <f>IF(C287=1,COUNTIF($C$2:C287,1),"")</f>
        <v>286</v>
      </c>
      <c r="E287" t="str">
        <f>IFERROR(INDEX($A$2:$A$603,MATCH(ROWS($D$2:D287),$D$2:$D$603,0)),"")</f>
        <v>QUASEMIND</v>
      </c>
    </row>
    <row r="288" spans="1:5" x14ac:dyDescent="0.25">
      <c r="A288" t="s">
        <v>888</v>
      </c>
      <c r="B288" t="s">
        <v>287</v>
      </c>
      <c r="C288">
        <f>--ISNUMBER(IFERROR(SEARCH(Deshbord!$A$1,A288,1),""))</f>
        <v>1</v>
      </c>
      <c r="D288">
        <f>IF(C288=1,COUNTIF($C$2:C288,1),"")</f>
        <v>287</v>
      </c>
      <c r="E288" t="str">
        <f>IFERROR(INDEX($A$2:$A$603,MATCH(ROWS($D$2:D288),$D$2:$D$603,0)),"")</f>
        <v>QUEENSOUTH</v>
      </c>
    </row>
    <row r="289" spans="1:5" x14ac:dyDescent="0.25">
      <c r="A289" t="s">
        <v>889</v>
      </c>
      <c r="B289" t="s">
        <v>288</v>
      </c>
      <c r="C289">
        <f>--ISNUMBER(IFERROR(SEARCH(Deshbord!$A$1,A289,1),""))</f>
        <v>1</v>
      </c>
      <c r="D289">
        <f>IF(C289=1,COUNTIF($C$2:C289,1),"")</f>
        <v>288</v>
      </c>
      <c r="E289" t="str">
        <f>IFERROR(INDEX($A$2:$A$603,MATCH(ROWS($D$2:D289),$D$2:$D$603,0)),"")</f>
        <v>RAHIMAFOOD</v>
      </c>
    </row>
    <row r="290" spans="1:5" x14ac:dyDescent="0.25">
      <c r="A290" t="s">
        <v>890</v>
      </c>
      <c r="B290" t="s">
        <v>289</v>
      </c>
      <c r="C290">
        <f>--ISNUMBER(IFERROR(SEARCH(Deshbord!$A$1,A290,1),""))</f>
        <v>1</v>
      </c>
      <c r="D290">
        <f>IF(C290=1,COUNTIF($C$2:C290,1),"")</f>
        <v>289</v>
      </c>
      <c r="E290" t="str">
        <f>IFERROR(INDEX($A$2:$A$603,MATCH(ROWS($D$2:D290),$D$2:$D$603,0)),"")</f>
        <v>RAHIMTEXT</v>
      </c>
    </row>
    <row r="291" spans="1:5" x14ac:dyDescent="0.25">
      <c r="A291" t="s">
        <v>891</v>
      </c>
      <c r="B291" t="s">
        <v>290</v>
      </c>
      <c r="C291">
        <f>--ISNUMBER(IFERROR(SEARCH(Deshbord!$A$1,A291,1),""))</f>
        <v>1</v>
      </c>
      <c r="D291">
        <f>IF(C291=1,COUNTIF($C$2:C291,1),"")</f>
        <v>290</v>
      </c>
      <c r="E291" t="str">
        <f>IFERROR(INDEX($A$2:$A$603,MATCH(ROWS($D$2:D291),$D$2:$D$603,0)),"")</f>
        <v>RAKCERAMIC</v>
      </c>
    </row>
    <row r="292" spans="1:5" x14ac:dyDescent="0.25">
      <c r="A292" t="s">
        <v>892</v>
      </c>
      <c r="B292" t="s">
        <v>291</v>
      </c>
      <c r="C292">
        <f>--ISNUMBER(IFERROR(SEARCH(Deshbord!$A$1,A292,1),""))</f>
        <v>1</v>
      </c>
      <c r="D292">
        <f>IF(C292=1,COUNTIF($C$2:C292,1),"")</f>
        <v>291</v>
      </c>
      <c r="E292" t="str">
        <f>IFERROR(INDEX($A$2:$A$603,MATCH(ROWS($D$2:D292),$D$2:$D$603,0)),"")</f>
        <v>RANFOUNDRY</v>
      </c>
    </row>
    <row r="293" spans="1:5" x14ac:dyDescent="0.25">
      <c r="A293" t="s">
        <v>893</v>
      </c>
      <c r="B293" t="s">
        <v>292</v>
      </c>
      <c r="C293">
        <f>--ISNUMBER(IFERROR(SEARCH(Deshbord!$A$1,A293,1),""))</f>
        <v>1</v>
      </c>
      <c r="D293">
        <f>IF(C293=1,COUNTIF($C$2:C293,1),"")</f>
        <v>292</v>
      </c>
      <c r="E293" t="str">
        <f>IFERROR(INDEX($A$2:$A$603,MATCH(ROWS($D$2:D293),$D$2:$D$603,0)),"")</f>
        <v>RDFOOD</v>
      </c>
    </row>
    <row r="294" spans="1:5" x14ac:dyDescent="0.25">
      <c r="A294" t="s">
        <v>894</v>
      </c>
      <c r="B294" t="s">
        <v>293</v>
      </c>
      <c r="C294">
        <f>--ISNUMBER(IFERROR(SEARCH(Deshbord!$A$1,A294,1),""))</f>
        <v>1</v>
      </c>
      <c r="D294">
        <f>IF(C294=1,COUNTIF($C$2:C294,1),"")</f>
        <v>293</v>
      </c>
      <c r="E294" t="str">
        <f>IFERROR(INDEX($A$2:$A$603,MATCH(ROWS($D$2:D294),$D$2:$D$603,0)),"")</f>
        <v>RECKITTBEN</v>
      </c>
    </row>
    <row r="295" spans="1:5" x14ac:dyDescent="0.25">
      <c r="A295" t="s">
        <v>895</v>
      </c>
      <c r="B295" t="s">
        <v>294</v>
      </c>
      <c r="C295">
        <f>--ISNUMBER(IFERROR(SEARCH(Deshbord!$A$1,A295,1),""))</f>
        <v>1</v>
      </c>
      <c r="D295">
        <f>IF(C295=1,COUNTIF($C$2:C295,1),"")</f>
        <v>294</v>
      </c>
      <c r="E295" t="str">
        <f>IFERROR(INDEX($A$2:$A$603,MATCH(ROWS($D$2:D295),$D$2:$D$603,0)),"")</f>
        <v>REGENTTEX</v>
      </c>
    </row>
    <row r="296" spans="1:5" x14ac:dyDescent="0.25">
      <c r="A296" t="s">
        <v>896</v>
      </c>
      <c r="B296" t="s">
        <v>295</v>
      </c>
      <c r="C296">
        <f>--ISNUMBER(IFERROR(SEARCH(Deshbord!$A$1,A296,1),""))</f>
        <v>1</v>
      </c>
      <c r="D296">
        <f>IF(C296=1,COUNTIF($C$2:C296,1),"")</f>
        <v>295</v>
      </c>
      <c r="E296" t="str">
        <f>IFERROR(INDEX($A$2:$A$603,MATCH(ROWS($D$2:D296),$D$2:$D$603,0)),"")</f>
        <v>RELIANCE1</v>
      </c>
    </row>
    <row r="297" spans="1:5" x14ac:dyDescent="0.25">
      <c r="A297" t="s">
        <v>897</v>
      </c>
      <c r="B297" t="s">
        <v>296</v>
      </c>
      <c r="C297">
        <f>--ISNUMBER(IFERROR(SEARCH(Deshbord!$A$1,A297,1),""))</f>
        <v>1</v>
      </c>
      <c r="D297">
        <f>IF(C297=1,COUNTIF($C$2:C297,1),"")</f>
        <v>296</v>
      </c>
      <c r="E297" t="str">
        <f>IFERROR(INDEX($A$2:$A$603,MATCH(ROWS($D$2:D297),$D$2:$D$603,0)),"")</f>
        <v>RELIANCINS</v>
      </c>
    </row>
    <row r="298" spans="1:5" x14ac:dyDescent="0.25">
      <c r="A298" t="s">
        <v>898</v>
      </c>
      <c r="B298" t="s">
        <v>297</v>
      </c>
      <c r="C298">
        <f>--ISNUMBER(IFERROR(SEARCH(Deshbord!$A$1,A298,1),""))</f>
        <v>1</v>
      </c>
      <c r="D298">
        <f>IF(C298=1,COUNTIF($C$2:C298,1),"")</f>
        <v>297</v>
      </c>
      <c r="E298" t="str">
        <f>IFERROR(INDEX($A$2:$A$603,MATCH(ROWS($D$2:D298),$D$2:$D$603,0)),"")</f>
        <v>RENATA</v>
      </c>
    </row>
    <row r="299" spans="1:5" x14ac:dyDescent="0.25">
      <c r="A299" t="s">
        <v>899</v>
      </c>
      <c r="B299" t="s">
        <v>298</v>
      </c>
      <c r="C299">
        <f>--ISNUMBER(IFERROR(SEARCH(Deshbord!$A$1,A299,1),""))</f>
        <v>1</v>
      </c>
      <c r="D299">
        <f>IF(C299=1,COUNTIF($C$2:C299,1),"")</f>
        <v>298</v>
      </c>
      <c r="E299" t="str">
        <f>IFERROR(INDEX($A$2:$A$603,MATCH(ROWS($D$2:D299),$D$2:$D$603,0)),"")</f>
        <v>RENWICKJA</v>
      </c>
    </row>
    <row r="300" spans="1:5" x14ac:dyDescent="0.25">
      <c r="A300" t="s">
        <v>900</v>
      </c>
      <c r="B300" t="s">
        <v>299</v>
      </c>
      <c r="C300">
        <f>--ISNUMBER(IFERROR(SEARCH(Deshbord!$A$1,A300,1),""))</f>
        <v>1</v>
      </c>
      <c r="D300">
        <f>IF(C300=1,COUNTIF($C$2:C300,1),"")</f>
        <v>299</v>
      </c>
      <c r="E300" t="str">
        <f>IFERROR(INDEX($A$2:$A$603,MATCH(ROWS($D$2:D300),$D$2:$D$603,0)),"")</f>
        <v>REPUBLIC</v>
      </c>
    </row>
    <row r="301" spans="1:5" x14ac:dyDescent="0.25">
      <c r="A301" t="s">
        <v>901</v>
      </c>
      <c r="B301" t="s">
        <v>300</v>
      </c>
      <c r="C301">
        <f>--ISNUMBER(IFERROR(SEARCH(Deshbord!$A$1,A301,1),""))</f>
        <v>1</v>
      </c>
      <c r="D301">
        <f>IF(C301=1,COUNTIF($C$2:C301,1),"")</f>
        <v>300</v>
      </c>
      <c r="E301" t="str">
        <f>IFERROR(INDEX($A$2:$A$603,MATCH(ROWS($D$2:D301),$D$2:$D$603,0)),"")</f>
        <v>RINGSHINE</v>
      </c>
    </row>
    <row r="302" spans="1:5" x14ac:dyDescent="0.25">
      <c r="A302" t="s">
        <v>902</v>
      </c>
      <c r="B302" t="s">
        <v>301</v>
      </c>
      <c r="C302">
        <f>--ISNUMBER(IFERROR(SEARCH(Deshbord!$A$1,A302,1),""))</f>
        <v>1</v>
      </c>
      <c r="D302">
        <f>IF(C302=1,COUNTIF($C$2:C302,1),"")</f>
        <v>301</v>
      </c>
      <c r="E302" t="str">
        <f>IFERROR(INDEX($A$2:$A$603,MATCH(ROWS($D$2:D302),$D$2:$D$603,0)),"")</f>
        <v>RNSPIN</v>
      </c>
    </row>
    <row r="303" spans="1:5" x14ac:dyDescent="0.25">
      <c r="A303" t="s">
        <v>903</v>
      </c>
      <c r="B303" t="s">
        <v>302</v>
      </c>
      <c r="C303">
        <f>--ISNUMBER(IFERROR(SEARCH(Deshbord!$A$1,A303,1),""))</f>
        <v>1</v>
      </c>
      <c r="D303">
        <f>IF(C303=1,COUNTIF($C$2:C303,1),"")</f>
        <v>302</v>
      </c>
      <c r="E303" t="str">
        <f>IFERROR(INDEX($A$2:$A$603,MATCH(ROWS($D$2:D303),$D$2:$D$603,0)),"")</f>
        <v>ROBI</v>
      </c>
    </row>
    <row r="304" spans="1:5" x14ac:dyDescent="0.25">
      <c r="A304" t="s">
        <v>904</v>
      </c>
      <c r="B304" t="s">
        <v>303</v>
      </c>
      <c r="C304">
        <f>--ISNUMBER(IFERROR(SEARCH(Deshbord!$A$1,A304,1),""))</f>
        <v>1</v>
      </c>
      <c r="D304">
        <f>IF(C304=1,COUNTIF($C$2:C304,1),"")</f>
        <v>303</v>
      </c>
      <c r="E304" t="str">
        <f>IFERROR(INDEX($A$2:$A$603,MATCH(ROWS($D$2:D304),$D$2:$D$603,0)),"")</f>
        <v>RSRMSTEEL</v>
      </c>
    </row>
    <row r="305" spans="1:5" x14ac:dyDescent="0.25">
      <c r="A305" t="s">
        <v>905</v>
      </c>
      <c r="B305" t="s">
        <v>304</v>
      </c>
      <c r="C305">
        <f>--ISNUMBER(IFERROR(SEARCH(Deshbord!$A$1,A305,1),""))</f>
        <v>1</v>
      </c>
      <c r="D305">
        <f>IF(C305=1,COUNTIF($C$2:C305,1),"")</f>
        <v>304</v>
      </c>
      <c r="E305" t="str">
        <f>IFERROR(INDEX($A$2:$A$603,MATCH(ROWS($D$2:D305),$D$2:$D$603,0)),"")</f>
        <v>RUNNERAUTO</v>
      </c>
    </row>
    <row r="306" spans="1:5" x14ac:dyDescent="0.25">
      <c r="A306" t="s">
        <v>906</v>
      </c>
      <c r="B306" t="s">
        <v>305</v>
      </c>
      <c r="C306">
        <f>--ISNUMBER(IFERROR(SEARCH(Deshbord!$A$1,A306,1),""))</f>
        <v>1</v>
      </c>
      <c r="D306">
        <f>IF(C306=1,COUNTIF($C$2:C306,1),"")</f>
        <v>305</v>
      </c>
      <c r="E306" t="str">
        <f>IFERROR(INDEX($A$2:$A$603,MATCH(ROWS($D$2:D306),$D$2:$D$603,0)),"")</f>
        <v>RUPALIBANK</v>
      </c>
    </row>
    <row r="307" spans="1:5" x14ac:dyDescent="0.25">
      <c r="A307" t="s">
        <v>907</v>
      </c>
      <c r="B307" t="s">
        <v>306</v>
      </c>
      <c r="C307">
        <f>--ISNUMBER(IFERROR(SEARCH(Deshbord!$A$1,A307,1),""))</f>
        <v>1</v>
      </c>
      <c r="D307">
        <f>IF(C307=1,COUNTIF($C$2:C307,1),"")</f>
        <v>306</v>
      </c>
      <c r="E307" t="str">
        <f>IFERROR(INDEX($A$2:$A$603,MATCH(ROWS($D$2:D307),$D$2:$D$603,0)),"")</f>
        <v>RUPALIINS</v>
      </c>
    </row>
    <row r="308" spans="1:5" x14ac:dyDescent="0.25">
      <c r="A308" t="s">
        <v>908</v>
      </c>
      <c r="B308" t="s">
        <v>307</v>
      </c>
      <c r="C308">
        <f>--ISNUMBER(IFERROR(SEARCH(Deshbord!$A$1,A308,1),""))</f>
        <v>1</v>
      </c>
      <c r="D308">
        <f>IF(C308=1,COUNTIF($C$2:C308,1),"")</f>
        <v>307</v>
      </c>
      <c r="E308" t="str">
        <f>IFERROR(INDEX($A$2:$A$603,MATCH(ROWS($D$2:D308),$D$2:$D$603,0)),"")</f>
        <v>RUPALILIFE</v>
      </c>
    </row>
    <row r="309" spans="1:5" x14ac:dyDescent="0.25">
      <c r="A309" t="s">
        <v>909</v>
      </c>
      <c r="B309" t="s">
        <v>308</v>
      </c>
      <c r="C309">
        <f>--ISNUMBER(IFERROR(SEARCH(Deshbord!$A$1,A309,1),""))</f>
        <v>1</v>
      </c>
      <c r="D309">
        <f>IF(C309=1,COUNTIF($C$2:C309,1),"")</f>
        <v>308</v>
      </c>
      <c r="E309" t="str">
        <f>IFERROR(INDEX($A$2:$A$603,MATCH(ROWS($D$2:D309),$D$2:$D$603,0)),"")</f>
        <v>SAFKOSPINN</v>
      </c>
    </row>
    <row r="310" spans="1:5" x14ac:dyDescent="0.25">
      <c r="A310" t="s">
        <v>910</v>
      </c>
      <c r="B310" t="s">
        <v>309</v>
      </c>
      <c r="C310">
        <f>--ISNUMBER(IFERROR(SEARCH(Deshbord!$A$1,A310,1),""))</f>
        <v>1</v>
      </c>
      <c r="D310">
        <f>IF(C310=1,COUNTIF($C$2:C310,1),"")</f>
        <v>309</v>
      </c>
      <c r="E310" t="str">
        <f>IFERROR(INDEX($A$2:$A$603,MATCH(ROWS($D$2:D310),$D$2:$D$603,0)),"")</f>
        <v>SAIFPOWER</v>
      </c>
    </row>
    <row r="311" spans="1:5" x14ac:dyDescent="0.25">
      <c r="A311" t="s">
        <v>911</v>
      </c>
      <c r="B311" t="s">
        <v>310</v>
      </c>
      <c r="C311">
        <f>--ISNUMBER(IFERROR(SEARCH(Deshbord!$A$1,A311,1),""))</f>
        <v>1</v>
      </c>
      <c r="D311">
        <f>IF(C311=1,COUNTIF($C$2:C311,1),"")</f>
        <v>310</v>
      </c>
      <c r="E311" t="str">
        <f>IFERROR(INDEX($A$2:$A$603,MATCH(ROWS($D$2:D311),$D$2:$D$603,0)),"")</f>
        <v>SAIHAMCOT</v>
      </c>
    </row>
    <row r="312" spans="1:5" x14ac:dyDescent="0.25">
      <c r="A312" t="s">
        <v>912</v>
      </c>
      <c r="B312" t="s">
        <v>311</v>
      </c>
      <c r="C312">
        <f>--ISNUMBER(IFERROR(SEARCH(Deshbord!$A$1,A312,1),""))</f>
        <v>1</v>
      </c>
      <c r="D312">
        <f>IF(C312=1,COUNTIF($C$2:C312,1),"")</f>
        <v>311</v>
      </c>
      <c r="E312" t="str">
        <f>IFERROR(INDEX($A$2:$A$603,MATCH(ROWS($D$2:D312),$D$2:$D$603,0)),"")</f>
        <v>SAIHAMTEX</v>
      </c>
    </row>
    <row r="313" spans="1:5" x14ac:dyDescent="0.25">
      <c r="A313" t="s">
        <v>913</v>
      </c>
      <c r="B313" t="s">
        <v>312</v>
      </c>
      <c r="C313">
        <f>--ISNUMBER(IFERROR(SEARCH(Deshbord!$A$1,A313,1),""))</f>
        <v>1</v>
      </c>
      <c r="D313">
        <f>IF(C313=1,COUNTIF($C$2:C313,1),"")</f>
        <v>312</v>
      </c>
      <c r="E313" t="str">
        <f>IFERROR(INDEX($A$2:$A$603,MATCH(ROWS($D$2:D313),$D$2:$D$603,0)),"")</f>
        <v>SALAMCRST</v>
      </c>
    </row>
    <row r="314" spans="1:5" x14ac:dyDescent="0.25">
      <c r="A314" t="s">
        <v>914</v>
      </c>
      <c r="B314" t="s">
        <v>313</v>
      </c>
      <c r="C314">
        <f>--ISNUMBER(IFERROR(SEARCH(Deshbord!$A$1,A314,1),""))</f>
        <v>1</v>
      </c>
      <c r="D314">
        <f>IF(C314=1,COUNTIF($C$2:C314,1),"")</f>
        <v>313</v>
      </c>
      <c r="E314" t="str">
        <f>IFERROR(INDEX($A$2:$A$603,MATCH(ROWS($D$2:D314),$D$2:$D$603,0)),"")</f>
        <v>SALVOCHEM</v>
      </c>
    </row>
    <row r="315" spans="1:5" x14ac:dyDescent="0.25">
      <c r="A315" t="s">
        <v>915</v>
      </c>
      <c r="B315" t="s">
        <v>314</v>
      </c>
      <c r="C315">
        <f>--ISNUMBER(IFERROR(SEARCH(Deshbord!$A$1,A315,1),""))</f>
        <v>1</v>
      </c>
      <c r="D315">
        <f>IF(C315=1,COUNTIF($C$2:C315,1),"")</f>
        <v>314</v>
      </c>
      <c r="E315" t="str">
        <f>IFERROR(INDEX($A$2:$A$603,MATCH(ROWS($D$2:D315),$D$2:$D$603,0)),"")</f>
        <v>SAMATALETH</v>
      </c>
    </row>
    <row r="316" spans="1:5" x14ac:dyDescent="0.25">
      <c r="A316" t="s">
        <v>916</v>
      </c>
      <c r="B316" t="s">
        <v>315</v>
      </c>
      <c r="C316">
        <f>--ISNUMBER(IFERROR(SEARCH(Deshbord!$A$1,A316,1),""))</f>
        <v>1</v>
      </c>
      <c r="D316">
        <f>IF(C316=1,COUNTIF($C$2:C316,1),"")</f>
        <v>315</v>
      </c>
      <c r="E316" t="str">
        <f>IFERROR(INDEX($A$2:$A$603,MATCH(ROWS($D$2:D316),$D$2:$D$603,0)),"")</f>
        <v>SAMORITA</v>
      </c>
    </row>
    <row r="317" spans="1:5" x14ac:dyDescent="0.25">
      <c r="A317" t="s">
        <v>917</v>
      </c>
      <c r="B317" t="s">
        <v>316</v>
      </c>
      <c r="C317">
        <f>--ISNUMBER(IFERROR(SEARCH(Deshbord!$A$1,A317,1),""))</f>
        <v>1</v>
      </c>
      <c r="D317">
        <f>IF(C317=1,COUNTIF($C$2:C317,1),"")</f>
        <v>316</v>
      </c>
      <c r="E317" t="str">
        <f>IFERROR(INDEX($A$2:$A$603,MATCH(ROWS($D$2:D317),$D$2:$D$603,0)),"")</f>
        <v>SANDHANINS</v>
      </c>
    </row>
    <row r="318" spans="1:5" x14ac:dyDescent="0.25">
      <c r="A318" t="s">
        <v>918</v>
      </c>
      <c r="B318" t="s">
        <v>317</v>
      </c>
      <c r="C318">
        <f>--ISNUMBER(IFERROR(SEARCH(Deshbord!$A$1,A318,1),""))</f>
        <v>1</v>
      </c>
      <c r="D318">
        <f>IF(C318=1,COUNTIF($C$2:C318,1),"")</f>
        <v>317</v>
      </c>
      <c r="E318" t="str">
        <f>IFERROR(INDEX($A$2:$A$603,MATCH(ROWS($D$2:D318),$D$2:$D$603,0)),"")</f>
        <v>SAPORTL</v>
      </c>
    </row>
    <row r="319" spans="1:5" x14ac:dyDescent="0.25">
      <c r="A319" t="s">
        <v>919</v>
      </c>
      <c r="B319" t="s">
        <v>318</v>
      </c>
      <c r="C319">
        <f>--ISNUMBER(IFERROR(SEARCH(Deshbord!$A$1,A319,1),""))</f>
        <v>1</v>
      </c>
      <c r="D319">
        <f>IF(C319=1,COUNTIF($C$2:C319,1),"")</f>
        <v>318</v>
      </c>
      <c r="E319" t="str">
        <f>IFERROR(INDEX($A$2:$A$603,MATCH(ROWS($D$2:D319),$D$2:$D$603,0)),"")</f>
        <v>SAVAREFR</v>
      </c>
    </row>
    <row r="320" spans="1:5" x14ac:dyDescent="0.25">
      <c r="A320" t="s">
        <v>920</v>
      </c>
      <c r="B320" t="s">
        <v>319</v>
      </c>
      <c r="C320">
        <f>--ISNUMBER(IFERROR(SEARCH(Deshbord!$A$1,A320,1),""))</f>
        <v>1</v>
      </c>
      <c r="D320">
        <f>IF(C320=1,COUNTIF($C$2:C320,1),"")</f>
        <v>319</v>
      </c>
      <c r="E320" t="str">
        <f>IFERROR(INDEX($A$2:$A$603,MATCH(ROWS($D$2:D320),$D$2:$D$603,0)),"")</f>
        <v>SEAPEARL</v>
      </c>
    </row>
    <row r="321" spans="1:5" x14ac:dyDescent="0.25">
      <c r="A321" t="s">
        <v>921</v>
      </c>
      <c r="B321" t="s">
        <v>320</v>
      </c>
      <c r="C321">
        <f>--ISNUMBER(IFERROR(SEARCH(Deshbord!$A$1,A321,1),""))</f>
        <v>1</v>
      </c>
      <c r="D321">
        <f>IF(C321=1,COUNTIF($C$2:C321,1),"")</f>
        <v>320</v>
      </c>
      <c r="E321" t="str">
        <f>IFERROR(INDEX($A$2:$A$603,MATCH(ROWS($D$2:D321),$D$2:$D$603,0)),"")</f>
        <v>SEBL1STMF</v>
      </c>
    </row>
    <row r="322" spans="1:5" x14ac:dyDescent="0.25">
      <c r="A322" t="s">
        <v>922</v>
      </c>
      <c r="B322" t="s">
        <v>321</v>
      </c>
      <c r="C322">
        <f>--ISNUMBER(IFERROR(SEARCH(Deshbord!$A$1,A322,1),""))</f>
        <v>1</v>
      </c>
      <c r="D322">
        <f>IF(C322=1,COUNTIF($C$2:C322,1),"")</f>
        <v>321</v>
      </c>
      <c r="E322" t="str">
        <f>IFERROR(INDEX($A$2:$A$603,MATCH(ROWS($D$2:D322),$D$2:$D$603,0)),"")</f>
        <v>SEMLFBSLGF</v>
      </c>
    </row>
    <row r="323" spans="1:5" x14ac:dyDescent="0.25">
      <c r="A323" t="s">
        <v>923</v>
      </c>
      <c r="B323" t="s">
        <v>322</v>
      </c>
      <c r="C323">
        <f>--ISNUMBER(IFERROR(SEARCH(Deshbord!$A$1,A323,1),""))</f>
        <v>1</v>
      </c>
      <c r="D323">
        <f>IF(C323=1,COUNTIF($C$2:C323,1),"")</f>
        <v>322</v>
      </c>
      <c r="E323" t="str">
        <f>IFERROR(INDEX($A$2:$A$603,MATCH(ROWS($D$2:D323),$D$2:$D$603,0)),"")</f>
        <v>SEMLIBBLSF</v>
      </c>
    </row>
    <row r="324" spans="1:5" x14ac:dyDescent="0.25">
      <c r="A324" t="s">
        <v>924</v>
      </c>
      <c r="B324" t="s">
        <v>323</v>
      </c>
      <c r="C324">
        <f>--ISNUMBER(IFERROR(SEARCH(Deshbord!$A$1,A324,1),""))</f>
        <v>1</v>
      </c>
      <c r="D324">
        <f>IF(C324=1,COUNTIF($C$2:C324,1),"")</f>
        <v>323</v>
      </c>
      <c r="E324" t="str">
        <f>IFERROR(INDEX($A$2:$A$603,MATCH(ROWS($D$2:D324),$D$2:$D$603,0)),"")</f>
        <v>SEMLLECMF</v>
      </c>
    </row>
    <row r="325" spans="1:5" x14ac:dyDescent="0.25">
      <c r="A325" t="s">
        <v>925</v>
      </c>
      <c r="B325" t="s">
        <v>324</v>
      </c>
      <c r="C325">
        <f>--ISNUMBER(IFERROR(SEARCH(Deshbord!$A$1,A325,1),""))</f>
        <v>1</v>
      </c>
      <c r="D325">
        <f>IF(C325=1,COUNTIF($C$2:C325,1),"")</f>
        <v>324</v>
      </c>
      <c r="E325" t="str">
        <f>IFERROR(INDEX($A$2:$A$603,MATCH(ROWS($D$2:D325),$D$2:$D$603,0)),"")</f>
        <v>SHAHJABANK</v>
      </c>
    </row>
    <row r="326" spans="1:5" x14ac:dyDescent="0.25">
      <c r="A326" t="s">
        <v>926</v>
      </c>
      <c r="B326" t="s">
        <v>325</v>
      </c>
      <c r="C326">
        <f>--ISNUMBER(IFERROR(SEARCH(Deshbord!$A$1,A326,1),""))</f>
        <v>1</v>
      </c>
      <c r="D326">
        <f>IF(C326=1,COUNTIF($C$2:C326,1),"")</f>
        <v>325</v>
      </c>
      <c r="E326" t="str">
        <f>IFERROR(INDEX($A$2:$A$603,MATCH(ROWS($D$2:D326),$D$2:$D$603,0)),"")</f>
        <v>SHASHADNIM</v>
      </c>
    </row>
    <row r="327" spans="1:5" x14ac:dyDescent="0.25">
      <c r="A327" t="s">
        <v>927</v>
      </c>
      <c r="B327" t="s">
        <v>326</v>
      </c>
      <c r="C327">
        <f>--ISNUMBER(IFERROR(SEARCH(Deshbord!$A$1,A327,1),""))</f>
        <v>1</v>
      </c>
      <c r="D327">
        <f>IF(C327=1,COUNTIF($C$2:C327,1),"")</f>
        <v>326</v>
      </c>
      <c r="E327" t="str">
        <f>IFERROR(INDEX($A$2:$A$603,MATCH(ROWS($D$2:D327),$D$2:$D$603,0)),"")</f>
        <v>SHEPHERD</v>
      </c>
    </row>
    <row r="328" spans="1:5" x14ac:dyDescent="0.25">
      <c r="A328" t="s">
        <v>928</v>
      </c>
      <c r="B328" t="s">
        <v>327</v>
      </c>
      <c r="C328">
        <f>--ISNUMBER(IFERROR(SEARCH(Deshbord!$A$1,A328,1),""))</f>
        <v>1</v>
      </c>
      <c r="D328">
        <f>IF(C328=1,COUNTIF($C$2:C328,1),"")</f>
        <v>327</v>
      </c>
      <c r="E328" t="str">
        <f>IFERROR(INDEX($A$2:$A$603,MATCH(ROWS($D$2:D328),$D$2:$D$603,0)),"")</f>
        <v>SHURWID</v>
      </c>
    </row>
    <row r="329" spans="1:5" x14ac:dyDescent="0.25">
      <c r="A329" t="s">
        <v>929</v>
      </c>
      <c r="B329" t="s">
        <v>328</v>
      </c>
      <c r="C329">
        <f>--ISNUMBER(IFERROR(SEARCH(Deshbord!$A$1,A329,1),""))</f>
        <v>1</v>
      </c>
      <c r="D329">
        <f>IF(C329=1,COUNTIF($C$2:C329,1),"")</f>
        <v>328</v>
      </c>
      <c r="E329" t="str">
        <f>IFERROR(INDEX($A$2:$A$603,MATCH(ROWS($D$2:D329),$D$2:$D$603,0)),"")</f>
        <v>SHYAMPSUG</v>
      </c>
    </row>
    <row r="330" spans="1:5" x14ac:dyDescent="0.25">
      <c r="A330" t="s">
        <v>930</v>
      </c>
      <c r="B330" t="s">
        <v>329</v>
      </c>
      <c r="C330">
        <f>--ISNUMBER(IFERROR(SEARCH(Deshbord!$A$1,A330,1),""))</f>
        <v>1</v>
      </c>
      <c r="D330">
        <f>IF(C330=1,COUNTIF($C$2:C330,1),"")</f>
        <v>329</v>
      </c>
      <c r="E330" t="str">
        <f>IFERROR(INDEX($A$2:$A$603,MATCH(ROWS($D$2:D330),$D$2:$D$603,0)),"")</f>
        <v>SIBL</v>
      </c>
    </row>
    <row r="331" spans="1:5" x14ac:dyDescent="0.25">
      <c r="A331" t="s">
        <v>931</v>
      </c>
      <c r="B331" t="s">
        <v>330</v>
      </c>
      <c r="C331">
        <f>--ISNUMBER(IFERROR(SEARCH(Deshbord!$A$1,A331,1),""))</f>
        <v>1</v>
      </c>
      <c r="D331">
        <f>IF(C331=1,COUNTIF($C$2:C331,1),"")</f>
        <v>330</v>
      </c>
      <c r="E331" t="str">
        <f>IFERROR(INDEX($A$2:$A$603,MATCH(ROWS($D$2:D331),$D$2:$D$603,0)),"")</f>
        <v>SILCOPHL</v>
      </c>
    </row>
    <row r="332" spans="1:5" x14ac:dyDescent="0.25">
      <c r="A332" t="s">
        <v>932</v>
      </c>
      <c r="B332" t="s">
        <v>331</v>
      </c>
      <c r="C332">
        <f>--ISNUMBER(IFERROR(SEARCH(Deshbord!$A$1,A332,1),""))</f>
        <v>1</v>
      </c>
      <c r="D332">
        <f>IF(C332=1,COUNTIF($C$2:C332,1),"")</f>
        <v>331</v>
      </c>
      <c r="E332" t="str">
        <f>IFERROR(INDEX($A$2:$A$603,MATCH(ROWS($D$2:D332),$D$2:$D$603,0)),"")</f>
        <v>SILVAPHL</v>
      </c>
    </row>
    <row r="333" spans="1:5" x14ac:dyDescent="0.25">
      <c r="A333" t="s">
        <v>933</v>
      </c>
      <c r="B333" t="s">
        <v>332</v>
      </c>
      <c r="C333">
        <f>--ISNUMBER(IFERROR(SEARCH(Deshbord!$A$1,A333,1),""))</f>
        <v>1</v>
      </c>
      <c r="D333">
        <f>IF(C333=1,COUNTIF($C$2:C333,1),"")</f>
        <v>332</v>
      </c>
      <c r="E333" t="str">
        <f>IFERROR(INDEX($A$2:$A$603,MATCH(ROWS($D$2:D333),$D$2:$D$603,0)),"")</f>
        <v>SIMTEX</v>
      </c>
    </row>
    <row r="334" spans="1:5" x14ac:dyDescent="0.25">
      <c r="A334" t="s">
        <v>934</v>
      </c>
      <c r="B334" t="s">
        <v>333</v>
      </c>
      <c r="C334">
        <f>--ISNUMBER(IFERROR(SEARCH(Deshbord!$A$1,A334,1),""))</f>
        <v>1</v>
      </c>
      <c r="D334">
        <f>IF(C334=1,COUNTIF($C$2:C334,1),"")</f>
        <v>333</v>
      </c>
      <c r="E334" t="str">
        <f>IFERROR(INDEX($A$2:$A$603,MATCH(ROWS($D$2:D334),$D$2:$D$603,0)),"")</f>
        <v>SINGERBD</v>
      </c>
    </row>
    <row r="335" spans="1:5" x14ac:dyDescent="0.25">
      <c r="A335" t="s">
        <v>935</v>
      </c>
      <c r="B335" t="s">
        <v>334</v>
      </c>
      <c r="C335">
        <f>--ISNUMBER(IFERROR(SEARCH(Deshbord!$A$1,A335,1),""))</f>
        <v>1</v>
      </c>
      <c r="D335">
        <f>IF(C335=1,COUNTIF($C$2:C335,1),"")</f>
        <v>334</v>
      </c>
      <c r="E335" t="str">
        <f>IFERROR(INDEX($A$2:$A$603,MATCH(ROWS($D$2:D335),$D$2:$D$603,0)),"")</f>
        <v>SINOBANGLA</v>
      </c>
    </row>
    <row r="336" spans="1:5" x14ac:dyDescent="0.25">
      <c r="A336" t="s">
        <v>936</v>
      </c>
      <c r="B336" t="s">
        <v>335</v>
      </c>
      <c r="C336">
        <f>--ISNUMBER(IFERROR(SEARCH(Deshbord!$A$1,A336,1),""))</f>
        <v>1</v>
      </c>
      <c r="D336">
        <f>IF(C336=1,COUNTIF($C$2:C336,1),"")</f>
        <v>335</v>
      </c>
      <c r="E336" t="str">
        <f>IFERROR(INDEX($A$2:$A$603,MATCH(ROWS($D$2:D336),$D$2:$D$603,0)),"")</f>
        <v>SKTRIMS</v>
      </c>
    </row>
    <row r="337" spans="1:5" x14ac:dyDescent="0.25">
      <c r="A337" t="s">
        <v>937</v>
      </c>
      <c r="B337" t="s">
        <v>336</v>
      </c>
      <c r="C337">
        <f>--ISNUMBER(IFERROR(SEARCH(Deshbord!$A$1,A337,1),""))</f>
        <v>1</v>
      </c>
      <c r="D337">
        <f>IF(C337=1,COUNTIF($C$2:C337,1),"")</f>
        <v>336</v>
      </c>
      <c r="E337" t="str">
        <f>IFERROR(INDEX($A$2:$A$603,MATCH(ROWS($D$2:D337),$D$2:$D$603,0)),"")</f>
        <v>SONALIANSH</v>
      </c>
    </row>
    <row r="338" spans="1:5" x14ac:dyDescent="0.25">
      <c r="A338" t="s">
        <v>938</v>
      </c>
      <c r="B338" t="s">
        <v>337</v>
      </c>
      <c r="C338">
        <f>--ISNUMBER(IFERROR(SEARCH(Deshbord!$A$1,A338,1),""))</f>
        <v>1</v>
      </c>
      <c r="D338">
        <f>IF(C338=1,COUNTIF($C$2:C338,1),"")</f>
        <v>337</v>
      </c>
      <c r="E338" t="str">
        <f>IFERROR(INDEX($A$2:$A$603,MATCH(ROWS($D$2:D338),$D$2:$D$603,0)),"")</f>
        <v>SONALIPAPR</v>
      </c>
    </row>
    <row r="339" spans="1:5" x14ac:dyDescent="0.25">
      <c r="A339" t="s">
        <v>939</v>
      </c>
      <c r="B339" t="s">
        <v>338</v>
      </c>
      <c r="C339">
        <f>--ISNUMBER(IFERROR(SEARCH(Deshbord!$A$1,A339,1),""))</f>
        <v>1</v>
      </c>
      <c r="D339">
        <f>IF(C339=1,COUNTIF($C$2:C339,1),"")</f>
        <v>338</v>
      </c>
      <c r="E339" t="str">
        <f>IFERROR(INDEX($A$2:$A$603,MATCH(ROWS($D$2:D339),$D$2:$D$603,0)),"")</f>
        <v>SONARBAINS</v>
      </c>
    </row>
    <row r="340" spans="1:5" x14ac:dyDescent="0.25">
      <c r="A340" t="s">
        <v>940</v>
      </c>
      <c r="B340" t="s">
        <v>339</v>
      </c>
      <c r="C340">
        <f>--ISNUMBER(IFERROR(SEARCH(Deshbord!$A$1,A340,1),""))</f>
        <v>1</v>
      </c>
      <c r="D340">
        <f>IF(C340=1,COUNTIF($C$2:C340,1),"")</f>
        <v>339</v>
      </c>
      <c r="E340" t="str">
        <f>IFERROR(INDEX($A$2:$A$603,MATCH(ROWS($D$2:D340),$D$2:$D$603,0)),"")</f>
        <v>SONARGAON</v>
      </c>
    </row>
    <row r="341" spans="1:5" x14ac:dyDescent="0.25">
      <c r="A341" t="s">
        <v>941</v>
      </c>
      <c r="B341" t="s">
        <v>340</v>
      </c>
      <c r="C341">
        <f>--ISNUMBER(IFERROR(SEARCH(Deshbord!$A$1,A341,1),""))</f>
        <v>1</v>
      </c>
      <c r="D341">
        <f>IF(C341=1,COUNTIF($C$2:C341,1),"")</f>
        <v>340</v>
      </c>
      <c r="E341" t="str">
        <f>IFERROR(INDEX($A$2:$A$603,MATCH(ROWS($D$2:D341),$D$2:$D$603,0)),"")</f>
        <v>SOUTHEASTB</v>
      </c>
    </row>
    <row r="342" spans="1:5" x14ac:dyDescent="0.25">
      <c r="A342" t="s">
        <v>942</v>
      </c>
      <c r="B342" t="s">
        <v>341</v>
      </c>
      <c r="C342">
        <f>--ISNUMBER(IFERROR(SEARCH(Deshbord!$A$1,A342,1),""))</f>
        <v>1</v>
      </c>
      <c r="D342">
        <f>IF(C342=1,COUNTIF($C$2:C342,1),"")</f>
        <v>341</v>
      </c>
      <c r="E342" t="str">
        <f>IFERROR(INDEX($A$2:$A$603,MATCH(ROWS($D$2:D342),$D$2:$D$603,0)),"")</f>
        <v>SPCERAMICS</v>
      </c>
    </row>
    <row r="343" spans="1:5" x14ac:dyDescent="0.25">
      <c r="A343" t="s">
        <v>943</v>
      </c>
      <c r="B343" t="s">
        <v>342</v>
      </c>
      <c r="C343">
        <f>--ISNUMBER(IFERROR(SEARCH(Deshbord!$A$1,A343,1),""))</f>
        <v>1</v>
      </c>
      <c r="D343">
        <f>IF(C343=1,COUNTIF($C$2:C343,1),"")</f>
        <v>342</v>
      </c>
      <c r="E343" t="str">
        <f>IFERROR(INDEX($A$2:$A$603,MATCH(ROWS($D$2:D343),$D$2:$D$603,0)),"")</f>
        <v>SPCL</v>
      </c>
    </row>
    <row r="344" spans="1:5" x14ac:dyDescent="0.25">
      <c r="A344" t="s">
        <v>944</v>
      </c>
      <c r="B344" t="s">
        <v>343</v>
      </c>
      <c r="C344">
        <f>--ISNUMBER(IFERROR(SEARCH(Deshbord!$A$1,A344,1),""))</f>
        <v>1</v>
      </c>
      <c r="D344">
        <f>IF(C344=1,COUNTIF($C$2:C344,1),"")</f>
        <v>343</v>
      </c>
      <c r="E344" t="str">
        <f>IFERROR(INDEX($A$2:$A$603,MATCH(ROWS($D$2:D344),$D$2:$D$603,0)),"")</f>
        <v>SQUARETEXT</v>
      </c>
    </row>
    <row r="345" spans="1:5" x14ac:dyDescent="0.25">
      <c r="A345" t="s">
        <v>945</v>
      </c>
      <c r="B345" t="s">
        <v>344</v>
      </c>
      <c r="C345">
        <f>--ISNUMBER(IFERROR(SEARCH(Deshbord!$A$1,A345,1),""))</f>
        <v>1</v>
      </c>
      <c r="D345">
        <f>IF(C345=1,COUNTIF($C$2:C345,1),"")</f>
        <v>344</v>
      </c>
      <c r="E345" t="str">
        <f>IFERROR(INDEX($A$2:$A$603,MATCH(ROWS($D$2:D345),$D$2:$D$603,0)),"")</f>
        <v>SQURPHARMA</v>
      </c>
    </row>
    <row r="346" spans="1:5" x14ac:dyDescent="0.25">
      <c r="A346" t="s">
        <v>946</v>
      </c>
      <c r="B346" t="s">
        <v>345</v>
      </c>
      <c r="C346">
        <f>--ISNUMBER(IFERROR(SEARCH(Deshbord!$A$1,A346,1),""))</f>
        <v>1</v>
      </c>
      <c r="D346">
        <f>IF(C346=1,COUNTIF($C$2:C346,1),"")</f>
        <v>345</v>
      </c>
      <c r="E346" t="str">
        <f>IFERROR(INDEX($A$2:$A$603,MATCH(ROWS($D$2:D346),$D$2:$D$603,0)),"")</f>
        <v>SSSTEEL</v>
      </c>
    </row>
    <row r="347" spans="1:5" x14ac:dyDescent="0.25">
      <c r="A347" t="s">
        <v>947</v>
      </c>
      <c r="B347" t="s">
        <v>346</v>
      </c>
      <c r="C347">
        <f>--ISNUMBER(IFERROR(SEARCH(Deshbord!$A$1,A347,1),""))</f>
        <v>1</v>
      </c>
      <c r="D347">
        <f>IF(C347=1,COUNTIF($C$2:C347,1),"")</f>
        <v>346</v>
      </c>
      <c r="E347" t="str">
        <f>IFERROR(INDEX($A$2:$A$603,MATCH(ROWS($D$2:D347),$D$2:$D$603,0)),"")</f>
        <v>STANCERAM</v>
      </c>
    </row>
    <row r="348" spans="1:5" x14ac:dyDescent="0.25">
      <c r="A348" t="s">
        <v>948</v>
      </c>
      <c r="B348" t="s">
        <v>347</v>
      </c>
      <c r="C348">
        <f>--ISNUMBER(IFERROR(SEARCH(Deshbord!$A$1,A348,1),""))</f>
        <v>1</v>
      </c>
      <c r="D348">
        <f>IF(C348=1,COUNTIF($C$2:C348,1),"")</f>
        <v>347</v>
      </c>
      <c r="E348" t="str">
        <f>IFERROR(INDEX($A$2:$A$603,MATCH(ROWS($D$2:D348),$D$2:$D$603,0)),"")</f>
        <v>STANDARINS</v>
      </c>
    </row>
    <row r="349" spans="1:5" x14ac:dyDescent="0.25">
      <c r="A349" t="s">
        <v>949</v>
      </c>
      <c r="B349" t="s">
        <v>348</v>
      </c>
      <c r="C349">
        <f>--ISNUMBER(IFERROR(SEARCH(Deshbord!$A$1,A349,1),""))</f>
        <v>1</v>
      </c>
      <c r="D349">
        <f>IF(C349=1,COUNTIF($C$2:C349,1),"")</f>
        <v>348</v>
      </c>
      <c r="E349" t="str">
        <f>IFERROR(INDEX($A$2:$A$603,MATCH(ROWS($D$2:D349),$D$2:$D$603,0)),"")</f>
        <v>STANDBANKL</v>
      </c>
    </row>
    <row r="350" spans="1:5" x14ac:dyDescent="0.25">
      <c r="A350" t="s">
        <v>950</v>
      </c>
      <c r="B350" t="s">
        <v>349</v>
      </c>
      <c r="C350">
        <f>--ISNUMBER(IFERROR(SEARCH(Deshbord!$A$1,A350,1),""))</f>
        <v>1</v>
      </c>
      <c r="D350">
        <f>IF(C350=1,COUNTIF($C$2:C350,1),"")</f>
        <v>349</v>
      </c>
      <c r="E350" t="str">
        <f>IFERROR(INDEX($A$2:$A$603,MATCH(ROWS($D$2:D350),$D$2:$D$603,0)),"")</f>
        <v>STYLECRAFT</v>
      </c>
    </row>
    <row r="351" spans="1:5" x14ac:dyDescent="0.25">
      <c r="A351" t="s">
        <v>951</v>
      </c>
      <c r="B351" t="s">
        <v>350</v>
      </c>
      <c r="C351">
        <f>--ISNUMBER(IFERROR(SEARCH(Deshbord!$A$1,A351,1),""))</f>
        <v>1</v>
      </c>
      <c r="D351">
        <f>IF(C351=1,COUNTIF($C$2:C351,1),"")</f>
        <v>350</v>
      </c>
      <c r="E351" t="str">
        <f>IFERROR(INDEX($A$2:$A$603,MATCH(ROWS($D$2:D351),$D$2:$D$603,0)),"")</f>
        <v>SUMITPOWER</v>
      </c>
    </row>
    <row r="352" spans="1:5" x14ac:dyDescent="0.25">
      <c r="A352" t="s">
        <v>952</v>
      </c>
      <c r="B352" t="s">
        <v>351</v>
      </c>
      <c r="C352">
        <f>--ISNUMBER(IFERROR(SEARCH(Deshbord!$A$1,A352,1),""))</f>
        <v>1</v>
      </c>
      <c r="D352">
        <f>IF(C352=1,COUNTIF($C$2:C352,1),"")</f>
        <v>351</v>
      </c>
      <c r="E352" t="str">
        <f>IFERROR(INDEX($A$2:$A$603,MATCH(ROWS($D$2:D352),$D$2:$D$603,0)),"")</f>
        <v>SUNLIFEINS</v>
      </c>
    </row>
    <row r="353" spans="1:5" x14ac:dyDescent="0.25">
      <c r="A353" t="s">
        <v>953</v>
      </c>
      <c r="B353" t="s">
        <v>352</v>
      </c>
      <c r="C353">
        <f>--ISNUMBER(IFERROR(SEARCH(Deshbord!$A$1,A353,1),""))</f>
        <v>1</v>
      </c>
      <c r="D353">
        <f>IF(C353=1,COUNTIF($C$2:C353,1),"")</f>
        <v>352</v>
      </c>
      <c r="E353" t="str">
        <f>IFERROR(INDEX($A$2:$A$603,MATCH(ROWS($D$2:D353),$D$2:$D$603,0)),"")</f>
        <v>T05Y0715</v>
      </c>
    </row>
    <row r="354" spans="1:5" x14ac:dyDescent="0.25">
      <c r="A354" t="s">
        <v>954</v>
      </c>
      <c r="B354" t="s">
        <v>353</v>
      </c>
      <c r="C354">
        <f>--ISNUMBER(IFERROR(SEARCH(Deshbord!$A$1,A354,1),""))</f>
        <v>1</v>
      </c>
      <c r="D354">
        <f>IF(C354=1,COUNTIF($C$2:C354,1),"")</f>
        <v>353</v>
      </c>
      <c r="E354" t="str">
        <f>IFERROR(INDEX($A$2:$A$603,MATCH(ROWS($D$2:D354),$D$2:$D$603,0)),"")</f>
        <v>T05Y0815</v>
      </c>
    </row>
    <row r="355" spans="1:5" x14ac:dyDescent="0.25">
      <c r="A355" t="s">
        <v>955</v>
      </c>
      <c r="B355" t="s">
        <v>354</v>
      </c>
      <c r="C355">
        <f>--ISNUMBER(IFERROR(SEARCH(Deshbord!$A$1,A355,1),""))</f>
        <v>1</v>
      </c>
      <c r="D355">
        <f>IF(C355=1,COUNTIF($C$2:C355,1),"")</f>
        <v>354</v>
      </c>
      <c r="E355" t="str">
        <f>IFERROR(INDEX($A$2:$A$603,MATCH(ROWS($D$2:D355),$D$2:$D$603,0)),"")</f>
        <v>T10Y0117</v>
      </c>
    </row>
    <row r="356" spans="1:5" x14ac:dyDescent="0.25">
      <c r="A356" t="s">
        <v>956</v>
      </c>
      <c r="B356" t="s">
        <v>355</v>
      </c>
      <c r="C356">
        <f>--ISNUMBER(IFERROR(SEARCH(Deshbord!$A$1,A356,1),""))</f>
        <v>1</v>
      </c>
      <c r="D356">
        <f>IF(C356=1,COUNTIF($C$2:C356,1),"")</f>
        <v>355</v>
      </c>
      <c r="E356" t="str">
        <f>IFERROR(INDEX($A$2:$A$603,MATCH(ROWS($D$2:D356),$D$2:$D$603,0)),"")</f>
        <v>T10Y0118</v>
      </c>
    </row>
    <row r="357" spans="1:5" x14ac:dyDescent="0.25">
      <c r="A357" t="s">
        <v>957</v>
      </c>
      <c r="B357" t="s">
        <v>356</v>
      </c>
      <c r="C357">
        <f>--ISNUMBER(IFERROR(SEARCH(Deshbord!$A$1,A357,1),""))</f>
        <v>1</v>
      </c>
      <c r="D357">
        <f>IF(C357=1,COUNTIF($C$2:C357,1),"")</f>
        <v>356</v>
      </c>
      <c r="E357" t="str">
        <f>IFERROR(INDEX($A$2:$A$603,MATCH(ROWS($D$2:D357),$D$2:$D$603,0)),"")</f>
        <v>T10Y0119</v>
      </c>
    </row>
    <row r="358" spans="1:5" x14ac:dyDescent="0.25">
      <c r="A358" t="s">
        <v>958</v>
      </c>
      <c r="B358" t="s">
        <v>357</v>
      </c>
      <c r="C358">
        <f>--ISNUMBER(IFERROR(SEARCH(Deshbord!$A$1,A358,1),""))</f>
        <v>1</v>
      </c>
      <c r="D358">
        <f>IF(C358=1,COUNTIF($C$2:C358,1),"")</f>
        <v>357</v>
      </c>
      <c r="E358" t="str">
        <f>IFERROR(INDEX($A$2:$A$603,MATCH(ROWS($D$2:D358),$D$2:$D$603,0)),"")</f>
        <v>T10Y0121</v>
      </c>
    </row>
    <row r="359" spans="1:5" x14ac:dyDescent="0.25">
      <c r="A359" t="s">
        <v>959</v>
      </c>
      <c r="B359" t="s">
        <v>358</v>
      </c>
      <c r="C359">
        <f>--ISNUMBER(IFERROR(SEARCH(Deshbord!$A$1,A359,1),""))</f>
        <v>1</v>
      </c>
      <c r="D359">
        <f>IF(C359=1,COUNTIF($C$2:C359,1),"")</f>
        <v>358</v>
      </c>
      <c r="E359" t="str">
        <f>IFERROR(INDEX($A$2:$A$603,MATCH(ROWS($D$2:D359),$D$2:$D$603,0)),"")</f>
        <v>T10Y0214</v>
      </c>
    </row>
    <row r="360" spans="1:5" x14ac:dyDescent="0.25">
      <c r="A360" t="s">
        <v>960</v>
      </c>
      <c r="B360" t="s">
        <v>359</v>
      </c>
      <c r="C360">
        <f>--ISNUMBER(IFERROR(SEARCH(Deshbord!$A$1,A360,1),""))</f>
        <v>1</v>
      </c>
      <c r="D360">
        <f>IF(C360=1,COUNTIF($C$2:C360,1),"")</f>
        <v>359</v>
      </c>
      <c r="E360" t="str">
        <f>IFERROR(INDEX($A$2:$A$603,MATCH(ROWS($D$2:D360),$D$2:$D$603,0)),"")</f>
        <v>T10Y0215</v>
      </c>
    </row>
    <row r="361" spans="1:5" x14ac:dyDescent="0.25">
      <c r="A361" t="s">
        <v>961</v>
      </c>
      <c r="B361" t="s">
        <v>360</v>
      </c>
      <c r="C361">
        <f>--ISNUMBER(IFERROR(SEARCH(Deshbord!$A$1,A361,1),""))</f>
        <v>1</v>
      </c>
      <c r="D361">
        <f>IF(C361=1,COUNTIF($C$2:C361,1),"")</f>
        <v>360</v>
      </c>
      <c r="E361" t="str">
        <f>IFERROR(INDEX($A$2:$A$603,MATCH(ROWS($D$2:D361),$D$2:$D$603,0)),"")</f>
        <v>T10Y0216</v>
      </c>
    </row>
    <row r="362" spans="1:5" x14ac:dyDescent="0.25">
      <c r="A362" t="s">
        <v>962</v>
      </c>
      <c r="B362" t="s">
        <v>361</v>
      </c>
      <c r="C362">
        <f>--ISNUMBER(IFERROR(SEARCH(Deshbord!$A$1,A362,1),""))</f>
        <v>1</v>
      </c>
      <c r="D362">
        <f>IF(C362=1,COUNTIF($C$2:C362,1),"")</f>
        <v>361</v>
      </c>
      <c r="E362" t="str">
        <f>IFERROR(INDEX($A$2:$A$603,MATCH(ROWS($D$2:D362),$D$2:$D$603,0)),"")</f>
        <v>T10Y0217</v>
      </c>
    </row>
    <row r="363" spans="1:5" x14ac:dyDescent="0.25">
      <c r="A363" t="s">
        <v>963</v>
      </c>
      <c r="B363" t="s">
        <v>362</v>
      </c>
      <c r="C363">
        <f>--ISNUMBER(IFERROR(SEARCH(Deshbord!$A$1,A363,1),""))</f>
        <v>1</v>
      </c>
      <c r="D363">
        <f>IF(C363=1,COUNTIF($C$2:C363,1),"")</f>
        <v>362</v>
      </c>
      <c r="E363" t="str">
        <f>IFERROR(INDEX($A$2:$A$603,MATCH(ROWS($D$2:D363),$D$2:$D$603,0)),"")</f>
        <v>T10Y0218</v>
      </c>
    </row>
    <row r="364" spans="1:5" x14ac:dyDescent="0.25">
      <c r="A364" t="s">
        <v>964</v>
      </c>
      <c r="B364" t="s">
        <v>363</v>
      </c>
      <c r="C364">
        <f>--ISNUMBER(IFERROR(SEARCH(Deshbord!$A$1,A364,1),""))</f>
        <v>1</v>
      </c>
      <c r="D364">
        <f>IF(C364=1,COUNTIF($C$2:C364,1),"")</f>
        <v>363</v>
      </c>
      <c r="E364" t="str">
        <f>IFERROR(INDEX($A$2:$A$603,MATCH(ROWS($D$2:D364),$D$2:$D$603,0)),"")</f>
        <v>T10Y0219</v>
      </c>
    </row>
    <row r="365" spans="1:5" x14ac:dyDescent="0.25">
      <c r="A365" t="s">
        <v>965</v>
      </c>
      <c r="B365" t="s">
        <v>364</v>
      </c>
      <c r="C365">
        <f>--ISNUMBER(IFERROR(SEARCH(Deshbord!$A$1,A365,1),""))</f>
        <v>1</v>
      </c>
      <c r="D365">
        <f>IF(C365=1,COUNTIF($C$2:C365,1),"")</f>
        <v>364</v>
      </c>
      <c r="E365" t="str">
        <f>IFERROR(INDEX($A$2:$A$603,MATCH(ROWS($D$2:D365),$D$2:$D$603,0)),"")</f>
        <v>T10Y0220</v>
      </c>
    </row>
    <row r="366" spans="1:5" x14ac:dyDescent="0.25">
      <c r="A366" t="s">
        <v>966</v>
      </c>
      <c r="B366" t="s">
        <v>365</v>
      </c>
      <c r="C366">
        <f>--ISNUMBER(IFERROR(SEARCH(Deshbord!$A$1,A366,1),""))</f>
        <v>1</v>
      </c>
      <c r="D366">
        <f>IF(C366=1,COUNTIF($C$2:C366,1),"")</f>
        <v>365</v>
      </c>
      <c r="E366" t="str">
        <f>IFERROR(INDEX($A$2:$A$603,MATCH(ROWS($D$2:D366),$D$2:$D$603,0)),"")</f>
        <v>T10Y0221</v>
      </c>
    </row>
    <row r="367" spans="1:5" x14ac:dyDescent="0.25">
      <c r="A367" t="s">
        <v>967</v>
      </c>
      <c r="B367" t="s">
        <v>366</v>
      </c>
      <c r="C367">
        <f>--ISNUMBER(IFERROR(SEARCH(Deshbord!$A$1,A367,1),""))</f>
        <v>1</v>
      </c>
      <c r="D367">
        <f>IF(C367=1,COUNTIF($C$2:C367,1),"")</f>
        <v>366</v>
      </c>
      <c r="E367" t="str">
        <f>IFERROR(INDEX($A$2:$A$603,MATCH(ROWS($D$2:D367),$D$2:$D$603,0)),"")</f>
        <v>T10Y0317</v>
      </c>
    </row>
    <row r="368" spans="1:5" x14ac:dyDescent="0.25">
      <c r="A368" t="s">
        <v>968</v>
      </c>
      <c r="B368" t="s">
        <v>367</v>
      </c>
      <c r="C368">
        <f>--ISNUMBER(IFERROR(SEARCH(Deshbord!$A$1,A368,1),""))</f>
        <v>1</v>
      </c>
      <c r="D368">
        <f>IF(C368=1,COUNTIF($C$2:C368,1),"")</f>
        <v>367</v>
      </c>
      <c r="E368" t="str">
        <f>IFERROR(INDEX($A$2:$A$603,MATCH(ROWS($D$2:D368),$D$2:$D$603,0)),"")</f>
        <v>T10Y0318</v>
      </c>
    </row>
    <row r="369" spans="1:5" x14ac:dyDescent="0.25">
      <c r="A369" t="s">
        <v>969</v>
      </c>
      <c r="B369" t="s">
        <v>368</v>
      </c>
      <c r="C369">
        <f>--ISNUMBER(IFERROR(SEARCH(Deshbord!$A$1,A369,1),""))</f>
        <v>1</v>
      </c>
      <c r="D369">
        <f>IF(C369=1,COUNTIF($C$2:C369,1),"")</f>
        <v>368</v>
      </c>
      <c r="E369" t="str">
        <f>IFERROR(INDEX($A$2:$A$603,MATCH(ROWS($D$2:D369),$D$2:$D$603,0)),"")</f>
        <v>T10Y0319</v>
      </c>
    </row>
    <row r="370" spans="1:5" x14ac:dyDescent="0.25">
      <c r="A370" t="s">
        <v>970</v>
      </c>
      <c r="B370" t="s">
        <v>369</v>
      </c>
      <c r="C370">
        <f>--ISNUMBER(IFERROR(SEARCH(Deshbord!$A$1,A370,1),""))</f>
        <v>1</v>
      </c>
      <c r="D370">
        <f>IF(C370=1,COUNTIF($C$2:C370,1),"")</f>
        <v>369</v>
      </c>
      <c r="E370" t="str">
        <f>IFERROR(INDEX($A$2:$A$603,MATCH(ROWS($D$2:D370),$D$2:$D$603,0)),"")</f>
        <v>T10Y0320</v>
      </c>
    </row>
    <row r="371" spans="1:5" x14ac:dyDescent="0.25">
      <c r="A371" t="s">
        <v>971</v>
      </c>
      <c r="B371" t="s">
        <v>370</v>
      </c>
      <c r="C371">
        <f>--ISNUMBER(IFERROR(SEARCH(Deshbord!$A$1,A371,1),""))</f>
        <v>1</v>
      </c>
      <c r="D371">
        <f>IF(C371=1,COUNTIF($C$2:C371,1),"")</f>
        <v>370</v>
      </c>
      <c r="E371" t="str">
        <f>IFERROR(INDEX($A$2:$A$603,MATCH(ROWS($D$2:D371),$D$2:$D$603,0)),"")</f>
        <v>T10Y0321</v>
      </c>
    </row>
    <row r="372" spans="1:5" x14ac:dyDescent="0.25">
      <c r="A372" t="s">
        <v>972</v>
      </c>
      <c r="B372" t="s">
        <v>371</v>
      </c>
      <c r="C372">
        <f>--ISNUMBER(IFERROR(SEARCH(Deshbord!$A$1,A372,1),""))</f>
        <v>1</v>
      </c>
      <c r="D372">
        <f>IF(C372=1,COUNTIF($C$2:C372,1),"")</f>
        <v>371</v>
      </c>
      <c r="E372" t="str">
        <f>IFERROR(INDEX($A$2:$A$603,MATCH(ROWS($D$2:D372),$D$2:$D$603,0)),"")</f>
        <v>T10Y0414</v>
      </c>
    </row>
    <row r="373" spans="1:5" x14ac:dyDescent="0.25">
      <c r="A373" t="s">
        <v>973</v>
      </c>
      <c r="B373" t="s">
        <v>372</v>
      </c>
      <c r="C373">
        <f>--ISNUMBER(IFERROR(SEARCH(Deshbord!$A$1,A373,1),""))</f>
        <v>1</v>
      </c>
      <c r="D373">
        <f>IF(C373=1,COUNTIF($C$2:C373,1),"")</f>
        <v>372</v>
      </c>
      <c r="E373" t="str">
        <f>IFERROR(INDEX($A$2:$A$603,MATCH(ROWS($D$2:D373),$D$2:$D$603,0)),"")</f>
        <v>T10Y0415</v>
      </c>
    </row>
    <row r="374" spans="1:5" x14ac:dyDescent="0.25">
      <c r="A374" t="s">
        <v>974</v>
      </c>
      <c r="B374" t="s">
        <v>373</v>
      </c>
      <c r="C374">
        <f>--ISNUMBER(IFERROR(SEARCH(Deshbord!$A$1,A374,1),""))</f>
        <v>1</v>
      </c>
      <c r="D374">
        <f>IF(C374=1,COUNTIF($C$2:C374,1),"")</f>
        <v>373</v>
      </c>
      <c r="E374" t="str">
        <f>IFERROR(INDEX($A$2:$A$603,MATCH(ROWS($D$2:D374),$D$2:$D$603,0)),"")</f>
        <v>T10Y0416</v>
      </c>
    </row>
    <row r="375" spans="1:5" x14ac:dyDescent="0.25">
      <c r="A375" t="s">
        <v>975</v>
      </c>
      <c r="B375" t="s">
        <v>374</v>
      </c>
      <c r="C375">
        <f>--ISNUMBER(IFERROR(SEARCH(Deshbord!$A$1,A375,1),""))</f>
        <v>1</v>
      </c>
      <c r="D375">
        <f>IF(C375=1,COUNTIF($C$2:C375,1),"")</f>
        <v>374</v>
      </c>
      <c r="E375" t="str">
        <f>IFERROR(INDEX($A$2:$A$603,MATCH(ROWS($D$2:D375),$D$2:$D$603,0)),"")</f>
        <v>T10Y0418</v>
      </c>
    </row>
    <row r="376" spans="1:5" x14ac:dyDescent="0.25">
      <c r="A376" t="s">
        <v>976</v>
      </c>
      <c r="B376" t="s">
        <v>375</v>
      </c>
      <c r="C376">
        <f>--ISNUMBER(IFERROR(SEARCH(Deshbord!$A$1,A376,1),""))</f>
        <v>1</v>
      </c>
      <c r="D376">
        <f>IF(C376=1,COUNTIF($C$2:C376,1),"")</f>
        <v>375</v>
      </c>
      <c r="E376" t="str">
        <f>IFERROR(INDEX($A$2:$A$603,MATCH(ROWS($D$2:D376),$D$2:$D$603,0)),"")</f>
        <v>T10Y0419</v>
      </c>
    </row>
    <row r="377" spans="1:5" x14ac:dyDescent="0.25">
      <c r="A377" t="s">
        <v>977</v>
      </c>
      <c r="B377" t="s">
        <v>376</v>
      </c>
      <c r="C377">
        <f>--ISNUMBER(IFERROR(SEARCH(Deshbord!$A$1,A377,1),""))</f>
        <v>1</v>
      </c>
      <c r="D377">
        <f>IF(C377=1,COUNTIF($C$2:C377,1),"")</f>
        <v>376</v>
      </c>
      <c r="E377" t="str">
        <f>IFERROR(INDEX($A$2:$A$603,MATCH(ROWS($D$2:D377),$D$2:$D$603,0)),"")</f>
        <v>T10Y0420</v>
      </c>
    </row>
    <row r="378" spans="1:5" x14ac:dyDescent="0.25">
      <c r="A378" t="s">
        <v>978</v>
      </c>
      <c r="B378" t="s">
        <v>377</v>
      </c>
      <c r="C378">
        <f>--ISNUMBER(IFERROR(SEARCH(Deshbord!$A$1,A378,1),""))</f>
        <v>1</v>
      </c>
      <c r="D378">
        <f>IF(C378=1,COUNTIF($C$2:C378,1),"")</f>
        <v>377</v>
      </c>
      <c r="E378" t="str">
        <f>IFERROR(INDEX($A$2:$A$603,MATCH(ROWS($D$2:D378),$D$2:$D$603,0)),"")</f>
        <v>T10Y0421</v>
      </c>
    </row>
    <row r="379" spans="1:5" x14ac:dyDescent="0.25">
      <c r="A379" t="s">
        <v>979</v>
      </c>
      <c r="B379" t="s">
        <v>378</v>
      </c>
      <c r="C379">
        <f>--ISNUMBER(IFERROR(SEARCH(Deshbord!$A$1,A379,1),""))</f>
        <v>1</v>
      </c>
      <c r="D379">
        <f>IF(C379=1,COUNTIF($C$2:C379,1),"")</f>
        <v>378</v>
      </c>
      <c r="E379" t="str">
        <f>IFERROR(INDEX($A$2:$A$603,MATCH(ROWS($D$2:D379),$D$2:$D$603,0)),"")</f>
        <v>T10Y0517</v>
      </c>
    </row>
    <row r="380" spans="1:5" x14ac:dyDescent="0.25">
      <c r="A380" t="s">
        <v>980</v>
      </c>
      <c r="B380" t="s">
        <v>379</v>
      </c>
      <c r="C380">
        <f>--ISNUMBER(IFERROR(SEARCH(Deshbord!$A$1,A380,1),""))</f>
        <v>1</v>
      </c>
      <c r="D380">
        <f>IF(C380=1,COUNTIF($C$2:C380,1),"")</f>
        <v>379</v>
      </c>
      <c r="E380" t="str">
        <f>IFERROR(INDEX($A$2:$A$603,MATCH(ROWS($D$2:D380),$D$2:$D$603,0)),"")</f>
        <v>T10Y0518</v>
      </c>
    </row>
    <row r="381" spans="1:5" x14ac:dyDescent="0.25">
      <c r="A381" t="s">
        <v>981</v>
      </c>
      <c r="B381" t="s">
        <v>380</v>
      </c>
      <c r="C381">
        <f>--ISNUMBER(IFERROR(SEARCH(Deshbord!$A$1,A381,1),""))</f>
        <v>1</v>
      </c>
      <c r="D381">
        <f>IF(C381=1,COUNTIF($C$2:C381,1),"")</f>
        <v>380</v>
      </c>
      <c r="E381" t="str">
        <f>IFERROR(INDEX($A$2:$A$603,MATCH(ROWS($D$2:D381),$D$2:$D$603,0)),"")</f>
        <v>T10Y0519</v>
      </c>
    </row>
    <row r="382" spans="1:5" x14ac:dyDescent="0.25">
      <c r="A382" t="s">
        <v>982</v>
      </c>
      <c r="B382" t="s">
        <v>381</v>
      </c>
      <c r="C382">
        <f>--ISNUMBER(IFERROR(SEARCH(Deshbord!$A$1,A382,1),""))</f>
        <v>1</v>
      </c>
      <c r="D382">
        <f>IF(C382=1,COUNTIF($C$2:C382,1),"")</f>
        <v>381</v>
      </c>
      <c r="E382" t="str">
        <f>IFERROR(INDEX($A$2:$A$603,MATCH(ROWS($D$2:D382),$D$2:$D$603,0)),"")</f>
        <v>T10Y0520</v>
      </c>
    </row>
    <row r="383" spans="1:5" x14ac:dyDescent="0.25">
      <c r="A383" t="s">
        <v>983</v>
      </c>
      <c r="B383" t="s">
        <v>382</v>
      </c>
      <c r="C383">
        <f>--ISNUMBER(IFERROR(SEARCH(Deshbord!$A$1,A383,1),""))</f>
        <v>1</v>
      </c>
      <c r="D383">
        <f>IF(C383=1,COUNTIF($C$2:C383,1),"")</f>
        <v>382</v>
      </c>
      <c r="E383" t="str">
        <f>IFERROR(INDEX($A$2:$A$603,MATCH(ROWS($D$2:D383),$D$2:$D$603,0)),"")</f>
        <v>T10Y0521</v>
      </c>
    </row>
    <row r="384" spans="1:5" x14ac:dyDescent="0.25">
      <c r="A384" t="s">
        <v>984</v>
      </c>
      <c r="B384" t="s">
        <v>383</v>
      </c>
      <c r="C384">
        <f>--ISNUMBER(IFERROR(SEARCH(Deshbord!$A$1,A384,1),""))</f>
        <v>1</v>
      </c>
      <c r="D384">
        <f>IF(C384=1,COUNTIF($C$2:C384,1),"")</f>
        <v>383</v>
      </c>
      <c r="E384" t="str">
        <f>IFERROR(INDEX($A$2:$A$603,MATCH(ROWS($D$2:D384),$D$2:$D$603,0)),"")</f>
        <v>T10Y0614</v>
      </c>
    </row>
    <row r="385" spans="1:5" x14ac:dyDescent="0.25">
      <c r="A385" t="s">
        <v>985</v>
      </c>
      <c r="B385" t="s">
        <v>384</v>
      </c>
      <c r="C385">
        <f>--ISNUMBER(IFERROR(SEARCH(Deshbord!$A$1,A385,1),""))</f>
        <v>1</v>
      </c>
      <c r="D385">
        <f>IF(C385=1,COUNTIF($C$2:C385,1),"")</f>
        <v>384</v>
      </c>
      <c r="E385" t="str">
        <f>IFERROR(INDEX($A$2:$A$603,MATCH(ROWS($D$2:D385),$D$2:$D$603,0)),"")</f>
        <v>T10Y0615</v>
      </c>
    </row>
    <row r="386" spans="1:5" x14ac:dyDescent="0.25">
      <c r="A386" t="s">
        <v>986</v>
      </c>
      <c r="B386" t="s">
        <v>385</v>
      </c>
      <c r="C386">
        <f>--ISNUMBER(IFERROR(SEARCH(Deshbord!$A$1,A386,1),""))</f>
        <v>1</v>
      </c>
      <c r="D386">
        <f>IF(C386=1,COUNTIF($C$2:C386,1),"")</f>
        <v>385</v>
      </c>
      <c r="E386" t="str">
        <f>IFERROR(INDEX($A$2:$A$603,MATCH(ROWS($D$2:D386),$D$2:$D$603,0)),"")</f>
        <v>T10Y0616</v>
      </c>
    </row>
    <row r="387" spans="1:5" x14ac:dyDescent="0.25">
      <c r="A387" t="s">
        <v>987</v>
      </c>
      <c r="B387" t="s">
        <v>386</v>
      </c>
      <c r="C387">
        <f>--ISNUMBER(IFERROR(SEARCH(Deshbord!$A$1,A387,1),""))</f>
        <v>1</v>
      </c>
      <c r="D387">
        <f>IF(C387=1,COUNTIF($C$2:C387,1),"")</f>
        <v>386</v>
      </c>
      <c r="E387" t="str">
        <f>IFERROR(INDEX($A$2:$A$603,MATCH(ROWS($D$2:D387),$D$2:$D$603,0)),"")</f>
        <v>T10Y0617</v>
      </c>
    </row>
    <row r="388" spans="1:5" x14ac:dyDescent="0.25">
      <c r="A388" t="s">
        <v>988</v>
      </c>
      <c r="B388" t="s">
        <v>387</v>
      </c>
      <c r="C388">
        <f>--ISNUMBER(IFERROR(SEARCH(Deshbord!$A$1,A388,1),""))</f>
        <v>1</v>
      </c>
      <c r="D388">
        <f>IF(C388=1,COUNTIF($C$2:C388,1),"")</f>
        <v>387</v>
      </c>
      <c r="E388" t="str">
        <f>IFERROR(INDEX($A$2:$A$603,MATCH(ROWS($D$2:D388),$D$2:$D$603,0)),"")</f>
        <v>T10Y0618</v>
      </c>
    </row>
    <row r="389" spans="1:5" x14ac:dyDescent="0.25">
      <c r="A389" t="s">
        <v>989</v>
      </c>
      <c r="B389" t="s">
        <v>388</v>
      </c>
      <c r="C389">
        <f>--ISNUMBER(IFERROR(SEARCH(Deshbord!$A$1,A389,1),""))</f>
        <v>1</v>
      </c>
      <c r="D389">
        <f>IF(C389=1,COUNTIF($C$2:C389,1),"")</f>
        <v>388</v>
      </c>
      <c r="E389" t="str">
        <f>IFERROR(INDEX($A$2:$A$603,MATCH(ROWS($D$2:D389),$D$2:$D$603,0)),"")</f>
        <v>T10Y0619</v>
      </c>
    </row>
    <row r="390" spans="1:5" x14ac:dyDescent="0.25">
      <c r="A390" t="s">
        <v>990</v>
      </c>
      <c r="B390" t="s">
        <v>389</v>
      </c>
      <c r="C390">
        <f>--ISNUMBER(IFERROR(SEARCH(Deshbord!$A$1,A390,1),""))</f>
        <v>1</v>
      </c>
      <c r="D390">
        <f>IF(C390=1,COUNTIF($C$2:C390,1),"")</f>
        <v>389</v>
      </c>
      <c r="E390" t="str">
        <f>IFERROR(INDEX($A$2:$A$603,MATCH(ROWS($D$2:D390),$D$2:$D$603,0)),"")</f>
        <v>T10Y0620</v>
      </c>
    </row>
    <row r="391" spans="1:5" x14ac:dyDescent="0.25">
      <c r="A391" t="s">
        <v>991</v>
      </c>
      <c r="B391" t="s">
        <v>390</v>
      </c>
      <c r="C391">
        <f>--ISNUMBER(IFERROR(SEARCH(Deshbord!$A$1,A391,1),""))</f>
        <v>1</v>
      </c>
      <c r="D391">
        <f>IF(C391=1,COUNTIF($C$2:C391,1),"")</f>
        <v>390</v>
      </c>
      <c r="E391" t="str">
        <f>IFERROR(INDEX($A$2:$A$603,MATCH(ROWS($D$2:D391),$D$2:$D$603,0)),"")</f>
        <v>T10Y0621</v>
      </c>
    </row>
    <row r="392" spans="1:5" x14ac:dyDescent="0.25">
      <c r="A392" t="s">
        <v>992</v>
      </c>
      <c r="B392" t="s">
        <v>391</v>
      </c>
      <c r="C392">
        <f>--ISNUMBER(IFERROR(SEARCH(Deshbord!$A$1,A392,1),""))</f>
        <v>1</v>
      </c>
      <c r="D392">
        <f>IF(C392=1,COUNTIF($C$2:C392,1),"")</f>
        <v>391</v>
      </c>
      <c r="E392" t="str">
        <f>IFERROR(INDEX($A$2:$A$603,MATCH(ROWS($D$2:D392),$D$2:$D$603,0)),"")</f>
        <v>T10Y0717</v>
      </c>
    </row>
    <row r="393" spans="1:5" x14ac:dyDescent="0.25">
      <c r="A393" t="s">
        <v>993</v>
      </c>
      <c r="B393" t="s">
        <v>392</v>
      </c>
      <c r="C393">
        <f>--ISNUMBER(IFERROR(SEARCH(Deshbord!$A$1,A393,1),""))</f>
        <v>1</v>
      </c>
      <c r="D393">
        <f>IF(C393=1,COUNTIF($C$2:C393,1),"")</f>
        <v>392</v>
      </c>
      <c r="E393" t="str">
        <f>IFERROR(INDEX($A$2:$A$603,MATCH(ROWS($D$2:D393),$D$2:$D$603,0)),"")</f>
        <v>T10Y0718</v>
      </c>
    </row>
    <row r="394" spans="1:5" x14ac:dyDescent="0.25">
      <c r="A394" t="s">
        <v>994</v>
      </c>
      <c r="B394" t="s">
        <v>393</v>
      </c>
      <c r="C394">
        <f>--ISNUMBER(IFERROR(SEARCH(Deshbord!$A$1,A394,1),""))</f>
        <v>1</v>
      </c>
      <c r="D394">
        <f>IF(C394=1,COUNTIF($C$2:C394,1),"")</f>
        <v>393</v>
      </c>
      <c r="E394" t="str">
        <f>IFERROR(INDEX($A$2:$A$603,MATCH(ROWS($D$2:D394),$D$2:$D$603,0)),"")</f>
        <v>T10Y0719</v>
      </c>
    </row>
    <row r="395" spans="1:5" x14ac:dyDescent="0.25">
      <c r="A395" t="s">
        <v>995</v>
      </c>
      <c r="B395" t="s">
        <v>394</v>
      </c>
      <c r="C395">
        <f>--ISNUMBER(IFERROR(SEARCH(Deshbord!$A$1,A395,1),""))</f>
        <v>1</v>
      </c>
      <c r="D395">
        <f>IF(C395=1,COUNTIF($C$2:C395,1),"")</f>
        <v>394</v>
      </c>
      <c r="E395" t="str">
        <f>IFERROR(INDEX($A$2:$A$603,MATCH(ROWS($D$2:D395),$D$2:$D$603,0)),"")</f>
        <v>T10Y0720</v>
      </c>
    </row>
    <row r="396" spans="1:5" x14ac:dyDescent="0.25">
      <c r="A396" t="s">
        <v>996</v>
      </c>
      <c r="B396" t="s">
        <v>395</v>
      </c>
      <c r="C396">
        <f>--ISNUMBER(IFERROR(SEARCH(Deshbord!$A$1,A396,1),""))</f>
        <v>1</v>
      </c>
      <c r="D396">
        <f>IF(C396=1,COUNTIF($C$2:C396,1),"")</f>
        <v>395</v>
      </c>
      <c r="E396" t="str">
        <f>IFERROR(INDEX($A$2:$A$603,MATCH(ROWS($D$2:D396),$D$2:$D$603,0)),"")</f>
        <v>T10Y0721</v>
      </c>
    </row>
    <row r="397" spans="1:5" x14ac:dyDescent="0.25">
      <c r="A397" t="s">
        <v>997</v>
      </c>
      <c r="B397" t="s">
        <v>396</v>
      </c>
      <c r="C397">
        <f>--ISNUMBER(IFERROR(SEARCH(Deshbord!$A$1,A397,1),""))</f>
        <v>1</v>
      </c>
      <c r="D397">
        <f>IF(C397=1,COUNTIF($C$2:C397,1),"")</f>
        <v>396</v>
      </c>
      <c r="E397" t="str">
        <f>IFERROR(INDEX($A$2:$A$603,MATCH(ROWS($D$2:D397),$D$2:$D$603,0)),"")</f>
        <v>T10Y0814</v>
      </c>
    </row>
    <row r="398" spans="1:5" x14ac:dyDescent="0.25">
      <c r="A398" t="s">
        <v>998</v>
      </c>
      <c r="B398" t="s">
        <v>397</v>
      </c>
      <c r="C398">
        <f>--ISNUMBER(IFERROR(SEARCH(Deshbord!$A$1,A398,1),""))</f>
        <v>1</v>
      </c>
      <c r="D398">
        <f>IF(C398=1,COUNTIF($C$2:C398,1),"")</f>
        <v>397</v>
      </c>
      <c r="E398" t="str">
        <f>IFERROR(INDEX($A$2:$A$603,MATCH(ROWS($D$2:D398),$D$2:$D$603,0)),"")</f>
        <v>T10Y0816</v>
      </c>
    </row>
    <row r="399" spans="1:5" x14ac:dyDescent="0.25">
      <c r="A399" t="s">
        <v>999</v>
      </c>
      <c r="B399" t="s">
        <v>398</v>
      </c>
      <c r="C399">
        <f>--ISNUMBER(IFERROR(SEARCH(Deshbord!$A$1,A399,1),""))</f>
        <v>1</v>
      </c>
      <c r="D399">
        <f>IF(C399=1,COUNTIF($C$2:C399,1),"")</f>
        <v>398</v>
      </c>
      <c r="E399" t="str">
        <f>IFERROR(INDEX($A$2:$A$603,MATCH(ROWS($D$2:D399),$D$2:$D$603,0)),"")</f>
        <v>T10Y0817</v>
      </c>
    </row>
    <row r="400" spans="1:5" x14ac:dyDescent="0.25">
      <c r="A400" t="s">
        <v>1000</v>
      </c>
      <c r="B400" t="s">
        <v>399</v>
      </c>
      <c r="C400">
        <f>--ISNUMBER(IFERROR(SEARCH(Deshbord!$A$1,A400,1),""))</f>
        <v>1</v>
      </c>
      <c r="D400">
        <f>IF(C400=1,COUNTIF($C$2:C400,1),"")</f>
        <v>399</v>
      </c>
      <c r="E400" t="str">
        <f>IFERROR(INDEX($A$2:$A$603,MATCH(ROWS($D$2:D400),$D$2:$D$603,0)),"")</f>
        <v>T10Y0818</v>
      </c>
    </row>
    <row r="401" spans="1:5" x14ac:dyDescent="0.25">
      <c r="A401" t="s">
        <v>1001</v>
      </c>
      <c r="B401" t="s">
        <v>400</v>
      </c>
      <c r="C401">
        <f>--ISNUMBER(IFERROR(SEARCH(Deshbord!$A$1,A401,1),""))</f>
        <v>1</v>
      </c>
      <c r="D401">
        <f>IF(C401=1,COUNTIF($C$2:C401,1),"")</f>
        <v>400</v>
      </c>
      <c r="E401" t="str">
        <f>IFERROR(INDEX($A$2:$A$603,MATCH(ROWS($D$2:D401),$D$2:$D$603,0)),"")</f>
        <v>T10Y0819</v>
      </c>
    </row>
    <row r="402" spans="1:5" x14ac:dyDescent="0.25">
      <c r="A402" t="s">
        <v>1002</v>
      </c>
      <c r="B402" t="s">
        <v>401</v>
      </c>
      <c r="C402">
        <f>--ISNUMBER(IFERROR(SEARCH(Deshbord!$A$1,A402,1),""))</f>
        <v>1</v>
      </c>
      <c r="D402">
        <f>IF(C402=1,COUNTIF($C$2:C402,1),"")</f>
        <v>401</v>
      </c>
      <c r="E402" t="str">
        <f>IFERROR(INDEX($A$2:$A$603,MATCH(ROWS($D$2:D402),$D$2:$D$603,0)),"")</f>
        <v>T10Y0820</v>
      </c>
    </row>
    <row r="403" spans="1:5" x14ac:dyDescent="0.25">
      <c r="A403" t="s">
        <v>1003</v>
      </c>
      <c r="B403" t="s">
        <v>402</v>
      </c>
      <c r="C403">
        <f>--ISNUMBER(IFERROR(SEARCH(Deshbord!$A$1,A403,1),""))</f>
        <v>1</v>
      </c>
      <c r="D403">
        <f>IF(C403=1,COUNTIF($C$2:C403,1),"")</f>
        <v>402</v>
      </c>
      <c r="E403" t="str">
        <f>IFERROR(INDEX($A$2:$A$603,MATCH(ROWS($D$2:D403),$D$2:$D$603,0)),"")</f>
        <v>T10Y0821</v>
      </c>
    </row>
    <row r="404" spans="1:5" x14ac:dyDescent="0.25">
      <c r="A404" t="s">
        <v>1004</v>
      </c>
      <c r="B404" t="s">
        <v>403</v>
      </c>
      <c r="C404">
        <f>--ISNUMBER(IFERROR(SEARCH(Deshbord!$A$1,A404,1),""))</f>
        <v>1</v>
      </c>
      <c r="D404">
        <f>IF(C404=1,COUNTIF($C$2:C404,1),"")</f>
        <v>403</v>
      </c>
      <c r="E404" t="str">
        <f>IFERROR(INDEX($A$2:$A$603,MATCH(ROWS($D$2:D404),$D$2:$D$603,0)),"")</f>
        <v>T10Y0916</v>
      </c>
    </row>
    <row r="405" spans="1:5" x14ac:dyDescent="0.25">
      <c r="A405" t="s">
        <v>1005</v>
      </c>
      <c r="B405" t="s">
        <v>404</v>
      </c>
      <c r="C405">
        <f>--ISNUMBER(IFERROR(SEARCH(Deshbord!$A$1,A405,1),""))</f>
        <v>1</v>
      </c>
      <c r="D405">
        <f>IF(C405=1,COUNTIF($C$2:C405,1),"")</f>
        <v>404</v>
      </c>
      <c r="E405" t="str">
        <f>IFERROR(INDEX($A$2:$A$603,MATCH(ROWS($D$2:D405),$D$2:$D$603,0)),"")</f>
        <v>T10Y0917</v>
      </c>
    </row>
    <row r="406" spans="1:5" x14ac:dyDescent="0.25">
      <c r="A406" t="s">
        <v>1006</v>
      </c>
      <c r="B406" t="s">
        <v>405</v>
      </c>
      <c r="C406">
        <f>--ISNUMBER(IFERROR(SEARCH(Deshbord!$A$1,A406,1),""))</f>
        <v>1</v>
      </c>
      <c r="D406">
        <f>IF(C406=1,COUNTIF($C$2:C406,1),"")</f>
        <v>405</v>
      </c>
      <c r="E406" t="str">
        <f>IFERROR(INDEX($A$2:$A$603,MATCH(ROWS($D$2:D406),$D$2:$D$603,0)),"")</f>
        <v>T10Y0918</v>
      </c>
    </row>
    <row r="407" spans="1:5" x14ac:dyDescent="0.25">
      <c r="A407" t="s">
        <v>1007</v>
      </c>
      <c r="B407" t="s">
        <v>406</v>
      </c>
      <c r="C407">
        <f>--ISNUMBER(IFERROR(SEARCH(Deshbord!$A$1,A407,1),""))</f>
        <v>1</v>
      </c>
      <c r="D407">
        <f>IF(C407=1,COUNTIF($C$2:C407,1),"")</f>
        <v>406</v>
      </c>
      <c r="E407" t="str">
        <f>IFERROR(INDEX($A$2:$A$603,MATCH(ROWS($D$2:D407),$D$2:$D$603,0)),"")</f>
        <v>T10Y0919</v>
      </c>
    </row>
    <row r="408" spans="1:5" x14ac:dyDescent="0.25">
      <c r="A408" t="s">
        <v>1008</v>
      </c>
      <c r="B408" t="s">
        <v>407</v>
      </c>
      <c r="C408">
        <f>--ISNUMBER(IFERROR(SEARCH(Deshbord!$A$1,A408,1),""))</f>
        <v>1</v>
      </c>
      <c r="D408">
        <f>IF(C408=1,COUNTIF($C$2:C408,1),"")</f>
        <v>407</v>
      </c>
      <c r="E408" t="str">
        <f>IFERROR(INDEX($A$2:$A$603,MATCH(ROWS($D$2:D408),$D$2:$D$603,0)),"")</f>
        <v>T10Y0920</v>
      </c>
    </row>
    <row r="409" spans="1:5" x14ac:dyDescent="0.25">
      <c r="A409" t="s">
        <v>1009</v>
      </c>
      <c r="B409" t="s">
        <v>408</v>
      </c>
      <c r="C409">
        <f>--ISNUMBER(IFERROR(SEARCH(Deshbord!$A$1,A409,1),""))</f>
        <v>1</v>
      </c>
      <c r="D409">
        <f>IF(C409=1,COUNTIF($C$2:C409,1),"")</f>
        <v>408</v>
      </c>
      <c r="E409" t="str">
        <f>IFERROR(INDEX($A$2:$A$603,MATCH(ROWS($D$2:D409),$D$2:$D$603,0)),"")</f>
        <v>T10Y0921</v>
      </c>
    </row>
    <row r="410" spans="1:5" x14ac:dyDescent="0.25">
      <c r="A410" t="s">
        <v>1010</v>
      </c>
      <c r="B410" t="s">
        <v>409</v>
      </c>
      <c r="C410">
        <f>--ISNUMBER(IFERROR(SEARCH(Deshbord!$A$1,A410,1),""))</f>
        <v>1</v>
      </c>
      <c r="D410">
        <f>IF(C410=1,COUNTIF($C$2:C410,1),"")</f>
        <v>409</v>
      </c>
      <c r="E410" t="str">
        <f>IFERROR(INDEX($A$2:$A$603,MATCH(ROWS($D$2:D410),$D$2:$D$603,0)),"")</f>
        <v>T10Y1014</v>
      </c>
    </row>
    <row r="411" spans="1:5" x14ac:dyDescent="0.25">
      <c r="A411" t="s">
        <v>1011</v>
      </c>
      <c r="B411" t="s">
        <v>410</v>
      </c>
      <c r="C411">
        <f>--ISNUMBER(IFERROR(SEARCH(Deshbord!$A$1,A411,1),""))</f>
        <v>1</v>
      </c>
      <c r="D411">
        <f>IF(C411=1,COUNTIF($C$2:C411,1),"")</f>
        <v>410</v>
      </c>
      <c r="E411" t="str">
        <f>IFERROR(INDEX($A$2:$A$603,MATCH(ROWS($D$2:D411),$D$2:$D$603,0)),"")</f>
        <v>T10Y1016</v>
      </c>
    </row>
    <row r="412" spans="1:5" x14ac:dyDescent="0.25">
      <c r="A412" t="s">
        <v>1012</v>
      </c>
      <c r="B412" t="s">
        <v>411</v>
      </c>
      <c r="C412">
        <f>--ISNUMBER(IFERROR(SEARCH(Deshbord!$A$1,A412,1),""))</f>
        <v>1</v>
      </c>
      <c r="D412">
        <f>IF(C412=1,COUNTIF($C$2:C412,1),"")</f>
        <v>411</v>
      </c>
      <c r="E412" t="str">
        <f>IFERROR(INDEX($A$2:$A$603,MATCH(ROWS($D$2:D412),$D$2:$D$603,0)),"")</f>
        <v>T10Y1017</v>
      </c>
    </row>
    <row r="413" spans="1:5" x14ac:dyDescent="0.25">
      <c r="A413" t="s">
        <v>1013</v>
      </c>
      <c r="B413" t="s">
        <v>412</v>
      </c>
      <c r="C413">
        <f>--ISNUMBER(IFERROR(SEARCH(Deshbord!$A$1,A413,1),""))</f>
        <v>1</v>
      </c>
      <c r="D413">
        <f>IF(C413=1,COUNTIF($C$2:C413,1),"")</f>
        <v>412</v>
      </c>
      <c r="E413" t="str">
        <f>IFERROR(INDEX($A$2:$A$603,MATCH(ROWS($D$2:D413),$D$2:$D$603,0)),"")</f>
        <v>T10Y1018</v>
      </c>
    </row>
    <row r="414" spans="1:5" x14ac:dyDescent="0.25">
      <c r="A414" t="s">
        <v>1014</v>
      </c>
      <c r="B414" t="s">
        <v>413</v>
      </c>
      <c r="C414">
        <f>--ISNUMBER(IFERROR(SEARCH(Deshbord!$A$1,A414,1),""))</f>
        <v>1</v>
      </c>
      <c r="D414">
        <f>IF(C414=1,COUNTIF($C$2:C414,1),"")</f>
        <v>413</v>
      </c>
      <c r="E414" t="str">
        <f>IFERROR(INDEX($A$2:$A$603,MATCH(ROWS($D$2:D414),$D$2:$D$603,0)),"")</f>
        <v>T10Y1019</v>
      </c>
    </row>
    <row r="415" spans="1:5" x14ac:dyDescent="0.25">
      <c r="A415" t="s">
        <v>1015</v>
      </c>
      <c r="B415" t="s">
        <v>414</v>
      </c>
      <c r="C415">
        <f>--ISNUMBER(IFERROR(SEARCH(Deshbord!$A$1,A415,1),""))</f>
        <v>1</v>
      </c>
      <c r="D415">
        <f>IF(C415=1,COUNTIF($C$2:C415,1),"")</f>
        <v>414</v>
      </c>
      <c r="E415" t="str">
        <f>IFERROR(INDEX($A$2:$A$603,MATCH(ROWS($D$2:D415),$D$2:$D$603,0)),"")</f>
        <v>T10Y1116</v>
      </c>
    </row>
    <row r="416" spans="1:5" x14ac:dyDescent="0.25">
      <c r="A416" t="s">
        <v>1016</v>
      </c>
      <c r="B416" t="s">
        <v>415</v>
      </c>
      <c r="C416">
        <f>--ISNUMBER(IFERROR(SEARCH(Deshbord!$A$1,A416,1),""))</f>
        <v>1</v>
      </c>
      <c r="D416">
        <f>IF(C416=1,COUNTIF($C$2:C416,1),"")</f>
        <v>415</v>
      </c>
      <c r="E416" t="str">
        <f>IFERROR(INDEX($A$2:$A$603,MATCH(ROWS($D$2:D416),$D$2:$D$603,0)),"")</f>
        <v>T10Y1117</v>
      </c>
    </row>
    <row r="417" spans="1:5" x14ac:dyDescent="0.25">
      <c r="A417" t="s">
        <v>1017</v>
      </c>
      <c r="B417" t="s">
        <v>416</v>
      </c>
      <c r="C417">
        <f>--ISNUMBER(IFERROR(SEARCH(Deshbord!$A$1,A417,1),""))</f>
        <v>1</v>
      </c>
      <c r="D417">
        <f>IF(C417=1,COUNTIF($C$2:C417,1),"")</f>
        <v>416</v>
      </c>
      <c r="E417" t="str">
        <f>IFERROR(INDEX($A$2:$A$603,MATCH(ROWS($D$2:D417),$D$2:$D$603,0)),"")</f>
        <v>T10Y1118</v>
      </c>
    </row>
    <row r="418" spans="1:5" x14ac:dyDescent="0.25">
      <c r="A418" t="s">
        <v>1018</v>
      </c>
      <c r="B418" t="s">
        <v>417</v>
      </c>
      <c r="C418">
        <f>--ISNUMBER(IFERROR(SEARCH(Deshbord!$A$1,A418,1),""))</f>
        <v>1</v>
      </c>
      <c r="D418">
        <f>IF(C418=1,COUNTIF($C$2:C418,1),"")</f>
        <v>417</v>
      </c>
      <c r="E418" t="str">
        <f>IFERROR(INDEX($A$2:$A$603,MATCH(ROWS($D$2:D418),$D$2:$D$603,0)),"")</f>
        <v>T10Y1120</v>
      </c>
    </row>
    <row r="419" spans="1:5" x14ac:dyDescent="0.25">
      <c r="A419" t="s">
        <v>1019</v>
      </c>
      <c r="B419" t="s">
        <v>418</v>
      </c>
      <c r="C419">
        <f>--ISNUMBER(IFERROR(SEARCH(Deshbord!$A$1,A419,1),""))</f>
        <v>1</v>
      </c>
      <c r="D419">
        <f>IF(C419=1,COUNTIF($C$2:C419,1),"")</f>
        <v>418</v>
      </c>
      <c r="E419" t="str">
        <f>IFERROR(INDEX($A$2:$A$603,MATCH(ROWS($D$2:D419),$D$2:$D$603,0)),"")</f>
        <v>T10Y1213</v>
      </c>
    </row>
    <row r="420" spans="1:5" x14ac:dyDescent="0.25">
      <c r="A420" t="s">
        <v>1020</v>
      </c>
      <c r="B420" t="s">
        <v>419</v>
      </c>
      <c r="C420">
        <f>--ISNUMBER(IFERROR(SEARCH(Deshbord!$A$1,A420,1),""))</f>
        <v>1</v>
      </c>
      <c r="D420">
        <f>IF(C420=1,COUNTIF($C$2:C420,1),"")</f>
        <v>419</v>
      </c>
      <c r="E420" t="str">
        <f>IFERROR(INDEX($A$2:$A$603,MATCH(ROWS($D$2:D420),$D$2:$D$603,0)),"")</f>
        <v>T10Y1214</v>
      </c>
    </row>
    <row r="421" spans="1:5" x14ac:dyDescent="0.25">
      <c r="A421" t="s">
        <v>1021</v>
      </c>
      <c r="B421" t="s">
        <v>420</v>
      </c>
      <c r="C421">
        <f>--ISNUMBER(IFERROR(SEARCH(Deshbord!$A$1,A421,1),""))</f>
        <v>1</v>
      </c>
      <c r="D421">
        <f>IF(C421=1,COUNTIF($C$2:C421,1),"")</f>
        <v>420</v>
      </c>
      <c r="E421" t="str">
        <f>IFERROR(INDEX($A$2:$A$603,MATCH(ROWS($D$2:D421),$D$2:$D$603,0)),"")</f>
        <v>T10Y1215</v>
      </c>
    </row>
    <row r="422" spans="1:5" x14ac:dyDescent="0.25">
      <c r="A422" t="s">
        <v>1022</v>
      </c>
      <c r="B422" t="s">
        <v>421</v>
      </c>
      <c r="C422">
        <f>--ISNUMBER(IFERROR(SEARCH(Deshbord!$A$1,A422,1),""))</f>
        <v>1</v>
      </c>
      <c r="D422">
        <f>IF(C422=1,COUNTIF($C$2:C422,1),"")</f>
        <v>421</v>
      </c>
      <c r="E422" t="str">
        <f>IFERROR(INDEX($A$2:$A$603,MATCH(ROWS($D$2:D422),$D$2:$D$603,0)),"")</f>
        <v>T10Y1216</v>
      </c>
    </row>
    <row r="423" spans="1:5" x14ac:dyDescent="0.25">
      <c r="A423" t="s">
        <v>1023</v>
      </c>
      <c r="B423" t="s">
        <v>422</v>
      </c>
      <c r="C423">
        <f>--ISNUMBER(IFERROR(SEARCH(Deshbord!$A$1,A423,1),""))</f>
        <v>1</v>
      </c>
      <c r="D423">
        <f>IF(C423=1,COUNTIF($C$2:C423,1),"")</f>
        <v>422</v>
      </c>
      <c r="E423" t="str">
        <f>IFERROR(INDEX($A$2:$A$603,MATCH(ROWS($D$2:D423),$D$2:$D$603,0)),"")</f>
        <v>T10Y1217</v>
      </c>
    </row>
    <row r="424" spans="1:5" x14ac:dyDescent="0.25">
      <c r="A424" t="s">
        <v>1024</v>
      </c>
      <c r="B424" t="s">
        <v>423</v>
      </c>
      <c r="C424">
        <f>--ISNUMBER(IFERROR(SEARCH(Deshbord!$A$1,A424,1),""))</f>
        <v>1</v>
      </c>
      <c r="D424">
        <f>IF(C424=1,COUNTIF($C$2:C424,1),"")</f>
        <v>423</v>
      </c>
      <c r="E424" t="str">
        <f>IFERROR(INDEX($A$2:$A$603,MATCH(ROWS($D$2:D424),$D$2:$D$603,0)),"")</f>
        <v>T10Y1218</v>
      </c>
    </row>
    <row r="425" spans="1:5" x14ac:dyDescent="0.25">
      <c r="A425" t="s">
        <v>1025</v>
      </c>
      <c r="B425" t="s">
        <v>424</v>
      </c>
      <c r="C425">
        <f>--ISNUMBER(IFERROR(SEARCH(Deshbord!$A$1,A425,1),""))</f>
        <v>1</v>
      </c>
      <c r="D425">
        <f>IF(C425=1,COUNTIF($C$2:C425,1),"")</f>
        <v>424</v>
      </c>
      <c r="E425" t="str">
        <f>IFERROR(INDEX($A$2:$A$603,MATCH(ROWS($D$2:D425),$D$2:$D$603,0)),"")</f>
        <v>T10Y1219</v>
      </c>
    </row>
    <row r="426" spans="1:5" x14ac:dyDescent="0.25">
      <c r="A426" t="s">
        <v>1026</v>
      </c>
      <c r="B426" t="s">
        <v>425</v>
      </c>
      <c r="C426">
        <f>--ISNUMBER(IFERROR(SEARCH(Deshbord!$A$1,A426,1),""))</f>
        <v>1</v>
      </c>
      <c r="D426">
        <f>IF(C426=1,COUNTIF($C$2:C426,1),"")</f>
        <v>425</v>
      </c>
      <c r="E426" t="str">
        <f>IFERROR(INDEX($A$2:$A$603,MATCH(ROWS($D$2:D426),$D$2:$D$603,0)),"")</f>
        <v>T10Y1220</v>
      </c>
    </row>
    <row r="427" spans="1:5" x14ac:dyDescent="0.25">
      <c r="A427" t="s">
        <v>1027</v>
      </c>
      <c r="B427" t="s">
        <v>426</v>
      </c>
      <c r="C427">
        <f>--ISNUMBER(IFERROR(SEARCH(Deshbord!$A$1,A427,1),""))</f>
        <v>1</v>
      </c>
      <c r="D427">
        <f>IF(C427=1,COUNTIF($C$2:C427,1),"")</f>
        <v>426</v>
      </c>
      <c r="E427" t="str">
        <f>IFERROR(INDEX($A$2:$A$603,MATCH(ROWS($D$2:D427),$D$2:$D$603,0)),"")</f>
        <v>T15Y0123</v>
      </c>
    </row>
    <row r="428" spans="1:5" x14ac:dyDescent="0.25">
      <c r="A428" t="s">
        <v>1028</v>
      </c>
      <c r="B428" t="s">
        <v>427</v>
      </c>
      <c r="C428">
        <f>--ISNUMBER(IFERROR(SEARCH(Deshbord!$A$1,A428,1),""))</f>
        <v>1</v>
      </c>
      <c r="D428">
        <f>IF(C428=1,COUNTIF($C$2:C428,1),"")</f>
        <v>427</v>
      </c>
      <c r="E428" t="str">
        <f>IFERROR(INDEX($A$2:$A$603,MATCH(ROWS($D$2:D428),$D$2:$D$603,0)),"")</f>
        <v>T15Y0124</v>
      </c>
    </row>
    <row r="429" spans="1:5" x14ac:dyDescent="0.25">
      <c r="A429" t="s">
        <v>1029</v>
      </c>
      <c r="B429" t="s">
        <v>428</v>
      </c>
      <c r="C429">
        <f>--ISNUMBER(IFERROR(SEARCH(Deshbord!$A$1,A429,1),""))</f>
        <v>1</v>
      </c>
      <c r="D429">
        <f>IF(C429=1,COUNTIF($C$2:C429,1),"")</f>
        <v>428</v>
      </c>
      <c r="E429" t="str">
        <f>IFERROR(INDEX($A$2:$A$603,MATCH(ROWS($D$2:D429),$D$2:$D$603,0)),"")</f>
        <v>T15Y0125</v>
      </c>
    </row>
    <row r="430" spans="1:5" x14ac:dyDescent="0.25">
      <c r="A430" t="s">
        <v>1030</v>
      </c>
      <c r="B430" t="s">
        <v>429</v>
      </c>
      <c r="C430">
        <f>--ISNUMBER(IFERROR(SEARCH(Deshbord!$A$1,A430,1),""))</f>
        <v>1</v>
      </c>
      <c r="D430">
        <f>IF(C430=1,COUNTIF($C$2:C430,1),"")</f>
        <v>429</v>
      </c>
      <c r="E430" t="str">
        <f>IFERROR(INDEX($A$2:$A$603,MATCH(ROWS($D$2:D430),$D$2:$D$603,0)),"")</f>
        <v>T15Y0223</v>
      </c>
    </row>
    <row r="431" spans="1:5" x14ac:dyDescent="0.25">
      <c r="A431" t="s">
        <v>1031</v>
      </c>
      <c r="B431" t="s">
        <v>430</v>
      </c>
      <c r="C431">
        <f>--ISNUMBER(IFERROR(SEARCH(Deshbord!$A$1,A431,1),""))</f>
        <v>1</v>
      </c>
      <c r="D431">
        <f>IF(C431=1,COUNTIF($C$2:C431,1),"")</f>
        <v>430</v>
      </c>
      <c r="E431" t="str">
        <f>IFERROR(INDEX($A$2:$A$603,MATCH(ROWS($D$2:D431),$D$2:$D$603,0)),"")</f>
        <v>T15Y0224</v>
      </c>
    </row>
    <row r="432" spans="1:5" x14ac:dyDescent="0.25">
      <c r="A432" t="s">
        <v>1032</v>
      </c>
      <c r="B432" t="s">
        <v>431</v>
      </c>
      <c r="C432">
        <f>--ISNUMBER(IFERROR(SEARCH(Deshbord!$A$1,A432,1),""))</f>
        <v>1</v>
      </c>
      <c r="D432">
        <f>IF(C432=1,COUNTIF($C$2:C432,1),"")</f>
        <v>431</v>
      </c>
      <c r="E432" t="str">
        <f>IFERROR(INDEX($A$2:$A$603,MATCH(ROWS($D$2:D432),$D$2:$D$603,0)),"")</f>
        <v>T15Y0225</v>
      </c>
    </row>
    <row r="433" spans="1:5" x14ac:dyDescent="0.25">
      <c r="A433" t="s">
        <v>1033</v>
      </c>
      <c r="B433" t="s">
        <v>432</v>
      </c>
      <c r="C433">
        <f>--ISNUMBER(IFERROR(SEARCH(Deshbord!$A$1,A433,1),""))</f>
        <v>1</v>
      </c>
      <c r="D433">
        <f>IF(C433=1,COUNTIF($C$2:C433,1),"")</f>
        <v>432</v>
      </c>
      <c r="E433" t="str">
        <f>IFERROR(INDEX($A$2:$A$603,MATCH(ROWS($D$2:D433),$D$2:$D$603,0)),"")</f>
        <v>T15Y0226</v>
      </c>
    </row>
    <row r="434" spans="1:5" x14ac:dyDescent="0.25">
      <c r="A434" t="s">
        <v>1034</v>
      </c>
      <c r="B434" t="s">
        <v>433</v>
      </c>
      <c r="C434">
        <f>--ISNUMBER(IFERROR(SEARCH(Deshbord!$A$1,A434,1),""))</f>
        <v>1</v>
      </c>
      <c r="D434">
        <f>IF(C434=1,COUNTIF($C$2:C434,1),"")</f>
        <v>433</v>
      </c>
      <c r="E434" t="str">
        <f>IFERROR(INDEX($A$2:$A$603,MATCH(ROWS($D$2:D434),$D$2:$D$603,0)),"")</f>
        <v>T15Y0323</v>
      </c>
    </row>
    <row r="435" spans="1:5" x14ac:dyDescent="0.25">
      <c r="A435" t="s">
        <v>1035</v>
      </c>
      <c r="B435" t="s">
        <v>434</v>
      </c>
      <c r="C435">
        <f>--ISNUMBER(IFERROR(SEARCH(Deshbord!$A$1,A435,1),""))</f>
        <v>1</v>
      </c>
      <c r="D435">
        <f>IF(C435=1,COUNTIF($C$2:C435,1),"")</f>
        <v>434</v>
      </c>
      <c r="E435" t="str">
        <f>IFERROR(INDEX($A$2:$A$603,MATCH(ROWS($D$2:D435),$D$2:$D$603,0)),"")</f>
        <v>T15Y0324</v>
      </c>
    </row>
    <row r="436" spans="1:5" x14ac:dyDescent="0.25">
      <c r="A436" t="s">
        <v>1036</v>
      </c>
      <c r="B436" t="s">
        <v>435</v>
      </c>
      <c r="C436">
        <f>--ISNUMBER(IFERROR(SEARCH(Deshbord!$A$1,A436,1),""))</f>
        <v>1</v>
      </c>
      <c r="D436">
        <f>IF(C436=1,COUNTIF($C$2:C436,1),"")</f>
        <v>435</v>
      </c>
      <c r="E436" t="str">
        <f>IFERROR(INDEX($A$2:$A$603,MATCH(ROWS($D$2:D436),$D$2:$D$603,0)),"")</f>
        <v>T15Y0325</v>
      </c>
    </row>
    <row r="437" spans="1:5" x14ac:dyDescent="0.25">
      <c r="A437" t="s">
        <v>1037</v>
      </c>
      <c r="B437" t="s">
        <v>436</v>
      </c>
      <c r="C437">
        <f>--ISNUMBER(IFERROR(SEARCH(Deshbord!$A$1,A437,1),""))</f>
        <v>1</v>
      </c>
      <c r="D437">
        <f>IF(C437=1,COUNTIF($C$2:C437,1),"")</f>
        <v>436</v>
      </c>
      <c r="E437" t="str">
        <f>IFERROR(INDEX($A$2:$A$603,MATCH(ROWS($D$2:D437),$D$2:$D$603,0)),"")</f>
        <v>T15Y0326</v>
      </c>
    </row>
    <row r="438" spans="1:5" x14ac:dyDescent="0.25">
      <c r="A438" t="s">
        <v>1038</v>
      </c>
      <c r="B438" t="s">
        <v>437</v>
      </c>
      <c r="C438">
        <f>--ISNUMBER(IFERROR(SEARCH(Deshbord!$A$1,A438,1),""))</f>
        <v>1</v>
      </c>
      <c r="D438">
        <f>IF(C438=1,COUNTIF($C$2:C438,1),"")</f>
        <v>437</v>
      </c>
      <c r="E438" t="str">
        <f>IFERROR(INDEX($A$2:$A$603,MATCH(ROWS($D$2:D438),$D$2:$D$603,0)),"")</f>
        <v>T15Y0423</v>
      </c>
    </row>
    <row r="439" spans="1:5" x14ac:dyDescent="0.25">
      <c r="A439" t="s">
        <v>1039</v>
      </c>
      <c r="B439" t="s">
        <v>438</v>
      </c>
      <c r="C439">
        <f>--ISNUMBER(IFERROR(SEARCH(Deshbord!$A$1,A439,1),""))</f>
        <v>1</v>
      </c>
      <c r="D439">
        <f>IF(C439=1,COUNTIF($C$2:C439,1),"")</f>
        <v>438</v>
      </c>
      <c r="E439" t="str">
        <f>IFERROR(INDEX($A$2:$A$603,MATCH(ROWS($D$2:D439),$D$2:$D$603,0)),"")</f>
        <v>T15Y0424</v>
      </c>
    </row>
    <row r="440" spans="1:5" x14ac:dyDescent="0.25">
      <c r="A440" t="s">
        <v>1040</v>
      </c>
      <c r="B440" t="s">
        <v>439</v>
      </c>
      <c r="C440">
        <f>--ISNUMBER(IFERROR(SEARCH(Deshbord!$A$1,A440,1),""))</f>
        <v>1</v>
      </c>
      <c r="D440">
        <f>IF(C440=1,COUNTIF($C$2:C440,1),"")</f>
        <v>439</v>
      </c>
      <c r="E440" t="str">
        <f>IFERROR(INDEX($A$2:$A$603,MATCH(ROWS($D$2:D440),$D$2:$D$603,0)),"")</f>
        <v>T15Y0425</v>
      </c>
    </row>
    <row r="441" spans="1:5" x14ac:dyDescent="0.25">
      <c r="A441" t="s">
        <v>1041</v>
      </c>
      <c r="B441" t="s">
        <v>440</v>
      </c>
      <c r="C441">
        <f>--ISNUMBER(IFERROR(SEARCH(Deshbord!$A$1,A441,1),""))</f>
        <v>1</v>
      </c>
      <c r="D441">
        <f>IF(C441=1,COUNTIF($C$2:C441,1),"")</f>
        <v>440</v>
      </c>
      <c r="E441" t="str">
        <f>IFERROR(INDEX($A$2:$A$603,MATCH(ROWS($D$2:D441),$D$2:$D$603,0)),"")</f>
        <v>T15Y0426</v>
      </c>
    </row>
    <row r="442" spans="1:5" x14ac:dyDescent="0.25">
      <c r="A442" t="s">
        <v>1042</v>
      </c>
      <c r="B442" t="s">
        <v>441</v>
      </c>
      <c r="C442">
        <f>--ISNUMBER(IFERROR(SEARCH(Deshbord!$A$1,A442,1),""))</f>
        <v>1</v>
      </c>
      <c r="D442">
        <f>IF(C442=1,COUNTIF($C$2:C442,1),"")</f>
        <v>441</v>
      </c>
      <c r="E442" t="str">
        <f>IFERROR(INDEX($A$2:$A$603,MATCH(ROWS($D$2:D442),$D$2:$D$603,0)),"")</f>
        <v>T15Y0523</v>
      </c>
    </row>
    <row r="443" spans="1:5" x14ac:dyDescent="0.25">
      <c r="A443" t="s">
        <v>1043</v>
      </c>
      <c r="B443" t="s">
        <v>442</v>
      </c>
      <c r="C443">
        <f>--ISNUMBER(IFERROR(SEARCH(Deshbord!$A$1,A443,1),""))</f>
        <v>1</v>
      </c>
      <c r="D443">
        <f>IF(C443=1,COUNTIF($C$2:C443,1),"")</f>
        <v>442</v>
      </c>
      <c r="E443" t="str">
        <f>IFERROR(INDEX($A$2:$A$603,MATCH(ROWS($D$2:D443),$D$2:$D$603,0)),"")</f>
        <v>T15Y0524</v>
      </c>
    </row>
    <row r="444" spans="1:5" x14ac:dyDescent="0.25">
      <c r="A444" t="s">
        <v>1044</v>
      </c>
      <c r="B444" t="s">
        <v>443</v>
      </c>
      <c r="C444">
        <f>--ISNUMBER(IFERROR(SEARCH(Deshbord!$A$1,A444,1),""))</f>
        <v>1</v>
      </c>
      <c r="D444">
        <f>IF(C444=1,COUNTIF($C$2:C444,1),"")</f>
        <v>443</v>
      </c>
      <c r="E444" t="str">
        <f>IFERROR(INDEX($A$2:$A$603,MATCH(ROWS($D$2:D444),$D$2:$D$603,0)),"")</f>
        <v>T15Y0525</v>
      </c>
    </row>
    <row r="445" spans="1:5" x14ac:dyDescent="0.25">
      <c r="A445" t="s">
        <v>1045</v>
      </c>
      <c r="B445" t="s">
        <v>444</v>
      </c>
      <c r="C445">
        <f>--ISNUMBER(IFERROR(SEARCH(Deshbord!$A$1,A445,1),""))</f>
        <v>1</v>
      </c>
      <c r="D445">
        <f>IF(C445=1,COUNTIF($C$2:C445,1),"")</f>
        <v>444</v>
      </c>
      <c r="E445" t="str">
        <f>IFERROR(INDEX($A$2:$A$603,MATCH(ROWS($D$2:D445),$D$2:$D$603,0)),"")</f>
        <v>T15Y0526</v>
      </c>
    </row>
    <row r="446" spans="1:5" x14ac:dyDescent="0.25">
      <c r="A446" t="s">
        <v>1046</v>
      </c>
      <c r="B446" t="s">
        <v>445</v>
      </c>
      <c r="C446">
        <f>--ISNUMBER(IFERROR(SEARCH(Deshbord!$A$1,A446,1),""))</f>
        <v>1</v>
      </c>
      <c r="D446">
        <f>IF(C446=1,COUNTIF($C$2:C446,1),"")</f>
        <v>445</v>
      </c>
      <c r="E446" t="str">
        <f>IFERROR(INDEX($A$2:$A$603,MATCH(ROWS($D$2:D446),$D$2:$D$603,0)),"")</f>
        <v>T15Y0623</v>
      </c>
    </row>
    <row r="447" spans="1:5" x14ac:dyDescent="0.25">
      <c r="A447" t="s">
        <v>1047</v>
      </c>
      <c r="B447" t="s">
        <v>446</v>
      </c>
      <c r="C447">
        <f>--ISNUMBER(IFERROR(SEARCH(Deshbord!$A$1,A447,1),""))</f>
        <v>1</v>
      </c>
      <c r="D447">
        <f>IF(C447=1,COUNTIF($C$2:C447,1),"")</f>
        <v>446</v>
      </c>
      <c r="E447" t="str">
        <f>IFERROR(INDEX($A$2:$A$603,MATCH(ROWS($D$2:D447),$D$2:$D$603,0)),"")</f>
        <v>T15Y0624</v>
      </c>
    </row>
    <row r="448" spans="1:5" x14ac:dyDescent="0.25">
      <c r="A448" t="s">
        <v>1048</v>
      </c>
      <c r="B448" t="s">
        <v>447</v>
      </c>
      <c r="C448">
        <f>--ISNUMBER(IFERROR(SEARCH(Deshbord!$A$1,A448,1),""))</f>
        <v>1</v>
      </c>
      <c r="D448">
        <f>IF(C448=1,COUNTIF($C$2:C448,1),"")</f>
        <v>447</v>
      </c>
      <c r="E448" t="str">
        <f>IFERROR(INDEX($A$2:$A$603,MATCH(ROWS($D$2:D448),$D$2:$D$603,0)),"")</f>
        <v>T15Y0625</v>
      </c>
    </row>
    <row r="449" spans="1:5" x14ac:dyDescent="0.25">
      <c r="A449" t="s">
        <v>1049</v>
      </c>
      <c r="B449" t="s">
        <v>448</v>
      </c>
      <c r="C449">
        <f>--ISNUMBER(IFERROR(SEARCH(Deshbord!$A$1,A449,1),""))</f>
        <v>1</v>
      </c>
      <c r="D449">
        <f>IF(C449=1,COUNTIF($C$2:C449,1),"")</f>
        <v>448</v>
      </c>
      <c r="E449" t="str">
        <f>IFERROR(INDEX($A$2:$A$603,MATCH(ROWS($D$2:D449),$D$2:$D$603,0)),"")</f>
        <v>T15Y0626</v>
      </c>
    </row>
    <row r="450" spans="1:5" x14ac:dyDescent="0.25">
      <c r="A450" t="s">
        <v>1050</v>
      </c>
      <c r="B450" t="s">
        <v>449</v>
      </c>
      <c r="C450">
        <f>--ISNUMBER(IFERROR(SEARCH(Deshbord!$A$1,A450,1),""))</f>
        <v>1</v>
      </c>
      <c r="D450">
        <f>IF(C450=1,COUNTIF($C$2:C450,1),"")</f>
        <v>449</v>
      </c>
      <c r="E450" t="str">
        <f>IFERROR(INDEX($A$2:$A$603,MATCH(ROWS($D$2:D450),$D$2:$D$603,0)),"")</f>
        <v>T15Y0722</v>
      </c>
    </row>
    <row r="451" spans="1:5" x14ac:dyDescent="0.25">
      <c r="A451" t="s">
        <v>1051</v>
      </c>
      <c r="B451" t="s">
        <v>450</v>
      </c>
      <c r="C451">
        <f>--ISNUMBER(IFERROR(SEARCH(Deshbord!$A$1,A451,1),""))</f>
        <v>1</v>
      </c>
      <c r="D451">
        <f>IF(C451=1,COUNTIF($C$2:C451,1),"")</f>
        <v>450</v>
      </c>
      <c r="E451" t="str">
        <f>IFERROR(INDEX($A$2:$A$603,MATCH(ROWS($D$2:D451),$D$2:$D$603,0)),"")</f>
        <v>T15Y0723</v>
      </c>
    </row>
    <row r="452" spans="1:5" x14ac:dyDescent="0.25">
      <c r="A452" t="s">
        <v>1052</v>
      </c>
      <c r="B452" t="s">
        <v>451</v>
      </c>
      <c r="C452">
        <f>--ISNUMBER(IFERROR(SEARCH(Deshbord!$A$1,A452,1),""))</f>
        <v>1</v>
      </c>
      <c r="D452">
        <f>IF(C452=1,COUNTIF($C$2:C452,1),"")</f>
        <v>451</v>
      </c>
      <c r="E452" t="str">
        <f>IFERROR(INDEX($A$2:$A$603,MATCH(ROWS($D$2:D452),$D$2:$D$603,0)),"")</f>
        <v>T15Y0724</v>
      </c>
    </row>
    <row r="453" spans="1:5" x14ac:dyDescent="0.25">
      <c r="A453" t="s">
        <v>1053</v>
      </c>
      <c r="B453" t="s">
        <v>452</v>
      </c>
      <c r="C453">
        <f>--ISNUMBER(IFERROR(SEARCH(Deshbord!$A$1,A453,1),""))</f>
        <v>1</v>
      </c>
      <c r="D453">
        <f>IF(C453=1,COUNTIF($C$2:C453,1),"")</f>
        <v>452</v>
      </c>
      <c r="E453" t="str">
        <f>IFERROR(INDEX($A$2:$A$603,MATCH(ROWS($D$2:D453),$D$2:$D$603,0)),"")</f>
        <v>T15Y0725</v>
      </c>
    </row>
    <row r="454" spans="1:5" x14ac:dyDescent="0.25">
      <c r="A454" t="s">
        <v>1054</v>
      </c>
      <c r="B454" t="s">
        <v>453</v>
      </c>
      <c r="C454">
        <f>--ISNUMBER(IFERROR(SEARCH(Deshbord!$A$1,A454,1),""))</f>
        <v>1</v>
      </c>
      <c r="D454">
        <f>IF(C454=1,COUNTIF($C$2:C454,1),"")</f>
        <v>453</v>
      </c>
      <c r="E454" t="str">
        <f>IFERROR(INDEX($A$2:$A$603,MATCH(ROWS($D$2:D454),$D$2:$D$603,0)),"")</f>
        <v>T15Y0822</v>
      </c>
    </row>
    <row r="455" spans="1:5" x14ac:dyDescent="0.25">
      <c r="A455" t="s">
        <v>1055</v>
      </c>
      <c r="B455" t="s">
        <v>454</v>
      </c>
      <c r="C455">
        <f>--ISNUMBER(IFERROR(SEARCH(Deshbord!$A$1,A455,1),""))</f>
        <v>1</v>
      </c>
      <c r="D455">
        <f>IF(C455=1,COUNTIF($C$2:C455,1),"")</f>
        <v>454</v>
      </c>
      <c r="E455" t="str">
        <f>IFERROR(INDEX($A$2:$A$603,MATCH(ROWS($D$2:D455),$D$2:$D$603,0)),"")</f>
        <v>T15Y0823</v>
      </c>
    </row>
    <row r="456" spans="1:5" x14ac:dyDescent="0.25">
      <c r="A456" t="s">
        <v>1056</v>
      </c>
      <c r="B456" t="s">
        <v>455</v>
      </c>
      <c r="C456">
        <f>--ISNUMBER(IFERROR(SEARCH(Deshbord!$A$1,A456,1),""))</f>
        <v>1</v>
      </c>
      <c r="D456">
        <f>IF(C456=1,COUNTIF($C$2:C456,1),"")</f>
        <v>455</v>
      </c>
      <c r="E456" t="str">
        <f>IFERROR(INDEX($A$2:$A$603,MATCH(ROWS($D$2:D456),$D$2:$D$603,0)),"")</f>
        <v>T15Y0824</v>
      </c>
    </row>
    <row r="457" spans="1:5" x14ac:dyDescent="0.25">
      <c r="A457" t="s">
        <v>1057</v>
      </c>
      <c r="B457" t="s">
        <v>456</v>
      </c>
      <c r="C457">
        <f>--ISNUMBER(IFERROR(SEARCH(Deshbord!$A$1,A457,1),""))</f>
        <v>1</v>
      </c>
      <c r="D457">
        <f>IF(C457=1,COUNTIF($C$2:C457,1),"")</f>
        <v>456</v>
      </c>
      <c r="E457" t="str">
        <f>IFERROR(INDEX($A$2:$A$603,MATCH(ROWS($D$2:D457),$D$2:$D$603,0)),"")</f>
        <v>T15Y0825</v>
      </c>
    </row>
    <row r="458" spans="1:5" x14ac:dyDescent="0.25">
      <c r="A458" t="s">
        <v>1058</v>
      </c>
      <c r="B458" t="s">
        <v>457</v>
      </c>
      <c r="C458">
        <f>--ISNUMBER(IFERROR(SEARCH(Deshbord!$A$1,A458,1),""))</f>
        <v>1</v>
      </c>
      <c r="D458">
        <f>IF(C458=1,COUNTIF($C$2:C458,1),"")</f>
        <v>457</v>
      </c>
      <c r="E458" t="str">
        <f>IFERROR(INDEX($A$2:$A$603,MATCH(ROWS($D$2:D458),$D$2:$D$603,0)),"")</f>
        <v>T15Y0826</v>
      </c>
    </row>
    <row r="459" spans="1:5" x14ac:dyDescent="0.25">
      <c r="A459" t="s">
        <v>1059</v>
      </c>
      <c r="B459" t="s">
        <v>458</v>
      </c>
      <c r="C459">
        <f>--ISNUMBER(IFERROR(SEARCH(Deshbord!$A$1,A459,1),""))</f>
        <v>1</v>
      </c>
      <c r="D459">
        <f>IF(C459=1,COUNTIF($C$2:C459,1),"")</f>
        <v>458</v>
      </c>
      <c r="E459" t="str">
        <f>IFERROR(INDEX($A$2:$A$603,MATCH(ROWS($D$2:D459),$D$2:$D$603,0)),"")</f>
        <v>T15Y0922</v>
      </c>
    </row>
    <row r="460" spans="1:5" x14ac:dyDescent="0.25">
      <c r="A460" t="s">
        <v>1060</v>
      </c>
      <c r="B460" t="s">
        <v>459</v>
      </c>
      <c r="C460">
        <f>--ISNUMBER(IFERROR(SEARCH(Deshbord!$A$1,A460,1),""))</f>
        <v>1</v>
      </c>
      <c r="D460">
        <f>IF(C460=1,COUNTIF($C$2:C460,1),"")</f>
        <v>459</v>
      </c>
      <c r="E460" t="str">
        <f>IFERROR(INDEX($A$2:$A$603,MATCH(ROWS($D$2:D460),$D$2:$D$603,0)),"")</f>
        <v>T15Y0923</v>
      </c>
    </row>
    <row r="461" spans="1:5" x14ac:dyDescent="0.25">
      <c r="A461" t="s">
        <v>1061</v>
      </c>
      <c r="B461" t="s">
        <v>460</v>
      </c>
      <c r="C461">
        <f>--ISNUMBER(IFERROR(SEARCH(Deshbord!$A$1,A461,1),""))</f>
        <v>1</v>
      </c>
      <c r="D461">
        <f>IF(C461=1,COUNTIF($C$2:C461,1),"")</f>
        <v>460</v>
      </c>
      <c r="E461" t="str">
        <f>IFERROR(INDEX($A$2:$A$603,MATCH(ROWS($D$2:D461),$D$2:$D$603,0)),"")</f>
        <v>T15Y0924</v>
      </c>
    </row>
    <row r="462" spans="1:5" x14ac:dyDescent="0.25">
      <c r="A462" t="s">
        <v>1062</v>
      </c>
      <c r="B462" t="s">
        <v>461</v>
      </c>
      <c r="C462">
        <f>--ISNUMBER(IFERROR(SEARCH(Deshbord!$A$1,A462,1),""))</f>
        <v>1</v>
      </c>
      <c r="D462">
        <f>IF(C462=1,COUNTIF($C$2:C462,1),"")</f>
        <v>461</v>
      </c>
      <c r="E462" t="str">
        <f>IFERROR(INDEX($A$2:$A$603,MATCH(ROWS($D$2:D462),$D$2:$D$603,0)),"")</f>
        <v>T15Y0925</v>
      </c>
    </row>
    <row r="463" spans="1:5" x14ac:dyDescent="0.25">
      <c r="A463" t="s">
        <v>1063</v>
      </c>
      <c r="B463" t="s">
        <v>462</v>
      </c>
      <c r="C463">
        <f>--ISNUMBER(IFERROR(SEARCH(Deshbord!$A$1,A463,1),""))</f>
        <v>1</v>
      </c>
      <c r="D463">
        <f>IF(C463=1,COUNTIF($C$2:C463,1),"")</f>
        <v>462</v>
      </c>
      <c r="E463" t="str">
        <f>IFERROR(INDEX($A$2:$A$603,MATCH(ROWS($D$2:D463),$D$2:$D$603,0)),"")</f>
        <v>T15Y0926</v>
      </c>
    </row>
    <row r="464" spans="1:5" x14ac:dyDescent="0.25">
      <c r="A464" t="s">
        <v>1064</v>
      </c>
      <c r="B464" t="s">
        <v>463</v>
      </c>
      <c r="C464">
        <f>--ISNUMBER(IFERROR(SEARCH(Deshbord!$A$1,A464,1),""))</f>
        <v>1</v>
      </c>
      <c r="D464">
        <f>IF(C464=1,COUNTIF($C$2:C464,1),"")</f>
        <v>463</v>
      </c>
      <c r="E464" t="str">
        <f>IFERROR(INDEX($A$2:$A$603,MATCH(ROWS($D$2:D464),$D$2:$D$603,0)),"")</f>
        <v>T15Y1022</v>
      </c>
    </row>
    <row r="465" spans="1:5" x14ac:dyDescent="0.25">
      <c r="A465" t="s">
        <v>1065</v>
      </c>
      <c r="B465" t="s">
        <v>464</v>
      </c>
      <c r="C465">
        <f>--ISNUMBER(IFERROR(SEARCH(Deshbord!$A$1,A465,1),""))</f>
        <v>1</v>
      </c>
      <c r="D465">
        <f>IF(C465=1,COUNTIF($C$2:C465,1),"")</f>
        <v>464</v>
      </c>
      <c r="E465" t="str">
        <f>IFERROR(INDEX($A$2:$A$603,MATCH(ROWS($D$2:D465),$D$2:$D$603,0)),"")</f>
        <v>T15Y1023</v>
      </c>
    </row>
    <row r="466" spans="1:5" x14ac:dyDescent="0.25">
      <c r="A466" t="s">
        <v>1066</v>
      </c>
      <c r="B466" t="s">
        <v>465</v>
      </c>
      <c r="C466">
        <f>--ISNUMBER(IFERROR(SEARCH(Deshbord!$A$1,A466,1),""))</f>
        <v>1</v>
      </c>
      <c r="D466">
        <f>IF(C466=1,COUNTIF($C$2:C466,1),"")</f>
        <v>465</v>
      </c>
      <c r="E466" t="str">
        <f>IFERROR(INDEX($A$2:$A$603,MATCH(ROWS($D$2:D466),$D$2:$D$603,0)),"")</f>
        <v>T15Y1024</v>
      </c>
    </row>
    <row r="467" spans="1:5" x14ac:dyDescent="0.25">
      <c r="A467" t="s">
        <v>1067</v>
      </c>
      <c r="B467" t="s">
        <v>466</v>
      </c>
      <c r="C467">
        <f>--ISNUMBER(IFERROR(SEARCH(Deshbord!$A$1,A467,1),""))</f>
        <v>1</v>
      </c>
      <c r="D467">
        <f>IF(C467=1,COUNTIF($C$2:C467,1),"")</f>
        <v>466</v>
      </c>
      <c r="E467" t="str">
        <f>IFERROR(INDEX($A$2:$A$603,MATCH(ROWS($D$2:D467),$D$2:$D$603,0)),"")</f>
        <v>T15Y1025</v>
      </c>
    </row>
    <row r="468" spans="1:5" x14ac:dyDescent="0.25">
      <c r="A468" t="s">
        <v>1068</v>
      </c>
      <c r="B468" t="s">
        <v>467</v>
      </c>
      <c r="C468">
        <f>--ISNUMBER(IFERROR(SEARCH(Deshbord!$A$1,A468,1),""))</f>
        <v>1</v>
      </c>
      <c r="D468">
        <f>IF(C468=1,COUNTIF($C$2:C468,1),"")</f>
        <v>467</v>
      </c>
      <c r="E468" t="str">
        <f>IFERROR(INDEX($A$2:$A$603,MATCH(ROWS($D$2:D468),$D$2:$D$603,0)),"")</f>
        <v>T15Y1122</v>
      </c>
    </row>
    <row r="469" spans="1:5" x14ac:dyDescent="0.25">
      <c r="A469" t="s">
        <v>1069</v>
      </c>
      <c r="B469" t="s">
        <v>468</v>
      </c>
      <c r="C469">
        <f>--ISNUMBER(IFERROR(SEARCH(Deshbord!$A$1,A469,1),""))</f>
        <v>1</v>
      </c>
      <c r="D469">
        <f>IF(C469=1,COUNTIF($C$2:C469,1),"")</f>
        <v>468</v>
      </c>
      <c r="E469" t="str">
        <f>IFERROR(INDEX($A$2:$A$603,MATCH(ROWS($D$2:D469),$D$2:$D$603,0)),"")</f>
        <v>T15Y1123</v>
      </c>
    </row>
    <row r="470" spans="1:5" x14ac:dyDescent="0.25">
      <c r="A470" t="s">
        <v>1070</v>
      </c>
      <c r="B470" t="s">
        <v>469</v>
      </c>
      <c r="C470">
        <f>--ISNUMBER(IFERROR(SEARCH(Deshbord!$A$1,A470,1),""))</f>
        <v>1</v>
      </c>
      <c r="D470">
        <f>IF(C470=1,COUNTIF($C$2:C470,1),"")</f>
        <v>469</v>
      </c>
      <c r="E470" t="str">
        <f>IFERROR(INDEX($A$2:$A$603,MATCH(ROWS($D$2:D470),$D$2:$D$603,0)),"")</f>
        <v>T15Y1125</v>
      </c>
    </row>
    <row r="471" spans="1:5" x14ac:dyDescent="0.25">
      <c r="A471" t="s">
        <v>1071</v>
      </c>
      <c r="B471" t="s">
        <v>470</v>
      </c>
      <c r="C471">
        <f>--ISNUMBER(IFERROR(SEARCH(Deshbord!$A$1,A471,1),""))</f>
        <v>1</v>
      </c>
      <c r="D471">
        <f>IF(C471=1,COUNTIF($C$2:C471,1),"")</f>
        <v>470</v>
      </c>
      <c r="E471" t="str">
        <f>IFERROR(INDEX($A$2:$A$603,MATCH(ROWS($D$2:D471),$D$2:$D$603,0)),"")</f>
        <v>T15Y1222</v>
      </c>
    </row>
    <row r="472" spans="1:5" x14ac:dyDescent="0.25">
      <c r="A472" t="s">
        <v>1072</v>
      </c>
      <c r="B472" t="s">
        <v>471</v>
      </c>
      <c r="C472">
        <f>--ISNUMBER(IFERROR(SEARCH(Deshbord!$A$1,A472,1),""))</f>
        <v>1</v>
      </c>
      <c r="D472">
        <f>IF(C472=1,COUNTIF($C$2:C472,1),"")</f>
        <v>471</v>
      </c>
      <c r="E472" t="str">
        <f>IFERROR(INDEX($A$2:$A$603,MATCH(ROWS($D$2:D472),$D$2:$D$603,0)),"")</f>
        <v>T15Y1223</v>
      </c>
    </row>
    <row r="473" spans="1:5" x14ac:dyDescent="0.25">
      <c r="A473" t="s">
        <v>1073</v>
      </c>
      <c r="B473" t="s">
        <v>472</v>
      </c>
      <c r="C473">
        <f>--ISNUMBER(IFERROR(SEARCH(Deshbord!$A$1,A473,1),""))</f>
        <v>1</v>
      </c>
      <c r="D473">
        <f>IF(C473=1,COUNTIF($C$2:C473,1),"")</f>
        <v>472</v>
      </c>
      <c r="E473" t="str">
        <f>IFERROR(INDEX($A$2:$A$603,MATCH(ROWS($D$2:D473),$D$2:$D$603,0)),"")</f>
        <v>T15Y1224</v>
      </c>
    </row>
    <row r="474" spans="1:5" x14ac:dyDescent="0.25">
      <c r="A474" t="s">
        <v>1074</v>
      </c>
      <c r="B474" t="s">
        <v>473</v>
      </c>
      <c r="C474">
        <f>--ISNUMBER(IFERROR(SEARCH(Deshbord!$A$1,A474,1),""))</f>
        <v>1</v>
      </c>
      <c r="D474">
        <f>IF(C474=1,COUNTIF($C$2:C474,1),"")</f>
        <v>473</v>
      </c>
      <c r="E474" t="str">
        <f>IFERROR(INDEX($A$2:$A$603,MATCH(ROWS($D$2:D474),$D$2:$D$603,0)),"")</f>
        <v>T15Y1225</v>
      </c>
    </row>
    <row r="475" spans="1:5" x14ac:dyDescent="0.25">
      <c r="A475" t="s">
        <v>1075</v>
      </c>
      <c r="B475" t="s">
        <v>474</v>
      </c>
      <c r="C475">
        <f>--ISNUMBER(IFERROR(SEARCH(Deshbord!$A$1,A475,1),""))</f>
        <v>1</v>
      </c>
      <c r="D475">
        <f>IF(C475=1,COUNTIF($C$2:C475,1),"")</f>
        <v>474</v>
      </c>
      <c r="E475" t="str">
        <f>IFERROR(INDEX($A$2:$A$603,MATCH(ROWS($D$2:D475),$D$2:$D$603,0)),"")</f>
        <v>T20Y0128</v>
      </c>
    </row>
    <row r="476" spans="1:5" x14ac:dyDescent="0.25">
      <c r="A476" t="s">
        <v>1076</v>
      </c>
      <c r="B476" t="s">
        <v>475</v>
      </c>
      <c r="C476">
        <f>--ISNUMBER(IFERROR(SEARCH(Deshbord!$A$1,A476,1),""))</f>
        <v>1</v>
      </c>
      <c r="D476">
        <f>IF(C476=1,COUNTIF($C$2:C476,1),"")</f>
        <v>475</v>
      </c>
      <c r="E476" t="str">
        <f>IFERROR(INDEX($A$2:$A$603,MATCH(ROWS($D$2:D476),$D$2:$D$603,0)),"")</f>
        <v>T20Y0129</v>
      </c>
    </row>
    <row r="477" spans="1:5" x14ac:dyDescent="0.25">
      <c r="A477" t="s">
        <v>1077</v>
      </c>
      <c r="B477" t="s">
        <v>476</v>
      </c>
      <c r="C477">
        <f>--ISNUMBER(IFERROR(SEARCH(Deshbord!$A$1,A477,1),""))</f>
        <v>1</v>
      </c>
      <c r="D477">
        <f>IF(C477=1,COUNTIF($C$2:C477,1),"")</f>
        <v>476</v>
      </c>
      <c r="E477" t="str">
        <f>IFERROR(INDEX($A$2:$A$603,MATCH(ROWS($D$2:D477),$D$2:$D$603,0)),"")</f>
        <v>T20Y0131</v>
      </c>
    </row>
    <row r="478" spans="1:5" x14ac:dyDescent="0.25">
      <c r="A478" t="s">
        <v>1078</v>
      </c>
      <c r="B478" t="s">
        <v>477</v>
      </c>
      <c r="C478">
        <f>--ISNUMBER(IFERROR(SEARCH(Deshbord!$A$1,A478,1),""))</f>
        <v>1</v>
      </c>
      <c r="D478">
        <f>IF(C478=1,COUNTIF($C$2:C478,1),"")</f>
        <v>477</v>
      </c>
      <c r="E478" t="str">
        <f>IFERROR(INDEX($A$2:$A$603,MATCH(ROWS($D$2:D478),$D$2:$D$603,0)),"")</f>
        <v>T20Y0228</v>
      </c>
    </row>
    <row r="479" spans="1:5" x14ac:dyDescent="0.25">
      <c r="A479" t="s">
        <v>1079</v>
      </c>
      <c r="B479" t="s">
        <v>478</v>
      </c>
      <c r="C479">
        <f>--ISNUMBER(IFERROR(SEARCH(Deshbord!$A$1,A479,1),""))</f>
        <v>1</v>
      </c>
      <c r="D479">
        <f>IF(C479=1,COUNTIF($C$2:C479,1),"")</f>
        <v>478</v>
      </c>
      <c r="E479" t="str">
        <f>IFERROR(INDEX($A$2:$A$603,MATCH(ROWS($D$2:D479),$D$2:$D$603,0)),"")</f>
        <v>T20Y0229</v>
      </c>
    </row>
    <row r="480" spans="1:5" x14ac:dyDescent="0.25">
      <c r="A480" t="s">
        <v>1080</v>
      </c>
      <c r="B480" t="s">
        <v>479</v>
      </c>
      <c r="C480">
        <f>--ISNUMBER(IFERROR(SEARCH(Deshbord!$A$1,A480,1),""))</f>
        <v>1</v>
      </c>
      <c r="D480">
        <f>IF(C480=1,COUNTIF($C$2:C480,1),"")</f>
        <v>479</v>
      </c>
      <c r="E480" t="str">
        <f>IFERROR(INDEX($A$2:$A$603,MATCH(ROWS($D$2:D480),$D$2:$D$603,0)),"")</f>
        <v>T20Y0230</v>
      </c>
    </row>
    <row r="481" spans="1:5" x14ac:dyDescent="0.25">
      <c r="A481" t="s">
        <v>1081</v>
      </c>
      <c r="B481" t="s">
        <v>480</v>
      </c>
      <c r="C481">
        <f>--ISNUMBER(IFERROR(SEARCH(Deshbord!$A$1,A481,1),""))</f>
        <v>1</v>
      </c>
      <c r="D481">
        <f>IF(C481=1,COUNTIF($C$2:C481,1),"")</f>
        <v>480</v>
      </c>
      <c r="E481" t="str">
        <f>IFERROR(INDEX($A$2:$A$603,MATCH(ROWS($D$2:D481),$D$2:$D$603,0)),"")</f>
        <v>T20Y0231</v>
      </c>
    </row>
    <row r="482" spans="1:5" x14ac:dyDescent="0.25">
      <c r="A482" t="s">
        <v>1082</v>
      </c>
      <c r="B482" t="s">
        <v>481</v>
      </c>
      <c r="C482">
        <f>--ISNUMBER(IFERROR(SEARCH(Deshbord!$A$1,A482,1),""))</f>
        <v>1</v>
      </c>
      <c r="D482">
        <f>IF(C482=1,COUNTIF($C$2:C482,1),"")</f>
        <v>481</v>
      </c>
      <c r="E482" t="str">
        <f>IFERROR(INDEX($A$2:$A$603,MATCH(ROWS($D$2:D482),$D$2:$D$603,0)),"")</f>
        <v>T20Y0328</v>
      </c>
    </row>
    <row r="483" spans="1:5" x14ac:dyDescent="0.25">
      <c r="A483" t="s">
        <v>1083</v>
      </c>
      <c r="B483" t="s">
        <v>482</v>
      </c>
      <c r="C483">
        <f>--ISNUMBER(IFERROR(SEARCH(Deshbord!$A$1,A483,1),""))</f>
        <v>1</v>
      </c>
      <c r="D483">
        <f>IF(C483=1,COUNTIF($C$2:C483,1),"")</f>
        <v>482</v>
      </c>
      <c r="E483" t="str">
        <f>IFERROR(INDEX($A$2:$A$603,MATCH(ROWS($D$2:D483),$D$2:$D$603,0)),"")</f>
        <v>T20Y0329</v>
      </c>
    </row>
    <row r="484" spans="1:5" x14ac:dyDescent="0.25">
      <c r="A484" t="s">
        <v>1084</v>
      </c>
      <c r="B484" t="s">
        <v>483</v>
      </c>
      <c r="C484">
        <f>--ISNUMBER(IFERROR(SEARCH(Deshbord!$A$1,A484,1),""))</f>
        <v>1</v>
      </c>
      <c r="D484">
        <f>IF(C484=1,COUNTIF($C$2:C484,1),"")</f>
        <v>483</v>
      </c>
      <c r="E484" t="str">
        <f>IFERROR(INDEX($A$2:$A$603,MATCH(ROWS($D$2:D484),$D$2:$D$603,0)),"")</f>
        <v>T20Y0330</v>
      </c>
    </row>
    <row r="485" spans="1:5" x14ac:dyDescent="0.25">
      <c r="A485" t="s">
        <v>1085</v>
      </c>
      <c r="B485" t="s">
        <v>484</v>
      </c>
      <c r="C485">
        <f>--ISNUMBER(IFERROR(SEARCH(Deshbord!$A$1,A485,1),""))</f>
        <v>1</v>
      </c>
      <c r="D485">
        <f>IF(C485=1,COUNTIF($C$2:C485,1),"")</f>
        <v>484</v>
      </c>
      <c r="E485" t="str">
        <f>IFERROR(INDEX($A$2:$A$603,MATCH(ROWS($D$2:D485),$D$2:$D$603,0)),"")</f>
        <v>T20Y0428</v>
      </c>
    </row>
    <row r="486" spans="1:5" x14ac:dyDescent="0.25">
      <c r="A486" t="s">
        <v>1086</v>
      </c>
      <c r="B486" t="s">
        <v>485</v>
      </c>
      <c r="C486">
        <f>--ISNUMBER(IFERROR(SEARCH(Deshbord!$A$1,A486,1),""))</f>
        <v>1</v>
      </c>
      <c r="D486">
        <f>IF(C486=1,COUNTIF($C$2:C486,1),"")</f>
        <v>485</v>
      </c>
      <c r="E486" t="str">
        <f>IFERROR(INDEX($A$2:$A$603,MATCH(ROWS($D$2:D486),$D$2:$D$603,0)),"")</f>
        <v>T20Y0429</v>
      </c>
    </row>
    <row r="487" spans="1:5" x14ac:dyDescent="0.25">
      <c r="A487" t="s">
        <v>1087</v>
      </c>
      <c r="B487" t="s">
        <v>486</v>
      </c>
      <c r="C487">
        <f>--ISNUMBER(IFERROR(SEARCH(Deshbord!$A$1,A487,1),""))</f>
        <v>1</v>
      </c>
      <c r="D487">
        <f>IF(C487=1,COUNTIF($C$2:C487,1),"")</f>
        <v>486</v>
      </c>
      <c r="E487" t="str">
        <f>IFERROR(INDEX($A$2:$A$603,MATCH(ROWS($D$2:D487),$D$2:$D$603,0)),"")</f>
        <v>T20Y0430</v>
      </c>
    </row>
    <row r="488" spans="1:5" x14ac:dyDescent="0.25">
      <c r="A488" t="s">
        <v>1088</v>
      </c>
      <c r="B488" t="s">
        <v>487</v>
      </c>
      <c r="C488">
        <f>--ISNUMBER(IFERROR(SEARCH(Deshbord!$A$1,A488,1),""))</f>
        <v>1</v>
      </c>
      <c r="D488">
        <f>IF(C488=1,COUNTIF($C$2:C488,1),"")</f>
        <v>487</v>
      </c>
      <c r="E488" t="str">
        <f>IFERROR(INDEX($A$2:$A$603,MATCH(ROWS($D$2:D488),$D$2:$D$603,0)),"")</f>
        <v>T20Y0431</v>
      </c>
    </row>
    <row r="489" spans="1:5" x14ac:dyDescent="0.25">
      <c r="A489" t="s">
        <v>1089</v>
      </c>
      <c r="B489" t="s">
        <v>488</v>
      </c>
      <c r="C489">
        <f>--ISNUMBER(IFERROR(SEARCH(Deshbord!$A$1,A489,1),""))</f>
        <v>1</v>
      </c>
      <c r="D489">
        <f>IF(C489=1,COUNTIF($C$2:C489,1),"")</f>
        <v>488</v>
      </c>
      <c r="E489" t="str">
        <f>IFERROR(INDEX($A$2:$A$603,MATCH(ROWS($D$2:D489),$D$2:$D$603,0)),"")</f>
        <v>T20Y0528</v>
      </c>
    </row>
    <row r="490" spans="1:5" x14ac:dyDescent="0.25">
      <c r="A490" t="s">
        <v>1090</v>
      </c>
      <c r="B490" t="s">
        <v>489</v>
      </c>
      <c r="C490">
        <f>--ISNUMBER(IFERROR(SEARCH(Deshbord!$A$1,A490,1),""))</f>
        <v>1</v>
      </c>
      <c r="D490">
        <f>IF(C490=1,COUNTIF($C$2:C490,1),"")</f>
        <v>489</v>
      </c>
      <c r="E490" t="str">
        <f>IFERROR(INDEX($A$2:$A$603,MATCH(ROWS($D$2:D490),$D$2:$D$603,0)),"")</f>
        <v>T20Y0530</v>
      </c>
    </row>
    <row r="491" spans="1:5" x14ac:dyDescent="0.25">
      <c r="A491" t="s">
        <v>1091</v>
      </c>
      <c r="B491" t="s">
        <v>490</v>
      </c>
      <c r="C491">
        <f>--ISNUMBER(IFERROR(SEARCH(Deshbord!$A$1,A491,1),""))</f>
        <v>1</v>
      </c>
      <c r="D491">
        <f>IF(C491=1,COUNTIF($C$2:C491,1),"")</f>
        <v>490</v>
      </c>
      <c r="E491" t="str">
        <f>IFERROR(INDEX($A$2:$A$603,MATCH(ROWS($D$2:D491),$D$2:$D$603,0)),"")</f>
        <v>T20Y0531</v>
      </c>
    </row>
    <row r="492" spans="1:5" x14ac:dyDescent="0.25">
      <c r="A492" t="s">
        <v>1092</v>
      </c>
      <c r="B492" t="s">
        <v>491</v>
      </c>
      <c r="C492">
        <f>--ISNUMBER(IFERROR(SEARCH(Deshbord!$A$1,A492,1),""))</f>
        <v>1</v>
      </c>
      <c r="D492">
        <f>IF(C492=1,COUNTIF($C$2:C492,1),"")</f>
        <v>491</v>
      </c>
      <c r="E492" t="str">
        <f>IFERROR(INDEX($A$2:$A$603,MATCH(ROWS($D$2:D492),$D$2:$D$603,0)),"")</f>
        <v>T20Y0628</v>
      </c>
    </row>
    <row r="493" spans="1:5" x14ac:dyDescent="0.25">
      <c r="A493" t="s">
        <v>1093</v>
      </c>
      <c r="B493" t="s">
        <v>492</v>
      </c>
      <c r="C493">
        <f>--ISNUMBER(IFERROR(SEARCH(Deshbord!$A$1,A493,1),""))</f>
        <v>1</v>
      </c>
      <c r="D493">
        <f>IF(C493=1,COUNTIF($C$2:C493,1),"")</f>
        <v>492</v>
      </c>
      <c r="E493" t="str">
        <f>IFERROR(INDEX($A$2:$A$603,MATCH(ROWS($D$2:D493),$D$2:$D$603,0)),"")</f>
        <v>T20Y0629</v>
      </c>
    </row>
    <row r="494" spans="1:5" x14ac:dyDescent="0.25">
      <c r="A494" t="s">
        <v>1094</v>
      </c>
      <c r="B494" t="s">
        <v>493</v>
      </c>
      <c r="C494">
        <f>--ISNUMBER(IFERROR(SEARCH(Deshbord!$A$1,A494,1),""))</f>
        <v>1</v>
      </c>
      <c r="D494">
        <f>IF(C494=1,COUNTIF($C$2:C494,1),"")</f>
        <v>493</v>
      </c>
      <c r="E494" t="str">
        <f>IFERROR(INDEX($A$2:$A$603,MATCH(ROWS($D$2:D494),$D$2:$D$603,0)),"")</f>
        <v>T20Y0630</v>
      </c>
    </row>
    <row r="495" spans="1:5" x14ac:dyDescent="0.25">
      <c r="A495" t="s">
        <v>1095</v>
      </c>
      <c r="B495" t="s">
        <v>494</v>
      </c>
      <c r="C495">
        <f>--ISNUMBER(IFERROR(SEARCH(Deshbord!$A$1,A495,1),""))</f>
        <v>1</v>
      </c>
      <c r="D495">
        <f>IF(C495=1,COUNTIF($C$2:C495,1),"")</f>
        <v>494</v>
      </c>
      <c r="E495" t="str">
        <f>IFERROR(INDEX($A$2:$A$603,MATCH(ROWS($D$2:D495),$D$2:$D$603,0)),"")</f>
        <v>T20Y0631</v>
      </c>
    </row>
    <row r="496" spans="1:5" x14ac:dyDescent="0.25">
      <c r="A496" t="s">
        <v>1096</v>
      </c>
      <c r="B496" t="s">
        <v>495</v>
      </c>
      <c r="C496">
        <f>--ISNUMBER(IFERROR(SEARCH(Deshbord!$A$1,A496,1),""))</f>
        <v>1</v>
      </c>
      <c r="D496">
        <f>IF(C496=1,COUNTIF($C$2:C496,1),"")</f>
        <v>495</v>
      </c>
      <c r="E496" t="str">
        <f>IFERROR(INDEX($A$2:$A$603,MATCH(ROWS($D$2:D496),$D$2:$D$603,0)),"")</f>
        <v>T20Y0727</v>
      </c>
    </row>
    <row r="497" spans="1:5" x14ac:dyDescent="0.25">
      <c r="A497" t="s">
        <v>1097</v>
      </c>
      <c r="B497" t="s">
        <v>496</v>
      </c>
      <c r="C497">
        <f>--ISNUMBER(IFERROR(SEARCH(Deshbord!$A$1,A497,1),""))</f>
        <v>1</v>
      </c>
      <c r="D497">
        <f>IF(C497=1,COUNTIF($C$2:C497,1),"")</f>
        <v>496</v>
      </c>
      <c r="E497" t="str">
        <f>IFERROR(INDEX($A$2:$A$603,MATCH(ROWS($D$2:D497),$D$2:$D$603,0)),"")</f>
        <v>T20Y0728</v>
      </c>
    </row>
    <row r="498" spans="1:5" x14ac:dyDescent="0.25">
      <c r="A498" t="s">
        <v>1098</v>
      </c>
      <c r="B498" t="s">
        <v>497</v>
      </c>
      <c r="C498">
        <f>--ISNUMBER(IFERROR(SEARCH(Deshbord!$A$1,A498,1),""))</f>
        <v>1</v>
      </c>
      <c r="D498">
        <f>IF(C498=1,COUNTIF($C$2:C498,1),"")</f>
        <v>497</v>
      </c>
      <c r="E498" t="str">
        <f>IFERROR(INDEX($A$2:$A$603,MATCH(ROWS($D$2:D498),$D$2:$D$603,0)),"")</f>
        <v>T20Y0729</v>
      </c>
    </row>
    <row r="499" spans="1:5" x14ac:dyDescent="0.25">
      <c r="A499" t="s">
        <v>1099</v>
      </c>
      <c r="B499" t="s">
        <v>498</v>
      </c>
      <c r="C499">
        <f>--ISNUMBER(IFERROR(SEARCH(Deshbord!$A$1,A499,1),""))</f>
        <v>1</v>
      </c>
      <c r="D499">
        <f>IF(C499=1,COUNTIF($C$2:C499,1),"")</f>
        <v>498</v>
      </c>
      <c r="E499" t="str">
        <f>IFERROR(INDEX($A$2:$A$603,MATCH(ROWS($D$2:D499),$D$2:$D$603,0)),"")</f>
        <v>T20Y0730</v>
      </c>
    </row>
    <row r="500" spans="1:5" x14ac:dyDescent="0.25">
      <c r="A500" t="s">
        <v>1100</v>
      </c>
      <c r="B500" t="s">
        <v>499</v>
      </c>
      <c r="C500">
        <f>--ISNUMBER(IFERROR(SEARCH(Deshbord!$A$1,A500,1),""))</f>
        <v>1</v>
      </c>
      <c r="D500">
        <f>IF(C500=1,COUNTIF($C$2:C500,1),"")</f>
        <v>499</v>
      </c>
      <c r="E500" t="str">
        <f>IFERROR(INDEX($A$2:$A$603,MATCH(ROWS($D$2:D500),$D$2:$D$603,0)),"")</f>
        <v>T20Y0731</v>
      </c>
    </row>
    <row r="501" spans="1:5" x14ac:dyDescent="0.25">
      <c r="A501" t="s">
        <v>1101</v>
      </c>
      <c r="B501" t="s">
        <v>500</v>
      </c>
      <c r="C501">
        <f>--ISNUMBER(IFERROR(SEARCH(Deshbord!$A$1,A501,1),""))</f>
        <v>1</v>
      </c>
      <c r="D501">
        <f>IF(C501=1,COUNTIF($C$2:C501,1),"")</f>
        <v>500</v>
      </c>
      <c r="E501" t="str">
        <f>IFERROR(INDEX($A$2:$A$603,MATCH(ROWS($D$2:D501),$D$2:$D$603,0)),"")</f>
        <v>T20Y0827</v>
      </c>
    </row>
    <row r="502" spans="1:5" x14ac:dyDescent="0.25">
      <c r="A502" t="s">
        <v>1102</v>
      </c>
      <c r="B502" t="s">
        <v>501</v>
      </c>
      <c r="C502">
        <f>--ISNUMBER(IFERROR(SEARCH(Deshbord!$A$1,A502,1),""))</f>
        <v>1</v>
      </c>
      <c r="D502">
        <f>IF(C502=1,COUNTIF($C$2:C502,1),"")</f>
        <v>501</v>
      </c>
      <c r="E502" t="str">
        <f>IFERROR(INDEX($A$2:$A$603,MATCH(ROWS($D$2:D502),$D$2:$D$603,0)),"")</f>
        <v>T20Y0828</v>
      </c>
    </row>
    <row r="503" spans="1:5" x14ac:dyDescent="0.25">
      <c r="A503" t="s">
        <v>1103</v>
      </c>
      <c r="B503" t="s">
        <v>502</v>
      </c>
      <c r="C503">
        <f>--ISNUMBER(IFERROR(SEARCH(Deshbord!$A$1,A503,1),""))</f>
        <v>1</v>
      </c>
      <c r="D503">
        <f>IF(C503=1,COUNTIF($C$2:C503,1),"")</f>
        <v>502</v>
      </c>
      <c r="E503" t="str">
        <f>IFERROR(INDEX($A$2:$A$603,MATCH(ROWS($D$2:D503),$D$2:$D$603,0)),"")</f>
        <v>T20Y0829</v>
      </c>
    </row>
    <row r="504" spans="1:5" x14ac:dyDescent="0.25">
      <c r="A504" t="s">
        <v>1104</v>
      </c>
      <c r="B504" t="s">
        <v>503</v>
      </c>
      <c r="C504">
        <f>--ISNUMBER(IFERROR(SEARCH(Deshbord!$A$1,A504,1),""))</f>
        <v>1</v>
      </c>
      <c r="D504">
        <f>IF(C504=1,COUNTIF($C$2:C504,1),"")</f>
        <v>503</v>
      </c>
      <c r="E504" t="str">
        <f>IFERROR(INDEX($A$2:$A$603,MATCH(ROWS($D$2:D504),$D$2:$D$603,0)),"")</f>
        <v>T20Y0830</v>
      </c>
    </row>
    <row r="505" spans="1:5" x14ac:dyDescent="0.25">
      <c r="A505" t="s">
        <v>1105</v>
      </c>
      <c r="B505" t="s">
        <v>504</v>
      </c>
      <c r="C505">
        <f>--ISNUMBER(IFERROR(SEARCH(Deshbord!$A$1,A505,1),""))</f>
        <v>1</v>
      </c>
      <c r="D505">
        <f>IF(C505=1,COUNTIF($C$2:C505,1),"")</f>
        <v>504</v>
      </c>
      <c r="E505" t="str">
        <f>IFERROR(INDEX($A$2:$A$603,MATCH(ROWS($D$2:D505),$D$2:$D$603,0)),"")</f>
        <v>T20Y0831</v>
      </c>
    </row>
    <row r="506" spans="1:5" x14ac:dyDescent="0.25">
      <c r="A506" t="s">
        <v>1106</v>
      </c>
      <c r="B506" t="s">
        <v>505</v>
      </c>
      <c r="C506">
        <f>--ISNUMBER(IFERROR(SEARCH(Deshbord!$A$1,A506,1),""))</f>
        <v>1</v>
      </c>
      <c r="D506">
        <f>IF(C506=1,COUNTIF($C$2:C506,1),"")</f>
        <v>505</v>
      </c>
      <c r="E506" t="str">
        <f>IFERROR(INDEX($A$2:$A$603,MATCH(ROWS($D$2:D506),$D$2:$D$603,0)),"")</f>
        <v>T20Y0927</v>
      </c>
    </row>
    <row r="507" spans="1:5" x14ac:dyDescent="0.25">
      <c r="A507" t="s">
        <v>1107</v>
      </c>
      <c r="B507" t="s">
        <v>506</v>
      </c>
      <c r="C507">
        <f>--ISNUMBER(IFERROR(SEARCH(Deshbord!$A$1,A507,1),""))</f>
        <v>1</v>
      </c>
      <c r="D507">
        <f>IF(C507=1,COUNTIF($C$2:C507,1),"")</f>
        <v>506</v>
      </c>
      <c r="E507" t="str">
        <f>IFERROR(INDEX($A$2:$A$603,MATCH(ROWS($D$2:D507),$D$2:$D$603,0)),"")</f>
        <v>T20Y0928</v>
      </c>
    </row>
    <row r="508" spans="1:5" x14ac:dyDescent="0.25">
      <c r="A508" t="s">
        <v>1108</v>
      </c>
      <c r="B508" t="s">
        <v>507</v>
      </c>
      <c r="C508">
        <f>--ISNUMBER(IFERROR(SEARCH(Deshbord!$A$1,A508,1),""))</f>
        <v>1</v>
      </c>
      <c r="D508">
        <f>IF(C508=1,COUNTIF($C$2:C508,1),"")</f>
        <v>507</v>
      </c>
      <c r="E508" t="str">
        <f>IFERROR(INDEX($A$2:$A$603,MATCH(ROWS($D$2:D508),$D$2:$D$603,0)),"")</f>
        <v>T20Y0930</v>
      </c>
    </row>
    <row r="509" spans="1:5" x14ac:dyDescent="0.25">
      <c r="A509" t="s">
        <v>1109</v>
      </c>
      <c r="B509" t="s">
        <v>508</v>
      </c>
      <c r="C509">
        <f>--ISNUMBER(IFERROR(SEARCH(Deshbord!$A$1,A509,1),""))</f>
        <v>1</v>
      </c>
      <c r="D509">
        <f>IF(C509=1,COUNTIF($C$2:C509,1),"")</f>
        <v>508</v>
      </c>
      <c r="E509" t="str">
        <f>IFERROR(INDEX($A$2:$A$603,MATCH(ROWS($D$2:D509),$D$2:$D$603,0)),"")</f>
        <v>T20Y0931</v>
      </c>
    </row>
    <row r="510" spans="1:5" x14ac:dyDescent="0.25">
      <c r="A510" t="s">
        <v>1110</v>
      </c>
      <c r="B510" t="s">
        <v>509</v>
      </c>
      <c r="C510">
        <f>--ISNUMBER(IFERROR(SEARCH(Deshbord!$A$1,A510,1),""))</f>
        <v>1</v>
      </c>
      <c r="D510">
        <f>IF(C510=1,COUNTIF($C$2:C510,1),"")</f>
        <v>509</v>
      </c>
      <c r="E510" t="str">
        <f>IFERROR(INDEX($A$2:$A$603,MATCH(ROWS($D$2:D510),$D$2:$D$603,0)),"")</f>
        <v>T20Y1027</v>
      </c>
    </row>
    <row r="511" spans="1:5" x14ac:dyDescent="0.25">
      <c r="A511" t="s">
        <v>1111</v>
      </c>
      <c r="B511" t="s">
        <v>510</v>
      </c>
      <c r="C511">
        <f>--ISNUMBER(IFERROR(SEARCH(Deshbord!$A$1,A511,1),""))</f>
        <v>1</v>
      </c>
      <c r="D511">
        <f>IF(C511=1,COUNTIF($C$2:C511,1),"")</f>
        <v>510</v>
      </c>
      <c r="E511" t="str">
        <f>IFERROR(INDEX($A$2:$A$603,MATCH(ROWS($D$2:D511),$D$2:$D$603,0)),"")</f>
        <v>T20Y1028</v>
      </c>
    </row>
    <row r="512" spans="1:5" x14ac:dyDescent="0.25">
      <c r="A512" t="s">
        <v>1112</v>
      </c>
      <c r="B512" t="s">
        <v>511</v>
      </c>
      <c r="C512">
        <f>--ISNUMBER(IFERROR(SEARCH(Deshbord!$A$1,A512,1),""))</f>
        <v>1</v>
      </c>
      <c r="D512">
        <f>IF(C512=1,COUNTIF($C$2:C512,1),"")</f>
        <v>511</v>
      </c>
      <c r="E512" t="str">
        <f>IFERROR(INDEX($A$2:$A$603,MATCH(ROWS($D$2:D512),$D$2:$D$603,0)),"")</f>
        <v>T20Y1029</v>
      </c>
    </row>
    <row r="513" spans="1:5" x14ac:dyDescent="0.25">
      <c r="A513" t="s">
        <v>1113</v>
      </c>
      <c r="B513" t="s">
        <v>512</v>
      </c>
      <c r="C513">
        <f>--ISNUMBER(IFERROR(SEARCH(Deshbord!$A$1,A513,1),""))</f>
        <v>1</v>
      </c>
      <c r="D513">
        <f>IF(C513=1,COUNTIF($C$2:C513,1),"")</f>
        <v>512</v>
      </c>
      <c r="E513" t="str">
        <f>IFERROR(INDEX($A$2:$A$603,MATCH(ROWS($D$2:D513),$D$2:$D$603,0)),"")</f>
        <v>T20Y1030</v>
      </c>
    </row>
    <row r="514" spans="1:5" x14ac:dyDescent="0.25">
      <c r="A514" t="s">
        <v>1114</v>
      </c>
      <c r="B514" t="s">
        <v>513</v>
      </c>
      <c r="C514">
        <f>--ISNUMBER(IFERROR(SEARCH(Deshbord!$A$1,A514,1),""))</f>
        <v>1</v>
      </c>
      <c r="D514">
        <f>IF(C514=1,COUNTIF($C$2:C514,1),"")</f>
        <v>513</v>
      </c>
      <c r="E514" t="str">
        <f>IFERROR(INDEX($A$2:$A$603,MATCH(ROWS($D$2:D514),$D$2:$D$603,0)),"")</f>
        <v>T20Y1127</v>
      </c>
    </row>
    <row r="515" spans="1:5" x14ac:dyDescent="0.25">
      <c r="A515" t="s">
        <v>1115</v>
      </c>
      <c r="B515" t="s">
        <v>514</v>
      </c>
      <c r="C515">
        <f>--ISNUMBER(IFERROR(SEARCH(Deshbord!$A$1,A515,1),""))</f>
        <v>1</v>
      </c>
      <c r="D515">
        <f>IF(C515=1,COUNTIF($C$2:C515,1),"")</f>
        <v>514</v>
      </c>
      <c r="E515" t="str">
        <f>IFERROR(INDEX($A$2:$A$603,MATCH(ROWS($D$2:D515),$D$2:$D$603,0)),"")</f>
        <v>T20Y1128</v>
      </c>
    </row>
    <row r="516" spans="1:5" x14ac:dyDescent="0.25">
      <c r="A516" t="s">
        <v>1116</v>
      </c>
      <c r="B516" t="s">
        <v>515</v>
      </c>
      <c r="C516">
        <f>--ISNUMBER(IFERROR(SEARCH(Deshbord!$A$1,A516,1),""))</f>
        <v>1</v>
      </c>
      <c r="D516">
        <f>IF(C516=1,COUNTIF($C$2:C516,1),"")</f>
        <v>515</v>
      </c>
      <c r="E516" t="str">
        <f>IFERROR(INDEX($A$2:$A$603,MATCH(ROWS($D$2:D516),$D$2:$D$603,0)),"")</f>
        <v>T20Y1130</v>
      </c>
    </row>
    <row r="517" spans="1:5" x14ac:dyDescent="0.25">
      <c r="A517" t="s">
        <v>1117</v>
      </c>
      <c r="B517" t="s">
        <v>516</v>
      </c>
      <c r="C517">
        <f>--ISNUMBER(IFERROR(SEARCH(Deshbord!$A$1,A517,1),""))</f>
        <v>1</v>
      </c>
      <c r="D517">
        <f>IF(C517=1,COUNTIF($C$2:C517,1),"")</f>
        <v>516</v>
      </c>
      <c r="E517" t="str">
        <f>IFERROR(INDEX($A$2:$A$603,MATCH(ROWS($D$2:D517),$D$2:$D$603,0)),"")</f>
        <v>T20Y1227</v>
      </c>
    </row>
    <row r="518" spans="1:5" x14ac:dyDescent="0.25">
      <c r="A518" t="s">
        <v>1118</v>
      </c>
      <c r="B518" t="s">
        <v>517</v>
      </c>
      <c r="C518">
        <f>--ISNUMBER(IFERROR(SEARCH(Deshbord!$A$1,A518,1),""))</f>
        <v>1</v>
      </c>
      <c r="D518">
        <f>IF(C518=1,COUNTIF($C$2:C518,1),"")</f>
        <v>517</v>
      </c>
      <c r="E518" t="str">
        <f>IFERROR(INDEX($A$2:$A$603,MATCH(ROWS($D$2:D518),$D$2:$D$603,0)),"")</f>
        <v>T20Y1228</v>
      </c>
    </row>
    <row r="519" spans="1:5" x14ac:dyDescent="0.25">
      <c r="A519" t="s">
        <v>1119</v>
      </c>
      <c r="B519" t="s">
        <v>518</v>
      </c>
      <c r="C519">
        <f>--ISNUMBER(IFERROR(SEARCH(Deshbord!$A$1,A519,1),""))</f>
        <v>1</v>
      </c>
      <c r="D519">
        <f>IF(C519=1,COUNTIF($C$2:C519,1),"")</f>
        <v>518</v>
      </c>
      <c r="E519" t="str">
        <f>IFERROR(INDEX($A$2:$A$603,MATCH(ROWS($D$2:D519),$D$2:$D$603,0)),"")</f>
        <v>T20Y1229</v>
      </c>
    </row>
    <row r="520" spans="1:5" x14ac:dyDescent="0.25">
      <c r="A520" t="s">
        <v>1120</v>
      </c>
      <c r="B520" t="s">
        <v>519</v>
      </c>
      <c r="C520">
        <f>--ISNUMBER(IFERROR(SEARCH(Deshbord!$A$1,A520,1),""))</f>
        <v>1</v>
      </c>
      <c r="D520">
        <f>IF(C520=1,COUNTIF($C$2:C520,1),"")</f>
        <v>519</v>
      </c>
      <c r="E520" t="str">
        <f>IFERROR(INDEX($A$2:$A$603,MATCH(ROWS($D$2:D520),$D$2:$D$603,0)),"")</f>
        <v>T20Y1230</v>
      </c>
    </row>
    <row r="521" spans="1:5" x14ac:dyDescent="0.25">
      <c r="A521" t="s">
        <v>1121</v>
      </c>
      <c r="B521" t="s">
        <v>520</v>
      </c>
      <c r="C521">
        <f>--ISNUMBER(IFERROR(SEARCH(Deshbord!$A$1,A521,1),""))</f>
        <v>1</v>
      </c>
      <c r="D521">
        <f>IF(C521=1,COUNTIF($C$2:C521,1),"")</f>
        <v>520</v>
      </c>
      <c r="E521" t="str">
        <f>IFERROR(INDEX($A$2:$A$603,MATCH(ROWS($D$2:D521),$D$2:$D$603,0)),"")</f>
        <v>T5Y0112</v>
      </c>
    </row>
    <row r="522" spans="1:5" x14ac:dyDescent="0.25">
      <c r="A522" t="s">
        <v>1122</v>
      </c>
      <c r="B522" t="s">
        <v>521</v>
      </c>
      <c r="C522">
        <f>--ISNUMBER(IFERROR(SEARCH(Deshbord!$A$1,A522,1),""))</f>
        <v>1</v>
      </c>
      <c r="D522">
        <f>IF(C522=1,COUNTIF($C$2:C522,1),"")</f>
        <v>521</v>
      </c>
      <c r="E522" t="str">
        <f>IFERROR(INDEX($A$2:$A$603,MATCH(ROWS($D$2:D522),$D$2:$D$603,0)),"")</f>
        <v>T5Y0113</v>
      </c>
    </row>
    <row r="523" spans="1:5" x14ac:dyDescent="0.25">
      <c r="A523" t="s">
        <v>1123</v>
      </c>
      <c r="B523" t="s">
        <v>522</v>
      </c>
      <c r="C523">
        <f>--ISNUMBER(IFERROR(SEARCH(Deshbord!$A$1,A523,1),""))</f>
        <v>1</v>
      </c>
      <c r="D523">
        <f>IF(C523=1,COUNTIF($C$2:C523,1),"")</f>
        <v>522</v>
      </c>
      <c r="E523" t="str">
        <f>IFERROR(INDEX($A$2:$A$603,MATCH(ROWS($D$2:D523),$D$2:$D$603,0)),"")</f>
        <v>T5Y0114</v>
      </c>
    </row>
    <row r="524" spans="1:5" x14ac:dyDescent="0.25">
      <c r="A524" t="s">
        <v>1124</v>
      </c>
      <c r="B524" t="s">
        <v>523</v>
      </c>
      <c r="C524">
        <f>--ISNUMBER(IFERROR(SEARCH(Deshbord!$A$1,A524,1),""))</f>
        <v>1</v>
      </c>
      <c r="D524">
        <f>IF(C524=1,COUNTIF($C$2:C524,1),"")</f>
        <v>523</v>
      </c>
      <c r="E524" t="str">
        <f>IFERROR(INDEX($A$2:$A$603,MATCH(ROWS($D$2:D524),$D$2:$D$603,0)),"")</f>
        <v>T5Y0115</v>
      </c>
    </row>
    <row r="525" spans="1:5" x14ac:dyDescent="0.25">
      <c r="A525" t="s">
        <v>1125</v>
      </c>
      <c r="B525" t="s">
        <v>524</v>
      </c>
      <c r="C525">
        <f>--ISNUMBER(IFERROR(SEARCH(Deshbord!$A$1,A525,1),""))</f>
        <v>1</v>
      </c>
      <c r="D525">
        <f>IF(C525=1,COUNTIF($C$2:C525,1),"")</f>
        <v>524</v>
      </c>
      <c r="E525" t="str">
        <f>IFERROR(INDEX($A$2:$A$603,MATCH(ROWS($D$2:D525),$D$2:$D$603,0)),"")</f>
        <v>T5Y0116</v>
      </c>
    </row>
    <row r="526" spans="1:5" x14ac:dyDescent="0.25">
      <c r="A526" t="s">
        <v>1126</v>
      </c>
      <c r="B526" t="s">
        <v>525</v>
      </c>
      <c r="C526">
        <f>--ISNUMBER(IFERROR(SEARCH(Deshbord!$A$1,A526,1),""))</f>
        <v>1</v>
      </c>
      <c r="D526">
        <f>IF(C526=1,COUNTIF($C$2:C526,1),"")</f>
        <v>525</v>
      </c>
      <c r="E526" t="str">
        <f>IFERROR(INDEX($A$2:$A$603,MATCH(ROWS($D$2:D526),$D$2:$D$603,0)),"")</f>
        <v>T5Y0212</v>
      </c>
    </row>
    <row r="527" spans="1:5" x14ac:dyDescent="0.25">
      <c r="A527" t="s">
        <v>1127</v>
      </c>
      <c r="B527" t="s">
        <v>526</v>
      </c>
      <c r="C527">
        <f>--ISNUMBER(IFERROR(SEARCH(Deshbord!$A$1,A527,1),""))</f>
        <v>1</v>
      </c>
      <c r="D527">
        <f>IF(C527=1,COUNTIF($C$2:C527,1),"")</f>
        <v>526</v>
      </c>
      <c r="E527" t="str">
        <f>IFERROR(INDEX($A$2:$A$603,MATCH(ROWS($D$2:D527),$D$2:$D$603,0)),"")</f>
        <v>T5Y0213</v>
      </c>
    </row>
    <row r="528" spans="1:5" x14ac:dyDescent="0.25">
      <c r="A528" t="s">
        <v>1128</v>
      </c>
      <c r="B528" t="s">
        <v>527</v>
      </c>
      <c r="C528">
        <f>--ISNUMBER(IFERROR(SEARCH(Deshbord!$A$1,A528,1),""))</f>
        <v>1</v>
      </c>
      <c r="D528">
        <f>IF(C528=1,COUNTIF($C$2:C528,1),"")</f>
        <v>527</v>
      </c>
      <c r="E528" t="str">
        <f>IFERROR(INDEX($A$2:$A$603,MATCH(ROWS($D$2:D528),$D$2:$D$603,0)),"")</f>
        <v>T5Y0214</v>
      </c>
    </row>
    <row r="529" spans="1:5" x14ac:dyDescent="0.25">
      <c r="A529" t="s">
        <v>1129</v>
      </c>
      <c r="B529" t="s">
        <v>528</v>
      </c>
      <c r="C529">
        <f>--ISNUMBER(IFERROR(SEARCH(Deshbord!$A$1,A529,1),""))</f>
        <v>1</v>
      </c>
      <c r="D529">
        <f>IF(C529=1,COUNTIF($C$2:C529,1),"")</f>
        <v>528</v>
      </c>
      <c r="E529" t="str">
        <f>IFERROR(INDEX($A$2:$A$603,MATCH(ROWS($D$2:D529),$D$2:$D$603,0)),"")</f>
        <v>T5Y0215</v>
      </c>
    </row>
    <row r="530" spans="1:5" x14ac:dyDescent="0.25">
      <c r="A530" t="s">
        <v>1130</v>
      </c>
      <c r="B530" t="s">
        <v>529</v>
      </c>
      <c r="C530">
        <f>--ISNUMBER(IFERROR(SEARCH(Deshbord!$A$1,A530,1),""))</f>
        <v>1</v>
      </c>
      <c r="D530">
        <f>IF(C530=1,COUNTIF($C$2:C530,1),"")</f>
        <v>529</v>
      </c>
      <c r="E530" t="str">
        <f>IFERROR(INDEX($A$2:$A$603,MATCH(ROWS($D$2:D530),$D$2:$D$603,0)),"")</f>
        <v>T5Y0216</v>
      </c>
    </row>
    <row r="531" spans="1:5" x14ac:dyDescent="0.25">
      <c r="A531" t="s">
        <v>1131</v>
      </c>
      <c r="B531" t="s">
        <v>530</v>
      </c>
      <c r="C531">
        <f>--ISNUMBER(IFERROR(SEARCH(Deshbord!$A$1,A531,1),""))</f>
        <v>1</v>
      </c>
      <c r="D531">
        <f>IF(C531=1,COUNTIF($C$2:C531,1),"")</f>
        <v>530</v>
      </c>
      <c r="E531" t="str">
        <f>IFERROR(INDEX($A$2:$A$603,MATCH(ROWS($D$2:D531),$D$2:$D$603,0)),"")</f>
        <v>T5Y0313</v>
      </c>
    </row>
    <row r="532" spans="1:5" x14ac:dyDescent="0.25">
      <c r="A532" t="s">
        <v>1132</v>
      </c>
      <c r="B532" t="s">
        <v>531</v>
      </c>
      <c r="C532">
        <f>--ISNUMBER(IFERROR(SEARCH(Deshbord!$A$1,A532,1),""))</f>
        <v>1</v>
      </c>
      <c r="D532">
        <f>IF(C532=1,COUNTIF($C$2:C532,1),"")</f>
        <v>531</v>
      </c>
      <c r="E532" t="str">
        <f>IFERROR(INDEX($A$2:$A$603,MATCH(ROWS($D$2:D532),$D$2:$D$603,0)),"")</f>
        <v>T5Y0314</v>
      </c>
    </row>
    <row r="533" spans="1:5" x14ac:dyDescent="0.25">
      <c r="A533" t="s">
        <v>1133</v>
      </c>
      <c r="B533" t="s">
        <v>532</v>
      </c>
      <c r="C533">
        <f>--ISNUMBER(IFERROR(SEARCH(Deshbord!$A$1,A533,1),""))</f>
        <v>1</v>
      </c>
      <c r="D533">
        <f>IF(C533=1,COUNTIF($C$2:C533,1),"")</f>
        <v>532</v>
      </c>
      <c r="E533" t="str">
        <f>IFERROR(INDEX($A$2:$A$603,MATCH(ROWS($D$2:D533),$D$2:$D$603,0)),"")</f>
        <v>T5Y0315</v>
      </c>
    </row>
    <row r="534" spans="1:5" x14ac:dyDescent="0.25">
      <c r="A534" t="s">
        <v>1134</v>
      </c>
      <c r="B534" t="s">
        <v>533</v>
      </c>
      <c r="C534">
        <f>--ISNUMBER(IFERROR(SEARCH(Deshbord!$A$1,A534,1),""))</f>
        <v>1</v>
      </c>
      <c r="D534">
        <f>IF(C534=1,COUNTIF($C$2:C534,1),"")</f>
        <v>533</v>
      </c>
      <c r="E534" t="str">
        <f>IFERROR(INDEX($A$2:$A$603,MATCH(ROWS($D$2:D534),$D$2:$D$603,0)),"")</f>
        <v>T5Y0316</v>
      </c>
    </row>
    <row r="535" spans="1:5" x14ac:dyDescent="0.25">
      <c r="A535" t="s">
        <v>1135</v>
      </c>
      <c r="B535" t="s">
        <v>534</v>
      </c>
      <c r="C535">
        <f>--ISNUMBER(IFERROR(SEARCH(Deshbord!$A$1,A535,1),""))</f>
        <v>1</v>
      </c>
      <c r="D535">
        <f>IF(C535=1,COUNTIF($C$2:C535,1),"")</f>
        <v>534</v>
      </c>
      <c r="E535" t="str">
        <f>IFERROR(INDEX($A$2:$A$603,MATCH(ROWS($D$2:D535),$D$2:$D$603,0)),"")</f>
        <v>T5Y0412</v>
      </c>
    </row>
    <row r="536" spans="1:5" x14ac:dyDescent="0.25">
      <c r="A536" t="s">
        <v>1136</v>
      </c>
      <c r="B536" t="s">
        <v>535</v>
      </c>
      <c r="C536">
        <f>--ISNUMBER(IFERROR(SEARCH(Deshbord!$A$1,A536,1),""))</f>
        <v>1</v>
      </c>
      <c r="D536">
        <f>IF(C536=1,COUNTIF($C$2:C536,1),"")</f>
        <v>535</v>
      </c>
      <c r="E536" t="str">
        <f>IFERROR(INDEX($A$2:$A$603,MATCH(ROWS($D$2:D536),$D$2:$D$603,0)),"")</f>
        <v>T5Y0414</v>
      </c>
    </row>
    <row r="537" spans="1:5" x14ac:dyDescent="0.25">
      <c r="A537" t="s">
        <v>1137</v>
      </c>
      <c r="B537" t="s">
        <v>536</v>
      </c>
      <c r="C537">
        <f>--ISNUMBER(IFERROR(SEARCH(Deshbord!$A$1,A537,1),""))</f>
        <v>1</v>
      </c>
      <c r="D537">
        <f>IF(C537=1,COUNTIF($C$2:C537,1),"")</f>
        <v>536</v>
      </c>
      <c r="E537" t="str">
        <f>IFERROR(INDEX($A$2:$A$603,MATCH(ROWS($D$2:D537),$D$2:$D$603,0)),"")</f>
        <v>T5Y0415</v>
      </c>
    </row>
    <row r="538" spans="1:5" x14ac:dyDescent="0.25">
      <c r="A538" t="s">
        <v>1138</v>
      </c>
      <c r="B538" t="s">
        <v>537</v>
      </c>
      <c r="C538">
        <f>--ISNUMBER(IFERROR(SEARCH(Deshbord!$A$1,A538,1),""))</f>
        <v>1</v>
      </c>
      <c r="D538">
        <f>IF(C538=1,COUNTIF($C$2:C538,1),"")</f>
        <v>537</v>
      </c>
      <c r="E538" t="str">
        <f>IFERROR(INDEX($A$2:$A$603,MATCH(ROWS($D$2:D538),$D$2:$D$603,0)),"")</f>
        <v>T5Y0416</v>
      </c>
    </row>
    <row r="539" spans="1:5" x14ac:dyDescent="0.25">
      <c r="A539" t="s">
        <v>1139</v>
      </c>
      <c r="B539" t="s">
        <v>538</v>
      </c>
      <c r="C539">
        <f>--ISNUMBER(IFERROR(SEARCH(Deshbord!$A$1,A539,1),""))</f>
        <v>1</v>
      </c>
      <c r="D539">
        <f>IF(C539=1,COUNTIF($C$2:C539,1),"")</f>
        <v>538</v>
      </c>
      <c r="E539" t="str">
        <f>IFERROR(INDEX($A$2:$A$603,MATCH(ROWS($D$2:D539),$D$2:$D$603,0)),"")</f>
        <v>T5Y0514</v>
      </c>
    </row>
    <row r="540" spans="1:5" x14ac:dyDescent="0.25">
      <c r="A540" t="s">
        <v>1140</v>
      </c>
      <c r="B540" t="s">
        <v>539</v>
      </c>
      <c r="C540">
        <f>--ISNUMBER(IFERROR(SEARCH(Deshbord!$A$1,A540,1),""))</f>
        <v>1</v>
      </c>
      <c r="D540">
        <f>IF(C540=1,COUNTIF($C$2:C540,1),"")</f>
        <v>539</v>
      </c>
      <c r="E540" t="str">
        <f>IFERROR(INDEX($A$2:$A$603,MATCH(ROWS($D$2:D540),$D$2:$D$603,0)),"")</f>
        <v>T5Y0516</v>
      </c>
    </row>
    <row r="541" spans="1:5" x14ac:dyDescent="0.25">
      <c r="A541" t="s">
        <v>1141</v>
      </c>
      <c r="B541" t="s">
        <v>540</v>
      </c>
      <c r="C541">
        <f>--ISNUMBER(IFERROR(SEARCH(Deshbord!$A$1,A541,1),""))</f>
        <v>1</v>
      </c>
      <c r="D541">
        <f>IF(C541=1,COUNTIF($C$2:C541,1),"")</f>
        <v>540</v>
      </c>
      <c r="E541" t="str">
        <f>IFERROR(INDEX($A$2:$A$603,MATCH(ROWS($D$2:D541),$D$2:$D$603,0)),"")</f>
        <v>T5Y0613</v>
      </c>
    </row>
    <row r="542" spans="1:5" x14ac:dyDescent="0.25">
      <c r="A542" t="s">
        <v>1142</v>
      </c>
      <c r="B542" t="s">
        <v>541</v>
      </c>
      <c r="C542">
        <f>--ISNUMBER(IFERROR(SEARCH(Deshbord!$A$1,A542,1),""))</f>
        <v>1</v>
      </c>
      <c r="D542">
        <f>IF(C542=1,COUNTIF($C$2:C542,1),"")</f>
        <v>541</v>
      </c>
      <c r="E542" t="str">
        <f>IFERROR(INDEX($A$2:$A$603,MATCH(ROWS($D$2:D542),$D$2:$D$603,0)),"")</f>
        <v>T5Y0615</v>
      </c>
    </row>
    <row r="543" spans="1:5" x14ac:dyDescent="0.25">
      <c r="A543" t="s">
        <v>1143</v>
      </c>
      <c r="B543" t="s">
        <v>542</v>
      </c>
      <c r="C543">
        <f>--ISNUMBER(IFERROR(SEARCH(Deshbord!$A$1,A543,1),""))</f>
        <v>1</v>
      </c>
      <c r="D543">
        <f>IF(C543=1,COUNTIF($C$2:C543,1),"")</f>
        <v>542</v>
      </c>
      <c r="E543" t="str">
        <f>IFERROR(INDEX($A$2:$A$603,MATCH(ROWS($D$2:D543),$D$2:$D$603,0)),"")</f>
        <v>T5Y0616</v>
      </c>
    </row>
    <row r="544" spans="1:5" x14ac:dyDescent="0.25">
      <c r="A544" t="s">
        <v>1144</v>
      </c>
      <c r="B544" t="s">
        <v>543</v>
      </c>
      <c r="C544">
        <f>--ISNUMBER(IFERROR(SEARCH(Deshbord!$A$1,A544,1),""))</f>
        <v>1</v>
      </c>
      <c r="D544">
        <f>IF(C544=1,COUNTIF($C$2:C544,1),"")</f>
        <v>543</v>
      </c>
      <c r="E544" t="str">
        <f>IFERROR(INDEX($A$2:$A$603,MATCH(ROWS($D$2:D544),$D$2:$D$603,0)),"")</f>
        <v>T5Y0712</v>
      </c>
    </row>
    <row r="545" spans="1:5" x14ac:dyDescent="0.25">
      <c r="A545" t="s">
        <v>1145</v>
      </c>
      <c r="B545" t="s">
        <v>544</v>
      </c>
      <c r="C545">
        <f>--ISNUMBER(IFERROR(SEARCH(Deshbord!$A$1,A545,1),""))</f>
        <v>1</v>
      </c>
      <c r="D545">
        <f>IF(C545=1,COUNTIF($C$2:C545,1),"")</f>
        <v>544</v>
      </c>
      <c r="E545" t="str">
        <f>IFERROR(INDEX($A$2:$A$603,MATCH(ROWS($D$2:D545),$D$2:$D$603,0)),"")</f>
        <v>T5Y0713</v>
      </c>
    </row>
    <row r="546" spans="1:5" x14ac:dyDescent="0.25">
      <c r="A546" t="s">
        <v>1146</v>
      </c>
      <c r="B546" t="s">
        <v>545</v>
      </c>
      <c r="C546">
        <f>--ISNUMBER(IFERROR(SEARCH(Deshbord!$A$1,A546,1),""))</f>
        <v>1</v>
      </c>
      <c r="D546">
        <f>IF(C546=1,COUNTIF($C$2:C546,1),"")</f>
        <v>545</v>
      </c>
      <c r="E546" t="str">
        <f>IFERROR(INDEX($A$2:$A$603,MATCH(ROWS($D$2:D546),$D$2:$D$603,0)),"")</f>
        <v>T5Y0714</v>
      </c>
    </row>
    <row r="547" spans="1:5" x14ac:dyDescent="0.25">
      <c r="A547" t="s">
        <v>1147</v>
      </c>
      <c r="B547" t="s">
        <v>546</v>
      </c>
      <c r="C547">
        <f>--ISNUMBER(IFERROR(SEARCH(Deshbord!$A$1,A547,1),""))</f>
        <v>1</v>
      </c>
      <c r="D547">
        <f>IF(C547=1,COUNTIF($C$2:C547,1),"")</f>
        <v>546</v>
      </c>
      <c r="E547" t="str">
        <f>IFERROR(INDEX($A$2:$A$603,MATCH(ROWS($D$2:D547),$D$2:$D$603,0)),"")</f>
        <v>T5Y0716</v>
      </c>
    </row>
    <row r="548" spans="1:5" x14ac:dyDescent="0.25">
      <c r="A548" t="s">
        <v>1148</v>
      </c>
      <c r="B548" t="s">
        <v>547</v>
      </c>
      <c r="C548">
        <f>--ISNUMBER(IFERROR(SEARCH(Deshbord!$A$1,A548,1),""))</f>
        <v>1</v>
      </c>
      <c r="D548">
        <f>IF(C548=1,COUNTIF($C$2:C548,1),"")</f>
        <v>547</v>
      </c>
      <c r="E548" t="str">
        <f>IFERROR(INDEX($A$2:$A$603,MATCH(ROWS($D$2:D548),$D$2:$D$603,0)),"")</f>
        <v>T5Y0811</v>
      </c>
    </row>
    <row r="549" spans="1:5" x14ac:dyDescent="0.25">
      <c r="A549" t="s">
        <v>1149</v>
      </c>
      <c r="B549" t="s">
        <v>548</v>
      </c>
      <c r="C549">
        <f>--ISNUMBER(IFERROR(SEARCH(Deshbord!$A$1,A549,1),""))</f>
        <v>1</v>
      </c>
      <c r="D549">
        <f>IF(C549=1,COUNTIF($C$2:C549,1),"")</f>
        <v>548</v>
      </c>
      <c r="E549" t="str">
        <f>IFERROR(INDEX($A$2:$A$603,MATCH(ROWS($D$2:D549),$D$2:$D$603,0)),"")</f>
        <v>T5Y0812</v>
      </c>
    </row>
    <row r="550" spans="1:5" x14ac:dyDescent="0.25">
      <c r="A550" t="s">
        <v>1150</v>
      </c>
      <c r="B550" t="s">
        <v>549</v>
      </c>
      <c r="C550">
        <f>--ISNUMBER(IFERROR(SEARCH(Deshbord!$A$1,A550,1),""))</f>
        <v>1</v>
      </c>
      <c r="D550">
        <f>IF(C550=1,COUNTIF($C$2:C550,1),"")</f>
        <v>549</v>
      </c>
      <c r="E550" t="str">
        <f>IFERROR(INDEX($A$2:$A$603,MATCH(ROWS($D$2:D550),$D$2:$D$603,0)),"")</f>
        <v>T5Y0813</v>
      </c>
    </row>
    <row r="551" spans="1:5" x14ac:dyDescent="0.25">
      <c r="A551" t="s">
        <v>1151</v>
      </c>
      <c r="B551" t="s">
        <v>550</v>
      </c>
      <c r="C551">
        <f>--ISNUMBER(IFERROR(SEARCH(Deshbord!$A$1,A551,1),""))</f>
        <v>1</v>
      </c>
      <c r="D551">
        <f>IF(C551=1,COUNTIF($C$2:C551,1),"")</f>
        <v>550</v>
      </c>
      <c r="E551" t="str">
        <f>IFERROR(INDEX($A$2:$A$603,MATCH(ROWS($D$2:D551),$D$2:$D$603,0)),"")</f>
        <v>T5Y0814</v>
      </c>
    </row>
    <row r="552" spans="1:5" x14ac:dyDescent="0.25">
      <c r="A552" t="s">
        <v>1152</v>
      </c>
      <c r="B552" t="s">
        <v>551</v>
      </c>
      <c r="C552">
        <f>--ISNUMBER(IFERROR(SEARCH(Deshbord!$A$1,A552,1),""))</f>
        <v>1</v>
      </c>
      <c r="D552">
        <f>IF(C552=1,COUNTIF($C$2:C552,1),"")</f>
        <v>551</v>
      </c>
      <c r="E552" t="str">
        <f>IFERROR(INDEX($A$2:$A$603,MATCH(ROWS($D$2:D552),$D$2:$D$603,0)),"")</f>
        <v>T5Y0816</v>
      </c>
    </row>
    <row r="553" spans="1:5" x14ac:dyDescent="0.25">
      <c r="A553" t="s">
        <v>1153</v>
      </c>
      <c r="B553" t="s">
        <v>552</v>
      </c>
      <c r="C553">
        <f>--ISNUMBER(IFERROR(SEARCH(Deshbord!$A$1,A553,1),""))</f>
        <v>1</v>
      </c>
      <c r="D553">
        <f>IF(C553=1,COUNTIF($C$2:C553,1),"")</f>
        <v>552</v>
      </c>
      <c r="E553" t="str">
        <f>IFERROR(INDEX($A$2:$A$603,MATCH(ROWS($D$2:D553),$D$2:$D$603,0)),"")</f>
        <v>T5Y0911</v>
      </c>
    </row>
    <row r="554" spans="1:5" x14ac:dyDescent="0.25">
      <c r="A554" t="s">
        <v>1154</v>
      </c>
      <c r="B554" t="s">
        <v>553</v>
      </c>
      <c r="C554">
        <f>--ISNUMBER(IFERROR(SEARCH(Deshbord!$A$1,A554,1),""))</f>
        <v>1</v>
      </c>
      <c r="D554">
        <f>IF(C554=1,COUNTIF($C$2:C554,1),"")</f>
        <v>553</v>
      </c>
      <c r="E554" t="str">
        <f>IFERROR(INDEX($A$2:$A$603,MATCH(ROWS($D$2:D554),$D$2:$D$603,0)),"")</f>
        <v>T5Y0912</v>
      </c>
    </row>
    <row r="555" spans="1:5" x14ac:dyDescent="0.25">
      <c r="A555" t="s">
        <v>1155</v>
      </c>
      <c r="B555" t="s">
        <v>554</v>
      </c>
      <c r="C555">
        <f>--ISNUMBER(IFERROR(SEARCH(Deshbord!$A$1,A555,1),""))</f>
        <v>1</v>
      </c>
      <c r="D555">
        <f>IF(C555=1,COUNTIF($C$2:C555,1),"")</f>
        <v>554</v>
      </c>
      <c r="E555" t="str">
        <f>IFERROR(INDEX($A$2:$A$603,MATCH(ROWS($D$2:D555),$D$2:$D$603,0)),"")</f>
        <v>T5Y0913</v>
      </c>
    </row>
    <row r="556" spans="1:5" x14ac:dyDescent="0.25">
      <c r="A556" t="s">
        <v>1156</v>
      </c>
      <c r="B556" t="s">
        <v>555</v>
      </c>
      <c r="C556">
        <f>--ISNUMBER(IFERROR(SEARCH(Deshbord!$A$1,A556,1),""))</f>
        <v>1</v>
      </c>
      <c r="D556">
        <f>IF(C556=1,COUNTIF($C$2:C556,1),"")</f>
        <v>555</v>
      </c>
      <c r="E556" t="str">
        <f>IFERROR(INDEX($A$2:$A$603,MATCH(ROWS($D$2:D556),$D$2:$D$603,0)),"")</f>
        <v>T5Y0914</v>
      </c>
    </row>
    <row r="557" spans="1:5" x14ac:dyDescent="0.25">
      <c r="A557" t="s">
        <v>1157</v>
      </c>
      <c r="B557" t="s">
        <v>556</v>
      </c>
      <c r="C557">
        <f>--ISNUMBER(IFERROR(SEARCH(Deshbord!$A$1,A557,1),""))</f>
        <v>1</v>
      </c>
      <c r="D557">
        <f>IF(C557=1,COUNTIF($C$2:C557,1),"")</f>
        <v>556</v>
      </c>
      <c r="E557" t="str">
        <f>IFERROR(INDEX($A$2:$A$603,MATCH(ROWS($D$2:D557),$D$2:$D$603,0)),"")</f>
        <v>T5Y0915</v>
      </c>
    </row>
    <row r="558" spans="1:5" x14ac:dyDescent="0.25">
      <c r="A558" t="s">
        <v>1158</v>
      </c>
      <c r="B558" t="s">
        <v>557</v>
      </c>
      <c r="C558">
        <f>--ISNUMBER(IFERROR(SEARCH(Deshbord!$A$1,A558,1),""))</f>
        <v>1</v>
      </c>
      <c r="D558">
        <f>IF(C558=1,COUNTIF($C$2:C558,1),"")</f>
        <v>557</v>
      </c>
      <c r="E558" t="str">
        <f>IFERROR(INDEX($A$2:$A$603,MATCH(ROWS($D$2:D558),$D$2:$D$603,0)),"")</f>
        <v>T5Y0916</v>
      </c>
    </row>
    <row r="559" spans="1:5" x14ac:dyDescent="0.25">
      <c r="A559" t="s">
        <v>1159</v>
      </c>
      <c r="B559" t="s">
        <v>558</v>
      </c>
      <c r="C559">
        <f>--ISNUMBER(IFERROR(SEARCH(Deshbord!$A$1,A559,1),""))</f>
        <v>1</v>
      </c>
      <c r="D559">
        <f>IF(C559=1,COUNTIF($C$2:C559,1),"")</f>
        <v>558</v>
      </c>
      <c r="E559" t="str">
        <f>IFERROR(INDEX($A$2:$A$603,MATCH(ROWS($D$2:D559),$D$2:$D$603,0)),"")</f>
        <v>T5Y1011</v>
      </c>
    </row>
    <row r="560" spans="1:5" x14ac:dyDescent="0.25">
      <c r="A560" t="s">
        <v>1160</v>
      </c>
      <c r="B560" t="s">
        <v>559</v>
      </c>
      <c r="C560">
        <f>--ISNUMBER(IFERROR(SEARCH(Deshbord!$A$1,A560,1),""))</f>
        <v>1</v>
      </c>
      <c r="D560">
        <f>IF(C560=1,COUNTIF($C$2:C560,1),"")</f>
        <v>559</v>
      </c>
      <c r="E560" t="str">
        <f>IFERROR(INDEX($A$2:$A$603,MATCH(ROWS($D$2:D560),$D$2:$D$603,0)),"")</f>
        <v>T5Y1012</v>
      </c>
    </row>
    <row r="561" spans="1:5" x14ac:dyDescent="0.25">
      <c r="A561" t="s">
        <v>1161</v>
      </c>
      <c r="B561" t="s">
        <v>560</v>
      </c>
      <c r="C561">
        <f>--ISNUMBER(IFERROR(SEARCH(Deshbord!$A$1,A561,1),""))</f>
        <v>1</v>
      </c>
      <c r="D561">
        <f>IF(C561=1,COUNTIF($C$2:C561,1),"")</f>
        <v>560</v>
      </c>
      <c r="E561" t="str">
        <f>IFERROR(INDEX($A$2:$A$603,MATCH(ROWS($D$2:D561),$D$2:$D$603,0)),"")</f>
        <v>T5Y1013</v>
      </c>
    </row>
    <row r="562" spans="1:5" x14ac:dyDescent="0.25">
      <c r="A562" t="s">
        <v>1162</v>
      </c>
      <c r="B562" t="s">
        <v>561</v>
      </c>
      <c r="C562">
        <f>--ISNUMBER(IFERROR(SEARCH(Deshbord!$A$1,A562,1),""))</f>
        <v>1</v>
      </c>
      <c r="D562">
        <f>IF(C562=1,COUNTIF($C$2:C562,1),"")</f>
        <v>561</v>
      </c>
      <c r="E562" t="str">
        <f>IFERROR(INDEX($A$2:$A$603,MATCH(ROWS($D$2:D562),$D$2:$D$603,0)),"")</f>
        <v>T5Y1014</v>
      </c>
    </row>
    <row r="563" spans="1:5" x14ac:dyDescent="0.25">
      <c r="A563" t="s">
        <v>1163</v>
      </c>
      <c r="B563" t="s">
        <v>562</v>
      </c>
      <c r="C563">
        <f>--ISNUMBER(IFERROR(SEARCH(Deshbord!$A$1,A563,1),""))</f>
        <v>1</v>
      </c>
      <c r="D563">
        <f>IF(C563=1,COUNTIF($C$2:C563,1),"")</f>
        <v>562</v>
      </c>
      <c r="E563" t="str">
        <f>IFERROR(INDEX($A$2:$A$603,MATCH(ROWS($D$2:D563),$D$2:$D$603,0)),"")</f>
        <v>T5Y1015</v>
      </c>
    </row>
    <row r="564" spans="1:5" x14ac:dyDescent="0.25">
      <c r="A564" t="s">
        <v>1164</v>
      </c>
      <c r="B564" t="s">
        <v>563</v>
      </c>
      <c r="C564">
        <f>--ISNUMBER(IFERROR(SEARCH(Deshbord!$A$1,A564,1),""))</f>
        <v>1</v>
      </c>
      <c r="D564">
        <f>IF(C564=1,COUNTIF($C$2:C564,1),"")</f>
        <v>563</v>
      </c>
      <c r="E564" t="str">
        <f>IFERROR(INDEX($A$2:$A$603,MATCH(ROWS($D$2:D564),$D$2:$D$603,0)),"")</f>
        <v>T5Y1111</v>
      </c>
    </row>
    <row r="565" spans="1:5" x14ac:dyDescent="0.25">
      <c r="A565" t="s">
        <v>1165</v>
      </c>
      <c r="B565" t="s">
        <v>564</v>
      </c>
      <c r="C565">
        <f>--ISNUMBER(IFERROR(SEARCH(Deshbord!$A$1,A565,1),""))</f>
        <v>1</v>
      </c>
      <c r="D565">
        <f>IF(C565=1,COUNTIF($C$2:C565,1),"")</f>
        <v>564</v>
      </c>
      <c r="E565" t="str">
        <f>IFERROR(INDEX($A$2:$A$603,MATCH(ROWS($D$2:D565),$D$2:$D$603,0)),"")</f>
        <v>T5Y1112</v>
      </c>
    </row>
    <row r="566" spans="1:5" x14ac:dyDescent="0.25">
      <c r="A566" t="s">
        <v>1166</v>
      </c>
      <c r="B566" t="s">
        <v>565</v>
      </c>
      <c r="C566">
        <f>--ISNUMBER(IFERROR(SEARCH(Deshbord!$A$1,A566,1),""))</f>
        <v>1</v>
      </c>
      <c r="D566">
        <f>IF(C566=1,COUNTIF($C$2:C566,1),"")</f>
        <v>565</v>
      </c>
      <c r="E566" t="str">
        <f>IFERROR(INDEX($A$2:$A$603,MATCH(ROWS($D$2:D566),$D$2:$D$603,0)),"")</f>
        <v>T5Y1113</v>
      </c>
    </row>
    <row r="567" spans="1:5" x14ac:dyDescent="0.25">
      <c r="A567" t="s">
        <v>1167</v>
      </c>
      <c r="B567" t="s">
        <v>566</v>
      </c>
      <c r="C567">
        <f>--ISNUMBER(IFERROR(SEARCH(Deshbord!$A$1,A567,1),""))</f>
        <v>1</v>
      </c>
      <c r="D567">
        <f>IF(C567=1,COUNTIF($C$2:C567,1),"")</f>
        <v>566</v>
      </c>
      <c r="E567" t="str">
        <f>IFERROR(INDEX($A$2:$A$603,MATCH(ROWS($D$2:D567),$D$2:$D$603,0)),"")</f>
        <v>T5Y1114</v>
      </c>
    </row>
    <row r="568" spans="1:5" x14ac:dyDescent="0.25">
      <c r="A568" t="s">
        <v>1168</v>
      </c>
      <c r="B568" t="s">
        <v>567</v>
      </c>
      <c r="C568">
        <f>--ISNUMBER(IFERROR(SEARCH(Deshbord!$A$1,A568,1),""))</f>
        <v>1</v>
      </c>
      <c r="D568">
        <f>IF(C568=1,COUNTIF($C$2:C568,1),"")</f>
        <v>567</v>
      </c>
      <c r="E568" t="str">
        <f>IFERROR(INDEX($A$2:$A$603,MATCH(ROWS($D$2:D568),$D$2:$D$603,0)),"")</f>
        <v>T5Y1115</v>
      </c>
    </row>
    <row r="569" spans="1:5" x14ac:dyDescent="0.25">
      <c r="A569" t="s">
        <v>1169</v>
      </c>
      <c r="B569" t="s">
        <v>568</v>
      </c>
      <c r="C569">
        <f>--ISNUMBER(IFERROR(SEARCH(Deshbord!$A$1,A569,1),""))</f>
        <v>1</v>
      </c>
      <c r="D569">
        <f>IF(C569=1,COUNTIF($C$2:C569,1),"")</f>
        <v>568</v>
      </c>
      <c r="E569" t="str">
        <f>IFERROR(INDEX($A$2:$A$603,MATCH(ROWS($D$2:D569),$D$2:$D$603,0)),"")</f>
        <v>T5Y1211</v>
      </c>
    </row>
    <row r="570" spans="1:5" x14ac:dyDescent="0.25">
      <c r="A570" t="s">
        <v>1170</v>
      </c>
      <c r="B570" t="s">
        <v>569</v>
      </c>
      <c r="C570">
        <f>--ISNUMBER(IFERROR(SEARCH(Deshbord!$A$1,A570,1),""))</f>
        <v>1</v>
      </c>
      <c r="D570">
        <f>IF(C570=1,COUNTIF($C$2:C570,1),"")</f>
        <v>569</v>
      </c>
      <c r="E570" t="str">
        <f>IFERROR(INDEX($A$2:$A$603,MATCH(ROWS($D$2:D570),$D$2:$D$603,0)),"")</f>
        <v>T5Y1212</v>
      </c>
    </row>
    <row r="571" spans="1:5" x14ac:dyDescent="0.25">
      <c r="A571" t="s">
        <v>1171</v>
      </c>
      <c r="B571" t="s">
        <v>570</v>
      </c>
      <c r="C571">
        <f>--ISNUMBER(IFERROR(SEARCH(Deshbord!$A$1,A571,1),""))</f>
        <v>1</v>
      </c>
      <c r="D571">
        <f>IF(C571=1,COUNTIF($C$2:C571,1),"")</f>
        <v>570</v>
      </c>
      <c r="E571" t="str">
        <f>IFERROR(INDEX($A$2:$A$603,MATCH(ROWS($D$2:D571),$D$2:$D$603,0)),"")</f>
        <v>T5Y1213</v>
      </c>
    </row>
    <row r="572" spans="1:5" x14ac:dyDescent="0.25">
      <c r="A572" t="s">
        <v>1172</v>
      </c>
      <c r="B572" t="s">
        <v>571</v>
      </c>
      <c r="C572">
        <f>--ISNUMBER(IFERROR(SEARCH(Deshbord!$A$1,A572,1),""))</f>
        <v>1</v>
      </c>
      <c r="D572">
        <f>IF(C572=1,COUNTIF($C$2:C572,1),"")</f>
        <v>571</v>
      </c>
      <c r="E572" t="str">
        <f>IFERROR(INDEX($A$2:$A$603,MATCH(ROWS($D$2:D572),$D$2:$D$603,0)),"")</f>
        <v>T5Y1214</v>
      </c>
    </row>
    <row r="573" spans="1:5" x14ac:dyDescent="0.25">
      <c r="A573" t="s">
        <v>1173</v>
      </c>
      <c r="B573" t="s">
        <v>572</v>
      </c>
      <c r="C573">
        <f>--ISNUMBER(IFERROR(SEARCH(Deshbord!$A$1,A573,1),""))</f>
        <v>1</v>
      </c>
      <c r="D573">
        <f>IF(C573=1,COUNTIF($C$2:C573,1),"")</f>
        <v>572</v>
      </c>
      <c r="E573" t="str">
        <f>IFERROR(INDEX($A$2:$A$603,MATCH(ROWS($D$2:D573),$D$2:$D$603,0)),"")</f>
        <v>T5Y1215</v>
      </c>
    </row>
    <row r="574" spans="1:5" x14ac:dyDescent="0.25">
      <c r="A574" t="s">
        <v>1174</v>
      </c>
      <c r="B574" t="s">
        <v>573</v>
      </c>
      <c r="C574">
        <f>--ISNUMBER(IFERROR(SEARCH(Deshbord!$A$1,A574,1),""))</f>
        <v>1</v>
      </c>
      <c r="D574">
        <f>IF(C574=1,COUNTIF($C$2:C574,1),"")</f>
        <v>573</v>
      </c>
      <c r="E574" t="str">
        <f>IFERROR(INDEX($A$2:$A$603,MATCH(ROWS($D$2:D574),$D$2:$D$603,0)),"")</f>
        <v>TAKAFULINS</v>
      </c>
    </row>
    <row r="575" spans="1:5" x14ac:dyDescent="0.25">
      <c r="A575" t="s">
        <v>1175</v>
      </c>
      <c r="B575" t="s">
        <v>574</v>
      </c>
      <c r="C575">
        <f>--ISNUMBER(IFERROR(SEARCH(Deshbord!$A$1,A575,1),""))</f>
        <v>1</v>
      </c>
      <c r="D575">
        <f>IF(C575=1,COUNTIF($C$2:C575,1),"")</f>
        <v>574</v>
      </c>
      <c r="E575" t="str">
        <f>IFERROR(INDEX($A$2:$A$603,MATCH(ROWS($D$2:D575),$D$2:$D$603,0)),"")</f>
        <v>TALLUSPIN</v>
      </c>
    </row>
    <row r="576" spans="1:5" x14ac:dyDescent="0.25">
      <c r="A576" t="s">
        <v>1176</v>
      </c>
      <c r="B576" t="s">
        <v>575</v>
      </c>
      <c r="C576">
        <f>--ISNUMBER(IFERROR(SEARCH(Deshbord!$A$1,A576,1),""))</f>
        <v>1</v>
      </c>
      <c r="D576">
        <f>IF(C576=1,COUNTIF($C$2:C576,1),"")</f>
        <v>575</v>
      </c>
      <c r="E576" t="str">
        <f>IFERROR(INDEX($A$2:$A$603,MATCH(ROWS($D$2:D576),$D$2:$D$603,0)),"")</f>
        <v>TAUFIKA</v>
      </c>
    </row>
    <row r="577" spans="1:5" x14ac:dyDescent="0.25">
      <c r="A577" t="s">
        <v>1177</v>
      </c>
      <c r="B577" t="s">
        <v>576</v>
      </c>
      <c r="C577">
        <f>--ISNUMBER(IFERROR(SEARCH(Deshbord!$A$1,A577,1),""))</f>
        <v>1</v>
      </c>
      <c r="D577">
        <f>IF(C577=1,COUNTIF($C$2:C577,1),"")</f>
        <v>576</v>
      </c>
      <c r="E577" t="str">
        <f>IFERROR(INDEX($A$2:$A$603,MATCH(ROWS($D$2:D577),$D$2:$D$603,0)),"")</f>
        <v>TITASGAS</v>
      </c>
    </row>
    <row r="578" spans="1:5" x14ac:dyDescent="0.25">
      <c r="A578" t="s">
        <v>1178</v>
      </c>
      <c r="B578" t="s">
        <v>577</v>
      </c>
      <c r="C578">
        <f>--ISNUMBER(IFERROR(SEARCH(Deshbord!$A$1,A578,1),""))</f>
        <v>1</v>
      </c>
      <c r="D578">
        <f>IF(C578=1,COUNTIF($C$2:C578,1),"")</f>
        <v>577</v>
      </c>
      <c r="E578" t="str">
        <f>IFERROR(INDEX($A$2:$A$603,MATCH(ROWS($D$2:D578),$D$2:$D$603,0)),"")</f>
        <v>TOSRIFA</v>
      </c>
    </row>
    <row r="579" spans="1:5" x14ac:dyDescent="0.25">
      <c r="A579" t="s">
        <v>1179</v>
      </c>
      <c r="B579" t="s">
        <v>578</v>
      </c>
      <c r="C579">
        <f>--ISNUMBER(IFERROR(SEARCH(Deshbord!$A$1,A579,1),""))</f>
        <v>1</v>
      </c>
      <c r="D579">
        <f>IF(C579=1,COUNTIF($C$2:C579,1),"")</f>
        <v>578</v>
      </c>
      <c r="E579" t="str">
        <f>IFERROR(INDEX($A$2:$A$603,MATCH(ROWS($D$2:D579),$D$2:$D$603,0)),"")</f>
        <v>TRUSTB1MF</v>
      </c>
    </row>
    <row r="580" spans="1:5" x14ac:dyDescent="0.25">
      <c r="A580" t="s">
        <v>1180</v>
      </c>
      <c r="B580" t="s">
        <v>579</v>
      </c>
      <c r="C580">
        <f>--ISNUMBER(IFERROR(SEARCH(Deshbord!$A$1,A580,1),""))</f>
        <v>1</v>
      </c>
      <c r="D580">
        <f>IF(C580=1,COUNTIF($C$2:C580,1),"")</f>
        <v>579</v>
      </c>
      <c r="E580" t="str">
        <f>IFERROR(INDEX($A$2:$A$603,MATCH(ROWS($D$2:D580),$D$2:$D$603,0)),"")</f>
        <v>TRUSTBANK</v>
      </c>
    </row>
    <row r="581" spans="1:5" x14ac:dyDescent="0.25">
      <c r="A581" t="s">
        <v>1181</v>
      </c>
      <c r="B581" t="s">
        <v>580</v>
      </c>
      <c r="C581">
        <f>--ISNUMBER(IFERROR(SEARCH(Deshbord!$A$1,A581,1),""))</f>
        <v>1</v>
      </c>
      <c r="D581">
        <f>IF(C581=1,COUNTIF($C$2:C581,1),"")</f>
        <v>580</v>
      </c>
      <c r="E581" t="str">
        <f>IFERROR(INDEX($A$2:$A$603,MATCH(ROWS($D$2:D581),$D$2:$D$603,0)),"")</f>
        <v>TUNGHAI</v>
      </c>
    </row>
    <row r="582" spans="1:5" x14ac:dyDescent="0.25">
      <c r="A582" t="s">
        <v>1182</v>
      </c>
      <c r="B582" t="s">
        <v>581</v>
      </c>
      <c r="C582">
        <f>--ISNUMBER(IFERROR(SEARCH(Deshbord!$A$1,A582,1),""))</f>
        <v>1</v>
      </c>
      <c r="D582">
        <f>IF(C582=1,COUNTIF($C$2:C582,1),"")</f>
        <v>581</v>
      </c>
      <c r="E582" t="str">
        <f>IFERROR(INDEX($A$2:$A$603,MATCH(ROWS($D$2:D582),$D$2:$D$603,0)),"")</f>
        <v>UCB</v>
      </c>
    </row>
    <row r="583" spans="1:5" x14ac:dyDescent="0.25">
      <c r="A583" t="s">
        <v>1183</v>
      </c>
      <c r="B583" t="s">
        <v>582</v>
      </c>
      <c r="C583">
        <f>--ISNUMBER(IFERROR(SEARCH(Deshbord!$A$1,A583,1),""))</f>
        <v>1</v>
      </c>
      <c r="D583">
        <f>IF(C583=1,COUNTIF($C$2:C583,1),"")</f>
        <v>582</v>
      </c>
      <c r="E583" t="str">
        <f>IFERROR(INDEX($A$2:$A$603,MATCH(ROWS($D$2:D583),$D$2:$D$603,0)),"")</f>
        <v>UNILEVERCL</v>
      </c>
    </row>
    <row r="584" spans="1:5" x14ac:dyDescent="0.25">
      <c r="A584" t="s">
        <v>1184</v>
      </c>
      <c r="B584" t="s">
        <v>583</v>
      </c>
      <c r="C584">
        <f>--ISNUMBER(IFERROR(SEARCH(Deshbord!$A$1,A584,1),""))</f>
        <v>1</v>
      </c>
      <c r="D584">
        <f>IF(C584=1,COUNTIF($C$2:C584,1),"")</f>
        <v>583</v>
      </c>
      <c r="E584" t="str">
        <f>IFERROR(INDEX($A$2:$A$603,MATCH(ROWS($D$2:D584),$D$2:$D$603,0)),"")</f>
        <v>UNIONCAP</v>
      </c>
    </row>
    <row r="585" spans="1:5" x14ac:dyDescent="0.25">
      <c r="A585" t="s">
        <v>1185</v>
      </c>
      <c r="B585" t="s">
        <v>584</v>
      </c>
      <c r="C585">
        <f>--ISNUMBER(IFERROR(SEARCH(Deshbord!$A$1,A585,1),""))</f>
        <v>1</v>
      </c>
      <c r="D585">
        <f>IF(C585=1,COUNTIF($C$2:C585,1),"")</f>
        <v>584</v>
      </c>
      <c r="E585" t="str">
        <f>IFERROR(INDEX($A$2:$A$603,MATCH(ROWS($D$2:D585),$D$2:$D$603,0)),"")</f>
        <v>UNIQUEHRL</v>
      </c>
    </row>
    <row r="586" spans="1:5" x14ac:dyDescent="0.25">
      <c r="A586" t="s">
        <v>1186</v>
      </c>
      <c r="B586" t="s">
        <v>585</v>
      </c>
      <c r="C586">
        <f>--ISNUMBER(IFERROR(SEARCH(Deshbord!$A$1,A586,1),""))</f>
        <v>1</v>
      </c>
      <c r="D586">
        <f>IF(C586=1,COUNTIF($C$2:C586,1),"")</f>
        <v>585</v>
      </c>
      <c r="E586" t="str">
        <f>IFERROR(INDEX($A$2:$A$603,MATCH(ROWS($D$2:D586),$D$2:$D$603,0)),"")</f>
        <v>UNITEDFIN</v>
      </c>
    </row>
    <row r="587" spans="1:5" x14ac:dyDescent="0.25">
      <c r="A587" t="s">
        <v>1187</v>
      </c>
      <c r="B587" t="s">
        <v>586</v>
      </c>
      <c r="C587">
        <f>--ISNUMBER(IFERROR(SEARCH(Deshbord!$A$1,A587,1),""))</f>
        <v>1</v>
      </c>
      <c r="D587">
        <f>IF(C587=1,COUNTIF($C$2:C587,1),"")</f>
        <v>586</v>
      </c>
      <c r="E587" t="str">
        <f>IFERROR(INDEX($A$2:$A$603,MATCH(ROWS($D$2:D587),$D$2:$D$603,0)),"")</f>
        <v>UNITEDINS</v>
      </c>
    </row>
    <row r="588" spans="1:5" x14ac:dyDescent="0.25">
      <c r="A588" t="s">
        <v>1188</v>
      </c>
      <c r="B588" t="s">
        <v>587</v>
      </c>
      <c r="C588">
        <f>--ISNUMBER(IFERROR(SEARCH(Deshbord!$A$1,A588,1),""))</f>
        <v>1</v>
      </c>
      <c r="D588">
        <f>IF(C588=1,COUNTIF($C$2:C588,1),"")</f>
        <v>587</v>
      </c>
      <c r="E588" t="str">
        <f>IFERROR(INDEX($A$2:$A$603,MATCH(ROWS($D$2:D588),$D$2:$D$603,0)),"")</f>
        <v>UPGDCL</v>
      </c>
    </row>
    <row r="589" spans="1:5" x14ac:dyDescent="0.25">
      <c r="A589" t="s">
        <v>1189</v>
      </c>
      <c r="B589" t="s">
        <v>588</v>
      </c>
      <c r="C589">
        <f>--ISNUMBER(IFERROR(SEARCH(Deshbord!$A$1,A589,1),""))</f>
        <v>1</v>
      </c>
      <c r="D589">
        <f>IF(C589=1,COUNTIF($C$2:C589,1),"")</f>
        <v>588</v>
      </c>
      <c r="E589" t="str">
        <f>IFERROR(INDEX($A$2:$A$603,MATCH(ROWS($D$2:D589),$D$2:$D$603,0)),"")</f>
        <v>USMANIAGL</v>
      </c>
    </row>
    <row r="590" spans="1:5" x14ac:dyDescent="0.25">
      <c r="A590" t="s">
        <v>1190</v>
      </c>
      <c r="B590" t="s">
        <v>589</v>
      </c>
      <c r="C590">
        <f>--ISNUMBER(IFERROR(SEARCH(Deshbord!$A$1,A590,1),""))</f>
        <v>1</v>
      </c>
      <c r="D590">
        <f>IF(C590=1,COUNTIF($C$2:C590,1),"")</f>
        <v>589</v>
      </c>
      <c r="E590" t="str">
        <f>IFERROR(INDEX($A$2:$A$603,MATCH(ROWS($D$2:D590),$D$2:$D$603,0)),"")</f>
        <v>UTTARABANK</v>
      </c>
    </row>
    <row r="591" spans="1:5" x14ac:dyDescent="0.25">
      <c r="A591" t="s">
        <v>1191</v>
      </c>
      <c r="B591" t="s">
        <v>590</v>
      </c>
      <c r="C591">
        <f>--ISNUMBER(IFERROR(SEARCH(Deshbord!$A$1,A591,1),""))</f>
        <v>1</v>
      </c>
      <c r="D591">
        <f>IF(C591=1,COUNTIF($C$2:C591,1),"")</f>
        <v>590</v>
      </c>
      <c r="E591" t="str">
        <f>IFERROR(INDEX($A$2:$A$603,MATCH(ROWS($D$2:D591),$D$2:$D$603,0)),"")</f>
        <v>UTTARAFIN</v>
      </c>
    </row>
    <row r="592" spans="1:5" x14ac:dyDescent="0.25">
      <c r="A592" t="s">
        <v>1192</v>
      </c>
      <c r="B592" t="s">
        <v>591</v>
      </c>
      <c r="C592">
        <f>--ISNUMBER(IFERROR(SEARCH(Deshbord!$A$1,A592,1),""))</f>
        <v>1</v>
      </c>
      <c r="D592">
        <f>IF(C592=1,COUNTIF($C$2:C592,1),"")</f>
        <v>591</v>
      </c>
      <c r="E592" t="str">
        <f>IFERROR(INDEX($A$2:$A$603,MATCH(ROWS($D$2:D592),$D$2:$D$603,0)),"")</f>
        <v>VAMLBDMF1</v>
      </c>
    </row>
    <row r="593" spans="1:5" x14ac:dyDescent="0.25">
      <c r="A593" t="s">
        <v>1193</v>
      </c>
      <c r="B593" t="s">
        <v>592</v>
      </c>
      <c r="C593">
        <f>--ISNUMBER(IFERROR(SEARCH(Deshbord!$A$1,A593,1),""))</f>
        <v>1</v>
      </c>
      <c r="D593">
        <f>IF(C593=1,COUNTIF($C$2:C593,1),"")</f>
        <v>592</v>
      </c>
      <c r="E593" t="str">
        <f>IFERROR(INDEX($A$2:$A$603,MATCH(ROWS($D$2:D593),$D$2:$D$603,0)),"")</f>
        <v>VAMLRBBF</v>
      </c>
    </row>
    <row r="594" spans="1:5" x14ac:dyDescent="0.25">
      <c r="A594" t="s">
        <v>1194</v>
      </c>
      <c r="B594" t="s">
        <v>593</v>
      </c>
      <c r="C594">
        <f>--ISNUMBER(IFERROR(SEARCH(Deshbord!$A$1,A594,1),""))</f>
        <v>1</v>
      </c>
      <c r="D594">
        <f>IF(C594=1,COUNTIF($C$2:C594,1),"")</f>
        <v>593</v>
      </c>
      <c r="E594" t="str">
        <f>IFERROR(INDEX($A$2:$A$603,MATCH(ROWS($D$2:D594),$D$2:$D$603,0)),"")</f>
        <v>VFSTDL</v>
      </c>
    </row>
    <row r="595" spans="1:5" x14ac:dyDescent="0.25">
      <c r="A595" t="s">
        <v>1195</v>
      </c>
      <c r="B595" t="s">
        <v>594</v>
      </c>
      <c r="C595">
        <f>--ISNUMBER(IFERROR(SEARCH(Deshbord!$A$1,A595,1),""))</f>
        <v>1</v>
      </c>
      <c r="D595">
        <f>IF(C595=1,COUNTIF($C$2:C595,1),"")</f>
        <v>594</v>
      </c>
      <c r="E595" t="str">
        <f>IFERROR(INDEX($A$2:$A$603,MATCH(ROWS($D$2:D595),$D$2:$D$603,0)),"")</f>
        <v>WALTONHIL</v>
      </c>
    </row>
    <row r="596" spans="1:5" x14ac:dyDescent="0.25">
      <c r="A596" t="s">
        <v>1196</v>
      </c>
      <c r="B596" t="s">
        <v>595</v>
      </c>
      <c r="C596">
        <f>--ISNUMBER(IFERROR(SEARCH(Deshbord!$A$1,A596,1),""))</f>
        <v>1</v>
      </c>
      <c r="D596">
        <f>IF(C596=1,COUNTIF($C$2:C596,1),"")</f>
        <v>595</v>
      </c>
      <c r="E596" t="str">
        <f>IFERROR(INDEX($A$2:$A$603,MATCH(ROWS($D$2:D596),$D$2:$D$603,0)),"")</f>
        <v>WATACHEM</v>
      </c>
    </row>
    <row r="597" spans="1:5" x14ac:dyDescent="0.25">
      <c r="A597" t="s">
        <v>1197</v>
      </c>
      <c r="B597" t="s">
        <v>596</v>
      </c>
      <c r="C597">
        <f>--ISNUMBER(IFERROR(SEARCH(Deshbord!$A$1,A597,1),""))</f>
        <v>1</v>
      </c>
      <c r="D597">
        <f>IF(C597=1,COUNTIF($C$2:C597,1),"")</f>
        <v>596</v>
      </c>
      <c r="E597" t="str">
        <f>IFERROR(INDEX($A$2:$A$603,MATCH(ROWS($D$2:D597),$D$2:$D$603,0)),"")</f>
        <v>WMSHIPYARD</v>
      </c>
    </row>
    <row r="598" spans="1:5" x14ac:dyDescent="0.25">
      <c r="A598" t="s">
        <v>1198</v>
      </c>
      <c r="B598" t="s">
        <v>597</v>
      </c>
      <c r="C598">
        <f>--ISNUMBER(IFERROR(SEARCH(Deshbord!$A$1,A598,1),""))</f>
        <v>1</v>
      </c>
      <c r="D598">
        <f>IF(C598=1,COUNTIF($C$2:C598,1),"")</f>
        <v>597</v>
      </c>
      <c r="E598" t="str">
        <f>IFERROR(INDEX($A$2:$A$603,MATCH(ROWS($D$2:D598),$D$2:$D$603,0)),"")</f>
        <v>YPL</v>
      </c>
    </row>
    <row r="599" spans="1:5" x14ac:dyDescent="0.25">
      <c r="A599" t="s">
        <v>1199</v>
      </c>
      <c r="B599" t="s">
        <v>598</v>
      </c>
      <c r="C599">
        <f>--ISNUMBER(IFERROR(SEARCH(Deshbord!$A$1,A599,1),""))</f>
        <v>1</v>
      </c>
      <c r="D599">
        <f>IF(C599=1,COUNTIF($C$2:C599,1),"")</f>
        <v>598</v>
      </c>
      <c r="E599" t="str">
        <f>IFERROR(INDEX($A$2:$A$603,MATCH(ROWS($D$2:D599),$D$2:$D$603,0)),"")</f>
        <v>ZAHEENSPIN</v>
      </c>
    </row>
    <row r="600" spans="1:5" x14ac:dyDescent="0.25">
      <c r="A600" t="s">
        <v>1200</v>
      </c>
      <c r="B600" t="s">
        <v>599</v>
      </c>
      <c r="C600">
        <f>--ISNUMBER(IFERROR(SEARCH(Deshbord!$A$1,A600,1),""))</f>
        <v>1</v>
      </c>
      <c r="D600">
        <f>IF(C600=1,COUNTIF($C$2:C600,1),"")</f>
        <v>599</v>
      </c>
      <c r="E600" t="str">
        <f>IFERROR(INDEX($A$2:$A$603,MATCH(ROWS($D$2:D600),$D$2:$D$603,0)),"")</f>
        <v>ZAHINTEX</v>
      </c>
    </row>
    <row r="601" spans="1:5" x14ac:dyDescent="0.25">
      <c r="A601" t="s">
        <v>1201</v>
      </c>
      <c r="B601" t="s">
        <v>600</v>
      </c>
      <c r="C601">
        <f>--ISNUMBER(IFERROR(SEARCH(Deshbord!$A$1,A601,1),""))</f>
        <v>1</v>
      </c>
      <c r="D601">
        <f>IF(C601=1,COUNTIF($C$2:C601,1),"")</f>
        <v>600</v>
      </c>
      <c r="E601" t="str">
        <f>IFERROR(INDEX($A$2:$A$603,MATCH(ROWS($D$2:D601),$D$2:$D$603,0)),"")</f>
        <v>ZEALBANGLA</v>
      </c>
    </row>
    <row r="602" spans="1:5" x14ac:dyDescent="0.25">
      <c r="A602" t="s">
        <v>1202</v>
      </c>
      <c r="B602" t="s">
        <v>601</v>
      </c>
      <c r="C602">
        <f>--ISNUMBER(IFERROR(SEARCH(Deshbord!$A$1,A602,1),""))</f>
        <v>1</v>
      </c>
      <c r="D602">
        <f>IF(C602=1,COUNTIF($C$2:C602,1),"")</f>
        <v>601</v>
      </c>
      <c r="E602" t="str">
        <f>IFERROR(INDEX($A$2:$A$603,MATCH(ROWS($D$2:D602),$D$2:$D$603,0)),"")</f>
        <v>1JANATAMF</v>
      </c>
    </row>
    <row r="603" spans="1:5" x14ac:dyDescent="0.25">
      <c r="A603" t="s">
        <v>1203</v>
      </c>
      <c r="B603" t="s">
        <v>602</v>
      </c>
      <c r="C603">
        <f>--ISNUMBER(IFERROR(SEARCH(Deshbord!$A$1,A603,1),""))</f>
        <v>1</v>
      </c>
      <c r="D603">
        <f>IF(C603=1,COUNTIF($C$2:C603,1),"")</f>
        <v>602</v>
      </c>
      <c r="E603" t="str">
        <f>IFERROR(INDEX($A$2:$A$603,MATCH(ROWS($D$2:D603),$D$2:$D$603,0)),"")</f>
        <v>1STPRIMFMF</v>
      </c>
    </row>
  </sheetData>
  <autoFilter ref="A1:F603"/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Deshbord</vt:lpstr>
      <vt:lpstr>Company_Nmae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Rifat Bin Ahmed</dc:creator>
  <cp:lastModifiedBy>Rifat Bin Ahmed</cp:lastModifiedBy>
  <dcterms:created xsi:type="dcterms:W3CDTF">2021-03-24T07:00:11Z</dcterms:created>
  <dcterms:modified xsi:type="dcterms:W3CDTF">2021-03-26T20:47:16Z</dcterms:modified>
</cp:coreProperties>
</file>