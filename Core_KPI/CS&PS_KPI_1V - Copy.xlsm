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ml.chartshape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ml.chartshapes+xml"/>
  <Override PartName="/xl/drawings/drawing1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0.xml" ContentType="application/vnd.openxmlformats-officedocument.drawingml.chartshap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tabRatio="804" activeTab="2"/>
  </bookViews>
  <sheets>
    <sheet name="Graph_CS" sheetId="1" r:id="rId1"/>
    <sheet name="Graph_PS" sheetId="12" r:id="rId2"/>
    <sheet name="Data" sheetId="2" r:id="rId3"/>
    <sheet name="Old_data" sheetId="13" state="hidden" r:id="rId4"/>
    <sheet name="Age" sheetId="5" state="hidden" r:id="rId5"/>
    <sheet name="Trend" sheetId="6" state="hidden" r:id="rId6"/>
    <sheet name="KT" sheetId="7" state="hidden" r:id="rId7"/>
    <sheet name="GZ" sheetId="8" state="hidden" r:id="rId8"/>
    <sheet name="EC_USN" sheetId="10" state="hidden" r:id="rId9"/>
    <sheet name="GZ_USN" sheetId="11" state="hidden" r:id="rId10"/>
    <sheet name="MO" sheetId="3" state="hidden" r:id="rId11"/>
    <sheet name="MT" sheetId="4" state="hidden" r:id="rId12"/>
    <sheet name="Customize" sheetId="14" state="hidden" r:id="rId13"/>
  </sheets>
  <functionGroups builtInGroupCount="18"/>
  <definedNames>
    <definedName name="_xlnm._FilterDatabase" localSheetId="10" hidden="1">MO!$A$1:$D$1</definedName>
    <definedName name="_xlnm._FilterDatabase" localSheetId="11" hidden="1">MT!$A$1:$D$1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57" i="5" l="1"/>
  <c r="D56" i="5"/>
  <c r="R1" i="5"/>
  <c r="D57" i="5"/>
  <c r="S73" i="6" l="1"/>
  <c r="R73" i="6"/>
  <c r="Q73" i="6"/>
  <c r="P73" i="6"/>
  <c r="S72" i="6"/>
  <c r="R72" i="6"/>
  <c r="Q72" i="6"/>
  <c r="P72" i="6"/>
  <c r="S71" i="6"/>
  <c r="R71" i="6"/>
  <c r="Q71" i="6"/>
  <c r="P71" i="6"/>
  <c r="S70" i="6"/>
  <c r="R70" i="6"/>
  <c r="Q70" i="6"/>
  <c r="P70" i="6"/>
  <c r="S69" i="6"/>
  <c r="R69" i="6"/>
  <c r="Q69" i="6"/>
  <c r="P69" i="6"/>
  <c r="S68" i="6"/>
  <c r="R68" i="6"/>
  <c r="Q68" i="6"/>
  <c r="P68" i="6"/>
  <c r="S67" i="6"/>
  <c r="R67" i="6"/>
  <c r="Q67" i="6"/>
  <c r="P67" i="6"/>
  <c r="S66" i="6"/>
  <c r="R66" i="6"/>
  <c r="Q66" i="6"/>
  <c r="P66" i="6"/>
  <c r="S65" i="6"/>
  <c r="R65" i="6"/>
  <c r="Q65" i="6"/>
  <c r="P65" i="6"/>
  <c r="S64" i="6"/>
  <c r="R64" i="6"/>
  <c r="Q64" i="6"/>
  <c r="P64" i="6"/>
  <c r="S63" i="6"/>
  <c r="R63" i="6"/>
  <c r="Q63" i="6"/>
  <c r="P63" i="6"/>
  <c r="S62" i="6"/>
  <c r="R62" i="6"/>
  <c r="Q62" i="6"/>
  <c r="P62" i="6"/>
  <c r="S61" i="6"/>
  <c r="R61" i="6"/>
  <c r="Q61" i="6"/>
  <c r="P61" i="6"/>
  <c r="S60" i="6"/>
  <c r="R60" i="6"/>
  <c r="Q60" i="6"/>
  <c r="P60" i="6"/>
  <c r="S59" i="6"/>
  <c r="R59" i="6"/>
  <c r="Q59" i="6"/>
  <c r="P59" i="6"/>
  <c r="S58" i="6"/>
  <c r="R58" i="6"/>
  <c r="Q58" i="6"/>
  <c r="P58" i="6"/>
  <c r="S57" i="6"/>
  <c r="R57" i="6"/>
  <c r="Q57" i="6"/>
  <c r="P57" i="6"/>
  <c r="S56" i="6"/>
  <c r="R56" i="6"/>
  <c r="Q56" i="6"/>
  <c r="P56" i="6"/>
  <c r="S55" i="6"/>
  <c r="R55" i="6"/>
  <c r="Q55" i="6"/>
  <c r="P55" i="6"/>
  <c r="S54" i="6"/>
  <c r="R54" i="6"/>
  <c r="Q54" i="6"/>
  <c r="P54" i="6"/>
  <c r="S53" i="6"/>
  <c r="R53" i="6"/>
  <c r="Q53" i="6"/>
  <c r="P53" i="6"/>
  <c r="S52" i="6"/>
  <c r="R52" i="6"/>
  <c r="Q52" i="6"/>
  <c r="P52" i="6"/>
  <c r="S51" i="6"/>
  <c r="R51" i="6"/>
  <c r="Q51" i="6"/>
  <c r="P51" i="6"/>
  <c r="S50" i="6"/>
  <c r="R50" i="6"/>
  <c r="Q50" i="6"/>
  <c r="P50" i="6"/>
  <c r="S49" i="6"/>
  <c r="R49" i="6"/>
  <c r="Q49" i="6"/>
  <c r="P49" i="6"/>
  <c r="S48" i="6"/>
  <c r="R48" i="6"/>
  <c r="Q48" i="6"/>
  <c r="P48" i="6"/>
  <c r="S47" i="6"/>
  <c r="R47" i="6"/>
  <c r="Q47" i="6"/>
  <c r="P47" i="6"/>
  <c r="S46" i="6"/>
  <c r="R46" i="6"/>
  <c r="Q46" i="6"/>
  <c r="P46" i="6"/>
  <c r="S45" i="6"/>
  <c r="R45" i="6"/>
  <c r="Q45" i="6"/>
  <c r="P45" i="6"/>
  <c r="S44" i="6"/>
  <c r="R44" i="6"/>
  <c r="Q44" i="6"/>
  <c r="P44" i="6"/>
  <c r="S43" i="6"/>
  <c r="R43" i="6"/>
  <c r="Q43" i="6"/>
  <c r="P43" i="6"/>
  <c r="S42" i="6"/>
  <c r="R42" i="6"/>
  <c r="Q42" i="6"/>
  <c r="P42" i="6"/>
  <c r="S41" i="6"/>
  <c r="R41" i="6"/>
  <c r="Q41" i="6"/>
  <c r="P41" i="6"/>
  <c r="S40" i="6"/>
  <c r="R40" i="6"/>
  <c r="Q40" i="6"/>
  <c r="P40" i="6"/>
  <c r="S39" i="6"/>
  <c r="R39" i="6"/>
  <c r="Q39" i="6"/>
  <c r="P39" i="6"/>
  <c r="S38" i="6"/>
  <c r="R38" i="6"/>
  <c r="Q38" i="6"/>
  <c r="P38" i="6"/>
  <c r="S37" i="6"/>
  <c r="R37" i="6"/>
  <c r="Q37" i="6"/>
  <c r="P37" i="6"/>
  <c r="S36" i="6"/>
  <c r="R36" i="6"/>
  <c r="Q36" i="6"/>
  <c r="P36" i="6"/>
  <c r="S35" i="6"/>
  <c r="R35" i="6"/>
  <c r="Q35" i="6"/>
  <c r="P35" i="6"/>
  <c r="S34" i="6"/>
  <c r="R34" i="6"/>
  <c r="Q34" i="6"/>
  <c r="P34" i="6"/>
  <c r="S33" i="6"/>
  <c r="R33" i="6"/>
  <c r="Q33" i="6"/>
  <c r="P33" i="6"/>
  <c r="S32" i="6"/>
  <c r="R32" i="6"/>
  <c r="Q32" i="6"/>
  <c r="P32" i="6"/>
  <c r="S31" i="6"/>
  <c r="R31" i="6"/>
  <c r="Q31" i="6"/>
  <c r="P31" i="6"/>
  <c r="S30" i="6"/>
  <c r="R30" i="6"/>
  <c r="Q30" i="6"/>
  <c r="P30" i="6"/>
  <c r="S29" i="6"/>
  <c r="R29" i="6"/>
  <c r="Q29" i="6"/>
  <c r="P29" i="6"/>
  <c r="S28" i="6"/>
  <c r="R28" i="6"/>
  <c r="Q28" i="6"/>
  <c r="P28" i="6"/>
  <c r="S27" i="6"/>
  <c r="R27" i="6"/>
  <c r="Q27" i="6"/>
  <c r="P27" i="6"/>
  <c r="S26" i="6"/>
  <c r="R26" i="6"/>
  <c r="Q26" i="6"/>
  <c r="P26" i="6"/>
  <c r="S25" i="6"/>
  <c r="R25" i="6"/>
  <c r="Q25" i="6"/>
  <c r="P25" i="6"/>
  <c r="S24" i="6"/>
  <c r="R24" i="6"/>
  <c r="Q24" i="6"/>
  <c r="P24" i="6"/>
  <c r="S23" i="6"/>
  <c r="R23" i="6"/>
  <c r="Q23" i="6"/>
  <c r="P23" i="6"/>
  <c r="S22" i="6"/>
  <c r="R22" i="6"/>
  <c r="Q22" i="6"/>
  <c r="P22" i="6"/>
  <c r="S21" i="6"/>
  <c r="R21" i="6"/>
  <c r="Q21" i="6"/>
  <c r="P21" i="6"/>
  <c r="S20" i="6"/>
  <c r="R20" i="6"/>
  <c r="Q20" i="6"/>
  <c r="P20" i="6"/>
  <c r="S19" i="6"/>
  <c r="R19" i="6"/>
  <c r="Q19" i="6"/>
  <c r="P19" i="6"/>
  <c r="S18" i="6"/>
  <c r="R18" i="6"/>
  <c r="Q18" i="6"/>
  <c r="P18" i="6"/>
  <c r="S17" i="6"/>
  <c r="R17" i="6"/>
  <c r="Q17" i="6"/>
  <c r="P17" i="6"/>
  <c r="S16" i="6"/>
  <c r="R16" i="6"/>
  <c r="Q16" i="6"/>
  <c r="P16" i="6"/>
  <c r="S15" i="6"/>
  <c r="R15" i="6"/>
  <c r="Q15" i="6"/>
  <c r="P15" i="6"/>
  <c r="S14" i="6"/>
  <c r="R14" i="6"/>
  <c r="Q14" i="6"/>
  <c r="P14" i="6"/>
  <c r="S13" i="6"/>
  <c r="R13" i="6"/>
  <c r="Q13" i="6"/>
  <c r="P13" i="6"/>
  <c r="S12" i="6"/>
  <c r="R12" i="6"/>
  <c r="Q12" i="6"/>
  <c r="P12" i="6"/>
  <c r="S11" i="6"/>
  <c r="R11" i="6"/>
  <c r="Q11" i="6"/>
  <c r="P11" i="6"/>
  <c r="S10" i="6"/>
  <c r="R10" i="6"/>
  <c r="Q10" i="6"/>
  <c r="P10" i="6"/>
  <c r="S9" i="6"/>
  <c r="R9" i="6"/>
  <c r="Q9" i="6"/>
  <c r="P9" i="6"/>
  <c r="S8" i="6"/>
  <c r="R8" i="6"/>
  <c r="Q8" i="6"/>
  <c r="P8" i="6"/>
  <c r="S7" i="6"/>
  <c r="R7" i="6"/>
  <c r="Q7" i="6"/>
  <c r="P7" i="6"/>
  <c r="S6" i="6"/>
  <c r="R6" i="6"/>
  <c r="Q6" i="6"/>
  <c r="P6" i="6"/>
  <c r="S5" i="6"/>
  <c r="R5" i="6"/>
  <c r="Q5" i="6"/>
  <c r="P5" i="6"/>
  <c r="S4" i="6"/>
  <c r="R4" i="6"/>
  <c r="Q4" i="6"/>
  <c r="P4" i="6"/>
  <c r="S3" i="6"/>
  <c r="R3" i="6"/>
  <c r="Q3" i="6"/>
  <c r="P3" i="6"/>
  <c r="S2" i="6"/>
  <c r="R2" i="6"/>
  <c r="Q2" i="6"/>
  <c r="P2" i="6"/>
  <c r="AX1" i="5" l="1"/>
  <c r="O1" i="5" l="1"/>
  <c r="W58" i="5" l="1"/>
  <c r="H32" i="5" l="1"/>
  <c r="F60" i="5" l="1"/>
  <c r="F59" i="5"/>
  <c r="F58" i="5"/>
  <c r="E60" i="5"/>
  <c r="E59" i="5"/>
  <c r="E58" i="5"/>
  <c r="AA33" i="5"/>
  <c r="AB33" i="5"/>
  <c r="AC33" i="5"/>
  <c r="AA34" i="5"/>
  <c r="AB34" i="5"/>
  <c r="AC34" i="5"/>
  <c r="AA35" i="5"/>
  <c r="AB35" i="5"/>
  <c r="AC35" i="5"/>
  <c r="AA36" i="5"/>
  <c r="AB36" i="5"/>
  <c r="AC36" i="5"/>
  <c r="AA37" i="5"/>
  <c r="AB37" i="5"/>
  <c r="AC37" i="5"/>
  <c r="AA38" i="5"/>
  <c r="AB38" i="5"/>
  <c r="AC38" i="5"/>
  <c r="AA39" i="5"/>
  <c r="AB39" i="5"/>
  <c r="AC39" i="5"/>
  <c r="AA40" i="5"/>
  <c r="AB40" i="5"/>
  <c r="AC40" i="5"/>
  <c r="AA41" i="5"/>
  <c r="AB41" i="5"/>
  <c r="AC41" i="5"/>
  <c r="AA42" i="5"/>
  <c r="AB42" i="5"/>
  <c r="AC42" i="5"/>
  <c r="AA43" i="5"/>
  <c r="AB43" i="5"/>
  <c r="AC43" i="5"/>
  <c r="AA44" i="5"/>
  <c r="AB44" i="5"/>
  <c r="AC44" i="5"/>
  <c r="AA45" i="5"/>
  <c r="AB45" i="5"/>
  <c r="AC45" i="5"/>
  <c r="AA46" i="5"/>
  <c r="AB46" i="5"/>
  <c r="AC46" i="5"/>
  <c r="AA47" i="5"/>
  <c r="AB47" i="5"/>
  <c r="AC47" i="5"/>
  <c r="AA48" i="5"/>
  <c r="AB48" i="5"/>
  <c r="AC48" i="5"/>
  <c r="AA49" i="5"/>
  <c r="AB49" i="5"/>
  <c r="AC49" i="5"/>
  <c r="AA50" i="5"/>
  <c r="AB50" i="5"/>
  <c r="AC50" i="5"/>
  <c r="AA51" i="5"/>
  <c r="AB51" i="5"/>
  <c r="AC51" i="5"/>
  <c r="AA52" i="5"/>
  <c r="AB52" i="5"/>
  <c r="AC52" i="5"/>
  <c r="AA53" i="5"/>
  <c r="AB53" i="5"/>
  <c r="AC53" i="5"/>
  <c r="AA54" i="5"/>
  <c r="AB54" i="5"/>
  <c r="AC54" i="5"/>
  <c r="AA55" i="5"/>
  <c r="AB55" i="5"/>
  <c r="AC55" i="5"/>
  <c r="AC32" i="5"/>
  <c r="AB32" i="5"/>
  <c r="AA32" i="5"/>
  <c r="AE32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31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H31" i="5"/>
  <c r="I32" i="5" l="1"/>
  <c r="J32" i="5" s="1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31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51" i="5"/>
  <c r="C51" i="5"/>
  <c r="B52" i="5"/>
  <c r="C52" i="5"/>
  <c r="B53" i="5"/>
  <c r="C53" i="5"/>
  <c r="B54" i="5"/>
  <c r="C54" i="5"/>
  <c r="C31" i="5"/>
  <c r="B31" i="5"/>
  <c r="J40" i="5" l="1"/>
  <c r="J36" i="5"/>
  <c r="D36" i="5"/>
  <c r="G36" i="5"/>
  <c r="J50" i="5"/>
  <c r="J42" i="5"/>
  <c r="J34" i="5"/>
  <c r="J46" i="5"/>
  <c r="G31" i="5"/>
  <c r="D42" i="5"/>
  <c r="D45" i="5"/>
  <c r="D41" i="5"/>
  <c r="D48" i="5"/>
  <c r="D50" i="5"/>
  <c r="G33" i="5"/>
  <c r="D31" i="5"/>
  <c r="D37" i="5"/>
  <c r="D44" i="5"/>
  <c r="D47" i="5"/>
  <c r="D32" i="5"/>
  <c r="G50" i="5"/>
  <c r="G42" i="5"/>
  <c r="G34" i="5"/>
  <c r="J54" i="5"/>
  <c r="J38" i="5"/>
  <c r="J47" i="5"/>
  <c r="G49" i="5"/>
  <c r="G41" i="5"/>
  <c r="G47" i="5"/>
  <c r="G39" i="5"/>
  <c r="G37" i="5"/>
  <c r="G46" i="5"/>
  <c r="G38" i="5"/>
  <c r="G53" i="5"/>
  <c r="D34" i="5"/>
  <c r="D40" i="5"/>
  <c r="D33" i="5"/>
  <c r="D52" i="5"/>
  <c r="D39" i="5"/>
  <c r="D53" i="5"/>
  <c r="G52" i="5"/>
  <c r="G32" i="5"/>
  <c r="J45" i="5"/>
  <c r="G45" i="5"/>
  <c r="G35" i="5"/>
  <c r="G54" i="5"/>
  <c r="G51" i="5"/>
  <c r="G48" i="5"/>
  <c r="G44" i="5"/>
  <c r="J51" i="5"/>
  <c r="J43" i="5"/>
  <c r="J35" i="5"/>
  <c r="D49" i="5"/>
  <c r="D43" i="5"/>
  <c r="D54" i="5"/>
  <c r="G40" i="5"/>
  <c r="D35" i="5"/>
  <c r="J31" i="5"/>
  <c r="J39" i="5"/>
  <c r="D46" i="5"/>
  <c r="J52" i="5"/>
  <c r="D51" i="5"/>
  <c r="G43" i="5"/>
  <c r="J48" i="5"/>
  <c r="D38" i="5"/>
  <c r="J53" i="5"/>
  <c r="J37" i="5"/>
  <c r="J49" i="5"/>
  <c r="J41" i="5"/>
  <c r="J33" i="5"/>
  <c r="J44" i="5"/>
  <c r="AG33" i="5"/>
  <c r="AG34" i="5"/>
  <c r="AG35" i="5"/>
  <c r="AG36" i="5"/>
  <c r="AG37" i="5"/>
  <c r="AG38" i="5"/>
  <c r="AG39" i="5"/>
  <c r="AG40" i="5"/>
  <c r="AG41" i="5"/>
  <c r="AG42" i="5"/>
  <c r="AG43" i="5"/>
  <c r="AG44" i="5"/>
  <c r="AG45" i="5"/>
  <c r="AG46" i="5"/>
  <c r="AG47" i="5"/>
  <c r="AG48" i="5"/>
  <c r="AG49" i="5"/>
  <c r="AG50" i="5"/>
  <c r="AG51" i="5"/>
  <c r="AG52" i="5"/>
  <c r="AG53" i="5"/>
  <c r="AG54" i="5"/>
  <c r="AG55" i="5"/>
  <c r="AF33" i="5"/>
  <c r="AF34" i="5"/>
  <c r="AF35" i="5"/>
  <c r="AF36" i="5"/>
  <c r="AF37" i="5"/>
  <c r="AF38" i="5"/>
  <c r="AF39" i="5"/>
  <c r="AF40" i="5"/>
  <c r="AF41" i="5"/>
  <c r="AF42" i="5"/>
  <c r="AF43" i="5"/>
  <c r="AF44" i="5"/>
  <c r="AF45" i="5"/>
  <c r="AF46" i="5"/>
  <c r="AF47" i="5"/>
  <c r="AF48" i="5"/>
  <c r="AF49" i="5"/>
  <c r="AF50" i="5"/>
  <c r="AF51" i="5"/>
  <c r="AF52" i="5"/>
  <c r="AF53" i="5"/>
  <c r="AF54" i="5"/>
  <c r="AF55" i="5"/>
  <c r="AG32" i="5"/>
  <c r="AF32" i="5"/>
  <c r="AE33" i="5"/>
  <c r="AE34" i="5"/>
  <c r="AE35" i="5"/>
  <c r="AE36" i="5"/>
  <c r="AE37" i="5"/>
  <c r="AE38" i="5"/>
  <c r="AE39" i="5"/>
  <c r="AE40" i="5"/>
  <c r="AE41" i="5"/>
  <c r="AE42" i="5"/>
  <c r="AE43" i="5"/>
  <c r="AE44" i="5"/>
  <c r="AE45" i="5"/>
  <c r="AE46" i="5"/>
  <c r="AE47" i="5"/>
  <c r="AE48" i="5"/>
  <c r="AE49" i="5"/>
  <c r="AE50" i="5"/>
  <c r="AE51" i="5"/>
  <c r="AE52" i="5"/>
  <c r="AE53" i="5"/>
  <c r="AE54" i="5"/>
  <c r="AE55" i="5"/>
  <c r="Y33" i="5"/>
  <c r="Y34" i="5"/>
  <c r="Y35" i="5"/>
  <c r="Y36" i="5"/>
  <c r="Y37" i="5"/>
  <c r="Y38" i="5"/>
  <c r="Y39" i="5"/>
  <c r="Y40" i="5"/>
  <c r="Y41" i="5"/>
  <c r="Y42" i="5"/>
  <c r="Y43" i="5"/>
  <c r="Y44" i="5"/>
  <c r="Y45" i="5"/>
  <c r="Y46" i="5"/>
  <c r="Y47" i="5"/>
  <c r="Y48" i="5"/>
  <c r="Y49" i="5"/>
  <c r="Y50" i="5"/>
  <c r="Y51" i="5"/>
  <c r="Y52" i="5"/>
  <c r="Y53" i="5"/>
  <c r="Y54" i="5"/>
  <c r="Y55" i="5"/>
  <c r="Y32" i="5"/>
  <c r="X33" i="5"/>
  <c r="X34" i="5"/>
  <c r="X35" i="5"/>
  <c r="X36" i="5"/>
  <c r="X37" i="5"/>
  <c r="X38" i="5"/>
  <c r="X39" i="5"/>
  <c r="X40" i="5"/>
  <c r="X41" i="5"/>
  <c r="X42" i="5"/>
  <c r="X43" i="5"/>
  <c r="X44" i="5"/>
  <c r="X45" i="5"/>
  <c r="X46" i="5"/>
  <c r="X47" i="5"/>
  <c r="X48" i="5"/>
  <c r="X49" i="5"/>
  <c r="X50" i="5"/>
  <c r="X51" i="5"/>
  <c r="X52" i="5"/>
  <c r="X53" i="5"/>
  <c r="X54" i="5"/>
  <c r="X55" i="5"/>
  <c r="X32" i="5"/>
  <c r="W33" i="5"/>
  <c r="W34" i="5"/>
  <c r="W35" i="5"/>
  <c r="W36" i="5"/>
  <c r="W37" i="5"/>
  <c r="W38" i="5"/>
  <c r="W39" i="5"/>
  <c r="W40" i="5"/>
  <c r="W41" i="5"/>
  <c r="W42" i="5"/>
  <c r="W43" i="5"/>
  <c r="W44" i="5"/>
  <c r="W45" i="5"/>
  <c r="W46" i="5"/>
  <c r="W47" i="5"/>
  <c r="W48" i="5"/>
  <c r="W49" i="5"/>
  <c r="W50" i="5"/>
  <c r="W51" i="5"/>
  <c r="W52" i="5"/>
  <c r="W53" i="5"/>
  <c r="W54" i="5"/>
  <c r="W55" i="5"/>
  <c r="W32" i="5"/>
  <c r="Z37" i="5" l="1"/>
  <c r="AH41" i="5"/>
  <c r="AH53" i="5"/>
  <c r="AH45" i="5"/>
  <c r="AH37" i="5"/>
  <c r="AH54" i="5"/>
  <c r="AH46" i="5"/>
  <c r="AH38" i="5"/>
  <c r="AH50" i="5"/>
  <c r="AH42" i="5"/>
  <c r="AH34" i="5"/>
  <c r="AH48" i="5"/>
  <c r="AH40" i="5"/>
  <c r="AH49" i="5"/>
  <c r="AH32" i="5"/>
  <c r="AH33" i="5"/>
  <c r="AH52" i="5"/>
  <c r="AH44" i="5"/>
  <c r="AH36" i="5"/>
  <c r="AH51" i="5"/>
  <c r="AH43" i="5"/>
  <c r="AH35" i="5"/>
  <c r="AH55" i="5"/>
  <c r="AH47" i="5"/>
  <c r="AH39" i="5"/>
  <c r="Z47" i="5"/>
  <c r="Z55" i="5"/>
  <c r="Z44" i="5"/>
  <c r="Z50" i="5"/>
  <c r="Z41" i="5"/>
  <c r="Z36" i="5"/>
  <c r="Z43" i="5"/>
  <c r="Z52" i="5"/>
  <c r="Z51" i="5"/>
  <c r="Z34" i="5"/>
  <c r="Z42" i="5"/>
  <c r="Z39" i="5"/>
  <c r="Z53" i="5"/>
  <c r="Z33" i="5"/>
  <c r="Z35" i="5"/>
  <c r="Z49" i="5"/>
  <c r="Z32" i="5"/>
  <c r="Z48" i="5"/>
  <c r="Z54" i="5"/>
  <c r="Z46" i="5"/>
  <c r="AD48" i="5"/>
  <c r="AD40" i="5"/>
  <c r="Z40" i="5"/>
  <c r="Z45" i="5"/>
  <c r="AD37" i="5"/>
  <c r="AD50" i="5"/>
  <c r="AD47" i="5"/>
  <c r="AD52" i="5"/>
  <c r="AD49" i="5"/>
  <c r="AD33" i="5"/>
  <c r="AD32" i="5"/>
  <c r="AD54" i="5"/>
  <c r="AD46" i="5"/>
  <c r="AD38" i="5"/>
  <c r="Z38" i="5"/>
  <c r="AD53" i="5"/>
  <c r="AD45" i="5"/>
  <c r="AD42" i="5"/>
  <c r="AD34" i="5"/>
  <c r="AD55" i="5"/>
  <c r="AD39" i="5"/>
  <c r="AD44" i="5"/>
  <c r="AD36" i="5"/>
  <c r="AD41" i="5"/>
  <c r="AD51" i="5"/>
  <c r="AD43" i="5"/>
  <c r="AD35" i="5"/>
  <c r="X59" i="5" l="1"/>
  <c r="X60" i="5"/>
  <c r="X61" i="5"/>
  <c r="AX7" i="5"/>
  <c r="AW7" i="5"/>
  <c r="T14" i="5" l="1"/>
  <c r="S14" i="5"/>
  <c r="Q14" i="5"/>
  <c r="P14" i="5"/>
</calcChain>
</file>

<file path=xl/sharedStrings.xml><?xml version="1.0" encoding="utf-8"?>
<sst xmlns="http://schemas.openxmlformats.org/spreadsheetml/2006/main" count="5751" uniqueCount="178">
  <si>
    <t>Start Time</t>
  </si>
  <si>
    <t>NE Name</t>
  </si>
  <si>
    <t>Answer Traffic (Erl)</t>
  </si>
  <si>
    <t>2G TERMINATED ANSWER USAGE (Erl)</t>
  </si>
  <si>
    <t>3G TERMINATED ANSWER USAGE (Erl)</t>
  </si>
  <si>
    <t>2G Call</t>
  </si>
  <si>
    <t>3G Call</t>
  </si>
  <si>
    <t>MT</t>
  </si>
  <si>
    <t>Total</t>
  </si>
  <si>
    <t>MSKL07</t>
  </si>
  <si>
    <t>MSDH11</t>
  </si>
  <si>
    <t>MSCM01</t>
  </si>
  <si>
    <t>MSKL05</t>
  </si>
  <si>
    <t>MSDH12</t>
  </si>
  <si>
    <t>MSDH13</t>
  </si>
  <si>
    <t>MSBO03</t>
  </si>
  <si>
    <t>MSSL02</t>
  </si>
  <si>
    <t>MSDH14</t>
  </si>
  <si>
    <t>MSDH15</t>
  </si>
  <si>
    <t>MSCT04</t>
  </si>
  <si>
    <t>MO</t>
  </si>
  <si>
    <t>MO_2G</t>
  </si>
  <si>
    <t>MO_3G</t>
  </si>
  <si>
    <t>MT_2G</t>
  </si>
  <si>
    <t>MT_3G</t>
  </si>
  <si>
    <t>Time</t>
  </si>
  <si>
    <t>MO2</t>
  </si>
  <si>
    <t>MO3</t>
  </si>
  <si>
    <t>MT2</t>
  </si>
  <si>
    <t>MT3</t>
  </si>
  <si>
    <t>Today</t>
  </si>
  <si>
    <t>BDCL_4G_Data (Byte)</t>
  </si>
  <si>
    <t>Gi traffic in MB (MB)</t>
  </si>
  <si>
    <t>SGi downlink user traffic in KB (kB)</t>
  </si>
  <si>
    <t>SGi uplink user traffic in KB (kB)</t>
  </si>
  <si>
    <t>2G&amp; 3G Gi Data(GB)</t>
  </si>
  <si>
    <t>CS</t>
  </si>
  <si>
    <t>PS</t>
  </si>
  <si>
    <t>4G</t>
  </si>
  <si>
    <t>GZ_2G&amp;3G</t>
  </si>
  <si>
    <t>KT_2G&amp;3G</t>
  </si>
  <si>
    <t>KT_4G</t>
  </si>
  <si>
    <t>GZ_4G</t>
  </si>
  <si>
    <t>2G &amp;3G</t>
  </si>
  <si>
    <t>EC_UGW</t>
  </si>
  <si>
    <t>GZ_UGW</t>
  </si>
  <si>
    <t>UGW Function</t>
  </si>
  <si>
    <t>2&amp;3</t>
  </si>
  <si>
    <t>EC_UGW_2G&amp;3G</t>
  </si>
  <si>
    <t>EC_UGW_4G</t>
  </si>
  <si>
    <t>GZ_UGW_2G&amp;3G</t>
  </si>
  <si>
    <t>GZ_UGW_4G</t>
  </si>
  <si>
    <t>First time</t>
  </si>
  <si>
    <t xml:space="preserve">PS Core </t>
  </si>
  <si>
    <t>Upload Type</t>
  </si>
  <si>
    <t>vPEPC GZ</t>
  </si>
  <si>
    <t>vPEPC KT</t>
  </si>
  <si>
    <t>vEPC GZ</t>
  </si>
  <si>
    <t>vEPC KT</t>
  </si>
  <si>
    <t>Gi traffic(2&amp;3)</t>
  </si>
  <si>
    <t>SGi traffic_4G</t>
  </si>
  <si>
    <t>vEPC_GZ</t>
  </si>
  <si>
    <t>vEPC_KT</t>
  </si>
  <si>
    <t>UGW</t>
  </si>
  <si>
    <t>2G &amp; 3G Calls Status</t>
  </si>
  <si>
    <t>MO 2G &amp; 3G Calls</t>
  </si>
  <si>
    <t>MT 2G &amp; 3G Calls</t>
  </si>
  <si>
    <t>Last time</t>
  </si>
  <si>
    <t>MSKL07_MSOFTX_AT05</t>
  </si>
  <si>
    <t>MSDH11_MSOFTX_GZ04</t>
  </si>
  <si>
    <t>MSCM01_MSOFT_GF01</t>
  </si>
  <si>
    <t>MSKL05_MSOFT_CC08</t>
  </si>
  <si>
    <t>MSDH12_MSOFT_GZ04</t>
  </si>
  <si>
    <t>MSDH13_MSOFTX_CRP07</t>
  </si>
  <si>
    <t>MSBO03_MSOFTX_RB03</t>
  </si>
  <si>
    <t>MSSL02_MSOFTX_RT02</t>
  </si>
  <si>
    <t>MSDH14_MSOFTX_MYM01</t>
  </si>
  <si>
    <t>MSDH15_MSOFT_GZ03</t>
  </si>
  <si>
    <t>MSCT04_MSOFTX_Y06</t>
  </si>
  <si>
    <t>Day-1 [24 Hrs]</t>
  </si>
  <si>
    <t>MSC-MO Call</t>
  </si>
  <si>
    <t>MSC-MT Call</t>
  </si>
  <si>
    <t>MO 2G Pool-1</t>
  </si>
  <si>
    <t>MO 2G Pool-2</t>
  </si>
  <si>
    <t>MO 3G Pool-2</t>
  </si>
  <si>
    <t>MO 3G Pool-1</t>
  </si>
  <si>
    <t>MT 2G Pool-1</t>
  </si>
  <si>
    <t>MT 3G Pool-1</t>
  </si>
  <si>
    <t>MT 2G Pool-2</t>
  </si>
  <si>
    <t>MT 3G Pool-2</t>
  </si>
  <si>
    <t>MO Pool-1</t>
  </si>
  <si>
    <t>MO Pool-2</t>
  </si>
  <si>
    <t>MT Pool-2</t>
  </si>
  <si>
    <t>MT Pool-1</t>
  </si>
  <si>
    <t>Day-7 [24 Hrs]</t>
  </si>
  <si>
    <t>05 06 16</t>
  </si>
  <si>
    <t>Time duration CS</t>
  </si>
  <si>
    <t>Time duration PS</t>
  </si>
  <si>
    <t>MT 2G &amp; 3G</t>
  </si>
  <si>
    <t>Ps core 2G &amp; 3G</t>
  </si>
  <si>
    <t>Ps core 4G</t>
  </si>
  <si>
    <t>PS Total</t>
  </si>
  <si>
    <t>Cs Total</t>
  </si>
  <si>
    <t>total</t>
  </si>
  <si>
    <t>MTO 2G &amp; 3G</t>
  </si>
  <si>
    <r>
      <rPr>
        <b/>
        <sz val="11"/>
        <color theme="1"/>
        <rFont val="Calibri"/>
        <family val="2"/>
      </rPr>
      <t>MO</t>
    </r>
    <r>
      <rPr>
        <sz val="11"/>
        <color theme="1"/>
        <rFont val="Calibri"/>
        <family val="2"/>
      </rPr>
      <t>/ Start Time</t>
    </r>
  </si>
  <si>
    <r>
      <rPr>
        <b/>
        <sz val="11"/>
        <color theme="1"/>
        <rFont val="Calibri"/>
        <family val="2"/>
      </rPr>
      <t>MT /</t>
    </r>
    <r>
      <rPr>
        <sz val="11"/>
        <color theme="1"/>
        <rFont val="Calibri"/>
        <family val="2"/>
      </rPr>
      <t>Start Time</t>
    </r>
  </si>
  <si>
    <r>
      <rPr>
        <b/>
        <sz val="11"/>
        <color theme="1"/>
        <rFont val="Calibri"/>
        <family val="2"/>
        <scheme val="minor"/>
      </rPr>
      <t>KT</t>
    </r>
    <r>
      <rPr>
        <sz val="11"/>
        <color theme="1"/>
        <rFont val="Calibri"/>
        <family val="2"/>
        <scheme val="minor"/>
      </rPr>
      <t>/ Start Time</t>
    </r>
  </si>
  <si>
    <r>
      <rPr>
        <b/>
        <sz val="11"/>
        <color theme="1"/>
        <rFont val="Calibri"/>
        <family val="2"/>
        <scheme val="minor"/>
      </rPr>
      <t xml:space="preserve">GZ/ </t>
    </r>
    <r>
      <rPr>
        <sz val="11"/>
        <color theme="1"/>
        <rFont val="Calibri"/>
        <family val="2"/>
        <scheme val="minor"/>
      </rPr>
      <t>Start Time</t>
    </r>
  </si>
  <si>
    <r>
      <rPr>
        <b/>
        <sz val="11"/>
        <color theme="1"/>
        <rFont val="Calibri"/>
        <family val="2"/>
        <scheme val="minor"/>
      </rPr>
      <t>EC_USN /</t>
    </r>
    <r>
      <rPr>
        <sz val="11"/>
        <color theme="1"/>
        <rFont val="Calibri"/>
        <family val="2"/>
        <scheme val="minor"/>
      </rPr>
      <t>Start Time</t>
    </r>
  </si>
  <si>
    <r>
      <rPr>
        <b/>
        <sz val="11"/>
        <color theme="1"/>
        <rFont val="Calibri"/>
        <family val="2"/>
        <scheme val="minor"/>
      </rPr>
      <t>GZ_USN/</t>
    </r>
    <r>
      <rPr>
        <sz val="11"/>
        <color theme="1"/>
        <rFont val="Calibri"/>
        <family val="2"/>
        <scheme val="minor"/>
      </rPr>
      <t xml:space="preserve"> Start Time</t>
    </r>
  </si>
  <si>
    <t>Macro Type</t>
  </si>
  <si>
    <t>Day -1</t>
  </si>
  <si>
    <t>Day -1 [24 Hrs]</t>
  </si>
  <si>
    <t>vEPC GZ_2G &amp; 3G [Gi]</t>
  </si>
  <si>
    <t>vEPC GZ_4G [SGi]</t>
  </si>
  <si>
    <t>vEPC KT_2G &amp; 3G [Gi]</t>
  </si>
  <si>
    <t>EC_UGW_2G &amp; 3G [Gi]</t>
  </si>
  <si>
    <t>GZ_UGW_2G &amp; 3G [Gi]</t>
  </si>
  <si>
    <t>vEPC KT_4G [SGi]</t>
  </si>
  <si>
    <t>EC_UGW_4G [SGi]</t>
  </si>
  <si>
    <t>GZ_UGW_4G [SGi]</t>
  </si>
  <si>
    <t>vEPC_GZ [Gi+SGi]</t>
  </si>
  <si>
    <t>vEPC_KT [Gi+SGi]</t>
  </si>
  <si>
    <t xml:space="preserve"> UGW EC+GZ [Gi+SGi]</t>
  </si>
  <si>
    <t>PS Core status [vEPC_GZ &amp; KT, UGW_EC &amp; GZ]</t>
  </si>
  <si>
    <t>Regular</t>
  </si>
  <si>
    <t>Day -7</t>
  </si>
  <si>
    <t>Day -7 [24 Hrs]</t>
  </si>
  <si>
    <t>Last 7 Days</t>
  </si>
  <si>
    <t>30/07/2020 00:00:00</t>
  </si>
  <si>
    <t>30/07/2020 01:00:00</t>
  </si>
  <si>
    <t>30/07/2020 02:00:00</t>
  </si>
  <si>
    <t>30/07/2020 03:00:00</t>
  </si>
  <si>
    <t>30/07/2020 04:00:00</t>
  </si>
  <si>
    <t>30/07/2020 05:00:00</t>
  </si>
  <si>
    <t>30/07/2020 06:00:00</t>
  </si>
  <si>
    <t>30/07/2020 07:00:00</t>
  </si>
  <si>
    <t>30/07/2020 08:00:00</t>
  </si>
  <si>
    <t>30/07/2020 09:00:00</t>
  </si>
  <si>
    <t>30/07/2020 10:00:00</t>
  </si>
  <si>
    <t>30/07/2020 11:00:00</t>
  </si>
  <si>
    <t>30/07/2020 12:00:00</t>
  </si>
  <si>
    <t>30/07/2020 13:00:00</t>
  </si>
  <si>
    <t>30/07/2020 14:00:00</t>
  </si>
  <si>
    <t>30/07/2020 15:00:00</t>
  </si>
  <si>
    <t>30/07/2020 16:00:00</t>
  </si>
  <si>
    <t>30/07/2020 17:00:00</t>
  </si>
  <si>
    <t>30/07/2020 18:00:00</t>
  </si>
  <si>
    <t>30/07/2020 19:00:00</t>
  </si>
  <si>
    <t>30/07/2020 20:00:00</t>
  </si>
  <si>
    <t>30/07/2020 21:00:00</t>
  </si>
  <si>
    <t>30/07/2020 22:00:00</t>
  </si>
  <si>
    <t>30/07/2020 23:00:00</t>
  </si>
  <si>
    <t>31/07/2020 00:00:00</t>
  </si>
  <si>
    <t>31/07/2020 01:00:00</t>
  </si>
  <si>
    <t>31/07/2020 02:00:00</t>
  </si>
  <si>
    <t>31/07/2020 03:00:00</t>
  </si>
  <si>
    <t>31/07/2020 04:00:00</t>
  </si>
  <si>
    <t>31/07/2020 05:00:00</t>
  </si>
  <si>
    <t>31/07/2020 06:00:00</t>
  </si>
  <si>
    <t>31/07/2020 07:00:00</t>
  </si>
  <si>
    <t>31/07/2020 08:00:00</t>
  </si>
  <si>
    <t>31/07/2020 09:00:00</t>
  </si>
  <si>
    <t>31/07/2020 10:00:00</t>
  </si>
  <si>
    <t>31/07/2020 11:00:00</t>
  </si>
  <si>
    <t>31/07/2020 12:00:00</t>
  </si>
  <si>
    <t>31/07/2020 13:00:00</t>
  </si>
  <si>
    <t>31/07/2020 14:00:00</t>
  </si>
  <si>
    <t>31/07/2020 15:00:00</t>
  </si>
  <si>
    <t>31/07/2020 16:00:00</t>
  </si>
  <si>
    <t>31/07/2020 17:00:00</t>
  </si>
  <si>
    <t>31/07/2020 18:00:00</t>
  </si>
  <si>
    <t>31/07/2020 19:00:00</t>
  </si>
  <si>
    <t>31/07/2020 20:00:00</t>
  </si>
  <si>
    <t>31/07/2020 21:00:00</t>
  </si>
  <si>
    <t>31/07/2020 22:00:00</t>
  </si>
  <si>
    <t>31/07/2020 23:00:00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</si>
</sst>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/m/yyyy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rgb="FFF2F2F2"/>
      </patternFill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C99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</fills>
  <borders count="1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7F7F7F"/>
      </right>
      <top style="thin">
        <color indexed="64"/>
      </top>
      <bottom/>
      <diagonal/>
    </border>
    <border>
      <left style="thin">
        <color rgb="FF7F7F7F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0" fontId="2" fillId="2" borderId="1" applyNumberFormat="0" applyAlignment="0" applyProtection="0"/>
    <xf numFmtId="0" fontId="4" fillId="3" borderId="4" applyNumberFormat="0" applyFont="0" applyAlignment="0" applyProtection="0"/>
    <xf numFmtId="0" fontId="5" fillId="5" borderId="8" applyNumberFormat="0" applyAlignment="0" applyProtection="0"/>
    <xf numFmtId="0" fontId="6" fillId="8" borderId="8" applyNumberFormat="0" applyAlignment="0" applyProtection="0"/>
  </cellStyleXfs>
  <cellXfs count="74">
    <xf numFmtId="0" fontId="0" fillId="0" borderId="0" xfId="0"/>
    <xf numFmtId="0" fontId="1" fillId="0" borderId="0" xfId="0" applyFont="1" applyFill="1" applyBorder="1"/>
    <xf numFmtId="0" fontId="0" fillId="0" borderId="2" xfId="0" applyBorder="1"/>
    <xf numFmtId="0" fontId="0" fillId="0" borderId="3" xfId="0" applyBorder="1"/>
    <xf numFmtId="0" fontId="0" fillId="0" borderId="0" xfId="0" applyFill="1"/>
    <xf numFmtId="0" fontId="0" fillId="0" borderId="5" xfId="0" applyBorder="1"/>
    <xf numFmtId="0" fontId="0" fillId="0" borderId="2" xfId="0" applyFill="1" applyBorder="1"/>
    <xf numFmtId="22" fontId="1" fillId="0" borderId="0" xfId="0" applyNumberFormat="1" applyFont="1" applyFill="1" applyBorder="1"/>
    <xf numFmtId="0" fontId="0" fillId="4" borderId="0" xfId="0" applyFill="1"/>
    <xf numFmtId="22" fontId="0" fillId="0" borderId="0" xfId="0" applyNumberFormat="1"/>
    <xf numFmtId="0" fontId="2" fillId="7" borderId="1" xfId="1" applyFill="1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/>
    <xf numFmtId="0" fontId="0" fillId="0" borderId="9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1" fillId="0" borderId="3" xfId="0" applyFont="1" applyFill="1" applyBorder="1"/>
    <xf numFmtId="0" fontId="1" fillId="0" borderId="15" xfId="0" applyFont="1" applyFill="1" applyBorder="1"/>
    <xf numFmtId="0" fontId="0" fillId="6" borderId="2" xfId="2" applyFont="1" applyFill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6" xfId="0" applyBorder="1"/>
    <xf numFmtId="0" fontId="0" fillId="0" borderId="7" xfId="0" applyBorder="1"/>
    <xf numFmtId="0" fontId="0" fillId="6" borderId="2" xfId="2" applyFont="1" applyFill="1" applyBorder="1" applyAlignment="1">
      <alignment horizontal="left"/>
    </xf>
    <xf numFmtId="22" fontId="0" fillId="3" borderId="2" xfId="2" applyNumberFormat="1" applyFont="1" applyBorder="1"/>
    <xf numFmtId="164" fontId="1" fillId="0" borderId="0" xfId="0" applyNumberFormat="1" applyFont="1" applyFill="1" applyBorder="1"/>
    <xf numFmtId="0" fontId="7" fillId="0" borderId="0" xfId="0" applyFont="1"/>
    <xf numFmtId="0" fontId="0" fillId="0" borderId="18" xfId="0" applyFill="1" applyBorder="1"/>
    <xf numFmtId="0" fontId="1" fillId="10" borderId="3" xfId="0" applyFont="1" applyFill="1" applyBorder="1"/>
    <xf numFmtId="0" fontId="1" fillId="10" borderId="0" xfId="0" applyFont="1" applyFill="1" applyBorder="1"/>
    <xf numFmtId="0" fontId="1" fillId="10" borderId="9" xfId="0" applyFont="1" applyFill="1" applyBorder="1"/>
    <xf numFmtId="0" fontId="1" fillId="11" borderId="3" xfId="0" applyFont="1" applyFill="1" applyBorder="1"/>
    <xf numFmtId="0" fontId="1" fillId="11" borderId="0" xfId="0" applyFont="1" applyFill="1" applyBorder="1"/>
    <xf numFmtId="0" fontId="1" fillId="11" borderId="9" xfId="0" applyFont="1" applyFill="1" applyBorder="1"/>
    <xf numFmtId="0" fontId="0" fillId="9" borderId="3" xfId="0" applyFill="1" applyBorder="1"/>
    <xf numFmtId="0" fontId="0" fillId="9" borderId="0" xfId="0" applyFill="1" applyBorder="1"/>
    <xf numFmtId="0" fontId="0" fillId="12" borderId="3" xfId="0" applyFill="1" applyBorder="1"/>
    <xf numFmtId="0" fontId="0" fillId="12" borderId="0" xfId="0" applyFill="1" applyBorder="1"/>
    <xf numFmtId="0" fontId="0" fillId="12" borderId="9" xfId="0" applyFill="1" applyBorder="1"/>
    <xf numFmtId="0" fontId="0" fillId="11" borderId="3" xfId="0" applyFill="1" applyBorder="1"/>
    <xf numFmtId="0" fontId="0" fillId="11" borderId="0" xfId="0" applyFill="1" applyBorder="1"/>
    <xf numFmtId="0" fontId="0" fillId="11" borderId="9" xfId="0" applyFill="1" applyBorder="1"/>
    <xf numFmtId="0" fontId="0" fillId="13" borderId="3" xfId="0" applyFill="1" applyBorder="1"/>
    <xf numFmtId="0" fontId="0" fillId="13" borderId="0" xfId="0" applyFill="1" applyBorder="1"/>
    <xf numFmtId="0" fontId="0" fillId="13" borderId="9" xfId="0" applyFill="1" applyBorder="1"/>
    <xf numFmtId="0" fontId="0" fillId="14" borderId="0" xfId="0" applyFill="1" applyBorder="1"/>
    <xf numFmtId="0" fontId="0" fillId="9" borderId="9" xfId="0" applyFill="1" applyBorder="1"/>
    <xf numFmtId="0" fontId="0" fillId="14" borderId="0" xfId="0" applyFill="1"/>
    <xf numFmtId="0" fontId="1" fillId="14" borderId="0" xfId="0" applyFont="1" applyFill="1" applyBorder="1"/>
    <xf numFmtId="0" fontId="1" fillId="14" borderId="16" xfId="0" applyFont="1" applyFill="1" applyBorder="1"/>
    <xf numFmtId="0" fontId="0" fillId="14" borderId="16" xfId="0" applyFill="1" applyBorder="1"/>
    <xf numFmtId="22" fontId="0" fillId="3" borderId="2" xfId="2" applyNumberFormat="1" applyFont="1" applyBorder="1" applyAlignment="1">
      <alignment vertical="center"/>
    </xf>
    <xf numFmtId="0" fontId="0" fillId="3" borderId="2" xfId="2" applyFont="1" applyBorder="1" applyAlignment="1">
      <alignment vertical="center"/>
    </xf>
    <xf numFmtId="0" fontId="0" fillId="6" borderId="2" xfId="2" applyFont="1" applyFill="1" applyBorder="1" applyAlignment="1">
      <alignment vertical="center"/>
    </xf>
    <xf numFmtId="0" fontId="0" fillId="6" borderId="2" xfId="2" applyFont="1" applyFill="1" applyBorder="1" applyAlignment="1">
      <alignment horizontal="left" vertical="center"/>
    </xf>
    <xf numFmtId="0" fontId="8" fillId="6" borderId="8" xfId="4" applyFont="1" applyFill="1" applyAlignment="1">
      <alignment vertical="center"/>
    </xf>
    <xf numFmtId="0" fontId="0" fillId="15" borderId="0" xfId="0" applyFill="1"/>
    <xf numFmtId="0" fontId="0" fillId="13" borderId="0" xfId="0" applyFill="1"/>
    <xf numFmtId="0" fontId="0" fillId="16" borderId="5" xfId="0" applyFill="1" applyBorder="1"/>
    <xf numFmtId="0" fontId="0" fillId="17" borderId="0" xfId="0" applyFill="1"/>
    <xf numFmtId="11" fontId="1" fillId="0" borderId="0" xfId="0" applyNumberFormat="1" applyFont="1" applyFill="1" applyBorder="1"/>
    <xf numFmtId="0" fontId="8" fillId="6" borderId="10" xfId="3" applyFont="1" applyFill="1" applyBorder="1" applyAlignment="1">
      <alignment horizontal="center"/>
    </xf>
    <xf numFmtId="0" fontId="8" fillId="6" borderId="11" xfId="3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</cellXfs>
  <cellStyles count="5">
    <cellStyle name="Calculation" xfId="3" builtinId="22"/>
    <cellStyle name="Check Cell" xfId="1" builtinId="23"/>
    <cellStyle name="Input" xfId="4" builtinId="20"/>
    <cellStyle name="Normal" xfId="0" builtinId="0"/>
    <cellStyle name="Note" xfId="2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cap="none" spc="0" normalizeH="0" baseline="0">
                <a:solidFill>
                  <a:schemeClr val="tx1"/>
                </a:solidFill>
                <a:latin typeface="+mn-lt"/>
                <a:ea typeface="+mj-ea"/>
                <a:cs typeface="+mj-cs"/>
              </a:defRPr>
            </a:pPr>
            <a:r>
              <a:rPr lang="en-US" sz="1200">
                <a:solidFill>
                  <a:schemeClr val="tx1"/>
                </a:solidFill>
                <a:latin typeface="+mn-lt"/>
              </a:rPr>
              <a:t>MO-2G Call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129892577111923"/>
          <c:y val="0.14751243781094528"/>
          <c:w val="0.81017286826707791"/>
          <c:h val="0.62326673718024062"/>
        </c:manualLayout>
      </c:layout>
      <c:lineChart>
        <c:grouping val="standard"/>
        <c:varyColors val="0"/>
        <c:ser>
          <c:idx val="0"/>
          <c:order val="0"/>
          <c:tx>
            <c:strRef>
              <c:f>Age!$B$1</c:f>
              <c:strCache>
                <c:ptCount val="1"/>
                <c:pt idx="0">
                  <c:v>Day -7</c:v>
                </c:pt>
              </c:strCache>
            </c:strRef>
          </c:tx>
          <c:spPr>
            <a:ln w="3492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Age!$A$3:$A$26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Age!$B$3:$B$26</c:f>
              <c:numCache>
                <c:formatCode>General</c:formatCode>
                <c:ptCount val="24"/>
                <c:pt idx="0">
                  <c:v>27750.940000000002</c:v>
                </c:pt>
                <c:pt idx="1">
                  <c:v>12840.25</c:v>
                </c:pt>
                <c:pt idx="2">
                  <c:v>6283.48</c:v>
                </c:pt>
                <c:pt idx="3">
                  <c:v>3875.98</c:v>
                </c:pt>
                <c:pt idx="4">
                  <c:v>3317.12</c:v>
                </c:pt>
                <c:pt idx="5">
                  <c:v>9136.6399999999976</c:v>
                </c:pt>
                <c:pt idx="6">
                  <c:v>27461.3</c:v>
                </c:pt>
                <c:pt idx="7">
                  <c:v>48882.51</c:v>
                </c:pt>
                <c:pt idx="8">
                  <c:v>66930.739999999991</c:v>
                </c:pt>
                <c:pt idx="9">
                  <c:v>82085.569999999992</c:v>
                </c:pt>
                <c:pt idx="10">
                  <c:v>88854.87999999999</c:v>
                </c:pt>
                <c:pt idx="11">
                  <c:v>87260.540000000023</c:v>
                </c:pt>
                <c:pt idx="12">
                  <c:v>81623.599999999991</c:v>
                </c:pt>
                <c:pt idx="13">
                  <c:v>74610.58</c:v>
                </c:pt>
                <c:pt idx="14">
                  <c:v>80228.45</c:v>
                </c:pt>
                <c:pt idx="15">
                  <c:v>84649.62</c:v>
                </c:pt>
                <c:pt idx="16">
                  <c:v>84855.040000000008</c:v>
                </c:pt>
                <c:pt idx="17">
                  <c:v>86197.59</c:v>
                </c:pt>
                <c:pt idx="18">
                  <c:v>89805.72</c:v>
                </c:pt>
                <c:pt idx="19">
                  <c:v>141681.821</c:v>
                </c:pt>
                <c:pt idx="20">
                  <c:v>154012.65199999997</c:v>
                </c:pt>
                <c:pt idx="21">
                  <c:v>146380.07</c:v>
                </c:pt>
                <c:pt idx="22">
                  <c:v>111023.769</c:v>
                </c:pt>
                <c:pt idx="23">
                  <c:v>61688.729999999996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F6-4475-9925-B2DD88C913FE}"/>
            </c:ext>
          </c:extLst>
        </c:ser>
        <c:ser>
          <c:idx val="1"/>
          <c:order val="1"/>
          <c:tx>
            <c:strRef>
              <c:f>Age!$F$1</c:f>
              <c:strCache>
                <c:ptCount val="1"/>
                <c:pt idx="0">
                  <c:v>Day -1</c:v>
                </c:pt>
              </c:strCache>
            </c:strRef>
          </c:tx>
          <c:spPr>
            <a:ln w="3492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val>
            <c:numRef>
              <c:f>Age!$F$3:$F$26</c:f>
              <c:numCache>
                <c:formatCode>General</c:formatCode>
                <c:ptCount val="24"/>
                <c:pt idx="0">
                  <c:v>19282.05</c:v>
                </c:pt>
                <c:pt idx="1">
                  <c:v>8876.4499999999989</c:v>
                </c:pt>
                <c:pt idx="2">
                  <c:v>4358.4699999999993</c:v>
                </c:pt>
                <c:pt idx="3">
                  <c:v>2433.9</c:v>
                </c:pt>
                <c:pt idx="4">
                  <c:v>1955.3100000000002</c:v>
                </c:pt>
                <c:pt idx="5">
                  <c:v>5396.83</c:v>
                </c:pt>
                <c:pt idx="6">
                  <c:v>19775.810000000001</c:v>
                </c:pt>
                <c:pt idx="7">
                  <c:v>41552.120000000003</c:v>
                </c:pt>
                <c:pt idx="8">
                  <c:v>63764.75</c:v>
                </c:pt>
                <c:pt idx="9">
                  <c:v>82893.460000000006</c:v>
                </c:pt>
                <c:pt idx="10">
                  <c:v>92773.68</c:v>
                </c:pt>
                <c:pt idx="11">
                  <c:v>90953.53</c:v>
                </c:pt>
                <c:pt idx="12">
                  <c:v>82978.2</c:v>
                </c:pt>
                <c:pt idx="13">
                  <c:v>71360.930000000008</c:v>
                </c:pt>
                <c:pt idx="14">
                  <c:v>71576.55</c:v>
                </c:pt>
                <c:pt idx="15">
                  <c:v>75119.179999999993</c:v>
                </c:pt>
                <c:pt idx="16">
                  <c:v>78199.44</c:v>
                </c:pt>
                <c:pt idx="17">
                  <c:v>84664.57</c:v>
                </c:pt>
                <c:pt idx="18">
                  <c:v>89702.3</c:v>
                </c:pt>
                <c:pt idx="19">
                  <c:v>146831.26</c:v>
                </c:pt>
                <c:pt idx="20">
                  <c:v>145449.68800000002</c:v>
                </c:pt>
                <c:pt idx="21">
                  <c:v>131324.92000000001</c:v>
                </c:pt>
                <c:pt idx="22">
                  <c:v>87710.33</c:v>
                </c:pt>
                <c:pt idx="23">
                  <c:v>44580.799999999996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3F6-4475-9925-B2DD88C913FE}"/>
            </c:ext>
          </c:extLst>
        </c:ser>
        <c:ser>
          <c:idx val="2"/>
          <c:order val="2"/>
          <c:tx>
            <c:strRef>
              <c:f>Age!$J$1</c:f>
              <c:strCache>
                <c:ptCount val="1"/>
                <c:pt idx="0">
                  <c:v>Today</c:v>
                </c:pt>
              </c:strCache>
            </c:strRef>
          </c:tx>
          <c:spPr>
            <a:ln w="3492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Age!$J$3:$J$26</c:f>
              <c:numCache>
                <c:formatCode>General</c:formatCode>
                <c:ptCount val="24"/>
                <c:pt idx="0">
                  <c:v>19722.13</c:v>
                </c:pt>
                <c:pt idx="1">
                  <c:v>9188.41</c:v>
                </c:pt>
                <c:pt idx="2">
                  <c:v>4425.5499999999993</c:v>
                </c:pt>
                <c:pt idx="3">
                  <c:v>2522.89</c:v>
                </c:pt>
                <c:pt idx="4">
                  <c:v>2107.9299999999998</c:v>
                </c:pt>
                <c:pt idx="5">
                  <c:v>5237.9499999999989</c:v>
                </c:pt>
                <c:pt idx="6">
                  <c:v>18665.750000000004</c:v>
                </c:pt>
                <c:pt idx="7">
                  <c:v>40692.75</c:v>
                </c:pt>
                <c:pt idx="8">
                  <c:v>63521.76999999999</c:v>
                </c:pt>
                <c:pt idx="9">
                  <c:v>82566.380000000019</c:v>
                </c:pt>
                <c:pt idx="10">
                  <c:v>93001.18</c:v>
                </c:pt>
                <c:pt idx="11">
                  <c:v>92338.87000000001</c:v>
                </c:pt>
                <c:pt idx="12">
                  <c:v>84621.610000000015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3F6-4475-9925-B2DD88C91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7006704"/>
        <c:axId val="607000464"/>
      </c:lineChart>
      <c:catAx>
        <c:axId val="607006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0464"/>
        <c:crosses val="autoZero"/>
        <c:auto val="1"/>
        <c:lblAlgn val="ctr"/>
        <c:lblOffset val="100"/>
        <c:noMultiLvlLbl val="0"/>
      </c:catAx>
      <c:valAx>
        <c:axId val="60700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Erl Axis 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\ \K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6704"/>
        <c:crosses val="autoZero"/>
        <c:crossBetween val="between"/>
        <c:dispUnits>
          <c:builtInUnit val="thousands"/>
        </c:dispUnits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0326136652273308"/>
          <c:y val="0.91039759046722746"/>
          <c:w val="0.69617641112833251"/>
          <c:h val="8.9602409532772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cap="none" spc="0" normalizeH="0" baseline="0">
                <a:solidFill>
                  <a:schemeClr val="tx1"/>
                </a:solidFill>
                <a:latin typeface="+mn-lt"/>
                <a:ea typeface="+mj-ea"/>
                <a:cs typeface="+mj-cs"/>
              </a:defRPr>
            </a:pPr>
            <a:r>
              <a:rPr lang="en-US" sz="1200">
                <a:solidFill>
                  <a:schemeClr val="tx1"/>
                </a:solidFill>
                <a:latin typeface="+mn-lt"/>
              </a:rPr>
              <a:t>MO-3G Call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129892577111923"/>
          <c:y val="0.14751243781094528"/>
          <c:w val="0.81017286826707791"/>
          <c:h val="0.62326673718024062"/>
        </c:manualLayout>
      </c:layout>
      <c:lineChart>
        <c:grouping val="standard"/>
        <c:varyColors val="0"/>
        <c:ser>
          <c:idx val="0"/>
          <c:order val="0"/>
          <c:tx>
            <c:strRef>
              <c:f>Age!$B$1</c:f>
              <c:strCache>
                <c:ptCount val="1"/>
                <c:pt idx="0">
                  <c:v>Day -7</c:v>
                </c:pt>
              </c:strCache>
            </c:strRef>
          </c:tx>
          <c:spPr>
            <a:ln w="3492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Age!$A$3:$A$26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Age!$C$3:$C$26</c:f>
              <c:numCache>
                <c:formatCode>General</c:formatCode>
                <c:ptCount val="24"/>
                <c:pt idx="0">
                  <c:v>12100.45</c:v>
                </c:pt>
                <c:pt idx="1">
                  <c:v>5832.79</c:v>
                </c:pt>
                <c:pt idx="2">
                  <c:v>2839.7900000000004</c:v>
                </c:pt>
                <c:pt idx="3">
                  <c:v>1663.6100000000001</c:v>
                </c:pt>
                <c:pt idx="4">
                  <c:v>1204.26</c:v>
                </c:pt>
                <c:pt idx="5">
                  <c:v>2293</c:v>
                </c:pt>
                <c:pt idx="6">
                  <c:v>5974.829999999999</c:v>
                </c:pt>
                <c:pt idx="7">
                  <c:v>11455.17</c:v>
                </c:pt>
                <c:pt idx="8">
                  <c:v>17625.810000000001</c:v>
                </c:pt>
                <c:pt idx="9">
                  <c:v>24656.54</c:v>
                </c:pt>
                <c:pt idx="10">
                  <c:v>30346.639999999999</c:v>
                </c:pt>
                <c:pt idx="11">
                  <c:v>31711.499999999996</c:v>
                </c:pt>
                <c:pt idx="12">
                  <c:v>30276.570000000003</c:v>
                </c:pt>
                <c:pt idx="13">
                  <c:v>27165.040000000001</c:v>
                </c:pt>
                <c:pt idx="14">
                  <c:v>27767.07</c:v>
                </c:pt>
                <c:pt idx="15">
                  <c:v>29006.98</c:v>
                </c:pt>
                <c:pt idx="16">
                  <c:v>29579.14</c:v>
                </c:pt>
                <c:pt idx="17">
                  <c:v>31035.859999999997</c:v>
                </c:pt>
                <c:pt idx="18">
                  <c:v>31978.550000000003</c:v>
                </c:pt>
                <c:pt idx="19">
                  <c:v>44506</c:v>
                </c:pt>
                <c:pt idx="20">
                  <c:v>48572.619999999995</c:v>
                </c:pt>
                <c:pt idx="21">
                  <c:v>45568.260000000009</c:v>
                </c:pt>
                <c:pt idx="22">
                  <c:v>36862.639999999992</c:v>
                </c:pt>
                <c:pt idx="23">
                  <c:v>23424.09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37-47AC-8B2A-3254295B7C83}"/>
            </c:ext>
          </c:extLst>
        </c:ser>
        <c:ser>
          <c:idx val="1"/>
          <c:order val="1"/>
          <c:tx>
            <c:strRef>
              <c:f>Age!$F$1</c:f>
              <c:strCache>
                <c:ptCount val="1"/>
                <c:pt idx="0">
                  <c:v>Day -1</c:v>
                </c:pt>
              </c:strCache>
            </c:strRef>
          </c:tx>
          <c:spPr>
            <a:ln w="3492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val>
            <c:numRef>
              <c:f>Age!$G$3:$G$26</c:f>
              <c:numCache>
                <c:formatCode>General</c:formatCode>
                <c:ptCount val="24"/>
                <c:pt idx="0">
                  <c:v>8377.5999999999985</c:v>
                </c:pt>
                <c:pt idx="1">
                  <c:v>4051.62</c:v>
                </c:pt>
                <c:pt idx="2">
                  <c:v>2056.08</c:v>
                </c:pt>
                <c:pt idx="3">
                  <c:v>1091.8699999999999</c:v>
                </c:pt>
                <c:pt idx="4">
                  <c:v>712.47</c:v>
                </c:pt>
                <c:pt idx="5">
                  <c:v>1188.8900000000001</c:v>
                </c:pt>
                <c:pt idx="6">
                  <c:v>3673.4100000000008</c:v>
                </c:pt>
                <c:pt idx="7">
                  <c:v>8345.75</c:v>
                </c:pt>
                <c:pt idx="8">
                  <c:v>14852.73</c:v>
                </c:pt>
                <c:pt idx="9">
                  <c:v>22503.040000000001</c:v>
                </c:pt>
                <c:pt idx="10">
                  <c:v>28694.770000000004</c:v>
                </c:pt>
                <c:pt idx="11">
                  <c:v>30679.49</c:v>
                </c:pt>
                <c:pt idx="12">
                  <c:v>28760.959999999995</c:v>
                </c:pt>
                <c:pt idx="13">
                  <c:v>24037.29</c:v>
                </c:pt>
                <c:pt idx="14">
                  <c:v>22733.38</c:v>
                </c:pt>
                <c:pt idx="15">
                  <c:v>23586.639999999999</c:v>
                </c:pt>
                <c:pt idx="16">
                  <c:v>25450.43</c:v>
                </c:pt>
                <c:pt idx="17">
                  <c:v>28363.8</c:v>
                </c:pt>
                <c:pt idx="18">
                  <c:v>29810.46</c:v>
                </c:pt>
                <c:pt idx="19">
                  <c:v>43295.61</c:v>
                </c:pt>
                <c:pt idx="20">
                  <c:v>43926.07</c:v>
                </c:pt>
                <c:pt idx="21">
                  <c:v>40189.019999999997</c:v>
                </c:pt>
                <c:pt idx="22">
                  <c:v>29514.62</c:v>
                </c:pt>
                <c:pt idx="23">
                  <c:v>17179.939999999999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37-47AC-8B2A-3254295B7C83}"/>
            </c:ext>
          </c:extLst>
        </c:ser>
        <c:ser>
          <c:idx val="2"/>
          <c:order val="2"/>
          <c:tx>
            <c:strRef>
              <c:f>Age!$J$1</c:f>
              <c:strCache>
                <c:ptCount val="1"/>
                <c:pt idx="0">
                  <c:v>Today</c:v>
                </c:pt>
              </c:strCache>
            </c:strRef>
          </c:tx>
          <c:spPr>
            <a:ln w="3492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Age!$K$3:$K$26</c:f>
              <c:numCache>
                <c:formatCode>General</c:formatCode>
                <c:ptCount val="24"/>
                <c:pt idx="0">
                  <c:v>8687.27</c:v>
                </c:pt>
                <c:pt idx="1">
                  <c:v>4246.68</c:v>
                </c:pt>
                <c:pt idx="2">
                  <c:v>2046.1599999999996</c:v>
                </c:pt>
                <c:pt idx="3">
                  <c:v>1108.6799999999998</c:v>
                </c:pt>
                <c:pt idx="4">
                  <c:v>733.39999999999986</c:v>
                </c:pt>
                <c:pt idx="5">
                  <c:v>1188.25</c:v>
                </c:pt>
                <c:pt idx="6">
                  <c:v>3541.5499999999997</c:v>
                </c:pt>
                <c:pt idx="7">
                  <c:v>8423.81</c:v>
                </c:pt>
                <c:pt idx="8">
                  <c:v>14946.1</c:v>
                </c:pt>
                <c:pt idx="9">
                  <c:v>22720.050000000003</c:v>
                </c:pt>
                <c:pt idx="10">
                  <c:v>29388.879999999997</c:v>
                </c:pt>
                <c:pt idx="11">
                  <c:v>31322.879999999997</c:v>
                </c:pt>
                <c:pt idx="12">
                  <c:v>29392.9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337-47AC-8B2A-3254295B7C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7006704"/>
        <c:axId val="607000464"/>
      </c:lineChart>
      <c:catAx>
        <c:axId val="607006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0464"/>
        <c:crosses val="autoZero"/>
        <c:auto val="1"/>
        <c:lblAlgn val="ctr"/>
        <c:lblOffset val="100"/>
        <c:noMultiLvlLbl val="0"/>
      </c:catAx>
      <c:valAx>
        <c:axId val="60700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Erl Axis 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\ \K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6704"/>
        <c:crosses val="autoZero"/>
        <c:crossBetween val="between"/>
        <c:dispUnits>
          <c:builtInUnit val="thousands"/>
        </c:dispUnits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398630873653765"/>
          <c:y val="0.90508785521397184"/>
          <c:w val="0.77828645345614067"/>
          <c:h val="8.9602409532772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cap="none" spc="0" normalizeH="0" baseline="0">
                <a:solidFill>
                  <a:schemeClr val="tx1"/>
                </a:solidFill>
                <a:latin typeface="+mn-lt"/>
                <a:ea typeface="+mj-ea"/>
                <a:cs typeface="+mj-cs"/>
              </a:defRPr>
            </a:pPr>
            <a:r>
              <a:rPr lang="en-US" sz="1200">
                <a:solidFill>
                  <a:schemeClr val="tx1"/>
                </a:solidFill>
                <a:latin typeface="+mn-lt"/>
              </a:rPr>
              <a:t>MT-2G Call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129892577111923"/>
          <c:y val="0.14751243781094528"/>
          <c:w val="0.81017286826707791"/>
          <c:h val="0.62326673718024062"/>
        </c:manualLayout>
      </c:layout>
      <c:lineChart>
        <c:grouping val="standard"/>
        <c:varyColors val="0"/>
        <c:ser>
          <c:idx val="0"/>
          <c:order val="0"/>
          <c:tx>
            <c:strRef>
              <c:f>Age!$B$1</c:f>
              <c:strCache>
                <c:ptCount val="1"/>
                <c:pt idx="0">
                  <c:v>Day -7</c:v>
                </c:pt>
              </c:strCache>
            </c:strRef>
          </c:tx>
          <c:spPr>
            <a:ln w="3492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Age!$A$3:$A$26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Age!$D$3:$D$26</c:f>
              <c:numCache>
                <c:formatCode>General</c:formatCode>
                <c:ptCount val="24"/>
                <c:pt idx="0">
                  <c:v>27975.730000000003</c:v>
                </c:pt>
                <c:pt idx="1">
                  <c:v>13117.7</c:v>
                </c:pt>
                <c:pt idx="2">
                  <c:v>6494.4299999999994</c:v>
                </c:pt>
                <c:pt idx="3">
                  <c:v>4002.1</c:v>
                </c:pt>
                <c:pt idx="4">
                  <c:v>3350.57</c:v>
                </c:pt>
                <c:pt idx="5">
                  <c:v>8809.7500000000018</c:v>
                </c:pt>
                <c:pt idx="6">
                  <c:v>25866.489999999998</c:v>
                </c:pt>
                <c:pt idx="7">
                  <c:v>46105.320000000007</c:v>
                </c:pt>
                <c:pt idx="8">
                  <c:v>64742.34</c:v>
                </c:pt>
                <c:pt idx="9">
                  <c:v>80476.350000000006</c:v>
                </c:pt>
                <c:pt idx="10">
                  <c:v>88447.450000000012</c:v>
                </c:pt>
                <c:pt idx="11">
                  <c:v>87241.11</c:v>
                </c:pt>
                <c:pt idx="12">
                  <c:v>81731.97</c:v>
                </c:pt>
                <c:pt idx="13">
                  <c:v>74927.02</c:v>
                </c:pt>
                <c:pt idx="14">
                  <c:v>79602.13</c:v>
                </c:pt>
                <c:pt idx="15">
                  <c:v>84279.479999999981</c:v>
                </c:pt>
                <c:pt idx="16">
                  <c:v>85252.589999999982</c:v>
                </c:pt>
                <c:pt idx="17">
                  <c:v>86705.430000000008</c:v>
                </c:pt>
                <c:pt idx="18">
                  <c:v>90401.86</c:v>
                </c:pt>
                <c:pt idx="19">
                  <c:v>140633.65900000001</c:v>
                </c:pt>
                <c:pt idx="20">
                  <c:v>154162.29200000002</c:v>
                </c:pt>
                <c:pt idx="21">
                  <c:v>145938.541</c:v>
                </c:pt>
                <c:pt idx="22">
                  <c:v>110656.45999999999</c:v>
                </c:pt>
                <c:pt idx="23">
                  <c:v>61783.93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08-4960-B8E8-131FD04D9FE6}"/>
            </c:ext>
          </c:extLst>
        </c:ser>
        <c:ser>
          <c:idx val="1"/>
          <c:order val="1"/>
          <c:tx>
            <c:strRef>
              <c:f>Age!$F$1</c:f>
              <c:strCache>
                <c:ptCount val="1"/>
                <c:pt idx="0">
                  <c:v>Day -1</c:v>
                </c:pt>
              </c:strCache>
            </c:strRef>
          </c:tx>
          <c:spPr>
            <a:ln w="3492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val>
            <c:numRef>
              <c:f>Age!$H$3:$H$26</c:f>
              <c:numCache>
                <c:formatCode>General</c:formatCode>
                <c:ptCount val="24"/>
                <c:pt idx="0">
                  <c:v>19653.8</c:v>
                </c:pt>
                <c:pt idx="1">
                  <c:v>9250.1999999999989</c:v>
                </c:pt>
                <c:pt idx="2">
                  <c:v>4637.87</c:v>
                </c:pt>
                <c:pt idx="3">
                  <c:v>2610.23</c:v>
                </c:pt>
                <c:pt idx="4">
                  <c:v>2044.62</c:v>
                </c:pt>
                <c:pt idx="5">
                  <c:v>5261.5999999999995</c:v>
                </c:pt>
                <c:pt idx="6">
                  <c:v>18728.030000000002</c:v>
                </c:pt>
                <c:pt idx="7">
                  <c:v>39079.24</c:v>
                </c:pt>
                <c:pt idx="8">
                  <c:v>60556.679999999993</c:v>
                </c:pt>
                <c:pt idx="9">
                  <c:v>79904.87999999999</c:v>
                </c:pt>
                <c:pt idx="10">
                  <c:v>91186.35</c:v>
                </c:pt>
                <c:pt idx="11">
                  <c:v>90571.38</c:v>
                </c:pt>
                <c:pt idx="12">
                  <c:v>82608.12</c:v>
                </c:pt>
                <c:pt idx="13">
                  <c:v>70890.489999999991</c:v>
                </c:pt>
                <c:pt idx="14">
                  <c:v>70705.899999999994</c:v>
                </c:pt>
                <c:pt idx="15">
                  <c:v>74692.08</c:v>
                </c:pt>
                <c:pt idx="16">
                  <c:v>78331.199999999997</c:v>
                </c:pt>
                <c:pt idx="17">
                  <c:v>84411.97</c:v>
                </c:pt>
                <c:pt idx="18">
                  <c:v>89272.699999999983</c:v>
                </c:pt>
                <c:pt idx="19">
                  <c:v>142834.92000000001</c:v>
                </c:pt>
                <c:pt idx="20">
                  <c:v>143269.70000000001</c:v>
                </c:pt>
                <c:pt idx="21">
                  <c:v>129198.069</c:v>
                </c:pt>
                <c:pt idx="22">
                  <c:v>87020.83</c:v>
                </c:pt>
                <c:pt idx="23">
                  <c:v>44470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08-4960-B8E8-131FD04D9FE6}"/>
            </c:ext>
          </c:extLst>
        </c:ser>
        <c:ser>
          <c:idx val="2"/>
          <c:order val="2"/>
          <c:tx>
            <c:strRef>
              <c:f>Age!$J$1</c:f>
              <c:strCache>
                <c:ptCount val="1"/>
                <c:pt idx="0">
                  <c:v>Today</c:v>
                </c:pt>
              </c:strCache>
            </c:strRef>
          </c:tx>
          <c:spPr>
            <a:ln w="3492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Age!$L$3:$L$26</c:f>
              <c:numCache>
                <c:formatCode>General</c:formatCode>
                <c:ptCount val="24"/>
                <c:pt idx="0">
                  <c:v>20237.350000000002</c:v>
                </c:pt>
                <c:pt idx="1">
                  <c:v>9566.6500000000015</c:v>
                </c:pt>
                <c:pt idx="2">
                  <c:v>4703.0200000000004</c:v>
                </c:pt>
                <c:pt idx="3">
                  <c:v>2689.6400000000003</c:v>
                </c:pt>
                <c:pt idx="4">
                  <c:v>2165.94</c:v>
                </c:pt>
                <c:pt idx="5">
                  <c:v>5127.0199999999995</c:v>
                </c:pt>
                <c:pt idx="6">
                  <c:v>17532.870000000003</c:v>
                </c:pt>
                <c:pt idx="7">
                  <c:v>38320.829999999994</c:v>
                </c:pt>
                <c:pt idx="8">
                  <c:v>60371.75</c:v>
                </c:pt>
                <c:pt idx="9">
                  <c:v>80111.890000000014</c:v>
                </c:pt>
                <c:pt idx="10">
                  <c:v>91491.33</c:v>
                </c:pt>
                <c:pt idx="11">
                  <c:v>91559.9</c:v>
                </c:pt>
                <c:pt idx="12">
                  <c:v>83838.47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08-4960-B8E8-131FD04D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7006704"/>
        <c:axId val="607000464"/>
      </c:lineChart>
      <c:catAx>
        <c:axId val="607006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0464"/>
        <c:crosses val="autoZero"/>
        <c:auto val="1"/>
        <c:lblAlgn val="ctr"/>
        <c:lblOffset val="100"/>
        <c:noMultiLvlLbl val="0"/>
      </c:catAx>
      <c:valAx>
        <c:axId val="60700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Erl Axis 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\ \K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6704"/>
        <c:crosses val="autoZero"/>
        <c:crossBetween val="between"/>
        <c:dispUnits>
          <c:builtInUnit val="thousands"/>
        </c:dispUnits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586176151944142"/>
          <c:y val="0.90508785521397184"/>
          <c:w val="0.73830939335348056"/>
          <c:h val="8.9602409532772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cap="none" spc="0" normalizeH="0" baseline="0">
                <a:solidFill>
                  <a:schemeClr val="tx1"/>
                </a:solidFill>
                <a:latin typeface="+mn-lt"/>
                <a:ea typeface="+mj-ea"/>
                <a:cs typeface="+mj-cs"/>
              </a:defRPr>
            </a:pPr>
            <a:r>
              <a:rPr lang="en-US" sz="1200">
                <a:solidFill>
                  <a:schemeClr val="tx1"/>
                </a:solidFill>
                <a:latin typeface="+mn-lt"/>
              </a:rPr>
              <a:t>MT-3G Call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129892577111923"/>
          <c:y val="0.14751243781094528"/>
          <c:w val="0.81017286826707791"/>
          <c:h val="0.62326673718024062"/>
        </c:manualLayout>
      </c:layout>
      <c:lineChart>
        <c:grouping val="standard"/>
        <c:varyColors val="0"/>
        <c:ser>
          <c:idx val="0"/>
          <c:order val="0"/>
          <c:tx>
            <c:strRef>
              <c:f>Age!$B$1</c:f>
              <c:strCache>
                <c:ptCount val="1"/>
                <c:pt idx="0">
                  <c:v>Day -7</c:v>
                </c:pt>
              </c:strCache>
            </c:strRef>
          </c:tx>
          <c:spPr>
            <a:ln w="3492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Age!$A$3:$A$26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Age!$E$3:$E$26</c:f>
              <c:numCache>
                <c:formatCode>General</c:formatCode>
                <c:ptCount val="24"/>
                <c:pt idx="0">
                  <c:v>10001.86</c:v>
                </c:pt>
                <c:pt idx="1">
                  <c:v>4686.12</c:v>
                </c:pt>
                <c:pt idx="2">
                  <c:v>2345.04</c:v>
                </c:pt>
                <c:pt idx="3">
                  <c:v>1375.43</c:v>
                </c:pt>
                <c:pt idx="4">
                  <c:v>1025.02</c:v>
                </c:pt>
                <c:pt idx="5">
                  <c:v>1833.2399999999998</c:v>
                </c:pt>
                <c:pt idx="6">
                  <c:v>4577.7</c:v>
                </c:pt>
                <c:pt idx="7">
                  <c:v>8856.869999999999</c:v>
                </c:pt>
                <c:pt idx="8">
                  <c:v>14317.150000000003</c:v>
                </c:pt>
                <c:pt idx="9">
                  <c:v>20835.66</c:v>
                </c:pt>
                <c:pt idx="10">
                  <c:v>26275.820000000003</c:v>
                </c:pt>
                <c:pt idx="11">
                  <c:v>28060.850000000002</c:v>
                </c:pt>
                <c:pt idx="12">
                  <c:v>27076.089999999997</c:v>
                </c:pt>
                <c:pt idx="13">
                  <c:v>24492.880000000005</c:v>
                </c:pt>
                <c:pt idx="14">
                  <c:v>24844.37</c:v>
                </c:pt>
                <c:pt idx="15">
                  <c:v>25663.539999999997</c:v>
                </c:pt>
                <c:pt idx="16">
                  <c:v>26018.760000000002</c:v>
                </c:pt>
                <c:pt idx="17">
                  <c:v>27296.03</c:v>
                </c:pt>
                <c:pt idx="18">
                  <c:v>28159.910000000003</c:v>
                </c:pt>
                <c:pt idx="19">
                  <c:v>38619.42</c:v>
                </c:pt>
                <c:pt idx="20">
                  <c:v>41338.100000000006</c:v>
                </c:pt>
                <c:pt idx="21">
                  <c:v>39407.85</c:v>
                </c:pt>
                <c:pt idx="22">
                  <c:v>32301.510000000006</c:v>
                </c:pt>
                <c:pt idx="23">
                  <c:v>20443.810000000001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98-40F4-AA64-323F371C69FB}"/>
            </c:ext>
          </c:extLst>
        </c:ser>
        <c:ser>
          <c:idx val="1"/>
          <c:order val="1"/>
          <c:tx>
            <c:strRef>
              <c:f>Age!$F$1</c:f>
              <c:strCache>
                <c:ptCount val="1"/>
                <c:pt idx="0">
                  <c:v>Day -1</c:v>
                </c:pt>
              </c:strCache>
            </c:strRef>
          </c:tx>
          <c:spPr>
            <a:ln w="3492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val>
            <c:numRef>
              <c:f>Age!$I$3:$I$26</c:f>
              <c:numCache>
                <c:formatCode>General</c:formatCode>
                <c:ptCount val="24"/>
                <c:pt idx="0">
                  <c:v>7182.9899999999989</c:v>
                </c:pt>
                <c:pt idx="1">
                  <c:v>3527.15</c:v>
                </c:pt>
                <c:pt idx="2">
                  <c:v>1726.92</c:v>
                </c:pt>
                <c:pt idx="3">
                  <c:v>904.00000000000011</c:v>
                </c:pt>
                <c:pt idx="4">
                  <c:v>574.7600000000001</c:v>
                </c:pt>
                <c:pt idx="5">
                  <c:v>1020.25</c:v>
                </c:pt>
                <c:pt idx="6">
                  <c:v>2961.4</c:v>
                </c:pt>
                <c:pt idx="7">
                  <c:v>6845.8799999999992</c:v>
                </c:pt>
                <c:pt idx="8">
                  <c:v>12391.22</c:v>
                </c:pt>
                <c:pt idx="9">
                  <c:v>19386.29</c:v>
                </c:pt>
                <c:pt idx="10">
                  <c:v>25403.09</c:v>
                </c:pt>
                <c:pt idx="11">
                  <c:v>27198.460000000003</c:v>
                </c:pt>
                <c:pt idx="12">
                  <c:v>25851.909999999996</c:v>
                </c:pt>
                <c:pt idx="13">
                  <c:v>21697.29</c:v>
                </c:pt>
                <c:pt idx="14">
                  <c:v>20640.93</c:v>
                </c:pt>
                <c:pt idx="15">
                  <c:v>21336.68</c:v>
                </c:pt>
                <c:pt idx="16">
                  <c:v>22577.200000000001</c:v>
                </c:pt>
                <c:pt idx="17">
                  <c:v>24893.68</c:v>
                </c:pt>
                <c:pt idx="18">
                  <c:v>25903.94</c:v>
                </c:pt>
                <c:pt idx="19">
                  <c:v>37004.14</c:v>
                </c:pt>
                <c:pt idx="20">
                  <c:v>37012.699999999997</c:v>
                </c:pt>
                <c:pt idx="21">
                  <c:v>34119.379999999997</c:v>
                </c:pt>
                <c:pt idx="22">
                  <c:v>25281.440000000002</c:v>
                </c:pt>
                <c:pt idx="23">
                  <c:v>14848.280000000002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98-40F4-AA64-323F371C69FB}"/>
            </c:ext>
          </c:extLst>
        </c:ser>
        <c:ser>
          <c:idx val="2"/>
          <c:order val="2"/>
          <c:tx>
            <c:strRef>
              <c:f>Age!$J$1</c:f>
              <c:strCache>
                <c:ptCount val="1"/>
                <c:pt idx="0">
                  <c:v>Today</c:v>
                </c:pt>
              </c:strCache>
            </c:strRef>
          </c:tx>
          <c:spPr>
            <a:ln w="3492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Age!$M$3:$M$26</c:f>
              <c:numCache>
                <c:formatCode>General</c:formatCode>
                <c:ptCount val="24"/>
                <c:pt idx="0">
                  <c:v>7536.0000000000009</c:v>
                </c:pt>
                <c:pt idx="1">
                  <c:v>3510.1499999999996</c:v>
                </c:pt>
                <c:pt idx="2">
                  <c:v>1653.23</c:v>
                </c:pt>
                <c:pt idx="3">
                  <c:v>919.72</c:v>
                </c:pt>
                <c:pt idx="4">
                  <c:v>643.47</c:v>
                </c:pt>
                <c:pt idx="5">
                  <c:v>1018.7900000000001</c:v>
                </c:pt>
                <c:pt idx="6">
                  <c:v>2852.8999999999996</c:v>
                </c:pt>
                <c:pt idx="7">
                  <c:v>6749.14</c:v>
                </c:pt>
                <c:pt idx="8">
                  <c:v>12425.7</c:v>
                </c:pt>
                <c:pt idx="9">
                  <c:v>19474.52</c:v>
                </c:pt>
                <c:pt idx="10">
                  <c:v>25800.09</c:v>
                </c:pt>
                <c:pt idx="11">
                  <c:v>27940.310000000005</c:v>
                </c:pt>
                <c:pt idx="12">
                  <c:v>26304.92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C98-40F4-AA64-323F371C6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7006704"/>
        <c:axId val="607000464"/>
      </c:lineChart>
      <c:catAx>
        <c:axId val="607006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0464"/>
        <c:crosses val="autoZero"/>
        <c:auto val="1"/>
        <c:lblAlgn val="ctr"/>
        <c:lblOffset val="100"/>
        <c:noMultiLvlLbl val="0"/>
      </c:catAx>
      <c:valAx>
        <c:axId val="60700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chemeClr val="tx1"/>
                    </a:solidFill>
                  </a:rPr>
                  <a:t>Erl Axis 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\ \K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6704"/>
        <c:crosses val="autoZero"/>
        <c:crossBetween val="between"/>
        <c:majorUnit val="10000"/>
        <c:dispUnits>
          <c:builtInUnit val="thousands"/>
        </c:dispUnits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062205737410073"/>
          <c:y val="0.91039759046722746"/>
          <c:w val="0.80496446458105497"/>
          <c:h val="8.9602409532772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Age!$O$1</c:f>
          <c:strCache>
            <c:ptCount val="1"/>
            <c:pt idx="0">
              <c:v>MO  2G &amp; 3G  [ 06/08/2020 12:00:00  To  06/08/2020 12:00:00 ]</c:v>
            </c:pt>
          </c:strCache>
        </c:strRef>
      </c:tx>
      <c:layout>
        <c:manualLayout>
          <c:xMode val="edge"/>
          <c:yMode val="edge"/>
          <c:x val="0.26252516826156647"/>
          <c:y val="3.24559161768464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spc="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8039366966615776E-2"/>
          <c:y val="0.12609528068830395"/>
          <c:w val="0.8709528527650543"/>
          <c:h val="0.7322704233750744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Age!$P$2</c:f>
              <c:strCache>
                <c:ptCount val="1"/>
                <c:pt idx="0">
                  <c:v>2G Call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strRef>
              <c:f>Age!$O$3:$O$13</c:f>
              <c:strCache>
                <c:ptCount val="11"/>
                <c:pt idx="0">
                  <c:v>MSKL07</c:v>
                </c:pt>
                <c:pt idx="1">
                  <c:v>MSDH11</c:v>
                </c:pt>
                <c:pt idx="2">
                  <c:v>MSCM01</c:v>
                </c:pt>
                <c:pt idx="3">
                  <c:v>MSKL05</c:v>
                </c:pt>
                <c:pt idx="4">
                  <c:v>MSDH12</c:v>
                </c:pt>
                <c:pt idx="5">
                  <c:v>MSDH13</c:v>
                </c:pt>
                <c:pt idx="6">
                  <c:v>MSBO03</c:v>
                </c:pt>
                <c:pt idx="7">
                  <c:v>MSSL02</c:v>
                </c:pt>
                <c:pt idx="8">
                  <c:v>MSDH14</c:v>
                </c:pt>
                <c:pt idx="9">
                  <c:v>MSDH15</c:v>
                </c:pt>
                <c:pt idx="10">
                  <c:v>MSCT04</c:v>
                </c:pt>
              </c:strCache>
            </c:strRef>
          </c:cat>
          <c:val>
            <c:numRef>
              <c:f>Age!$P$3:$P$13</c:f>
              <c:numCache>
                <c:formatCode>General</c:formatCode>
                <c:ptCount val="11"/>
                <c:pt idx="0">
                  <c:v>1119.8699999999999</c:v>
                </c:pt>
                <c:pt idx="1">
                  <c:v>8612.19</c:v>
                </c:pt>
                <c:pt idx="2">
                  <c:v>2075.85</c:v>
                </c:pt>
                <c:pt idx="3">
                  <c:v>7291.3</c:v>
                </c:pt>
                <c:pt idx="4">
                  <c:v>8620.2199999999993</c:v>
                </c:pt>
                <c:pt idx="5">
                  <c:v>10906.82</c:v>
                </c:pt>
                <c:pt idx="6">
                  <c:v>5916.15</c:v>
                </c:pt>
                <c:pt idx="7">
                  <c:v>7375.84</c:v>
                </c:pt>
                <c:pt idx="8">
                  <c:v>14202.81</c:v>
                </c:pt>
                <c:pt idx="9">
                  <c:v>8924.08</c:v>
                </c:pt>
                <c:pt idx="10">
                  <c:v>8793.34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0-4A35-AA00-A4963F5DE968}"/>
            </c:ext>
          </c:extLst>
        </c:ser>
        <c:ser>
          <c:idx val="1"/>
          <c:order val="1"/>
          <c:tx>
            <c:strRef>
              <c:f>Age!$Q$2</c:f>
              <c:strCache>
                <c:ptCount val="1"/>
                <c:pt idx="0">
                  <c:v>3G Call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Age!$O$3:$O$13</c:f>
              <c:strCache>
                <c:ptCount val="11"/>
                <c:pt idx="0">
                  <c:v>MSKL07</c:v>
                </c:pt>
                <c:pt idx="1">
                  <c:v>MSDH11</c:v>
                </c:pt>
                <c:pt idx="2">
                  <c:v>MSCM01</c:v>
                </c:pt>
                <c:pt idx="3">
                  <c:v>MSKL05</c:v>
                </c:pt>
                <c:pt idx="4">
                  <c:v>MSDH12</c:v>
                </c:pt>
                <c:pt idx="5">
                  <c:v>MSDH13</c:v>
                </c:pt>
                <c:pt idx="6">
                  <c:v>MSBO03</c:v>
                </c:pt>
                <c:pt idx="7">
                  <c:v>MSSL02</c:v>
                </c:pt>
                <c:pt idx="8">
                  <c:v>MSDH14</c:v>
                </c:pt>
                <c:pt idx="9">
                  <c:v>MSDH15</c:v>
                </c:pt>
                <c:pt idx="10">
                  <c:v>MSCT04</c:v>
                </c:pt>
              </c:strCache>
            </c:strRef>
          </c:cat>
          <c:val>
            <c:numRef>
              <c:f>Age!$Q$3:$Q$13</c:f>
              <c:numCache>
                <c:formatCode>General</c:formatCode>
                <c:ptCount val="11"/>
                <c:pt idx="0">
                  <c:v>399.17</c:v>
                </c:pt>
                <c:pt idx="1">
                  <c:v>1788.33</c:v>
                </c:pt>
                <c:pt idx="2">
                  <c:v>1067.22</c:v>
                </c:pt>
                <c:pt idx="3">
                  <c:v>1140.02</c:v>
                </c:pt>
                <c:pt idx="4">
                  <c:v>2390.11</c:v>
                </c:pt>
                <c:pt idx="5">
                  <c:v>2386.16</c:v>
                </c:pt>
                <c:pt idx="6">
                  <c:v>3959.47</c:v>
                </c:pt>
                <c:pt idx="7">
                  <c:v>2752.91</c:v>
                </c:pt>
                <c:pt idx="8">
                  <c:v>2729.92</c:v>
                </c:pt>
                <c:pt idx="9">
                  <c:v>5197.29</c:v>
                </c:pt>
                <c:pt idx="10">
                  <c:v>2494.3200000000002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0-4A35-AA00-A4963F5DE9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7"/>
        <c:overlap val="-43"/>
        <c:axId val="871826272"/>
        <c:axId val="871820864"/>
      </c:barChart>
      <c:catAx>
        <c:axId val="871826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1820864"/>
        <c:crosses val="autoZero"/>
        <c:auto val="1"/>
        <c:lblAlgn val="ctr"/>
        <c:lblOffset val="100"/>
        <c:noMultiLvlLbl val="0"/>
      </c:catAx>
      <c:valAx>
        <c:axId val="87182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50">
                    <a:solidFill>
                      <a:schemeClr val="tx1"/>
                    </a:solidFill>
                  </a:rPr>
                  <a:t>Erl Axis 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\ \K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1826272"/>
        <c:crosses val="autoZero"/>
        <c:crossBetween val="between"/>
        <c:dispUnits>
          <c:builtInUnit val="thousands"/>
        </c:dispUnits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Age!$R$1</c:f>
          <c:strCache>
            <c:ptCount val="1"/>
            <c:pt idx="0">
              <c:v>MT  2G &amp; 3G  [ 06/08/2020 12:00:00  To  06/08/2020 12:00:00 ]</c:v>
            </c:pt>
          </c:strCache>
        </c:strRef>
      </c:tx>
      <c:layout>
        <c:manualLayout>
          <c:xMode val="edge"/>
          <c:yMode val="edge"/>
          <c:x val="0.23610063055022706"/>
          <c:y val="3.52059366037253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spc="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2040037797632659E-2"/>
          <c:y val="0.10981501423377509"/>
          <c:w val="0.87695233165760533"/>
          <c:h val="0.75425317994263852"/>
        </c:manualLayout>
      </c:layout>
      <c:barChart>
        <c:barDir val="col"/>
        <c:grouping val="clustered"/>
        <c:varyColors val="0"/>
        <c:ser>
          <c:idx val="2"/>
          <c:order val="0"/>
          <c:tx>
            <c:strRef>
              <c:f>Age!$S$2</c:f>
              <c:strCache>
                <c:ptCount val="1"/>
                <c:pt idx="0">
                  <c:v>2G Call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Age!$O$3:$O$13</c:f>
              <c:strCache>
                <c:ptCount val="11"/>
                <c:pt idx="0">
                  <c:v>MSKL07</c:v>
                </c:pt>
                <c:pt idx="1">
                  <c:v>MSDH11</c:v>
                </c:pt>
                <c:pt idx="2">
                  <c:v>MSCM01</c:v>
                </c:pt>
                <c:pt idx="3">
                  <c:v>MSKL05</c:v>
                </c:pt>
                <c:pt idx="4">
                  <c:v>MSDH12</c:v>
                </c:pt>
                <c:pt idx="5">
                  <c:v>MSDH13</c:v>
                </c:pt>
                <c:pt idx="6">
                  <c:v>MSBO03</c:v>
                </c:pt>
                <c:pt idx="7">
                  <c:v>MSSL02</c:v>
                </c:pt>
                <c:pt idx="8">
                  <c:v>MSDH14</c:v>
                </c:pt>
                <c:pt idx="9">
                  <c:v>MSDH15</c:v>
                </c:pt>
                <c:pt idx="10">
                  <c:v>MSCT04</c:v>
                </c:pt>
              </c:strCache>
            </c:strRef>
          </c:cat>
          <c:val>
            <c:numRef>
              <c:f>Age!$S$3:$S$13</c:f>
              <c:numCache>
                <c:formatCode>General</c:formatCode>
                <c:ptCount val="11"/>
                <c:pt idx="0">
                  <c:v>1167.6600000000001</c:v>
                </c:pt>
                <c:pt idx="1">
                  <c:v>8744.3700000000008</c:v>
                </c:pt>
                <c:pt idx="2">
                  <c:v>2517.54</c:v>
                </c:pt>
                <c:pt idx="3">
                  <c:v>6636.53</c:v>
                </c:pt>
                <c:pt idx="4">
                  <c:v>7697.27</c:v>
                </c:pt>
                <c:pt idx="5">
                  <c:v>9774.99</c:v>
                </c:pt>
                <c:pt idx="6">
                  <c:v>7088.27</c:v>
                </c:pt>
                <c:pt idx="7">
                  <c:v>7359.46</c:v>
                </c:pt>
                <c:pt idx="8">
                  <c:v>13324.31</c:v>
                </c:pt>
                <c:pt idx="9">
                  <c:v>9996.64</c:v>
                </c:pt>
                <c:pt idx="10">
                  <c:v>10314.57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30-4666-9621-896555CC20B6}"/>
            </c:ext>
          </c:extLst>
        </c:ser>
        <c:ser>
          <c:idx val="3"/>
          <c:order val="1"/>
          <c:tx>
            <c:strRef>
              <c:f>Age!$T$2</c:f>
              <c:strCache>
                <c:ptCount val="1"/>
                <c:pt idx="0">
                  <c:v>3G Call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Age!$O$3:$O$13</c:f>
              <c:strCache>
                <c:ptCount val="11"/>
                <c:pt idx="0">
                  <c:v>MSKL07</c:v>
                </c:pt>
                <c:pt idx="1">
                  <c:v>MSDH11</c:v>
                </c:pt>
                <c:pt idx="2">
                  <c:v>MSCM01</c:v>
                </c:pt>
                <c:pt idx="3">
                  <c:v>MSKL05</c:v>
                </c:pt>
                <c:pt idx="4">
                  <c:v>MSDH12</c:v>
                </c:pt>
                <c:pt idx="5">
                  <c:v>MSDH13</c:v>
                </c:pt>
                <c:pt idx="6">
                  <c:v>MSBO03</c:v>
                </c:pt>
                <c:pt idx="7">
                  <c:v>MSSL02</c:v>
                </c:pt>
                <c:pt idx="8">
                  <c:v>MSDH14</c:v>
                </c:pt>
                <c:pt idx="9">
                  <c:v>MSDH15</c:v>
                </c:pt>
                <c:pt idx="10">
                  <c:v>MSCT04</c:v>
                </c:pt>
              </c:strCache>
            </c:strRef>
          </c:cat>
          <c:val>
            <c:numRef>
              <c:f>Age!$T$3:$T$13</c:f>
              <c:numCache>
                <c:formatCode>General</c:formatCode>
                <c:ptCount val="11"/>
                <c:pt idx="0">
                  <c:v>499.74</c:v>
                </c:pt>
                <c:pt idx="1">
                  <c:v>2066.87</c:v>
                </c:pt>
                <c:pt idx="2">
                  <c:v>1376.27</c:v>
                </c:pt>
                <c:pt idx="3">
                  <c:v>1117.76</c:v>
                </c:pt>
                <c:pt idx="4">
                  <c:v>2706.26</c:v>
                </c:pt>
                <c:pt idx="5">
                  <c:v>2764.59</c:v>
                </c:pt>
                <c:pt idx="6">
                  <c:v>4797.91</c:v>
                </c:pt>
                <c:pt idx="7">
                  <c:v>2823.72</c:v>
                </c:pt>
                <c:pt idx="8">
                  <c:v>2537.11</c:v>
                </c:pt>
                <c:pt idx="9">
                  <c:v>5702.02</c:v>
                </c:pt>
                <c:pt idx="10">
                  <c:v>3000.65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30-4666-9621-896555CC2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7"/>
        <c:overlap val="-43"/>
        <c:axId val="871826272"/>
        <c:axId val="871820864"/>
      </c:barChart>
      <c:catAx>
        <c:axId val="871826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1820864"/>
        <c:crosses val="autoZero"/>
        <c:auto val="1"/>
        <c:lblAlgn val="ctr"/>
        <c:lblOffset val="100"/>
        <c:noMultiLvlLbl val="0"/>
      </c:catAx>
      <c:valAx>
        <c:axId val="87182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chemeClr val="tx1"/>
                    </a:solidFill>
                  </a:rPr>
                  <a:t>Erl Axis 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\ \K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1826272"/>
        <c:crosses val="autoZero"/>
        <c:crossBetween val="between"/>
        <c:dispUnits>
          <c:builtInUnit val="thousands"/>
        </c:dispUnits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Age!$B$29</c:f>
          <c:strCache>
            <c:ptCount val="1"/>
            <c:pt idx="0">
              <c:v>MO 2G &amp; 3G Calls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129892577111923"/>
          <c:y val="0.14751243781094528"/>
          <c:w val="0.81017286826707791"/>
          <c:h val="0.62326673718024062"/>
        </c:manualLayout>
      </c:layout>
      <c:lineChart>
        <c:grouping val="standard"/>
        <c:varyColors val="0"/>
        <c:ser>
          <c:idx val="0"/>
          <c:order val="0"/>
          <c:tx>
            <c:strRef>
              <c:f>Age!$B$1</c:f>
              <c:strCache>
                <c:ptCount val="1"/>
                <c:pt idx="0">
                  <c:v>Day -7</c:v>
                </c:pt>
              </c:strCache>
            </c:strRef>
          </c:tx>
          <c:spPr>
            <a:ln w="3492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Age!$A$31:$A$54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Age!$B$31:$B$54</c:f>
              <c:numCache>
                <c:formatCode>General</c:formatCode>
                <c:ptCount val="24"/>
                <c:pt idx="0">
                  <c:v>39851.39</c:v>
                </c:pt>
                <c:pt idx="1">
                  <c:v>18673.04</c:v>
                </c:pt>
                <c:pt idx="2">
                  <c:v>9123.27</c:v>
                </c:pt>
                <c:pt idx="3">
                  <c:v>5539.59</c:v>
                </c:pt>
                <c:pt idx="4">
                  <c:v>4521.38</c:v>
                </c:pt>
                <c:pt idx="5">
                  <c:v>11429.639999999998</c:v>
                </c:pt>
                <c:pt idx="6">
                  <c:v>33436.129999999997</c:v>
                </c:pt>
                <c:pt idx="7">
                  <c:v>60337.68</c:v>
                </c:pt>
                <c:pt idx="8">
                  <c:v>84556.549999999988</c:v>
                </c:pt>
                <c:pt idx="9">
                  <c:v>106742.10999999999</c:v>
                </c:pt>
                <c:pt idx="10">
                  <c:v>119201.51999999999</c:v>
                </c:pt>
                <c:pt idx="11">
                  <c:v>118972.04000000002</c:v>
                </c:pt>
                <c:pt idx="12">
                  <c:v>111900.17</c:v>
                </c:pt>
                <c:pt idx="13">
                  <c:v>101775.62</c:v>
                </c:pt>
                <c:pt idx="14">
                  <c:v>107995.51999999999</c:v>
                </c:pt>
                <c:pt idx="15">
                  <c:v>113656.59999999999</c:v>
                </c:pt>
                <c:pt idx="16">
                  <c:v>114434.18000000001</c:v>
                </c:pt>
                <c:pt idx="17">
                  <c:v>117233.45</c:v>
                </c:pt>
                <c:pt idx="18">
                  <c:v>121784.27</c:v>
                </c:pt>
                <c:pt idx="19">
                  <c:v>186187.821</c:v>
                </c:pt>
                <c:pt idx="20">
                  <c:v>202585.27199999997</c:v>
                </c:pt>
                <c:pt idx="21">
                  <c:v>191948.33000000002</c:v>
                </c:pt>
                <c:pt idx="22">
                  <c:v>147886.40899999999</c:v>
                </c:pt>
                <c:pt idx="23">
                  <c:v>85112.819999999992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29-451C-89E4-D8DD51DC410D}"/>
            </c:ext>
          </c:extLst>
        </c:ser>
        <c:ser>
          <c:idx val="1"/>
          <c:order val="1"/>
          <c:tx>
            <c:strRef>
              <c:f>Age!$F$1</c:f>
              <c:strCache>
                <c:ptCount val="1"/>
                <c:pt idx="0">
                  <c:v>Day -1</c:v>
                </c:pt>
              </c:strCache>
            </c:strRef>
          </c:tx>
          <c:spPr>
            <a:ln w="3492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Age!$A$31:$A$54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Age!$E$31:$E$54</c:f>
              <c:numCache>
                <c:formatCode>General</c:formatCode>
                <c:ptCount val="24"/>
                <c:pt idx="0">
                  <c:v>27659.649999999998</c:v>
                </c:pt>
                <c:pt idx="1">
                  <c:v>12928.07</c:v>
                </c:pt>
                <c:pt idx="2">
                  <c:v>6414.5499999999993</c:v>
                </c:pt>
                <c:pt idx="3">
                  <c:v>3525.77</c:v>
                </c:pt>
                <c:pt idx="4">
                  <c:v>2667.78</c:v>
                </c:pt>
                <c:pt idx="5">
                  <c:v>6585.72</c:v>
                </c:pt>
                <c:pt idx="6">
                  <c:v>23449.22</c:v>
                </c:pt>
                <c:pt idx="7">
                  <c:v>49897.87</c:v>
                </c:pt>
                <c:pt idx="8">
                  <c:v>78617.48</c:v>
                </c:pt>
                <c:pt idx="9">
                  <c:v>105396.5</c:v>
                </c:pt>
                <c:pt idx="10">
                  <c:v>121468.45</c:v>
                </c:pt>
                <c:pt idx="11">
                  <c:v>121633.02</c:v>
                </c:pt>
                <c:pt idx="12">
                  <c:v>111739.15999999999</c:v>
                </c:pt>
                <c:pt idx="13">
                  <c:v>95398.22</c:v>
                </c:pt>
                <c:pt idx="14">
                  <c:v>94309.930000000008</c:v>
                </c:pt>
                <c:pt idx="15">
                  <c:v>98705.819999999992</c:v>
                </c:pt>
                <c:pt idx="16">
                  <c:v>103649.87</c:v>
                </c:pt>
                <c:pt idx="17">
                  <c:v>113028.37000000001</c:v>
                </c:pt>
                <c:pt idx="18">
                  <c:v>119512.76000000001</c:v>
                </c:pt>
                <c:pt idx="19">
                  <c:v>190126.87</c:v>
                </c:pt>
                <c:pt idx="20">
                  <c:v>189375.75800000003</c:v>
                </c:pt>
                <c:pt idx="21">
                  <c:v>171513.94</c:v>
                </c:pt>
                <c:pt idx="22">
                  <c:v>117224.95</c:v>
                </c:pt>
                <c:pt idx="23">
                  <c:v>61760.739999999991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29-451C-89E4-D8DD51DC410D}"/>
            </c:ext>
          </c:extLst>
        </c:ser>
        <c:ser>
          <c:idx val="2"/>
          <c:order val="2"/>
          <c:tx>
            <c:strRef>
              <c:f>Age!$J$1</c:f>
              <c:strCache>
                <c:ptCount val="1"/>
                <c:pt idx="0">
                  <c:v>Today</c:v>
                </c:pt>
              </c:strCache>
            </c:strRef>
          </c:tx>
          <c:spPr>
            <a:ln w="3492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Age!$A$31:$A$54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Age!$H$31:$H$54</c:f>
              <c:numCache>
                <c:formatCode>General</c:formatCode>
                <c:ptCount val="24"/>
                <c:pt idx="0">
                  <c:v>28409.4</c:v>
                </c:pt>
                <c:pt idx="1">
                  <c:v>13435.09</c:v>
                </c:pt>
                <c:pt idx="2">
                  <c:v>6471.7099999999991</c:v>
                </c:pt>
                <c:pt idx="3">
                  <c:v>3631.5699999999997</c:v>
                </c:pt>
                <c:pt idx="4">
                  <c:v>2841.33</c:v>
                </c:pt>
                <c:pt idx="5">
                  <c:v>6426.1999999999989</c:v>
                </c:pt>
                <c:pt idx="6">
                  <c:v>22207.300000000003</c:v>
                </c:pt>
                <c:pt idx="7">
                  <c:v>49116.56</c:v>
                </c:pt>
                <c:pt idx="8">
                  <c:v>78467.87</c:v>
                </c:pt>
                <c:pt idx="9">
                  <c:v>105286.43000000002</c:v>
                </c:pt>
                <c:pt idx="10">
                  <c:v>122390.06</c:v>
                </c:pt>
                <c:pt idx="11">
                  <c:v>123661.75</c:v>
                </c:pt>
                <c:pt idx="12">
                  <c:v>114014.51000000001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29-451C-89E4-D8DD51DC41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7006704"/>
        <c:axId val="607000464"/>
      </c:lineChart>
      <c:catAx>
        <c:axId val="607006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0464"/>
        <c:crosses val="autoZero"/>
        <c:auto val="1"/>
        <c:lblAlgn val="ctr"/>
        <c:lblOffset val="100"/>
        <c:noMultiLvlLbl val="0"/>
      </c:catAx>
      <c:valAx>
        <c:axId val="60700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Erl Axis 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\ \K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6704"/>
        <c:crosses val="autoZero"/>
        <c:crossBetween val="between"/>
        <c:dispUnits>
          <c:builtInUnit val="thousands"/>
        </c:dispUnits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6071979113575138"/>
          <c:y val="0.90508785521397184"/>
          <c:w val="0.76574688731940199"/>
          <c:h val="8.9602409532772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Age!$C$29</c:f>
          <c:strCache>
            <c:ptCount val="1"/>
            <c:pt idx="0">
              <c:v>MT 2G &amp; 3G Calls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129892577111923"/>
          <c:y val="0.14751243781094528"/>
          <c:w val="0.81017286826707791"/>
          <c:h val="0.62326673718024062"/>
        </c:manualLayout>
      </c:layout>
      <c:lineChart>
        <c:grouping val="standard"/>
        <c:varyColors val="0"/>
        <c:ser>
          <c:idx val="0"/>
          <c:order val="0"/>
          <c:tx>
            <c:strRef>
              <c:f>Age!$B$1</c:f>
              <c:strCache>
                <c:ptCount val="1"/>
                <c:pt idx="0">
                  <c:v>Day -7</c:v>
                </c:pt>
              </c:strCache>
            </c:strRef>
          </c:tx>
          <c:spPr>
            <a:ln w="3492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Age!$A$31:$A$54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Age!$C$31:$C$54</c:f>
              <c:numCache>
                <c:formatCode>General</c:formatCode>
                <c:ptCount val="24"/>
                <c:pt idx="0">
                  <c:v>37977.590000000004</c:v>
                </c:pt>
                <c:pt idx="1">
                  <c:v>17803.82</c:v>
                </c:pt>
                <c:pt idx="2">
                  <c:v>8839.4699999999993</c:v>
                </c:pt>
                <c:pt idx="3">
                  <c:v>5377.53</c:v>
                </c:pt>
                <c:pt idx="4">
                  <c:v>4375.59</c:v>
                </c:pt>
                <c:pt idx="5">
                  <c:v>10642.990000000002</c:v>
                </c:pt>
                <c:pt idx="6">
                  <c:v>30444.19</c:v>
                </c:pt>
                <c:pt idx="7">
                  <c:v>54962.19</c:v>
                </c:pt>
                <c:pt idx="8">
                  <c:v>79059.490000000005</c:v>
                </c:pt>
                <c:pt idx="9">
                  <c:v>101312.01000000001</c:v>
                </c:pt>
                <c:pt idx="10">
                  <c:v>114723.27000000002</c:v>
                </c:pt>
                <c:pt idx="11">
                  <c:v>115301.96</c:v>
                </c:pt>
                <c:pt idx="12">
                  <c:v>108808.06</c:v>
                </c:pt>
                <c:pt idx="13">
                  <c:v>99419.900000000009</c:v>
                </c:pt>
                <c:pt idx="14">
                  <c:v>104446.5</c:v>
                </c:pt>
                <c:pt idx="15">
                  <c:v>109943.01999999997</c:v>
                </c:pt>
                <c:pt idx="16">
                  <c:v>111271.34999999998</c:v>
                </c:pt>
                <c:pt idx="17">
                  <c:v>114001.46</c:v>
                </c:pt>
                <c:pt idx="18">
                  <c:v>118561.77</c:v>
                </c:pt>
                <c:pt idx="19">
                  <c:v>179253.07900000003</c:v>
                </c:pt>
                <c:pt idx="20">
                  <c:v>195500.39200000002</c:v>
                </c:pt>
                <c:pt idx="21">
                  <c:v>185346.391</c:v>
                </c:pt>
                <c:pt idx="22">
                  <c:v>142957.97</c:v>
                </c:pt>
                <c:pt idx="23">
                  <c:v>82227.740000000005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11-4EBA-93FE-ED6D84AC6448}"/>
            </c:ext>
          </c:extLst>
        </c:ser>
        <c:ser>
          <c:idx val="1"/>
          <c:order val="1"/>
          <c:tx>
            <c:strRef>
              <c:f>Age!$F$1</c:f>
              <c:strCache>
                <c:ptCount val="1"/>
                <c:pt idx="0">
                  <c:v>Day -1</c:v>
                </c:pt>
              </c:strCache>
            </c:strRef>
          </c:tx>
          <c:spPr>
            <a:ln w="3492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Age!$A$31:$A$54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Age!$F$31:$F$54</c:f>
              <c:numCache>
                <c:formatCode>General</c:formatCode>
                <c:ptCount val="24"/>
                <c:pt idx="0">
                  <c:v>26836.789999999997</c:v>
                </c:pt>
                <c:pt idx="1">
                  <c:v>12777.349999999999</c:v>
                </c:pt>
                <c:pt idx="2">
                  <c:v>6364.79</c:v>
                </c:pt>
                <c:pt idx="3">
                  <c:v>3514.23</c:v>
                </c:pt>
                <c:pt idx="4">
                  <c:v>2619.38</c:v>
                </c:pt>
                <c:pt idx="5">
                  <c:v>6281.8499999999995</c:v>
                </c:pt>
                <c:pt idx="6">
                  <c:v>21689.430000000004</c:v>
                </c:pt>
                <c:pt idx="7">
                  <c:v>45925.119999999995</c:v>
                </c:pt>
                <c:pt idx="8">
                  <c:v>72947.899999999994</c:v>
                </c:pt>
                <c:pt idx="9">
                  <c:v>99291.169999999984</c:v>
                </c:pt>
                <c:pt idx="10">
                  <c:v>116589.44</c:v>
                </c:pt>
                <c:pt idx="11">
                  <c:v>117769.84000000001</c:v>
                </c:pt>
                <c:pt idx="12">
                  <c:v>108460.03</c:v>
                </c:pt>
                <c:pt idx="13">
                  <c:v>92587.78</c:v>
                </c:pt>
                <c:pt idx="14">
                  <c:v>91346.829999999987</c:v>
                </c:pt>
                <c:pt idx="15">
                  <c:v>96028.760000000009</c:v>
                </c:pt>
                <c:pt idx="16">
                  <c:v>100908.4</c:v>
                </c:pt>
                <c:pt idx="17">
                  <c:v>109305.65</c:v>
                </c:pt>
                <c:pt idx="18">
                  <c:v>115176.63999999998</c:v>
                </c:pt>
                <c:pt idx="19">
                  <c:v>179839.06</c:v>
                </c:pt>
                <c:pt idx="20">
                  <c:v>180282.40000000002</c:v>
                </c:pt>
                <c:pt idx="21">
                  <c:v>163317.44899999999</c:v>
                </c:pt>
                <c:pt idx="22">
                  <c:v>112302.27</c:v>
                </c:pt>
                <c:pt idx="23">
                  <c:v>59318.28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411-4EBA-93FE-ED6D84AC6448}"/>
            </c:ext>
          </c:extLst>
        </c:ser>
        <c:ser>
          <c:idx val="2"/>
          <c:order val="2"/>
          <c:tx>
            <c:strRef>
              <c:f>Age!$J$1</c:f>
              <c:strCache>
                <c:ptCount val="1"/>
                <c:pt idx="0">
                  <c:v>Today</c:v>
                </c:pt>
              </c:strCache>
            </c:strRef>
          </c:tx>
          <c:spPr>
            <a:ln w="3492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Age!$A$31:$A$54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Age!$I$31:$I$54</c:f>
              <c:numCache>
                <c:formatCode>General</c:formatCode>
                <c:ptCount val="24"/>
                <c:pt idx="0">
                  <c:v>27773.350000000002</c:v>
                </c:pt>
                <c:pt idx="1">
                  <c:v>13076.800000000001</c:v>
                </c:pt>
                <c:pt idx="2">
                  <c:v>6356.25</c:v>
                </c:pt>
                <c:pt idx="3">
                  <c:v>3609.3600000000006</c:v>
                </c:pt>
                <c:pt idx="4">
                  <c:v>2809.41</c:v>
                </c:pt>
                <c:pt idx="5">
                  <c:v>6145.8099999999995</c:v>
                </c:pt>
                <c:pt idx="6">
                  <c:v>20385.770000000004</c:v>
                </c:pt>
                <c:pt idx="7">
                  <c:v>45069.969999999994</c:v>
                </c:pt>
                <c:pt idx="8">
                  <c:v>72797.45</c:v>
                </c:pt>
                <c:pt idx="9">
                  <c:v>99586.410000000018</c:v>
                </c:pt>
                <c:pt idx="10">
                  <c:v>117291.42</c:v>
                </c:pt>
                <c:pt idx="11">
                  <c:v>119500.20999999999</c:v>
                </c:pt>
                <c:pt idx="12">
                  <c:v>110143.39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411-4EBA-93FE-ED6D84AC64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7006704"/>
        <c:axId val="607000464"/>
      </c:lineChart>
      <c:catAx>
        <c:axId val="607006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0464"/>
        <c:crosses val="autoZero"/>
        <c:auto val="1"/>
        <c:lblAlgn val="ctr"/>
        <c:lblOffset val="100"/>
        <c:noMultiLvlLbl val="0"/>
      </c:catAx>
      <c:valAx>
        <c:axId val="60700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Erl Axis 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\ \K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6704"/>
        <c:crosses val="autoZero"/>
        <c:crossBetween val="between"/>
        <c:dispUnits>
          <c:builtInUnit val="thousands"/>
        </c:dispUnits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7655381484783575"/>
          <c:y val="0.90508785521397184"/>
          <c:w val="0.74202038843940732"/>
          <c:h val="8.9602409532772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Age!$D$56</c:f>
          <c:strCache>
            <c:ptCount val="1"/>
            <c:pt idx="0">
              <c:v>CS Core Status  [ 30/07/2020 00:00:00   TO   06/08/2020 12:00:00 ]</c:v>
            </c:pt>
          </c:strCache>
        </c:strRef>
      </c:tx>
      <c:layout>
        <c:manualLayout>
          <c:xMode val="edge"/>
          <c:yMode val="edge"/>
          <c:x val="0.36364217354705852"/>
          <c:y val="4.31287624910511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2107827610995896E-2"/>
          <c:y val="0.15043715846994538"/>
          <c:w val="0.87688438694769089"/>
          <c:h val="0.68705952265213455"/>
        </c:manualLayout>
      </c:layout>
      <c:barChart>
        <c:barDir val="col"/>
        <c:grouping val="clustered"/>
        <c:varyColors val="0"/>
        <c:ser>
          <c:idx val="2"/>
          <c:order val="0"/>
          <c:tx>
            <c:strRef>
              <c:f>Age!$E$57</c:f>
              <c:strCache>
                <c:ptCount val="1"/>
                <c:pt idx="0">
                  <c:v>MO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4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Age!$B$58:$B$60</c:f>
              <c:strCache>
                <c:ptCount val="3"/>
                <c:pt idx="0">
                  <c:v>Day -7 [24 Hrs]</c:v>
                </c:pt>
                <c:pt idx="1">
                  <c:v>Day -1 [24 Hrs]</c:v>
                </c:pt>
                <c:pt idx="2">
                  <c:v>Today</c:v>
                </c:pt>
              </c:strCache>
            </c:strRef>
          </c:cat>
          <c:val>
            <c:numRef>
              <c:f>Age!$E$58:$E$60</c:f>
              <c:numCache>
                <c:formatCode>General</c:formatCode>
                <c:ptCount val="3"/>
                <c:pt idx="0">
                  <c:v>2214884.8019999997</c:v>
                </c:pt>
                <c:pt idx="1">
                  <c:v>2026590.4680000006</c:v>
                </c:pt>
                <c:pt idx="2">
                  <c:v>676359.78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D-4EA9-A257-4EEE259E8D42}"/>
            </c:ext>
          </c:extLst>
        </c:ser>
        <c:ser>
          <c:idx val="3"/>
          <c:order val="1"/>
          <c:tx>
            <c:strRef>
              <c:f>Age!$F$57</c:f>
              <c:strCache>
                <c:ptCount val="1"/>
                <c:pt idx="0">
                  <c:v>MT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1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Age!$B$58:$B$60</c:f>
              <c:strCache>
                <c:ptCount val="3"/>
                <c:pt idx="0">
                  <c:v>Day -7 [24 Hrs]</c:v>
                </c:pt>
                <c:pt idx="1">
                  <c:v>Day -1 [24 Hrs]</c:v>
                </c:pt>
                <c:pt idx="2">
                  <c:v>Today</c:v>
                </c:pt>
              </c:strCache>
            </c:strRef>
          </c:cat>
          <c:val>
            <c:numRef>
              <c:f>Age!$F$58:$F$60</c:f>
              <c:numCache>
                <c:formatCode>General</c:formatCode>
                <c:ptCount val="3"/>
                <c:pt idx="0">
                  <c:v>2132557.7320000003</c:v>
                </c:pt>
                <c:pt idx="1">
                  <c:v>1941480.8389999995</c:v>
                </c:pt>
                <c:pt idx="2">
                  <c:v>644545.60000000009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D-4EA9-A257-4EEE259E8D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7"/>
        <c:overlap val="-43"/>
        <c:axId val="871826272"/>
        <c:axId val="871820864"/>
      </c:barChart>
      <c:catAx>
        <c:axId val="871826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cap="none" spc="0" normalizeH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1820864"/>
        <c:crosses val="autoZero"/>
        <c:auto val="1"/>
        <c:lblAlgn val="ctr"/>
        <c:lblOffset val="100"/>
        <c:noMultiLvlLbl val="0"/>
      </c:catAx>
      <c:valAx>
        <c:axId val="87182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0">
                    <a:solidFill>
                      <a:schemeClr val="tx1"/>
                    </a:solidFill>
                  </a:rPr>
                  <a:t>Erl Axis 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\ \K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1826272"/>
        <c:crosses val="autoZero"/>
        <c:crossBetween val="between"/>
        <c:dispUnits>
          <c:builtInUnit val="thousands"/>
        </c:dispUnits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Trend!$G$1</c:f>
          <c:strCache>
            <c:ptCount val="1"/>
            <c:pt idx="0">
              <c:v>MO 2G Pool-1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129892577111923"/>
          <c:y val="0.14751243781094528"/>
          <c:w val="0.81017286826707791"/>
          <c:h val="0.62326673718024062"/>
        </c:manualLayout>
      </c:layout>
      <c:lineChart>
        <c:grouping val="standard"/>
        <c:varyColors val="0"/>
        <c:ser>
          <c:idx val="0"/>
          <c:order val="0"/>
          <c:tx>
            <c:strRef>
              <c:f>Age!$B$1</c:f>
              <c:strCache>
                <c:ptCount val="1"/>
                <c:pt idx="0">
                  <c:v>Day -7</c:v>
                </c:pt>
              </c:strCache>
            </c:strRef>
          </c:tx>
          <c:spPr>
            <a:ln w="3492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Trend!$A$2:$A$25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Trend!$U$2:$U$25</c:f>
              <c:numCache>
                <c:formatCode>General</c:formatCode>
                <c:ptCount val="24"/>
                <c:pt idx="0">
                  <c:v>15425.809999999998</c:v>
                </c:pt>
                <c:pt idx="1">
                  <c:v>7431.32</c:v>
                </c:pt>
                <c:pt idx="2">
                  <c:v>3887.1600000000003</c:v>
                </c:pt>
                <c:pt idx="3">
                  <c:v>2620.7600000000002</c:v>
                </c:pt>
                <c:pt idx="4">
                  <c:v>1719.6799999999998</c:v>
                </c:pt>
                <c:pt idx="5">
                  <c:v>5242.28</c:v>
                </c:pt>
                <c:pt idx="6">
                  <c:v>16266.76</c:v>
                </c:pt>
                <c:pt idx="7">
                  <c:v>26234.730000000003</c:v>
                </c:pt>
                <c:pt idx="8">
                  <c:v>43795.99</c:v>
                </c:pt>
                <c:pt idx="9">
                  <c:v>51190.03</c:v>
                </c:pt>
                <c:pt idx="10">
                  <c:v>53104.94</c:v>
                </c:pt>
                <c:pt idx="11">
                  <c:v>45439.15</c:v>
                </c:pt>
                <c:pt idx="12">
                  <c:v>49619.94</c:v>
                </c:pt>
                <c:pt idx="13">
                  <c:v>41283.39</c:v>
                </c:pt>
                <c:pt idx="14">
                  <c:v>52958.57</c:v>
                </c:pt>
                <c:pt idx="15">
                  <c:v>52958.350000000006</c:v>
                </c:pt>
                <c:pt idx="16">
                  <c:v>44348.810000000005</c:v>
                </c:pt>
                <c:pt idx="17">
                  <c:v>49491.08</c:v>
                </c:pt>
                <c:pt idx="18">
                  <c:v>51118.479999999996</c:v>
                </c:pt>
                <c:pt idx="19">
                  <c:v>82170.350000000006</c:v>
                </c:pt>
                <c:pt idx="20">
                  <c:v>97334.661000000007</c:v>
                </c:pt>
                <c:pt idx="21">
                  <c:v>81816.318999999989</c:v>
                </c:pt>
                <c:pt idx="22">
                  <c:v>62514.728999999999</c:v>
                </c:pt>
                <c:pt idx="23">
                  <c:v>28981.75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61-4070-B2ED-BDD05D0F79C9}"/>
            </c:ext>
          </c:extLst>
        </c:ser>
        <c:ser>
          <c:idx val="1"/>
          <c:order val="1"/>
          <c:tx>
            <c:strRef>
              <c:f>Age!$F$1</c:f>
              <c:strCache>
                <c:ptCount val="1"/>
                <c:pt idx="0">
                  <c:v>Day -1</c:v>
                </c:pt>
              </c:strCache>
            </c:strRef>
          </c:tx>
          <c:spPr>
            <a:ln w="3492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Trend!$A$2:$A$25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Trend!$U$26:$U$49</c:f>
              <c:numCache>
                <c:formatCode>General</c:formatCode>
                <c:ptCount val="24"/>
                <c:pt idx="0">
                  <c:v>11094.41</c:v>
                </c:pt>
                <c:pt idx="1">
                  <c:v>5559.0599999999995</c:v>
                </c:pt>
                <c:pt idx="2">
                  <c:v>2822.5899999999997</c:v>
                </c:pt>
                <c:pt idx="3">
                  <c:v>1325.68</c:v>
                </c:pt>
                <c:pt idx="4">
                  <c:v>1029.7399999999998</c:v>
                </c:pt>
                <c:pt idx="5">
                  <c:v>3316.5</c:v>
                </c:pt>
                <c:pt idx="6">
                  <c:v>14888.179999999998</c:v>
                </c:pt>
                <c:pt idx="7">
                  <c:v>25805.699999999997</c:v>
                </c:pt>
                <c:pt idx="8">
                  <c:v>37753.929999999993</c:v>
                </c:pt>
                <c:pt idx="9">
                  <c:v>45538.400000000001</c:v>
                </c:pt>
                <c:pt idx="10">
                  <c:v>46439.26999999999</c:v>
                </c:pt>
                <c:pt idx="11">
                  <c:v>47356</c:v>
                </c:pt>
                <c:pt idx="12">
                  <c:v>52670.92</c:v>
                </c:pt>
                <c:pt idx="13">
                  <c:v>50600.34</c:v>
                </c:pt>
                <c:pt idx="14">
                  <c:v>38917.550000000003</c:v>
                </c:pt>
                <c:pt idx="15">
                  <c:v>38779.5</c:v>
                </c:pt>
                <c:pt idx="16">
                  <c:v>41913.130000000005</c:v>
                </c:pt>
                <c:pt idx="17">
                  <c:v>50162.03</c:v>
                </c:pt>
                <c:pt idx="18">
                  <c:v>63524.94</c:v>
                </c:pt>
                <c:pt idx="19">
                  <c:v>82317.929999999993</c:v>
                </c:pt>
                <c:pt idx="20">
                  <c:v>76927.668999999994</c:v>
                </c:pt>
                <c:pt idx="21">
                  <c:v>77635.490000000005</c:v>
                </c:pt>
                <c:pt idx="22">
                  <c:v>50822.539999999994</c:v>
                </c:pt>
                <c:pt idx="23">
                  <c:v>29367.38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61-4070-B2ED-BDD05D0F79C9}"/>
            </c:ext>
          </c:extLst>
        </c:ser>
        <c:ser>
          <c:idx val="2"/>
          <c:order val="2"/>
          <c:tx>
            <c:strRef>
              <c:f>Age!$J$1</c:f>
              <c:strCache>
                <c:ptCount val="1"/>
                <c:pt idx="0">
                  <c:v>Today</c:v>
                </c:pt>
              </c:strCache>
            </c:strRef>
          </c:tx>
          <c:spPr>
            <a:ln w="3492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Trend!$A$2:$A$25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Trend!$U$50:$U$73</c:f>
              <c:numCache>
                <c:formatCode>General</c:formatCode>
                <c:ptCount val="24"/>
                <c:pt idx="0">
                  <c:v>12342.43</c:v>
                </c:pt>
                <c:pt idx="1">
                  <c:v>4730.32</c:v>
                </c:pt>
                <c:pt idx="2">
                  <c:v>2209.5699999999997</c:v>
                </c:pt>
                <c:pt idx="3">
                  <c:v>1362.38</c:v>
                </c:pt>
                <c:pt idx="4">
                  <c:v>1121.79</c:v>
                </c:pt>
                <c:pt idx="5">
                  <c:v>3051.39</c:v>
                </c:pt>
                <c:pt idx="6">
                  <c:v>12436.119999999999</c:v>
                </c:pt>
                <c:pt idx="7">
                  <c:v>22777.579999999998</c:v>
                </c:pt>
                <c:pt idx="8">
                  <c:v>31329.629999999997</c:v>
                </c:pt>
                <c:pt idx="9">
                  <c:v>41699.180000000008</c:v>
                </c:pt>
                <c:pt idx="10">
                  <c:v>55097.08</c:v>
                </c:pt>
                <c:pt idx="11">
                  <c:v>59526.87000000001</c:v>
                </c:pt>
                <c:pt idx="12">
                  <c:v>54210.32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161-4070-B2ED-BDD05D0F7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7006704"/>
        <c:axId val="607000464"/>
      </c:lineChart>
      <c:catAx>
        <c:axId val="607006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0464"/>
        <c:crosses val="autoZero"/>
        <c:auto val="1"/>
        <c:lblAlgn val="ctr"/>
        <c:lblOffset val="100"/>
        <c:noMultiLvlLbl val="0"/>
      </c:catAx>
      <c:valAx>
        <c:axId val="60700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Erl Axis 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\ \K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6704"/>
        <c:crosses val="autoZero"/>
        <c:crossBetween val="between"/>
        <c:dispUnits>
          <c:builtInUnit val="thousands"/>
        </c:dispUnits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712878228398465"/>
          <c:y val="0.90508785521397184"/>
          <c:w val="0.7314007842810929"/>
          <c:h val="8.9602409532772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Trend!$H$1</c:f>
          <c:strCache>
            <c:ptCount val="1"/>
            <c:pt idx="0">
              <c:v>MO 3G Pool-1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129892577111923"/>
          <c:y val="0.14751243781094528"/>
          <c:w val="0.81017286826707791"/>
          <c:h val="0.62326673718024062"/>
        </c:manualLayout>
      </c:layout>
      <c:lineChart>
        <c:grouping val="standard"/>
        <c:varyColors val="0"/>
        <c:ser>
          <c:idx val="0"/>
          <c:order val="0"/>
          <c:tx>
            <c:strRef>
              <c:f>Age!$B$1</c:f>
              <c:strCache>
                <c:ptCount val="1"/>
                <c:pt idx="0">
                  <c:v>Day -7</c:v>
                </c:pt>
              </c:strCache>
            </c:strRef>
          </c:tx>
          <c:spPr>
            <a:ln w="3492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Trend!$A$2:$A$25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Trend!$V$2:$V$25</c:f>
              <c:numCache>
                <c:formatCode>General</c:formatCode>
                <c:ptCount val="24"/>
                <c:pt idx="0">
                  <c:v>6659.25</c:v>
                </c:pt>
                <c:pt idx="1">
                  <c:v>3264.3</c:v>
                </c:pt>
                <c:pt idx="2">
                  <c:v>1624.08</c:v>
                </c:pt>
                <c:pt idx="3">
                  <c:v>1074.6500000000001</c:v>
                </c:pt>
                <c:pt idx="4">
                  <c:v>699.04</c:v>
                </c:pt>
                <c:pt idx="5">
                  <c:v>1636.45</c:v>
                </c:pt>
                <c:pt idx="6">
                  <c:v>4175.2700000000004</c:v>
                </c:pt>
                <c:pt idx="7">
                  <c:v>5796.34</c:v>
                </c:pt>
                <c:pt idx="8">
                  <c:v>10678.800000000001</c:v>
                </c:pt>
                <c:pt idx="9">
                  <c:v>15290.34</c:v>
                </c:pt>
                <c:pt idx="10">
                  <c:v>18633.669999999998</c:v>
                </c:pt>
                <c:pt idx="11">
                  <c:v>16698.919999999998</c:v>
                </c:pt>
                <c:pt idx="12">
                  <c:v>18679.52</c:v>
                </c:pt>
                <c:pt idx="13">
                  <c:v>14674.11</c:v>
                </c:pt>
                <c:pt idx="14">
                  <c:v>19771.03</c:v>
                </c:pt>
                <c:pt idx="15">
                  <c:v>19676.690000000002</c:v>
                </c:pt>
                <c:pt idx="16">
                  <c:v>13350.77</c:v>
                </c:pt>
                <c:pt idx="17">
                  <c:v>17836.439999999999</c:v>
                </c:pt>
                <c:pt idx="18">
                  <c:v>18160.25</c:v>
                </c:pt>
                <c:pt idx="19">
                  <c:v>24956.120000000003</c:v>
                </c:pt>
                <c:pt idx="20">
                  <c:v>27018.2</c:v>
                </c:pt>
                <c:pt idx="21">
                  <c:v>25426.54</c:v>
                </c:pt>
                <c:pt idx="22">
                  <c:v>23228.309999999998</c:v>
                </c:pt>
                <c:pt idx="23">
                  <c:v>12496.67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94-40FC-80ED-FFAD7F401C14}"/>
            </c:ext>
          </c:extLst>
        </c:ser>
        <c:ser>
          <c:idx val="1"/>
          <c:order val="1"/>
          <c:tx>
            <c:strRef>
              <c:f>Age!$F$1</c:f>
              <c:strCache>
                <c:ptCount val="1"/>
                <c:pt idx="0">
                  <c:v>Day -1</c:v>
                </c:pt>
              </c:strCache>
            </c:strRef>
          </c:tx>
          <c:spPr>
            <a:ln w="3492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Trend!$A$2:$A$25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Trend!$V$26:$V$49</c:f>
              <c:numCache>
                <c:formatCode>General</c:formatCode>
                <c:ptCount val="24"/>
                <c:pt idx="0">
                  <c:v>3931.71</c:v>
                </c:pt>
                <c:pt idx="1">
                  <c:v>2574.04</c:v>
                </c:pt>
                <c:pt idx="2">
                  <c:v>1183.42</c:v>
                </c:pt>
                <c:pt idx="3">
                  <c:v>739.39</c:v>
                </c:pt>
                <c:pt idx="4">
                  <c:v>407.49</c:v>
                </c:pt>
                <c:pt idx="5">
                  <c:v>748.63</c:v>
                </c:pt>
                <c:pt idx="6">
                  <c:v>2425.1999999999998</c:v>
                </c:pt>
                <c:pt idx="7">
                  <c:v>4787.76</c:v>
                </c:pt>
                <c:pt idx="8">
                  <c:v>8500.44</c:v>
                </c:pt>
                <c:pt idx="9">
                  <c:v>13724.79</c:v>
                </c:pt>
                <c:pt idx="10">
                  <c:v>14650.62</c:v>
                </c:pt>
                <c:pt idx="11">
                  <c:v>18314.560000000001</c:v>
                </c:pt>
                <c:pt idx="12">
                  <c:v>15796.36</c:v>
                </c:pt>
                <c:pt idx="13">
                  <c:v>15649.18</c:v>
                </c:pt>
                <c:pt idx="14">
                  <c:v>15241.580000000002</c:v>
                </c:pt>
                <c:pt idx="15">
                  <c:v>15481.130000000001</c:v>
                </c:pt>
                <c:pt idx="16">
                  <c:v>16817.11</c:v>
                </c:pt>
                <c:pt idx="17">
                  <c:v>15781.26</c:v>
                </c:pt>
                <c:pt idx="18">
                  <c:v>19709.79</c:v>
                </c:pt>
                <c:pt idx="19">
                  <c:v>22833.550000000003</c:v>
                </c:pt>
                <c:pt idx="20">
                  <c:v>23798.420000000002</c:v>
                </c:pt>
                <c:pt idx="21">
                  <c:v>22910.3</c:v>
                </c:pt>
                <c:pt idx="22">
                  <c:v>17811.18</c:v>
                </c:pt>
                <c:pt idx="23">
                  <c:v>9932.2799999999988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994-40FC-80ED-FFAD7F401C14}"/>
            </c:ext>
          </c:extLst>
        </c:ser>
        <c:ser>
          <c:idx val="2"/>
          <c:order val="2"/>
          <c:tx>
            <c:strRef>
              <c:f>Age!$J$1</c:f>
              <c:strCache>
                <c:ptCount val="1"/>
                <c:pt idx="0">
                  <c:v>Today</c:v>
                </c:pt>
              </c:strCache>
            </c:strRef>
          </c:tx>
          <c:spPr>
            <a:ln w="3492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Trend!$A$2:$A$25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Trend!$V$50:$V$73</c:f>
              <c:numCache>
                <c:formatCode>General</c:formatCode>
                <c:ptCount val="24"/>
                <c:pt idx="0">
                  <c:v>4922.51</c:v>
                </c:pt>
                <c:pt idx="1">
                  <c:v>1713.62</c:v>
                </c:pt>
                <c:pt idx="2">
                  <c:v>897.6</c:v>
                </c:pt>
                <c:pt idx="3">
                  <c:v>681.51</c:v>
                </c:pt>
                <c:pt idx="4">
                  <c:v>407.89</c:v>
                </c:pt>
                <c:pt idx="5">
                  <c:v>731.56</c:v>
                </c:pt>
                <c:pt idx="6">
                  <c:v>2418.2199999999998</c:v>
                </c:pt>
                <c:pt idx="7">
                  <c:v>5119.7700000000004</c:v>
                </c:pt>
                <c:pt idx="8">
                  <c:v>9050.76</c:v>
                </c:pt>
                <c:pt idx="9">
                  <c:v>12695.82</c:v>
                </c:pt>
                <c:pt idx="10">
                  <c:v>13382.34</c:v>
                </c:pt>
                <c:pt idx="11">
                  <c:v>15501.88</c:v>
                </c:pt>
                <c:pt idx="12">
                  <c:v>20633.89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994-40FC-80ED-FFAD7F401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7006704"/>
        <c:axId val="607000464"/>
      </c:lineChart>
      <c:catAx>
        <c:axId val="607006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0464"/>
        <c:crosses val="autoZero"/>
        <c:auto val="1"/>
        <c:lblAlgn val="ctr"/>
        <c:lblOffset val="100"/>
        <c:noMultiLvlLbl val="0"/>
      </c:catAx>
      <c:valAx>
        <c:axId val="60700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Erl Axis 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\ \K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6704"/>
        <c:crosses val="autoZero"/>
        <c:crossBetween val="between"/>
        <c:dispUnits>
          <c:builtInUnit val="thousands"/>
        </c:dispUnits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308392218923625"/>
          <c:y val="0.90508785521397184"/>
          <c:w val="0.79137168518167167"/>
          <c:h val="8.9602409532772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Trend!$I$1</c:f>
          <c:strCache>
            <c:ptCount val="1"/>
            <c:pt idx="0">
              <c:v>MT 2G Pool-1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129892577111923"/>
          <c:y val="0.14751243781094528"/>
          <c:w val="0.81017286826707791"/>
          <c:h val="0.62326673718024062"/>
        </c:manualLayout>
      </c:layout>
      <c:lineChart>
        <c:grouping val="standard"/>
        <c:varyColors val="0"/>
        <c:ser>
          <c:idx val="0"/>
          <c:order val="0"/>
          <c:tx>
            <c:strRef>
              <c:f>Age!$B$1</c:f>
              <c:strCache>
                <c:ptCount val="1"/>
                <c:pt idx="0">
                  <c:v>Day -7</c:v>
                </c:pt>
              </c:strCache>
            </c:strRef>
          </c:tx>
          <c:spPr>
            <a:ln w="3492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Trend!$A$2:$A$25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Trend!$W$2:$W$25</c:f>
              <c:numCache>
                <c:formatCode>General</c:formatCode>
                <c:ptCount val="24"/>
                <c:pt idx="0">
                  <c:v>14898.45</c:v>
                </c:pt>
                <c:pt idx="1">
                  <c:v>7672.52</c:v>
                </c:pt>
                <c:pt idx="2">
                  <c:v>3866.6500000000005</c:v>
                </c:pt>
                <c:pt idx="3">
                  <c:v>2701.09</c:v>
                </c:pt>
                <c:pt idx="4">
                  <c:v>1697.02</c:v>
                </c:pt>
                <c:pt idx="5">
                  <c:v>4478.8500000000004</c:v>
                </c:pt>
                <c:pt idx="6">
                  <c:v>13457.56</c:v>
                </c:pt>
                <c:pt idx="7">
                  <c:v>24438.33</c:v>
                </c:pt>
                <c:pt idx="8">
                  <c:v>41964.31</c:v>
                </c:pt>
                <c:pt idx="9">
                  <c:v>48945.66</c:v>
                </c:pt>
                <c:pt idx="10">
                  <c:v>50323.95</c:v>
                </c:pt>
                <c:pt idx="11">
                  <c:v>44341.060000000005</c:v>
                </c:pt>
                <c:pt idx="12">
                  <c:v>47317.75</c:v>
                </c:pt>
                <c:pt idx="13">
                  <c:v>46934.67</c:v>
                </c:pt>
                <c:pt idx="14">
                  <c:v>49279.87</c:v>
                </c:pt>
                <c:pt idx="15">
                  <c:v>53732.77</c:v>
                </c:pt>
                <c:pt idx="16">
                  <c:v>44632.22</c:v>
                </c:pt>
                <c:pt idx="17">
                  <c:v>47081.299999999996</c:v>
                </c:pt>
                <c:pt idx="18">
                  <c:v>48637.7</c:v>
                </c:pt>
                <c:pt idx="19">
                  <c:v>77781.34</c:v>
                </c:pt>
                <c:pt idx="20">
                  <c:v>97949.290999999997</c:v>
                </c:pt>
                <c:pt idx="21">
                  <c:v>79277.78</c:v>
                </c:pt>
                <c:pt idx="22">
                  <c:v>58200.06</c:v>
                </c:pt>
                <c:pt idx="23">
                  <c:v>29667.25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1E-467B-A864-DD4ADCC0F487}"/>
            </c:ext>
          </c:extLst>
        </c:ser>
        <c:ser>
          <c:idx val="1"/>
          <c:order val="1"/>
          <c:tx>
            <c:strRef>
              <c:f>Age!$F$1</c:f>
              <c:strCache>
                <c:ptCount val="1"/>
                <c:pt idx="0">
                  <c:v>Day -1</c:v>
                </c:pt>
              </c:strCache>
            </c:strRef>
          </c:tx>
          <c:spPr>
            <a:ln w="3492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Trend!$A$2:$A$25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Trend!$W$26:$W$49</c:f>
              <c:numCache>
                <c:formatCode>General</c:formatCode>
                <c:ptCount val="24"/>
                <c:pt idx="0">
                  <c:v>11024.75</c:v>
                </c:pt>
                <c:pt idx="1">
                  <c:v>5746.62</c:v>
                </c:pt>
                <c:pt idx="2">
                  <c:v>2929.9700000000003</c:v>
                </c:pt>
                <c:pt idx="3">
                  <c:v>1446.9499999999998</c:v>
                </c:pt>
                <c:pt idx="4">
                  <c:v>1094.0899999999999</c:v>
                </c:pt>
                <c:pt idx="5">
                  <c:v>3241.4400000000005</c:v>
                </c:pt>
                <c:pt idx="6">
                  <c:v>14615.57</c:v>
                </c:pt>
                <c:pt idx="7">
                  <c:v>23248.719999999998</c:v>
                </c:pt>
                <c:pt idx="8">
                  <c:v>36359.96</c:v>
                </c:pt>
                <c:pt idx="9">
                  <c:v>44706.720000000001</c:v>
                </c:pt>
                <c:pt idx="10">
                  <c:v>43124.46</c:v>
                </c:pt>
                <c:pt idx="11">
                  <c:v>46592.14</c:v>
                </c:pt>
                <c:pt idx="12">
                  <c:v>52560.35</c:v>
                </c:pt>
                <c:pt idx="13">
                  <c:v>50147.86</c:v>
                </c:pt>
                <c:pt idx="14">
                  <c:v>34605.01</c:v>
                </c:pt>
                <c:pt idx="15">
                  <c:v>37019.769999999997</c:v>
                </c:pt>
                <c:pt idx="16">
                  <c:v>38123.82</c:v>
                </c:pt>
                <c:pt idx="17">
                  <c:v>48914.9</c:v>
                </c:pt>
                <c:pt idx="18">
                  <c:v>62775</c:v>
                </c:pt>
                <c:pt idx="19">
                  <c:v>80696.639999999985</c:v>
                </c:pt>
                <c:pt idx="20">
                  <c:v>71704.81</c:v>
                </c:pt>
                <c:pt idx="21">
                  <c:v>76074.748999999996</c:v>
                </c:pt>
                <c:pt idx="22">
                  <c:v>49105.75</c:v>
                </c:pt>
                <c:pt idx="23">
                  <c:v>29338.46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1E-467B-A864-DD4ADCC0F487}"/>
            </c:ext>
          </c:extLst>
        </c:ser>
        <c:ser>
          <c:idx val="2"/>
          <c:order val="2"/>
          <c:tx>
            <c:strRef>
              <c:f>Age!$J$1</c:f>
              <c:strCache>
                <c:ptCount val="1"/>
                <c:pt idx="0">
                  <c:v>Today</c:v>
                </c:pt>
              </c:strCache>
            </c:strRef>
          </c:tx>
          <c:spPr>
            <a:ln w="3492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Trend!$A$2:$A$25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Trend!$W$50:$W$73</c:f>
              <c:numCache>
                <c:formatCode>General</c:formatCode>
                <c:ptCount val="24"/>
                <c:pt idx="0">
                  <c:v>12661.49</c:v>
                </c:pt>
                <c:pt idx="1">
                  <c:v>4890.24</c:v>
                </c:pt>
                <c:pt idx="2">
                  <c:v>2367.7200000000003</c:v>
                </c:pt>
                <c:pt idx="3">
                  <c:v>1493.6899999999998</c:v>
                </c:pt>
                <c:pt idx="4">
                  <c:v>1175.27</c:v>
                </c:pt>
                <c:pt idx="5">
                  <c:v>2873.1200000000003</c:v>
                </c:pt>
                <c:pt idx="6">
                  <c:v>11626.51</c:v>
                </c:pt>
                <c:pt idx="7">
                  <c:v>21806.44</c:v>
                </c:pt>
                <c:pt idx="8">
                  <c:v>26347.899999999998</c:v>
                </c:pt>
                <c:pt idx="9">
                  <c:v>37122.9</c:v>
                </c:pt>
                <c:pt idx="10">
                  <c:v>58100.27</c:v>
                </c:pt>
                <c:pt idx="11">
                  <c:v>60478.279999999992</c:v>
                </c:pt>
                <c:pt idx="12">
                  <c:v>53651.29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1E-467B-A864-DD4ADCC0F4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7006704"/>
        <c:axId val="607000464"/>
      </c:lineChart>
      <c:catAx>
        <c:axId val="607006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0464"/>
        <c:crosses val="autoZero"/>
        <c:auto val="1"/>
        <c:lblAlgn val="ctr"/>
        <c:lblOffset val="100"/>
        <c:noMultiLvlLbl val="0"/>
      </c:catAx>
      <c:valAx>
        <c:axId val="60700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Erl Axis 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\ \K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6704"/>
        <c:crosses val="autoZero"/>
        <c:crossBetween val="between"/>
        <c:dispUnits>
          <c:builtInUnit val="thousands"/>
        </c:dispUnits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301148292784442"/>
          <c:y val="0.90508785521397184"/>
          <c:w val="0.75991856091326759"/>
          <c:h val="8.9602409532772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Trend!$J$1</c:f>
          <c:strCache>
            <c:ptCount val="1"/>
            <c:pt idx="0">
              <c:v>MT 3G Pool-1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129892577111923"/>
          <c:y val="0.14751243781094528"/>
          <c:w val="0.81017286826707791"/>
          <c:h val="0.62326673718024062"/>
        </c:manualLayout>
      </c:layout>
      <c:lineChart>
        <c:grouping val="standard"/>
        <c:varyColors val="0"/>
        <c:ser>
          <c:idx val="0"/>
          <c:order val="0"/>
          <c:tx>
            <c:strRef>
              <c:f>Age!$B$1</c:f>
              <c:strCache>
                <c:ptCount val="1"/>
                <c:pt idx="0">
                  <c:v>Day -7</c:v>
                </c:pt>
              </c:strCache>
            </c:strRef>
          </c:tx>
          <c:spPr>
            <a:ln w="3492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Trend!$A$2:$A$25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Trend!$X$2:$X$25</c:f>
              <c:numCache>
                <c:formatCode>General</c:formatCode>
                <c:ptCount val="24"/>
                <c:pt idx="0">
                  <c:v>5555.27</c:v>
                </c:pt>
                <c:pt idx="1">
                  <c:v>2654.17</c:v>
                </c:pt>
                <c:pt idx="2">
                  <c:v>1340.1599999999999</c:v>
                </c:pt>
                <c:pt idx="3">
                  <c:v>1016.1</c:v>
                </c:pt>
                <c:pt idx="4">
                  <c:v>590.80000000000007</c:v>
                </c:pt>
                <c:pt idx="5">
                  <c:v>1248.31</c:v>
                </c:pt>
                <c:pt idx="6">
                  <c:v>3028.36</c:v>
                </c:pt>
                <c:pt idx="7">
                  <c:v>4522.3099999999995</c:v>
                </c:pt>
                <c:pt idx="8">
                  <c:v>8957.9100000000017</c:v>
                </c:pt>
                <c:pt idx="9">
                  <c:v>13023.17</c:v>
                </c:pt>
                <c:pt idx="10">
                  <c:v>15904.660000000002</c:v>
                </c:pt>
                <c:pt idx="11">
                  <c:v>14501.720000000001</c:v>
                </c:pt>
                <c:pt idx="12">
                  <c:v>16492.18</c:v>
                </c:pt>
                <c:pt idx="13">
                  <c:v>15334.48</c:v>
                </c:pt>
                <c:pt idx="14">
                  <c:v>17239.190000000002</c:v>
                </c:pt>
                <c:pt idx="15">
                  <c:v>17735.099999999999</c:v>
                </c:pt>
                <c:pt idx="16">
                  <c:v>11563.6</c:v>
                </c:pt>
                <c:pt idx="17">
                  <c:v>15577.67</c:v>
                </c:pt>
                <c:pt idx="18">
                  <c:v>15934.689999999999</c:v>
                </c:pt>
                <c:pt idx="19">
                  <c:v>21582.65</c:v>
                </c:pt>
                <c:pt idx="20">
                  <c:v>23011.170000000002</c:v>
                </c:pt>
                <c:pt idx="21">
                  <c:v>21696.02</c:v>
                </c:pt>
                <c:pt idx="22">
                  <c:v>20057.29</c:v>
                </c:pt>
                <c:pt idx="23">
                  <c:v>10406.18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53-4EE0-9AC5-7D315F37055D}"/>
            </c:ext>
          </c:extLst>
        </c:ser>
        <c:ser>
          <c:idx val="1"/>
          <c:order val="1"/>
          <c:tx>
            <c:strRef>
              <c:f>Age!$F$1</c:f>
              <c:strCache>
                <c:ptCount val="1"/>
                <c:pt idx="0">
                  <c:v>Day -1</c:v>
                </c:pt>
              </c:strCache>
            </c:strRef>
          </c:tx>
          <c:spPr>
            <a:ln w="3492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Trend!$A$2:$A$25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Trend!$X$26:$X$49</c:f>
              <c:numCache>
                <c:formatCode>General</c:formatCode>
                <c:ptCount val="24"/>
                <c:pt idx="0">
                  <c:v>3305.95</c:v>
                </c:pt>
                <c:pt idx="1">
                  <c:v>2268.98</c:v>
                </c:pt>
                <c:pt idx="2">
                  <c:v>1037.51</c:v>
                </c:pt>
                <c:pt idx="3">
                  <c:v>624.33000000000004</c:v>
                </c:pt>
                <c:pt idx="4">
                  <c:v>339.13000000000005</c:v>
                </c:pt>
                <c:pt idx="5">
                  <c:v>644.59</c:v>
                </c:pt>
                <c:pt idx="6">
                  <c:v>2005.4399999999998</c:v>
                </c:pt>
                <c:pt idx="7">
                  <c:v>3927.9100000000003</c:v>
                </c:pt>
                <c:pt idx="8">
                  <c:v>7144.5599999999995</c:v>
                </c:pt>
                <c:pt idx="9">
                  <c:v>11710.41</c:v>
                </c:pt>
                <c:pt idx="10">
                  <c:v>12581.87</c:v>
                </c:pt>
                <c:pt idx="11">
                  <c:v>15701.47</c:v>
                </c:pt>
                <c:pt idx="12">
                  <c:v>14234.08</c:v>
                </c:pt>
                <c:pt idx="13">
                  <c:v>14405.69</c:v>
                </c:pt>
                <c:pt idx="14">
                  <c:v>13438.939999999999</c:v>
                </c:pt>
                <c:pt idx="15">
                  <c:v>13766.09</c:v>
                </c:pt>
                <c:pt idx="16">
                  <c:v>14544.83</c:v>
                </c:pt>
                <c:pt idx="17">
                  <c:v>13615.08</c:v>
                </c:pt>
                <c:pt idx="18">
                  <c:v>17600.8</c:v>
                </c:pt>
                <c:pt idx="19">
                  <c:v>20658.29</c:v>
                </c:pt>
                <c:pt idx="20">
                  <c:v>20088.300000000003</c:v>
                </c:pt>
                <c:pt idx="21">
                  <c:v>19028.650000000001</c:v>
                </c:pt>
                <c:pt idx="22">
                  <c:v>15086.9</c:v>
                </c:pt>
                <c:pt idx="23">
                  <c:v>8763.4700000000012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53-4EE0-9AC5-7D315F37055D}"/>
            </c:ext>
          </c:extLst>
        </c:ser>
        <c:ser>
          <c:idx val="2"/>
          <c:order val="2"/>
          <c:tx>
            <c:strRef>
              <c:f>Age!$J$1</c:f>
              <c:strCache>
                <c:ptCount val="1"/>
                <c:pt idx="0">
                  <c:v>Today</c:v>
                </c:pt>
              </c:strCache>
            </c:strRef>
          </c:tx>
          <c:spPr>
            <a:ln w="3492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Trend!$A$2:$A$25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Trend!$X$50:$X$73</c:f>
              <c:numCache>
                <c:formatCode>General</c:formatCode>
                <c:ptCount val="24"/>
                <c:pt idx="0">
                  <c:v>4350.97</c:v>
                </c:pt>
                <c:pt idx="1">
                  <c:v>1409.8899999999999</c:v>
                </c:pt>
                <c:pt idx="2">
                  <c:v>714.48</c:v>
                </c:pt>
                <c:pt idx="3">
                  <c:v>560.92999999999995</c:v>
                </c:pt>
                <c:pt idx="4">
                  <c:v>351.9</c:v>
                </c:pt>
                <c:pt idx="5">
                  <c:v>615.76</c:v>
                </c:pt>
                <c:pt idx="6">
                  <c:v>1976.51</c:v>
                </c:pt>
                <c:pt idx="7">
                  <c:v>4129.6499999999996</c:v>
                </c:pt>
                <c:pt idx="8">
                  <c:v>7130.3</c:v>
                </c:pt>
                <c:pt idx="9">
                  <c:v>10345.280000000001</c:v>
                </c:pt>
                <c:pt idx="10">
                  <c:v>12027.25</c:v>
                </c:pt>
                <c:pt idx="11">
                  <c:v>14490.92</c:v>
                </c:pt>
                <c:pt idx="12">
                  <c:v>18818.03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C53-4EE0-9AC5-7D315F3705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7006704"/>
        <c:axId val="607000464"/>
      </c:lineChart>
      <c:catAx>
        <c:axId val="607006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0464"/>
        <c:crosses val="autoZero"/>
        <c:auto val="1"/>
        <c:lblAlgn val="ctr"/>
        <c:lblOffset val="100"/>
        <c:noMultiLvlLbl val="0"/>
      </c:catAx>
      <c:valAx>
        <c:axId val="60700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Erl Axis 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\ \K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6704"/>
        <c:crosses val="autoZero"/>
        <c:crossBetween val="between"/>
        <c:dispUnits>
          <c:builtInUnit val="thousands"/>
          <c:dispUnitsLbl>
            <c:layout/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6071979113575138"/>
          <c:y val="0.90508785521397184"/>
          <c:w val="0.78424094280156842"/>
          <c:h val="8.9602409532772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Trend!$K$1</c:f>
          <c:strCache>
            <c:ptCount val="1"/>
            <c:pt idx="0">
              <c:v>MO 2G Pool-2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129892577111923"/>
          <c:y val="0.14751243781094528"/>
          <c:w val="0.81017286826707791"/>
          <c:h val="0.62326673718024062"/>
        </c:manualLayout>
      </c:layout>
      <c:lineChart>
        <c:grouping val="standard"/>
        <c:varyColors val="0"/>
        <c:ser>
          <c:idx val="0"/>
          <c:order val="0"/>
          <c:tx>
            <c:strRef>
              <c:f>Age!$B$1</c:f>
              <c:strCache>
                <c:ptCount val="1"/>
                <c:pt idx="0">
                  <c:v>Day -7</c:v>
                </c:pt>
              </c:strCache>
            </c:strRef>
          </c:tx>
          <c:spPr>
            <a:ln w="3492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Trend!$A$2:$A$25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Trend!$Y$2:$Y$25</c:f>
              <c:numCache>
                <c:formatCode>General</c:formatCode>
                <c:ptCount val="24"/>
                <c:pt idx="0">
                  <c:v>12325.130000000001</c:v>
                </c:pt>
                <c:pt idx="1">
                  <c:v>5408.93</c:v>
                </c:pt>
                <c:pt idx="2">
                  <c:v>2396.3199999999997</c:v>
                </c:pt>
                <c:pt idx="3">
                  <c:v>1255.2199999999998</c:v>
                </c:pt>
                <c:pt idx="4">
                  <c:v>1597.44</c:v>
                </c:pt>
                <c:pt idx="5">
                  <c:v>3894.36</c:v>
                </c:pt>
                <c:pt idx="6">
                  <c:v>11194.54</c:v>
                </c:pt>
                <c:pt idx="7">
                  <c:v>22647.78</c:v>
                </c:pt>
                <c:pt idx="8">
                  <c:v>23134.749999999996</c:v>
                </c:pt>
                <c:pt idx="9">
                  <c:v>30895.54</c:v>
                </c:pt>
                <c:pt idx="10">
                  <c:v>35749.94</c:v>
                </c:pt>
                <c:pt idx="11">
                  <c:v>41821.39</c:v>
                </c:pt>
                <c:pt idx="12">
                  <c:v>32003.66</c:v>
                </c:pt>
                <c:pt idx="13">
                  <c:v>33327.19</c:v>
                </c:pt>
                <c:pt idx="14">
                  <c:v>27269.88</c:v>
                </c:pt>
                <c:pt idx="15">
                  <c:v>31691.27</c:v>
                </c:pt>
                <c:pt idx="16">
                  <c:v>40506.230000000003</c:v>
                </c:pt>
                <c:pt idx="17">
                  <c:v>36706.509999999995</c:v>
                </c:pt>
                <c:pt idx="18">
                  <c:v>38687.24</c:v>
                </c:pt>
                <c:pt idx="19">
                  <c:v>59511.471000000005</c:v>
                </c:pt>
                <c:pt idx="20">
                  <c:v>56677.991000000002</c:v>
                </c:pt>
                <c:pt idx="21">
                  <c:v>64563.750999999997</c:v>
                </c:pt>
                <c:pt idx="22">
                  <c:v>48509.04</c:v>
                </c:pt>
                <c:pt idx="23">
                  <c:v>32706.98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0F-4DE6-AF74-6D8A560599D9}"/>
            </c:ext>
          </c:extLst>
        </c:ser>
        <c:ser>
          <c:idx val="1"/>
          <c:order val="1"/>
          <c:tx>
            <c:strRef>
              <c:f>Age!$F$1</c:f>
              <c:strCache>
                <c:ptCount val="1"/>
                <c:pt idx="0">
                  <c:v>Day -1</c:v>
                </c:pt>
              </c:strCache>
            </c:strRef>
          </c:tx>
          <c:spPr>
            <a:ln w="3492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Trend!$A$2:$A$25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Trend!$Y$26:$Y$49</c:f>
              <c:numCache>
                <c:formatCode>General</c:formatCode>
                <c:ptCount val="24"/>
                <c:pt idx="0">
                  <c:v>8187.6400000000012</c:v>
                </c:pt>
                <c:pt idx="1">
                  <c:v>3317.3900000000003</c:v>
                </c:pt>
                <c:pt idx="2">
                  <c:v>1535.88</c:v>
                </c:pt>
                <c:pt idx="3">
                  <c:v>1108.22</c:v>
                </c:pt>
                <c:pt idx="4">
                  <c:v>925.56999999999994</c:v>
                </c:pt>
                <c:pt idx="5">
                  <c:v>2080.33</c:v>
                </c:pt>
                <c:pt idx="6">
                  <c:v>4887.63</c:v>
                </c:pt>
                <c:pt idx="7">
                  <c:v>15746.42</c:v>
                </c:pt>
                <c:pt idx="8">
                  <c:v>26010.82</c:v>
                </c:pt>
                <c:pt idx="9">
                  <c:v>37355.06</c:v>
                </c:pt>
                <c:pt idx="10">
                  <c:v>46334.41</c:v>
                </c:pt>
                <c:pt idx="11">
                  <c:v>43597.53</c:v>
                </c:pt>
                <c:pt idx="12">
                  <c:v>30307.279999999999</c:v>
                </c:pt>
                <c:pt idx="13">
                  <c:v>20760.59</c:v>
                </c:pt>
                <c:pt idx="14">
                  <c:v>32659</c:v>
                </c:pt>
                <c:pt idx="15">
                  <c:v>36339.68</c:v>
                </c:pt>
                <c:pt idx="16">
                  <c:v>36286.31</c:v>
                </c:pt>
                <c:pt idx="17">
                  <c:v>34502.54</c:v>
                </c:pt>
                <c:pt idx="18">
                  <c:v>26177.359999999997</c:v>
                </c:pt>
                <c:pt idx="19">
                  <c:v>64513.329999999987</c:v>
                </c:pt>
                <c:pt idx="20">
                  <c:v>68522.019</c:v>
                </c:pt>
                <c:pt idx="21">
                  <c:v>53689.43</c:v>
                </c:pt>
                <c:pt idx="22">
                  <c:v>36887.79</c:v>
                </c:pt>
                <c:pt idx="23">
                  <c:v>15213.42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0F-4DE6-AF74-6D8A560599D9}"/>
            </c:ext>
          </c:extLst>
        </c:ser>
        <c:ser>
          <c:idx val="2"/>
          <c:order val="2"/>
          <c:tx>
            <c:strRef>
              <c:f>Age!$J$1</c:f>
              <c:strCache>
                <c:ptCount val="1"/>
                <c:pt idx="0">
                  <c:v>Today</c:v>
                </c:pt>
              </c:strCache>
            </c:strRef>
          </c:tx>
          <c:spPr>
            <a:ln w="3492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Trend!$A$2:$A$25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Trend!$Y$50:$Y$73</c:f>
              <c:numCache>
                <c:formatCode>General</c:formatCode>
                <c:ptCount val="24"/>
                <c:pt idx="0">
                  <c:v>7379.7000000000007</c:v>
                </c:pt>
                <c:pt idx="1">
                  <c:v>4458.09</c:v>
                </c:pt>
                <c:pt idx="2">
                  <c:v>2215.98</c:v>
                </c:pt>
                <c:pt idx="3">
                  <c:v>1160.51</c:v>
                </c:pt>
                <c:pt idx="4">
                  <c:v>986.14</c:v>
                </c:pt>
                <c:pt idx="5">
                  <c:v>2186.56</c:v>
                </c:pt>
                <c:pt idx="6">
                  <c:v>6229.63</c:v>
                </c:pt>
                <c:pt idx="7">
                  <c:v>17915.170000000002</c:v>
                </c:pt>
                <c:pt idx="8">
                  <c:v>32192.14</c:v>
                </c:pt>
                <c:pt idx="9">
                  <c:v>40867.200000000004</c:v>
                </c:pt>
                <c:pt idx="10">
                  <c:v>37904.100000000006</c:v>
                </c:pt>
                <c:pt idx="11">
                  <c:v>32812</c:v>
                </c:pt>
                <c:pt idx="12">
                  <c:v>30411.29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A0F-4DE6-AF74-6D8A56059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7006704"/>
        <c:axId val="607000464"/>
      </c:lineChart>
      <c:catAx>
        <c:axId val="607006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0464"/>
        <c:crosses val="autoZero"/>
        <c:auto val="1"/>
        <c:lblAlgn val="ctr"/>
        <c:lblOffset val="100"/>
        <c:noMultiLvlLbl val="0"/>
      </c:catAx>
      <c:valAx>
        <c:axId val="60700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Erl Axis 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\ \K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6704"/>
        <c:crosses val="autoZero"/>
        <c:crossBetween val="between"/>
        <c:dispUnits>
          <c:builtInUnit val="thousands"/>
        </c:dispUnits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290259511748172"/>
          <c:y val="0.90508785521397184"/>
          <c:w val="0.78130914280618757"/>
          <c:h val="8.9602409532772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Trend!$L$1</c:f>
          <c:strCache>
            <c:ptCount val="1"/>
            <c:pt idx="0">
              <c:v>MO 3G Pool-2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129892577111923"/>
          <c:y val="0.14751243781094528"/>
          <c:w val="0.81017286826707791"/>
          <c:h val="0.62326673718024062"/>
        </c:manualLayout>
      </c:layout>
      <c:lineChart>
        <c:grouping val="standard"/>
        <c:varyColors val="0"/>
        <c:ser>
          <c:idx val="0"/>
          <c:order val="0"/>
          <c:tx>
            <c:strRef>
              <c:f>Age!$B$1</c:f>
              <c:strCache>
                <c:ptCount val="1"/>
                <c:pt idx="0">
                  <c:v>Day -7</c:v>
                </c:pt>
              </c:strCache>
            </c:strRef>
          </c:tx>
          <c:spPr>
            <a:ln w="3492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Trend!$A$2:$A$25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Trend!$Z$2:$Z$25</c:f>
              <c:numCache>
                <c:formatCode>General</c:formatCode>
                <c:ptCount val="24"/>
                <c:pt idx="0">
                  <c:v>5441.2</c:v>
                </c:pt>
                <c:pt idx="1">
                  <c:v>2568.4900000000002</c:v>
                </c:pt>
                <c:pt idx="2">
                  <c:v>1215.71</c:v>
                </c:pt>
                <c:pt idx="3">
                  <c:v>588.96</c:v>
                </c:pt>
                <c:pt idx="4">
                  <c:v>505.22</c:v>
                </c:pt>
                <c:pt idx="5">
                  <c:v>656.55</c:v>
                </c:pt>
                <c:pt idx="6">
                  <c:v>1799.56</c:v>
                </c:pt>
                <c:pt idx="7">
                  <c:v>5658.83</c:v>
                </c:pt>
                <c:pt idx="8">
                  <c:v>6947.01</c:v>
                </c:pt>
                <c:pt idx="9">
                  <c:v>9366.2000000000007</c:v>
                </c:pt>
                <c:pt idx="10">
                  <c:v>11712.970000000001</c:v>
                </c:pt>
                <c:pt idx="11">
                  <c:v>15012.58</c:v>
                </c:pt>
                <c:pt idx="12">
                  <c:v>11597.05</c:v>
                </c:pt>
                <c:pt idx="13">
                  <c:v>12490.93</c:v>
                </c:pt>
                <c:pt idx="14">
                  <c:v>7996.04</c:v>
                </c:pt>
                <c:pt idx="15">
                  <c:v>9330.2900000000009</c:v>
                </c:pt>
                <c:pt idx="16">
                  <c:v>16228.369999999999</c:v>
                </c:pt>
                <c:pt idx="17">
                  <c:v>13199.420000000002</c:v>
                </c:pt>
                <c:pt idx="18">
                  <c:v>13818.300000000001</c:v>
                </c:pt>
                <c:pt idx="19">
                  <c:v>19549.88</c:v>
                </c:pt>
                <c:pt idx="20">
                  <c:v>21554.42</c:v>
                </c:pt>
                <c:pt idx="21">
                  <c:v>20141.72</c:v>
                </c:pt>
                <c:pt idx="22">
                  <c:v>13634.33</c:v>
                </c:pt>
                <c:pt idx="23">
                  <c:v>10927.42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13-44AB-A7FC-78C171B6875C}"/>
            </c:ext>
          </c:extLst>
        </c:ser>
        <c:ser>
          <c:idx val="1"/>
          <c:order val="1"/>
          <c:tx>
            <c:strRef>
              <c:f>Age!$F$1</c:f>
              <c:strCache>
                <c:ptCount val="1"/>
                <c:pt idx="0">
                  <c:v>Day -1</c:v>
                </c:pt>
              </c:strCache>
            </c:strRef>
          </c:tx>
          <c:spPr>
            <a:ln w="3492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Trend!$A$2:$A$25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Trend!$Z$26:$Z$49</c:f>
              <c:numCache>
                <c:formatCode>General</c:formatCode>
                <c:ptCount val="24"/>
                <c:pt idx="0">
                  <c:v>4445.8899999999994</c:v>
                </c:pt>
                <c:pt idx="1">
                  <c:v>1477.58</c:v>
                </c:pt>
                <c:pt idx="2">
                  <c:v>872.66000000000008</c:v>
                </c:pt>
                <c:pt idx="3">
                  <c:v>352.48</c:v>
                </c:pt>
                <c:pt idx="4">
                  <c:v>304.98</c:v>
                </c:pt>
                <c:pt idx="5">
                  <c:v>440.26</c:v>
                </c:pt>
                <c:pt idx="6">
                  <c:v>1248.21</c:v>
                </c:pt>
                <c:pt idx="7">
                  <c:v>3557.99</c:v>
                </c:pt>
                <c:pt idx="8">
                  <c:v>6352.29</c:v>
                </c:pt>
                <c:pt idx="9">
                  <c:v>8778.25</c:v>
                </c:pt>
                <c:pt idx="10">
                  <c:v>14044.15</c:v>
                </c:pt>
                <c:pt idx="11">
                  <c:v>12364.93</c:v>
                </c:pt>
                <c:pt idx="12">
                  <c:v>12964.6</c:v>
                </c:pt>
                <c:pt idx="13">
                  <c:v>8388.11</c:v>
                </c:pt>
                <c:pt idx="14">
                  <c:v>7491.8000000000011</c:v>
                </c:pt>
                <c:pt idx="15">
                  <c:v>8105.5099999999993</c:v>
                </c:pt>
                <c:pt idx="16">
                  <c:v>8633.32</c:v>
                </c:pt>
                <c:pt idx="17">
                  <c:v>12582.539999999999</c:v>
                </c:pt>
                <c:pt idx="18">
                  <c:v>10100.67</c:v>
                </c:pt>
                <c:pt idx="19">
                  <c:v>20462.059999999998</c:v>
                </c:pt>
                <c:pt idx="20">
                  <c:v>20127.650000000001</c:v>
                </c:pt>
                <c:pt idx="21">
                  <c:v>17278.719999999998</c:v>
                </c:pt>
                <c:pt idx="22">
                  <c:v>11703.44</c:v>
                </c:pt>
                <c:pt idx="23">
                  <c:v>7247.66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13-44AB-A7FC-78C171B6875C}"/>
            </c:ext>
          </c:extLst>
        </c:ser>
        <c:ser>
          <c:idx val="2"/>
          <c:order val="2"/>
          <c:tx>
            <c:strRef>
              <c:f>Age!$J$1</c:f>
              <c:strCache>
                <c:ptCount val="1"/>
                <c:pt idx="0">
                  <c:v>Today</c:v>
                </c:pt>
              </c:strCache>
            </c:strRef>
          </c:tx>
          <c:spPr>
            <a:ln w="3492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Trend!$A$2:$A$25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Trend!$Z$50:$Z$73</c:f>
              <c:numCache>
                <c:formatCode>General</c:formatCode>
                <c:ptCount val="24"/>
                <c:pt idx="0">
                  <c:v>3764.76</c:v>
                </c:pt>
                <c:pt idx="1">
                  <c:v>2533.0599999999995</c:v>
                </c:pt>
                <c:pt idx="2">
                  <c:v>1148.56</c:v>
                </c:pt>
                <c:pt idx="3">
                  <c:v>427.16999999999996</c:v>
                </c:pt>
                <c:pt idx="4">
                  <c:v>325.51</c:v>
                </c:pt>
                <c:pt idx="5">
                  <c:v>456.69000000000005</c:v>
                </c:pt>
                <c:pt idx="6">
                  <c:v>1123.33</c:v>
                </c:pt>
                <c:pt idx="7">
                  <c:v>3304.04</c:v>
                </c:pt>
                <c:pt idx="8">
                  <c:v>5895.34</c:v>
                </c:pt>
                <c:pt idx="9">
                  <c:v>10024.23</c:v>
                </c:pt>
                <c:pt idx="10">
                  <c:v>16006.54</c:v>
                </c:pt>
                <c:pt idx="11">
                  <c:v>15821</c:v>
                </c:pt>
                <c:pt idx="12">
                  <c:v>8759.01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813-44AB-A7FC-78C171B687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7006704"/>
        <c:axId val="607000464"/>
      </c:lineChart>
      <c:catAx>
        <c:axId val="607006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0464"/>
        <c:crosses val="autoZero"/>
        <c:auto val="1"/>
        <c:lblAlgn val="ctr"/>
        <c:lblOffset val="100"/>
        <c:noMultiLvlLbl val="0"/>
      </c:catAx>
      <c:valAx>
        <c:axId val="60700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Erl Axis 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\ \K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6704"/>
        <c:crosses val="autoZero"/>
        <c:crossBetween val="between"/>
        <c:dispUnits>
          <c:builtInUnit val="thousands"/>
        </c:dispUnits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7935325036876987"/>
          <c:y val="0.90508785521397184"/>
          <c:w val="0.75211164897263827"/>
          <c:h val="8.9602409532772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Trend!$M$1</c:f>
          <c:strCache>
            <c:ptCount val="1"/>
            <c:pt idx="0">
              <c:v>MT 2G Pool-2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129892577111923"/>
          <c:y val="0.14751243781094528"/>
          <c:w val="0.81017286826707791"/>
          <c:h val="0.62326673718024062"/>
        </c:manualLayout>
      </c:layout>
      <c:lineChart>
        <c:grouping val="standard"/>
        <c:varyColors val="0"/>
        <c:ser>
          <c:idx val="0"/>
          <c:order val="0"/>
          <c:tx>
            <c:strRef>
              <c:f>Age!$B$1</c:f>
              <c:strCache>
                <c:ptCount val="1"/>
                <c:pt idx="0">
                  <c:v>Day -7</c:v>
                </c:pt>
              </c:strCache>
            </c:strRef>
          </c:tx>
          <c:spPr>
            <a:ln w="3492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Trend!$A$2:$A$25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Trend!$AA$2:$AA$25</c:f>
              <c:numCache>
                <c:formatCode>General</c:formatCode>
                <c:ptCount val="24"/>
                <c:pt idx="0">
                  <c:v>13077.28</c:v>
                </c:pt>
                <c:pt idx="1">
                  <c:v>5445.18</c:v>
                </c:pt>
                <c:pt idx="2">
                  <c:v>2627.7799999999997</c:v>
                </c:pt>
                <c:pt idx="3">
                  <c:v>1301.01</c:v>
                </c:pt>
                <c:pt idx="4">
                  <c:v>1653.5499999999997</c:v>
                </c:pt>
                <c:pt idx="5">
                  <c:v>4330.9000000000005</c:v>
                </c:pt>
                <c:pt idx="6">
                  <c:v>12408.929999999998</c:v>
                </c:pt>
                <c:pt idx="7">
                  <c:v>21666.989999999998</c:v>
                </c:pt>
                <c:pt idx="8">
                  <c:v>22778.030000000002</c:v>
                </c:pt>
                <c:pt idx="9">
                  <c:v>31530.690000000002</c:v>
                </c:pt>
                <c:pt idx="10">
                  <c:v>38123.5</c:v>
                </c:pt>
                <c:pt idx="11">
                  <c:v>42900.05</c:v>
                </c:pt>
                <c:pt idx="12">
                  <c:v>34414.22</c:v>
                </c:pt>
                <c:pt idx="13">
                  <c:v>27992.350000000002</c:v>
                </c:pt>
                <c:pt idx="14">
                  <c:v>30322.26</c:v>
                </c:pt>
                <c:pt idx="15">
                  <c:v>30546.71</c:v>
                </c:pt>
                <c:pt idx="16">
                  <c:v>40620.370000000003</c:v>
                </c:pt>
                <c:pt idx="17">
                  <c:v>39624.129999999997</c:v>
                </c:pt>
                <c:pt idx="18">
                  <c:v>41764.160000000003</c:v>
                </c:pt>
                <c:pt idx="19">
                  <c:v>62852.319000000003</c:v>
                </c:pt>
                <c:pt idx="20">
                  <c:v>56213.001000000004</c:v>
                </c:pt>
                <c:pt idx="21">
                  <c:v>66660.760999999999</c:v>
                </c:pt>
                <c:pt idx="22">
                  <c:v>52456.4</c:v>
                </c:pt>
                <c:pt idx="23">
                  <c:v>32116.68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24-43A4-A7C1-7AB7378BB169}"/>
            </c:ext>
          </c:extLst>
        </c:ser>
        <c:ser>
          <c:idx val="1"/>
          <c:order val="1"/>
          <c:tx>
            <c:strRef>
              <c:f>Age!$F$1</c:f>
              <c:strCache>
                <c:ptCount val="1"/>
                <c:pt idx="0">
                  <c:v>Day -1</c:v>
                </c:pt>
              </c:strCache>
            </c:strRef>
          </c:tx>
          <c:spPr>
            <a:ln w="3492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Trend!$A$2:$A$25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Trend!$AA$26:$AA$49</c:f>
              <c:numCache>
                <c:formatCode>General</c:formatCode>
                <c:ptCount val="24"/>
                <c:pt idx="0">
                  <c:v>8629.0499999999993</c:v>
                </c:pt>
                <c:pt idx="1">
                  <c:v>3503.58</c:v>
                </c:pt>
                <c:pt idx="2">
                  <c:v>1707.9</c:v>
                </c:pt>
                <c:pt idx="3">
                  <c:v>1163.28</c:v>
                </c:pt>
                <c:pt idx="4">
                  <c:v>950.53</c:v>
                </c:pt>
                <c:pt idx="5">
                  <c:v>2020.1599999999999</c:v>
                </c:pt>
                <c:pt idx="6">
                  <c:v>4112.46</c:v>
                </c:pt>
                <c:pt idx="7">
                  <c:v>15830.52</c:v>
                </c:pt>
                <c:pt idx="8">
                  <c:v>24196.720000000001</c:v>
                </c:pt>
                <c:pt idx="9">
                  <c:v>35198.159999999996</c:v>
                </c:pt>
                <c:pt idx="10">
                  <c:v>48061.89</c:v>
                </c:pt>
                <c:pt idx="11">
                  <c:v>43979.24</c:v>
                </c:pt>
                <c:pt idx="12">
                  <c:v>30047.77</c:v>
                </c:pt>
                <c:pt idx="13">
                  <c:v>20742.629999999997</c:v>
                </c:pt>
                <c:pt idx="14">
                  <c:v>36100.890000000007</c:v>
                </c:pt>
                <c:pt idx="15">
                  <c:v>37672.31</c:v>
                </c:pt>
                <c:pt idx="16">
                  <c:v>40207.380000000005</c:v>
                </c:pt>
                <c:pt idx="17">
                  <c:v>35497.07</c:v>
                </c:pt>
                <c:pt idx="18">
                  <c:v>26497.700000000004</c:v>
                </c:pt>
                <c:pt idx="19">
                  <c:v>62138.28</c:v>
                </c:pt>
                <c:pt idx="20">
                  <c:v>71564.889999999985</c:v>
                </c:pt>
                <c:pt idx="21">
                  <c:v>53123.32</c:v>
                </c:pt>
                <c:pt idx="22">
                  <c:v>37915.08</c:v>
                </c:pt>
                <c:pt idx="23">
                  <c:v>15131.54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24-43A4-A7C1-7AB7378BB169}"/>
            </c:ext>
          </c:extLst>
        </c:ser>
        <c:ser>
          <c:idx val="2"/>
          <c:order val="2"/>
          <c:tx>
            <c:strRef>
              <c:f>Age!$J$1</c:f>
              <c:strCache>
                <c:ptCount val="1"/>
                <c:pt idx="0">
                  <c:v>Today</c:v>
                </c:pt>
              </c:strCache>
            </c:strRef>
          </c:tx>
          <c:spPr>
            <a:ln w="3492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Trend!$A$2:$A$25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Trend!$AA$50:$AA$73</c:f>
              <c:numCache>
                <c:formatCode>General</c:formatCode>
                <c:ptCount val="24"/>
                <c:pt idx="0">
                  <c:v>7575.8600000000006</c:v>
                </c:pt>
                <c:pt idx="1">
                  <c:v>4676.41</c:v>
                </c:pt>
                <c:pt idx="2">
                  <c:v>2335.3000000000002</c:v>
                </c:pt>
                <c:pt idx="3">
                  <c:v>1195.9499999999998</c:v>
                </c:pt>
                <c:pt idx="4">
                  <c:v>990.67</c:v>
                </c:pt>
                <c:pt idx="5">
                  <c:v>2253.9</c:v>
                </c:pt>
                <c:pt idx="6">
                  <c:v>5906.3600000000006</c:v>
                </c:pt>
                <c:pt idx="7">
                  <c:v>16514.39</c:v>
                </c:pt>
                <c:pt idx="8">
                  <c:v>34023.850000000006</c:v>
                </c:pt>
                <c:pt idx="9">
                  <c:v>42988.990000000005</c:v>
                </c:pt>
                <c:pt idx="10">
                  <c:v>33391.06</c:v>
                </c:pt>
                <c:pt idx="11">
                  <c:v>31081.620000000003</c:v>
                </c:pt>
                <c:pt idx="12">
                  <c:v>30187.18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24-43A4-A7C1-7AB7378BB1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7006704"/>
        <c:axId val="607000464"/>
      </c:lineChart>
      <c:catAx>
        <c:axId val="607006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0464"/>
        <c:crosses val="autoZero"/>
        <c:auto val="1"/>
        <c:lblAlgn val="ctr"/>
        <c:lblOffset val="100"/>
        <c:noMultiLvlLbl val="0"/>
      </c:catAx>
      <c:valAx>
        <c:axId val="60700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Erl Axis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\ \K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6704"/>
        <c:crosses val="autoZero"/>
        <c:crossBetween val="between"/>
        <c:dispUnits>
          <c:builtInUnit val="thousands"/>
        </c:dispUnits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543577528370384"/>
          <c:y val="0.90508785521397184"/>
          <c:w val="0.77367291109747349"/>
          <c:h val="8.9602409532772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Trend!$N$1</c:f>
          <c:strCache>
            <c:ptCount val="1"/>
            <c:pt idx="0">
              <c:v>MT 3G Pool-2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129892577111923"/>
          <c:y val="0.14751243781094528"/>
          <c:w val="0.81017286826707791"/>
          <c:h val="0.62326673718024062"/>
        </c:manualLayout>
      </c:layout>
      <c:lineChart>
        <c:grouping val="standard"/>
        <c:varyColors val="0"/>
        <c:ser>
          <c:idx val="0"/>
          <c:order val="0"/>
          <c:tx>
            <c:strRef>
              <c:f>Age!$B$1</c:f>
              <c:strCache>
                <c:ptCount val="1"/>
                <c:pt idx="0">
                  <c:v>Day -7</c:v>
                </c:pt>
              </c:strCache>
            </c:strRef>
          </c:tx>
          <c:spPr>
            <a:ln w="3492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Trend!$A$2:$A$25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Trend!$AB$2:$AB$25</c:f>
              <c:numCache>
                <c:formatCode>General</c:formatCode>
                <c:ptCount val="24"/>
                <c:pt idx="0">
                  <c:v>4446.59</c:v>
                </c:pt>
                <c:pt idx="1">
                  <c:v>2031.9499999999998</c:v>
                </c:pt>
                <c:pt idx="2">
                  <c:v>1004.8800000000001</c:v>
                </c:pt>
                <c:pt idx="3">
                  <c:v>359.33000000000004</c:v>
                </c:pt>
                <c:pt idx="4">
                  <c:v>434.22</c:v>
                </c:pt>
                <c:pt idx="5">
                  <c:v>584.92999999999995</c:v>
                </c:pt>
                <c:pt idx="6">
                  <c:v>1549.3400000000001</c:v>
                </c:pt>
                <c:pt idx="7">
                  <c:v>4334.5599999999995</c:v>
                </c:pt>
                <c:pt idx="8">
                  <c:v>5359.24</c:v>
                </c:pt>
                <c:pt idx="9">
                  <c:v>7812.49</c:v>
                </c:pt>
                <c:pt idx="10">
                  <c:v>10371.16</c:v>
                </c:pt>
                <c:pt idx="11">
                  <c:v>13559.130000000001</c:v>
                </c:pt>
                <c:pt idx="12">
                  <c:v>10583.91</c:v>
                </c:pt>
                <c:pt idx="13">
                  <c:v>9158.4</c:v>
                </c:pt>
                <c:pt idx="14">
                  <c:v>7605.18</c:v>
                </c:pt>
                <c:pt idx="15">
                  <c:v>7928.4400000000005</c:v>
                </c:pt>
                <c:pt idx="16">
                  <c:v>14455.16</c:v>
                </c:pt>
                <c:pt idx="17">
                  <c:v>11718.36</c:v>
                </c:pt>
                <c:pt idx="18">
                  <c:v>12225.22</c:v>
                </c:pt>
                <c:pt idx="19">
                  <c:v>17036.769999999997</c:v>
                </c:pt>
                <c:pt idx="20">
                  <c:v>18326.93</c:v>
                </c:pt>
                <c:pt idx="21">
                  <c:v>17711.830000000002</c:v>
                </c:pt>
                <c:pt idx="22">
                  <c:v>12244.220000000001</c:v>
                </c:pt>
                <c:pt idx="23">
                  <c:v>10037.630000000001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38-4F9B-A47D-2375CB30458A}"/>
            </c:ext>
          </c:extLst>
        </c:ser>
        <c:ser>
          <c:idx val="1"/>
          <c:order val="1"/>
          <c:tx>
            <c:strRef>
              <c:f>Age!$F$1</c:f>
              <c:strCache>
                <c:ptCount val="1"/>
                <c:pt idx="0">
                  <c:v>Day -1</c:v>
                </c:pt>
              </c:strCache>
            </c:strRef>
          </c:tx>
          <c:spPr>
            <a:ln w="3492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Trend!$A$2:$A$25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Trend!$AB$26:$AB$49</c:f>
              <c:numCache>
                <c:formatCode>General</c:formatCode>
                <c:ptCount val="24"/>
                <c:pt idx="0">
                  <c:v>3877.04</c:v>
                </c:pt>
                <c:pt idx="1">
                  <c:v>1258.17</c:v>
                </c:pt>
                <c:pt idx="2">
                  <c:v>689.41</c:v>
                </c:pt>
                <c:pt idx="3">
                  <c:v>279.67</c:v>
                </c:pt>
                <c:pt idx="4">
                  <c:v>235.63</c:v>
                </c:pt>
                <c:pt idx="5">
                  <c:v>375.66</c:v>
                </c:pt>
                <c:pt idx="6">
                  <c:v>955.96</c:v>
                </c:pt>
                <c:pt idx="7">
                  <c:v>2917.97</c:v>
                </c:pt>
                <c:pt idx="8">
                  <c:v>5246.66</c:v>
                </c:pt>
                <c:pt idx="9">
                  <c:v>7675.88</c:v>
                </c:pt>
                <c:pt idx="10">
                  <c:v>12821.220000000001</c:v>
                </c:pt>
                <c:pt idx="11">
                  <c:v>11496.99</c:v>
                </c:pt>
                <c:pt idx="12">
                  <c:v>11617.83</c:v>
                </c:pt>
                <c:pt idx="13">
                  <c:v>7291.6</c:v>
                </c:pt>
                <c:pt idx="14">
                  <c:v>7201.99</c:v>
                </c:pt>
                <c:pt idx="15">
                  <c:v>7570.59</c:v>
                </c:pt>
                <c:pt idx="16">
                  <c:v>8032.369999999999</c:v>
                </c:pt>
                <c:pt idx="17">
                  <c:v>11278.599999999999</c:v>
                </c:pt>
                <c:pt idx="18">
                  <c:v>8303.14</c:v>
                </c:pt>
                <c:pt idx="19">
                  <c:v>16345.85</c:v>
                </c:pt>
                <c:pt idx="20">
                  <c:v>16924.399999999998</c:v>
                </c:pt>
                <c:pt idx="21">
                  <c:v>15090.73</c:v>
                </c:pt>
                <c:pt idx="22">
                  <c:v>10194.540000000001</c:v>
                </c:pt>
                <c:pt idx="23">
                  <c:v>6084.81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38-4F9B-A47D-2375CB30458A}"/>
            </c:ext>
          </c:extLst>
        </c:ser>
        <c:ser>
          <c:idx val="2"/>
          <c:order val="2"/>
          <c:tx>
            <c:strRef>
              <c:f>Age!$J$1</c:f>
              <c:strCache>
                <c:ptCount val="1"/>
                <c:pt idx="0">
                  <c:v>Today</c:v>
                </c:pt>
              </c:strCache>
            </c:strRef>
          </c:tx>
          <c:spPr>
            <a:ln w="3492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Trend!$A$2:$A$25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Trend!$AB$50:$AB$73</c:f>
              <c:numCache>
                <c:formatCode>General</c:formatCode>
                <c:ptCount val="24"/>
                <c:pt idx="0">
                  <c:v>3185.03</c:v>
                </c:pt>
                <c:pt idx="1">
                  <c:v>2100.2599999999998</c:v>
                </c:pt>
                <c:pt idx="2">
                  <c:v>938.75</c:v>
                </c:pt>
                <c:pt idx="3">
                  <c:v>358.79</c:v>
                </c:pt>
                <c:pt idx="4">
                  <c:v>291.57</c:v>
                </c:pt>
                <c:pt idx="5">
                  <c:v>403.03</c:v>
                </c:pt>
                <c:pt idx="6">
                  <c:v>876.39</c:v>
                </c:pt>
                <c:pt idx="7">
                  <c:v>2619.4899999999998</c:v>
                </c:pt>
                <c:pt idx="8">
                  <c:v>5295.4</c:v>
                </c:pt>
                <c:pt idx="9">
                  <c:v>9129.24</c:v>
                </c:pt>
                <c:pt idx="10">
                  <c:v>13772.84</c:v>
                </c:pt>
                <c:pt idx="11">
                  <c:v>13449.39</c:v>
                </c:pt>
                <c:pt idx="12">
                  <c:v>7486.8899999999994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338-4F9B-A47D-2375CB3045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7006704"/>
        <c:axId val="607000464"/>
      </c:lineChart>
      <c:catAx>
        <c:axId val="607006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0464"/>
        <c:crosses val="autoZero"/>
        <c:auto val="1"/>
        <c:lblAlgn val="ctr"/>
        <c:lblOffset val="100"/>
        <c:noMultiLvlLbl val="0"/>
      </c:catAx>
      <c:valAx>
        <c:axId val="60700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Erl Axis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\ \K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6704"/>
        <c:crosses val="autoZero"/>
        <c:crossBetween val="between"/>
        <c:dispUnits>
          <c:builtInUnit val="thousands"/>
        </c:dispUnits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7392983076587026"/>
          <c:y val="0.90508785521397184"/>
          <c:w val="0.75517885561530695"/>
          <c:h val="8.960240953277257E-2"/>
        </c:manualLayout>
      </c:layout>
      <c:overlay val="0"/>
      <c:spPr>
        <a:noFill/>
        <a:ln w="34925">
          <a:solidFill>
            <a:schemeClr val="bg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Trend!$P$1</c:f>
          <c:strCache>
            <c:ptCount val="1"/>
            <c:pt idx="0">
              <c:v>MO Pool-1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129892577111923"/>
          <c:y val="0.14751243781094528"/>
          <c:w val="0.81017286826707791"/>
          <c:h val="0.62326673718024062"/>
        </c:manualLayout>
      </c:layout>
      <c:lineChart>
        <c:grouping val="standard"/>
        <c:varyColors val="0"/>
        <c:ser>
          <c:idx val="0"/>
          <c:order val="0"/>
          <c:tx>
            <c:strRef>
              <c:f>Age!$B$1</c:f>
              <c:strCache>
                <c:ptCount val="1"/>
                <c:pt idx="0">
                  <c:v>Day -7</c:v>
                </c:pt>
              </c:strCache>
            </c:strRef>
          </c:tx>
          <c:spPr>
            <a:ln w="3492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Trend!$A$2:$A$25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Trend!$P$2:$P$25</c:f>
              <c:numCache>
                <c:formatCode>General</c:formatCode>
                <c:ptCount val="24"/>
                <c:pt idx="0">
                  <c:v>22085.059999999998</c:v>
                </c:pt>
                <c:pt idx="1">
                  <c:v>10695.619999999999</c:v>
                </c:pt>
                <c:pt idx="2">
                  <c:v>5511.24</c:v>
                </c:pt>
                <c:pt idx="3">
                  <c:v>3695.4100000000003</c:v>
                </c:pt>
                <c:pt idx="4">
                  <c:v>2418.7199999999998</c:v>
                </c:pt>
                <c:pt idx="5">
                  <c:v>6878.73</c:v>
                </c:pt>
                <c:pt idx="6">
                  <c:v>20442.03</c:v>
                </c:pt>
                <c:pt idx="7">
                  <c:v>32031.070000000003</c:v>
                </c:pt>
                <c:pt idx="8">
                  <c:v>54474.79</c:v>
                </c:pt>
                <c:pt idx="9">
                  <c:v>66480.37</c:v>
                </c:pt>
                <c:pt idx="10">
                  <c:v>71738.61</c:v>
                </c:pt>
                <c:pt idx="11">
                  <c:v>62138.07</c:v>
                </c:pt>
                <c:pt idx="12">
                  <c:v>68299.460000000006</c:v>
                </c:pt>
                <c:pt idx="13">
                  <c:v>55957.5</c:v>
                </c:pt>
                <c:pt idx="14">
                  <c:v>72729.600000000006</c:v>
                </c:pt>
                <c:pt idx="15">
                  <c:v>72635.040000000008</c:v>
                </c:pt>
                <c:pt idx="16">
                  <c:v>57699.58</c:v>
                </c:pt>
                <c:pt idx="17">
                  <c:v>67327.520000000004</c:v>
                </c:pt>
                <c:pt idx="18">
                  <c:v>69278.73</c:v>
                </c:pt>
                <c:pt idx="19">
                  <c:v>107126.47</c:v>
                </c:pt>
                <c:pt idx="20">
                  <c:v>124352.861</c:v>
                </c:pt>
                <c:pt idx="21">
                  <c:v>107242.859</c:v>
                </c:pt>
                <c:pt idx="22">
                  <c:v>85743.03899999999</c:v>
                </c:pt>
                <c:pt idx="23">
                  <c:v>41478.42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01-431A-A787-696841A35A3E}"/>
            </c:ext>
          </c:extLst>
        </c:ser>
        <c:ser>
          <c:idx val="1"/>
          <c:order val="1"/>
          <c:tx>
            <c:strRef>
              <c:f>Age!$F$1</c:f>
              <c:strCache>
                <c:ptCount val="1"/>
                <c:pt idx="0">
                  <c:v>Day -1</c:v>
                </c:pt>
              </c:strCache>
            </c:strRef>
          </c:tx>
          <c:spPr>
            <a:ln w="3492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Trend!$A$2:$A$25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Trend!$P$26:$P$49</c:f>
              <c:numCache>
                <c:formatCode>General</c:formatCode>
                <c:ptCount val="24"/>
                <c:pt idx="0">
                  <c:v>15026.119999999999</c:v>
                </c:pt>
                <c:pt idx="1">
                  <c:v>8133.0999999999995</c:v>
                </c:pt>
                <c:pt idx="2">
                  <c:v>4006.0099999999998</c:v>
                </c:pt>
                <c:pt idx="3">
                  <c:v>2065.0700000000002</c:v>
                </c:pt>
                <c:pt idx="4">
                  <c:v>1437.2299999999998</c:v>
                </c:pt>
                <c:pt idx="5">
                  <c:v>4065.13</c:v>
                </c:pt>
                <c:pt idx="6">
                  <c:v>17313.379999999997</c:v>
                </c:pt>
                <c:pt idx="7">
                  <c:v>30593.46</c:v>
                </c:pt>
                <c:pt idx="8">
                  <c:v>46254.369999999995</c:v>
                </c:pt>
                <c:pt idx="9">
                  <c:v>59263.19</c:v>
                </c:pt>
                <c:pt idx="10">
                  <c:v>61089.889999999992</c:v>
                </c:pt>
                <c:pt idx="11">
                  <c:v>65670.559999999998</c:v>
                </c:pt>
                <c:pt idx="12">
                  <c:v>68467.28</c:v>
                </c:pt>
                <c:pt idx="13">
                  <c:v>66249.51999999999</c:v>
                </c:pt>
                <c:pt idx="14">
                  <c:v>54159.130000000005</c:v>
                </c:pt>
                <c:pt idx="15">
                  <c:v>54260.630000000005</c:v>
                </c:pt>
                <c:pt idx="16">
                  <c:v>58730.240000000005</c:v>
                </c:pt>
                <c:pt idx="17">
                  <c:v>65943.289999999994</c:v>
                </c:pt>
                <c:pt idx="18">
                  <c:v>83234.73000000001</c:v>
                </c:pt>
                <c:pt idx="19">
                  <c:v>105151.48</c:v>
                </c:pt>
                <c:pt idx="20">
                  <c:v>100726.08899999999</c:v>
                </c:pt>
                <c:pt idx="21">
                  <c:v>100545.79000000001</c:v>
                </c:pt>
                <c:pt idx="22">
                  <c:v>68633.72</c:v>
                </c:pt>
                <c:pt idx="23">
                  <c:v>39299.660000000003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01-431A-A787-696841A35A3E}"/>
            </c:ext>
          </c:extLst>
        </c:ser>
        <c:ser>
          <c:idx val="2"/>
          <c:order val="2"/>
          <c:tx>
            <c:strRef>
              <c:f>Age!$J$1</c:f>
              <c:strCache>
                <c:ptCount val="1"/>
                <c:pt idx="0">
                  <c:v>Today</c:v>
                </c:pt>
              </c:strCache>
            </c:strRef>
          </c:tx>
          <c:spPr>
            <a:ln w="3492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Trend!$A$2:$A$25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Trend!$P$50:$P$73</c:f>
              <c:numCache>
                <c:formatCode>General</c:formatCode>
                <c:ptCount val="24"/>
                <c:pt idx="0">
                  <c:v>17264.940000000002</c:v>
                </c:pt>
                <c:pt idx="1">
                  <c:v>6443.94</c:v>
                </c:pt>
                <c:pt idx="2">
                  <c:v>3107.1699999999996</c:v>
                </c:pt>
                <c:pt idx="3">
                  <c:v>2043.89</c:v>
                </c:pt>
                <c:pt idx="4">
                  <c:v>1529.6799999999998</c:v>
                </c:pt>
                <c:pt idx="5">
                  <c:v>3782.95</c:v>
                </c:pt>
                <c:pt idx="6">
                  <c:v>14854.339999999998</c:v>
                </c:pt>
                <c:pt idx="7">
                  <c:v>27897.35</c:v>
                </c:pt>
                <c:pt idx="8">
                  <c:v>40380.39</c:v>
                </c:pt>
                <c:pt idx="9">
                  <c:v>54395.000000000007</c:v>
                </c:pt>
                <c:pt idx="10">
                  <c:v>68479.42</c:v>
                </c:pt>
                <c:pt idx="11">
                  <c:v>75028.750000000015</c:v>
                </c:pt>
                <c:pt idx="12">
                  <c:v>74844.209999999992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01-431A-A787-696841A35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7006704"/>
        <c:axId val="607000464"/>
      </c:lineChart>
      <c:catAx>
        <c:axId val="607006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0464"/>
        <c:crosses val="autoZero"/>
        <c:auto val="1"/>
        <c:lblAlgn val="ctr"/>
        <c:lblOffset val="100"/>
        <c:noMultiLvlLbl val="0"/>
      </c:catAx>
      <c:valAx>
        <c:axId val="60700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Erl Axis 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\ \K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6704"/>
        <c:crosses val="autoZero"/>
        <c:crossBetween val="between"/>
        <c:dispUnits>
          <c:builtInUnit val="thousands"/>
        </c:dispUnits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052164054129958"/>
          <c:y val="0.90508785521397184"/>
          <c:w val="0.81858704583987763"/>
          <c:h val="8.9602409532772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Trend!$Q$1</c:f>
          <c:strCache>
            <c:ptCount val="1"/>
            <c:pt idx="0">
              <c:v>MT Pool-1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129892577111923"/>
          <c:y val="0.14751243781094528"/>
          <c:w val="0.81017286826707791"/>
          <c:h val="0.62326673718024062"/>
        </c:manualLayout>
      </c:layout>
      <c:lineChart>
        <c:grouping val="standard"/>
        <c:varyColors val="0"/>
        <c:ser>
          <c:idx val="0"/>
          <c:order val="0"/>
          <c:tx>
            <c:strRef>
              <c:f>Age!$B$1</c:f>
              <c:strCache>
                <c:ptCount val="1"/>
                <c:pt idx="0">
                  <c:v>Day -7</c:v>
                </c:pt>
              </c:strCache>
            </c:strRef>
          </c:tx>
          <c:spPr>
            <a:ln w="3492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Trend!$A$2:$A$25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Trend!$Q$2:$Q$25</c:f>
              <c:numCache>
                <c:formatCode>General</c:formatCode>
                <c:ptCount val="24"/>
                <c:pt idx="0">
                  <c:v>20453.72</c:v>
                </c:pt>
                <c:pt idx="1">
                  <c:v>10326.69</c:v>
                </c:pt>
                <c:pt idx="2">
                  <c:v>5206.8100000000004</c:v>
                </c:pt>
                <c:pt idx="3">
                  <c:v>3717.19</c:v>
                </c:pt>
                <c:pt idx="4">
                  <c:v>2287.8200000000002</c:v>
                </c:pt>
                <c:pt idx="5">
                  <c:v>5727.16</c:v>
                </c:pt>
                <c:pt idx="6">
                  <c:v>16485.919999999998</c:v>
                </c:pt>
                <c:pt idx="7">
                  <c:v>28960.639999999999</c:v>
                </c:pt>
                <c:pt idx="8">
                  <c:v>50922.22</c:v>
                </c:pt>
                <c:pt idx="9">
                  <c:v>61968.83</c:v>
                </c:pt>
                <c:pt idx="10">
                  <c:v>66228.61</c:v>
                </c:pt>
                <c:pt idx="11">
                  <c:v>58842.780000000006</c:v>
                </c:pt>
                <c:pt idx="12">
                  <c:v>63809.93</c:v>
                </c:pt>
                <c:pt idx="13">
                  <c:v>62269.149999999994</c:v>
                </c:pt>
                <c:pt idx="14">
                  <c:v>66519.06</c:v>
                </c:pt>
                <c:pt idx="15">
                  <c:v>71467.87</c:v>
                </c:pt>
                <c:pt idx="16">
                  <c:v>56195.82</c:v>
                </c:pt>
                <c:pt idx="17">
                  <c:v>62658.969999999994</c:v>
                </c:pt>
                <c:pt idx="18">
                  <c:v>64572.39</c:v>
                </c:pt>
                <c:pt idx="19">
                  <c:v>99363.989999999991</c:v>
                </c:pt>
                <c:pt idx="20">
                  <c:v>120960.461</c:v>
                </c:pt>
                <c:pt idx="21">
                  <c:v>100973.8</c:v>
                </c:pt>
                <c:pt idx="22">
                  <c:v>78257.350000000006</c:v>
                </c:pt>
                <c:pt idx="23">
                  <c:v>40073.43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FE-4B85-ABB5-8B57EC0B151D}"/>
            </c:ext>
          </c:extLst>
        </c:ser>
        <c:ser>
          <c:idx val="1"/>
          <c:order val="1"/>
          <c:tx>
            <c:strRef>
              <c:f>Age!$F$1</c:f>
              <c:strCache>
                <c:ptCount val="1"/>
                <c:pt idx="0">
                  <c:v>Day -1</c:v>
                </c:pt>
              </c:strCache>
            </c:strRef>
          </c:tx>
          <c:spPr>
            <a:ln w="3492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Trend!$A$2:$A$25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Trend!$Q$26:$Q$49</c:f>
              <c:numCache>
                <c:formatCode>General</c:formatCode>
                <c:ptCount val="24"/>
                <c:pt idx="0">
                  <c:v>14330.7</c:v>
                </c:pt>
                <c:pt idx="1">
                  <c:v>8015.6</c:v>
                </c:pt>
                <c:pt idx="2">
                  <c:v>3967.4800000000005</c:v>
                </c:pt>
                <c:pt idx="3">
                  <c:v>2071.2799999999997</c:v>
                </c:pt>
                <c:pt idx="4">
                  <c:v>1433.22</c:v>
                </c:pt>
                <c:pt idx="5">
                  <c:v>3886.0300000000007</c:v>
                </c:pt>
                <c:pt idx="6">
                  <c:v>16621.009999999998</c:v>
                </c:pt>
                <c:pt idx="7">
                  <c:v>27176.629999999997</c:v>
                </c:pt>
                <c:pt idx="8">
                  <c:v>43504.52</c:v>
                </c:pt>
                <c:pt idx="9">
                  <c:v>56417.130000000005</c:v>
                </c:pt>
                <c:pt idx="10">
                  <c:v>55706.33</c:v>
                </c:pt>
                <c:pt idx="11">
                  <c:v>62293.61</c:v>
                </c:pt>
                <c:pt idx="12">
                  <c:v>66794.429999999993</c:v>
                </c:pt>
                <c:pt idx="13">
                  <c:v>64553.55</c:v>
                </c:pt>
                <c:pt idx="14">
                  <c:v>48043.95</c:v>
                </c:pt>
                <c:pt idx="15">
                  <c:v>50785.86</c:v>
                </c:pt>
                <c:pt idx="16">
                  <c:v>52668.65</c:v>
                </c:pt>
                <c:pt idx="17">
                  <c:v>62529.98</c:v>
                </c:pt>
                <c:pt idx="18">
                  <c:v>80375.8</c:v>
                </c:pt>
                <c:pt idx="19">
                  <c:v>101354.93</c:v>
                </c:pt>
                <c:pt idx="20">
                  <c:v>91793.11</c:v>
                </c:pt>
                <c:pt idx="21">
                  <c:v>95103.399000000005</c:v>
                </c:pt>
                <c:pt idx="22">
                  <c:v>64192.65</c:v>
                </c:pt>
                <c:pt idx="23">
                  <c:v>38101.93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FE-4B85-ABB5-8B57EC0B151D}"/>
            </c:ext>
          </c:extLst>
        </c:ser>
        <c:ser>
          <c:idx val="2"/>
          <c:order val="2"/>
          <c:tx>
            <c:strRef>
              <c:f>Age!$J$1</c:f>
              <c:strCache>
                <c:ptCount val="1"/>
                <c:pt idx="0">
                  <c:v>Today</c:v>
                </c:pt>
              </c:strCache>
            </c:strRef>
          </c:tx>
          <c:spPr>
            <a:ln w="3492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Trend!$A$2:$A$25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Trend!$Q$50:$Q$73</c:f>
              <c:numCache>
                <c:formatCode>General</c:formatCode>
                <c:ptCount val="24"/>
                <c:pt idx="0">
                  <c:v>17012.46</c:v>
                </c:pt>
                <c:pt idx="1">
                  <c:v>6300.1299999999992</c:v>
                </c:pt>
                <c:pt idx="2">
                  <c:v>3082.2000000000003</c:v>
                </c:pt>
                <c:pt idx="3">
                  <c:v>2054.62</c:v>
                </c:pt>
                <c:pt idx="4">
                  <c:v>1527.17</c:v>
                </c:pt>
                <c:pt idx="5">
                  <c:v>3488.88</c:v>
                </c:pt>
                <c:pt idx="6">
                  <c:v>13603.02</c:v>
                </c:pt>
                <c:pt idx="7">
                  <c:v>25936.089999999997</c:v>
                </c:pt>
                <c:pt idx="8">
                  <c:v>33478.199999999997</c:v>
                </c:pt>
                <c:pt idx="9">
                  <c:v>47468.18</c:v>
                </c:pt>
                <c:pt idx="10">
                  <c:v>70127.51999999999</c:v>
                </c:pt>
                <c:pt idx="11">
                  <c:v>74969.2</c:v>
                </c:pt>
                <c:pt idx="12">
                  <c:v>72469.320000000007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9FE-4B85-ABB5-8B57EC0B15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7006704"/>
        <c:axId val="607000464"/>
      </c:lineChart>
      <c:catAx>
        <c:axId val="607006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0464"/>
        <c:crosses val="autoZero"/>
        <c:auto val="1"/>
        <c:lblAlgn val="ctr"/>
        <c:lblOffset val="100"/>
        <c:noMultiLvlLbl val="0"/>
      </c:catAx>
      <c:valAx>
        <c:axId val="60700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Erl Axis 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\ \K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6704"/>
        <c:crosses val="autoZero"/>
        <c:crossBetween val="between"/>
        <c:dispUnits>
          <c:builtInUnit val="thousands"/>
        </c:dispUnits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9506589417406051"/>
          <c:y val="0.90508785521397184"/>
          <c:w val="0.70762271294687895"/>
          <c:h val="8.9602409532772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Trend!$R$1</c:f>
          <c:strCache>
            <c:ptCount val="1"/>
            <c:pt idx="0">
              <c:v>MO Pool-2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129892577111923"/>
          <c:y val="0.14751243781094528"/>
          <c:w val="0.81017286826707791"/>
          <c:h val="0.62326673718024062"/>
        </c:manualLayout>
      </c:layout>
      <c:lineChart>
        <c:grouping val="standard"/>
        <c:varyColors val="0"/>
        <c:ser>
          <c:idx val="0"/>
          <c:order val="0"/>
          <c:tx>
            <c:strRef>
              <c:f>Age!$B$1</c:f>
              <c:strCache>
                <c:ptCount val="1"/>
                <c:pt idx="0">
                  <c:v>Day -7</c:v>
                </c:pt>
              </c:strCache>
            </c:strRef>
          </c:tx>
          <c:spPr>
            <a:ln w="3492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Trend!$A$2:$A$25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Trend!$R$2:$R$25</c:f>
              <c:numCache>
                <c:formatCode>General</c:formatCode>
                <c:ptCount val="24"/>
                <c:pt idx="0">
                  <c:v>17766.330000000002</c:v>
                </c:pt>
                <c:pt idx="1">
                  <c:v>7977.42</c:v>
                </c:pt>
                <c:pt idx="2">
                  <c:v>3612.0299999999997</c:v>
                </c:pt>
                <c:pt idx="3">
                  <c:v>1844.1799999999998</c:v>
                </c:pt>
                <c:pt idx="4">
                  <c:v>2102.66</c:v>
                </c:pt>
                <c:pt idx="5">
                  <c:v>4550.91</c:v>
                </c:pt>
                <c:pt idx="6">
                  <c:v>12994.1</c:v>
                </c:pt>
                <c:pt idx="7">
                  <c:v>28306.61</c:v>
                </c:pt>
                <c:pt idx="8">
                  <c:v>30081.759999999995</c:v>
                </c:pt>
                <c:pt idx="9">
                  <c:v>40261.740000000005</c:v>
                </c:pt>
                <c:pt idx="10">
                  <c:v>47462.91</c:v>
                </c:pt>
                <c:pt idx="11">
                  <c:v>56833.97</c:v>
                </c:pt>
                <c:pt idx="12">
                  <c:v>43600.71</c:v>
                </c:pt>
                <c:pt idx="13">
                  <c:v>45818.12</c:v>
                </c:pt>
                <c:pt idx="14">
                  <c:v>35265.919999999998</c:v>
                </c:pt>
                <c:pt idx="15">
                  <c:v>41021.56</c:v>
                </c:pt>
                <c:pt idx="16">
                  <c:v>56734.600000000006</c:v>
                </c:pt>
                <c:pt idx="17">
                  <c:v>49905.929999999993</c:v>
                </c:pt>
                <c:pt idx="18">
                  <c:v>52505.54</c:v>
                </c:pt>
                <c:pt idx="19">
                  <c:v>79061.35100000001</c:v>
                </c:pt>
                <c:pt idx="20">
                  <c:v>78232.410999999993</c:v>
                </c:pt>
                <c:pt idx="21">
                  <c:v>84705.47099999999</c:v>
                </c:pt>
                <c:pt idx="22">
                  <c:v>62143.37</c:v>
                </c:pt>
                <c:pt idx="23">
                  <c:v>43634.400000000001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DA-49A5-B748-16854ED0F3E2}"/>
            </c:ext>
          </c:extLst>
        </c:ser>
        <c:ser>
          <c:idx val="1"/>
          <c:order val="1"/>
          <c:tx>
            <c:strRef>
              <c:f>Age!$F$1</c:f>
              <c:strCache>
                <c:ptCount val="1"/>
                <c:pt idx="0">
                  <c:v>Day -1</c:v>
                </c:pt>
              </c:strCache>
            </c:strRef>
          </c:tx>
          <c:spPr>
            <a:ln w="3492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Trend!$A$2:$A$25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Trend!$R$26:$R$49</c:f>
              <c:numCache>
                <c:formatCode>General</c:formatCode>
                <c:ptCount val="24"/>
                <c:pt idx="0">
                  <c:v>12633.53</c:v>
                </c:pt>
                <c:pt idx="1">
                  <c:v>4794.97</c:v>
                </c:pt>
                <c:pt idx="2">
                  <c:v>2408.54</c:v>
                </c:pt>
                <c:pt idx="3">
                  <c:v>1460.7</c:v>
                </c:pt>
                <c:pt idx="4">
                  <c:v>1230.55</c:v>
                </c:pt>
                <c:pt idx="5">
                  <c:v>2520.59</c:v>
                </c:pt>
                <c:pt idx="6">
                  <c:v>6135.84</c:v>
                </c:pt>
                <c:pt idx="7">
                  <c:v>19304.41</c:v>
                </c:pt>
                <c:pt idx="8">
                  <c:v>32363.11</c:v>
                </c:pt>
                <c:pt idx="9">
                  <c:v>46133.31</c:v>
                </c:pt>
                <c:pt idx="10">
                  <c:v>60378.560000000005</c:v>
                </c:pt>
                <c:pt idx="11">
                  <c:v>55962.46</c:v>
                </c:pt>
                <c:pt idx="12">
                  <c:v>43271.88</c:v>
                </c:pt>
                <c:pt idx="13">
                  <c:v>29148.7</c:v>
                </c:pt>
                <c:pt idx="14">
                  <c:v>40150.800000000003</c:v>
                </c:pt>
                <c:pt idx="15">
                  <c:v>44445.19</c:v>
                </c:pt>
                <c:pt idx="16">
                  <c:v>44919.63</c:v>
                </c:pt>
                <c:pt idx="17">
                  <c:v>47085.08</c:v>
                </c:pt>
                <c:pt idx="18">
                  <c:v>36278.03</c:v>
                </c:pt>
                <c:pt idx="19">
                  <c:v>84975.389999999985</c:v>
                </c:pt>
                <c:pt idx="20">
                  <c:v>88649.668999999994</c:v>
                </c:pt>
                <c:pt idx="21">
                  <c:v>70968.149999999994</c:v>
                </c:pt>
                <c:pt idx="22">
                  <c:v>48591.23</c:v>
                </c:pt>
                <c:pt idx="23">
                  <c:v>22461.08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FDA-49A5-B748-16854ED0F3E2}"/>
            </c:ext>
          </c:extLst>
        </c:ser>
        <c:ser>
          <c:idx val="2"/>
          <c:order val="2"/>
          <c:tx>
            <c:strRef>
              <c:f>Age!$J$1</c:f>
              <c:strCache>
                <c:ptCount val="1"/>
                <c:pt idx="0">
                  <c:v>Today</c:v>
                </c:pt>
              </c:strCache>
            </c:strRef>
          </c:tx>
          <c:spPr>
            <a:ln w="3492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Trend!$A$2:$A$25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Trend!$R$50:$R$73</c:f>
              <c:numCache>
                <c:formatCode>General</c:formatCode>
                <c:ptCount val="24"/>
                <c:pt idx="0">
                  <c:v>11144.460000000001</c:v>
                </c:pt>
                <c:pt idx="1">
                  <c:v>6991.15</c:v>
                </c:pt>
                <c:pt idx="2">
                  <c:v>3364.54</c:v>
                </c:pt>
                <c:pt idx="3">
                  <c:v>1587.6799999999998</c:v>
                </c:pt>
                <c:pt idx="4">
                  <c:v>1311.65</c:v>
                </c:pt>
                <c:pt idx="5">
                  <c:v>2643.25</c:v>
                </c:pt>
                <c:pt idx="6">
                  <c:v>7352.96</c:v>
                </c:pt>
                <c:pt idx="7">
                  <c:v>21219.210000000003</c:v>
                </c:pt>
                <c:pt idx="8">
                  <c:v>38087.479999999996</c:v>
                </c:pt>
                <c:pt idx="9">
                  <c:v>50891.430000000008</c:v>
                </c:pt>
                <c:pt idx="10">
                  <c:v>53910.640000000007</c:v>
                </c:pt>
                <c:pt idx="11">
                  <c:v>48633</c:v>
                </c:pt>
                <c:pt idx="12">
                  <c:v>39170.300000000003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FDA-49A5-B748-16854ED0F3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7006704"/>
        <c:axId val="607000464"/>
      </c:lineChart>
      <c:catAx>
        <c:axId val="607006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0464"/>
        <c:crosses val="autoZero"/>
        <c:auto val="1"/>
        <c:lblAlgn val="ctr"/>
        <c:lblOffset val="100"/>
        <c:noMultiLvlLbl val="0"/>
      </c:catAx>
      <c:valAx>
        <c:axId val="60700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Erl Axis 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\ \K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6704"/>
        <c:crosses val="autoZero"/>
        <c:crossBetween val="between"/>
        <c:dispUnits>
          <c:builtInUnit val="thousands"/>
        </c:dispUnits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3958372772756114"/>
          <c:y val="0.90508785521397184"/>
          <c:w val="0.80273499828373496"/>
          <c:h val="8.9602409532772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Trend!$S$1</c:f>
          <c:strCache>
            <c:ptCount val="1"/>
            <c:pt idx="0">
              <c:v>MT Pool-2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129892577111923"/>
          <c:y val="0.14751243781094528"/>
          <c:w val="0.81017286826707791"/>
          <c:h val="0.62326673718024062"/>
        </c:manualLayout>
      </c:layout>
      <c:lineChart>
        <c:grouping val="standard"/>
        <c:varyColors val="0"/>
        <c:ser>
          <c:idx val="0"/>
          <c:order val="0"/>
          <c:tx>
            <c:strRef>
              <c:f>Age!$B$1</c:f>
              <c:strCache>
                <c:ptCount val="1"/>
                <c:pt idx="0">
                  <c:v>Day -7</c:v>
                </c:pt>
              </c:strCache>
            </c:strRef>
          </c:tx>
          <c:spPr>
            <a:ln w="3492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Trend!$A$2:$A$25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Trend!$S$2:$S$25</c:f>
              <c:numCache>
                <c:formatCode>General</c:formatCode>
                <c:ptCount val="24"/>
                <c:pt idx="0">
                  <c:v>17523.870000000003</c:v>
                </c:pt>
                <c:pt idx="1">
                  <c:v>7477.13</c:v>
                </c:pt>
                <c:pt idx="2">
                  <c:v>3632.66</c:v>
                </c:pt>
                <c:pt idx="3">
                  <c:v>1660.3400000000001</c:v>
                </c:pt>
                <c:pt idx="4">
                  <c:v>2087.7699999999995</c:v>
                </c:pt>
                <c:pt idx="5">
                  <c:v>4915.8300000000008</c:v>
                </c:pt>
                <c:pt idx="6">
                  <c:v>13958.269999999999</c:v>
                </c:pt>
                <c:pt idx="7">
                  <c:v>26001.549999999996</c:v>
                </c:pt>
                <c:pt idx="8">
                  <c:v>28137.270000000004</c:v>
                </c:pt>
                <c:pt idx="9">
                  <c:v>39343.18</c:v>
                </c:pt>
                <c:pt idx="10">
                  <c:v>48494.66</c:v>
                </c:pt>
                <c:pt idx="11">
                  <c:v>56459.180000000008</c:v>
                </c:pt>
                <c:pt idx="12">
                  <c:v>44998.130000000005</c:v>
                </c:pt>
                <c:pt idx="13">
                  <c:v>37150.75</c:v>
                </c:pt>
                <c:pt idx="14">
                  <c:v>37927.440000000002</c:v>
                </c:pt>
                <c:pt idx="15">
                  <c:v>38475.15</c:v>
                </c:pt>
                <c:pt idx="16">
                  <c:v>55075.53</c:v>
                </c:pt>
                <c:pt idx="17">
                  <c:v>51342.49</c:v>
                </c:pt>
                <c:pt idx="18">
                  <c:v>53989.380000000005</c:v>
                </c:pt>
                <c:pt idx="19">
                  <c:v>79889.089000000007</c:v>
                </c:pt>
                <c:pt idx="20">
                  <c:v>74539.931000000011</c:v>
                </c:pt>
                <c:pt idx="21">
                  <c:v>84372.591</c:v>
                </c:pt>
                <c:pt idx="22">
                  <c:v>64700.62</c:v>
                </c:pt>
                <c:pt idx="23">
                  <c:v>42154.31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85-4A87-9ED8-594E473DF8A4}"/>
            </c:ext>
          </c:extLst>
        </c:ser>
        <c:ser>
          <c:idx val="1"/>
          <c:order val="1"/>
          <c:tx>
            <c:strRef>
              <c:f>Age!$F$1</c:f>
              <c:strCache>
                <c:ptCount val="1"/>
                <c:pt idx="0">
                  <c:v>Day -1</c:v>
                </c:pt>
              </c:strCache>
            </c:strRef>
          </c:tx>
          <c:spPr>
            <a:ln w="3492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Trend!$A$2:$A$25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Trend!$S$26:$S$49</c:f>
              <c:numCache>
                <c:formatCode>General</c:formatCode>
                <c:ptCount val="24"/>
                <c:pt idx="0">
                  <c:v>12506.09</c:v>
                </c:pt>
                <c:pt idx="1">
                  <c:v>4761.75</c:v>
                </c:pt>
                <c:pt idx="2">
                  <c:v>2397.31</c:v>
                </c:pt>
                <c:pt idx="3">
                  <c:v>1442.95</c:v>
                </c:pt>
                <c:pt idx="4">
                  <c:v>1186.1599999999999</c:v>
                </c:pt>
                <c:pt idx="5">
                  <c:v>2395.8199999999997</c:v>
                </c:pt>
                <c:pt idx="6">
                  <c:v>5068.42</c:v>
                </c:pt>
                <c:pt idx="7">
                  <c:v>18748.490000000002</c:v>
                </c:pt>
                <c:pt idx="8">
                  <c:v>29443.38</c:v>
                </c:pt>
                <c:pt idx="9">
                  <c:v>42874.039999999994</c:v>
                </c:pt>
                <c:pt idx="10">
                  <c:v>60883.11</c:v>
                </c:pt>
                <c:pt idx="11">
                  <c:v>55476.229999999996</c:v>
                </c:pt>
                <c:pt idx="12">
                  <c:v>41665.599999999999</c:v>
                </c:pt>
                <c:pt idx="13">
                  <c:v>28034.229999999996</c:v>
                </c:pt>
                <c:pt idx="14">
                  <c:v>43302.880000000005</c:v>
                </c:pt>
                <c:pt idx="15">
                  <c:v>45242.899999999994</c:v>
                </c:pt>
                <c:pt idx="16">
                  <c:v>48239.75</c:v>
                </c:pt>
                <c:pt idx="17">
                  <c:v>46775.67</c:v>
                </c:pt>
                <c:pt idx="18">
                  <c:v>34800.840000000004</c:v>
                </c:pt>
                <c:pt idx="19">
                  <c:v>78484.13</c:v>
                </c:pt>
                <c:pt idx="20">
                  <c:v>88489.289999999979</c:v>
                </c:pt>
                <c:pt idx="21">
                  <c:v>68214.05</c:v>
                </c:pt>
                <c:pt idx="22">
                  <c:v>48109.62</c:v>
                </c:pt>
                <c:pt idx="23">
                  <c:v>21216.350000000002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85-4A87-9ED8-594E473DF8A4}"/>
            </c:ext>
          </c:extLst>
        </c:ser>
        <c:ser>
          <c:idx val="2"/>
          <c:order val="2"/>
          <c:tx>
            <c:strRef>
              <c:f>Age!$J$1</c:f>
              <c:strCache>
                <c:ptCount val="1"/>
                <c:pt idx="0">
                  <c:v>Today</c:v>
                </c:pt>
              </c:strCache>
            </c:strRef>
          </c:tx>
          <c:spPr>
            <a:ln w="3492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Trend!$A$2:$A$25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Trend!$S$50:$S$73</c:f>
              <c:numCache>
                <c:formatCode>General</c:formatCode>
                <c:ptCount val="24"/>
                <c:pt idx="0">
                  <c:v>10760.890000000001</c:v>
                </c:pt>
                <c:pt idx="1">
                  <c:v>6776.67</c:v>
                </c:pt>
                <c:pt idx="2">
                  <c:v>3274.05</c:v>
                </c:pt>
                <c:pt idx="3">
                  <c:v>1554.7399999999998</c:v>
                </c:pt>
                <c:pt idx="4">
                  <c:v>1282.24</c:v>
                </c:pt>
                <c:pt idx="5">
                  <c:v>2656.9300000000003</c:v>
                </c:pt>
                <c:pt idx="6">
                  <c:v>6782.7500000000009</c:v>
                </c:pt>
                <c:pt idx="7">
                  <c:v>19133.879999999997</c:v>
                </c:pt>
                <c:pt idx="8">
                  <c:v>39319.250000000007</c:v>
                </c:pt>
                <c:pt idx="9">
                  <c:v>52118.23</c:v>
                </c:pt>
                <c:pt idx="10">
                  <c:v>47163.899999999994</c:v>
                </c:pt>
                <c:pt idx="11">
                  <c:v>44531.01</c:v>
                </c:pt>
                <c:pt idx="12">
                  <c:v>37674.07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C85-4A87-9ED8-594E473DF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7006704"/>
        <c:axId val="607000464"/>
      </c:lineChart>
      <c:catAx>
        <c:axId val="607006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0464"/>
        <c:crosses val="autoZero"/>
        <c:auto val="1"/>
        <c:lblAlgn val="ctr"/>
        <c:lblOffset val="100"/>
        <c:noMultiLvlLbl val="0"/>
      </c:catAx>
      <c:valAx>
        <c:axId val="60700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Erl Axis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\ \K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6704"/>
        <c:crosses val="autoZero"/>
        <c:crossBetween val="between"/>
        <c:dispUnits>
          <c:builtInUnit val="thousands"/>
        </c:dispUnits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3694171980153738"/>
          <c:y val="0.90508785521397184"/>
          <c:w val="0.8000929903577112"/>
          <c:h val="8.9602409532772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Age!$W$2</c:f>
          <c:strCache>
            <c:ptCount val="1"/>
            <c:pt idx="0">
              <c:v>vEPC GZ_2G &amp; 3G [Gi]</c:v>
            </c:pt>
          </c:strCache>
        </c:strRef>
      </c:tx>
      <c:layout>
        <c:manualLayout>
          <c:xMode val="edge"/>
          <c:yMode val="edge"/>
          <c:x val="0.4175874323064061"/>
          <c:y val="1.90476190476190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43173804717048"/>
          <c:y val="0.14751243781094528"/>
          <c:w val="0.85404017863229764"/>
          <c:h val="0.61691738532683416"/>
        </c:manualLayout>
      </c:layout>
      <c:lineChart>
        <c:grouping val="standard"/>
        <c:varyColors val="0"/>
        <c:ser>
          <c:idx val="0"/>
          <c:order val="0"/>
          <c:tx>
            <c:strRef>
              <c:f>Age!$W$1</c:f>
              <c:strCache>
                <c:ptCount val="1"/>
                <c:pt idx="0">
                  <c:v>Day -7</c:v>
                </c:pt>
              </c:strCache>
            </c:strRef>
          </c:tx>
          <c:spPr>
            <a:ln w="3492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Age!$V$3:$V$26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Age!$W$3:$W$26</c:f>
              <c:numCache>
                <c:formatCode>General</c:formatCode>
                <c:ptCount val="24"/>
                <c:pt idx="0">
                  <c:v>12677</c:v>
                </c:pt>
                <c:pt idx="1">
                  <c:v>8320</c:v>
                </c:pt>
                <c:pt idx="2">
                  <c:v>4857</c:v>
                </c:pt>
                <c:pt idx="3">
                  <c:v>2889</c:v>
                </c:pt>
                <c:pt idx="4">
                  <c:v>1939</c:v>
                </c:pt>
                <c:pt idx="5">
                  <c:v>2468</c:v>
                </c:pt>
                <c:pt idx="6">
                  <c:v>4790</c:v>
                </c:pt>
                <c:pt idx="7">
                  <c:v>7518</c:v>
                </c:pt>
                <c:pt idx="8">
                  <c:v>9568</c:v>
                </c:pt>
                <c:pt idx="9">
                  <c:v>10688</c:v>
                </c:pt>
                <c:pt idx="10">
                  <c:v>11298</c:v>
                </c:pt>
                <c:pt idx="11">
                  <c:v>11565</c:v>
                </c:pt>
                <c:pt idx="12">
                  <c:v>11620</c:v>
                </c:pt>
                <c:pt idx="13">
                  <c:v>10878</c:v>
                </c:pt>
                <c:pt idx="14">
                  <c:v>11972</c:v>
                </c:pt>
                <c:pt idx="15">
                  <c:v>12724</c:v>
                </c:pt>
                <c:pt idx="16">
                  <c:v>12049</c:v>
                </c:pt>
                <c:pt idx="17">
                  <c:v>10517</c:v>
                </c:pt>
                <c:pt idx="18">
                  <c:v>10467</c:v>
                </c:pt>
                <c:pt idx="19">
                  <c:v>11860</c:v>
                </c:pt>
                <c:pt idx="20">
                  <c:v>13503</c:v>
                </c:pt>
                <c:pt idx="21">
                  <c:v>14329</c:v>
                </c:pt>
                <c:pt idx="22">
                  <c:v>15425</c:v>
                </c:pt>
                <c:pt idx="23">
                  <c:v>15545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51-4DF2-9AAB-7BDF82A9A342}"/>
            </c:ext>
          </c:extLst>
        </c:ser>
        <c:ser>
          <c:idx val="1"/>
          <c:order val="1"/>
          <c:tx>
            <c:strRef>
              <c:f>Age!$AE$1</c:f>
              <c:strCache>
                <c:ptCount val="1"/>
                <c:pt idx="0">
                  <c:v>Day -1</c:v>
                </c:pt>
              </c:strCache>
            </c:strRef>
          </c:tx>
          <c:spPr>
            <a:ln w="3492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Age!$V$3:$V$26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Age!$AE$3:$AE$26</c:f>
              <c:numCache>
                <c:formatCode>General</c:formatCode>
                <c:ptCount val="24"/>
                <c:pt idx="0">
                  <c:v>12311</c:v>
                </c:pt>
                <c:pt idx="1">
                  <c:v>7937</c:v>
                </c:pt>
                <c:pt idx="2">
                  <c:v>4605</c:v>
                </c:pt>
                <c:pt idx="3">
                  <c:v>2686</c:v>
                </c:pt>
                <c:pt idx="4">
                  <c:v>1653</c:v>
                </c:pt>
                <c:pt idx="5">
                  <c:v>2128</c:v>
                </c:pt>
                <c:pt idx="6">
                  <c:v>4394</c:v>
                </c:pt>
                <c:pt idx="7">
                  <c:v>7439</c:v>
                </c:pt>
                <c:pt idx="8">
                  <c:v>10054</c:v>
                </c:pt>
                <c:pt idx="9">
                  <c:v>11666</c:v>
                </c:pt>
                <c:pt idx="10">
                  <c:v>12624</c:v>
                </c:pt>
                <c:pt idx="11">
                  <c:v>12906</c:v>
                </c:pt>
                <c:pt idx="12">
                  <c:v>12992</c:v>
                </c:pt>
                <c:pt idx="13">
                  <c:v>12180</c:v>
                </c:pt>
                <c:pt idx="14">
                  <c:v>12898</c:v>
                </c:pt>
                <c:pt idx="15">
                  <c:v>13396</c:v>
                </c:pt>
                <c:pt idx="16">
                  <c:v>12630</c:v>
                </c:pt>
                <c:pt idx="17">
                  <c:v>11457</c:v>
                </c:pt>
                <c:pt idx="18">
                  <c:v>8618</c:v>
                </c:pt>
                <c:pt idx="19">
                  <c:v>12884</c:v>
                </c:pt>
                <c:pt idx="20">
                  <c:v>14278</c:v>
                </c:pt>
                <c:pt idx="21">
                  <c:v>15209</c:v>
                </c:pt>
                <c:pt idx="22">
                  <c:v>16162</c:v>
                </c:pt>
                <c:pt idx="23">
                  <c:v>15725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51-4DF2-9AAB-7BDF82A9A342}"/>
            </c:ext>
          </c:extLst>
        </c:ser>
        <c:ser>
          <c:idx val="2"/>
          <c:order val="2"/>
          <c:tx>
            <c:strRef>
              <c:f>Age!$AM$1</c:f>
              <c:strCache>
                <c:ptCount val="1"/>
                <c:pt idx="0">
                  <c:v>Today</c:v>
                </c:pt>
              </c:strCache>
            </c:strRef>
          </c:tx>
          <c:spPr>
            <a:ln w="3492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Age!$V$3:$V$26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Age!$AM$3:$AM$26</c:f>
              <c:numCache>
                <c:formatCode>General</c:formatCode>
                <c:ptCount val="24"/>
                <c:pt idx="0">
                  <c:v>12047</c:v>
                </c:pt>
                <c:pt idx="1">
                  <c:v>7785</c:v>
                </c:pt>
                <c:pt idx="2">
                  <c:v>4409</c:v>
                </c:pt>
                <c:pt idx="3">
                  <c:v>2556</c:v>
                </c:pt>
                <c:pt idx="4">
                  <c:v>1597</c:v>
                </c:pt>
                <c:pt idx="5">
                  <c:v>1963</c:v>
                </c:pt>
                <c:pt idx="6">
                  <c:v>4108</c:v>
                </c:pt>
                <c:pt idx="7">
                  <c:v>7055</c:v>
                </c:pt>
                <c:pt idx="8">
                  <c:v>9739</c:v>
                </c:pt>
                <c:pt idx="9">
                  <c:v>11430</c:v>
                </c:pt>
                <c:pt idx="10">
                  <c:v>12474</c:v>
                </c:pt>
                <c:pt idx="11">
                  <c:v>13074</c:v>
                </c:pt>
                <c:pt idx="12">
                  <c:v>13252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751-4DF2-9AAB-7BDF82A9A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7006704"/>
        <c:axId val="607000464"/>
      </c:lineChart>
      <c:catAx>
        <c:axId val="607006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0464"/>
        <c:crosses val="autoZero"/>
        <c:auto val="1"/>
        <c:lblAlgn val="ctr"/>
        <c:lblOffset val="100"/>
        <c:noMultiLvlLbl val="0"/>
      </c:catAx>
      <c:valAx>
        <c:axId val="60700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0">
                    <a:solidFill>
                      <a:sysClr val="windowText" lastClr="000000"/>
                    </a:solidFill>
                  </a:rPr>
                  <a:t>GB</a:t>
                </a:r>
              </a:p>
            </c:rich>
          </c:tx>
          <c:layout>
            <c:manualLayout>
              <c:xMode val="edge"/>
              <c:yMode val="edge"/>
              <c:x val="9.2643782405885441E-3"/>
              <c:y val="0.35807060275369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6704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3544362220078641"/>
          <c:y val="0.91039759046722746"/>
          <c:w val="0.51661716609916886"/>
          <c:h val="8.9602409532772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Age!$X$2</c:f>
          <c:strCache>
            <c:ptCount val="1"/>
            <c:pt idx="0">
              <c:v>vEPC GZ_4G [SGi]</c:v>
            </c:pt>
          </c:strCache>
        </c:strRef>
      </c:tx>
      <c:layout>
        <c:manualLayout>
          <c:xMode val="edge"/>
          <c:yMode val="edge"/>
          <c:x val="0.4175874323064061"/>
          <c:y val="1.90476190476190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43173804717048"/>
          <c:y val="0.14751243781094528"/>
          <c:w val="0.85404017863229764"/>
          <c:h val="0.61691738532683416"/>
        </c:manualLayout>
      </c:layout>
      <c:lineChart>
        <c:grouping val="standard"/>
        <c:varyColors val="0"/>
        <c:ser>
          <c:idx val="0"/>
          <c:order val="0"/>
          <c:tx>
            <c:strRef>
              <c:f>Age!$W$1</c:f>
              <c:strCache>
                <c:ptCount val="1"/>
                <c:pt idx="0">
                  <c:v>Day -7</c:v>
                </c:pt>
              </c:strCache>
            </c:strRef>
          </c:tx>
          <c:spPr>
            <a:ln w="3492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Age!$V$3:$V$26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Age!$X$3:$X$26</c:f>
              <c:numCache>
                <c:formatCode>General</c:formatCode>
                <c:ptCount val="24"/>
                <c:pt idx="0">
                  <c:v>22326.090477908001</c:v>
                </c:pt>
                <c:pt idx="1">
                  <c:v>15100.813084396999</c:v>
                </c:pt>
                <c:pt idx="2">
                  <c:v>9110.4334922760008</c:v>
                </c:pt>
                <c:pt idx="3">
                  <c:v>5450.0609557549997</c:v>
                </c:pt>
                <c:pt idx="4">
                  <c:v>3473.3086816539999</c:v>
                </c:pt>
                <c:pt idx="5">
                  <c:v>3870.14290119</c:v>
                </c:pt>
                <c:pt idx="6">
                  <c:v>7029.3805093230003</c:v>
                </c:pt>
                <c:pt idx="7">
                  <c:v>11086.503300218001</c:v>
                </c:pt>
                <c:pt idx="8">
                  <c:v>14671.669270365001</c:v>
                </c:pt>
                <c:pt idx="9">
                  <c:v>17275.535521545</c:v>
                </c:pt>
                <c:pt idx="10">
                  <c:v>19016.69844507</c:v>
                </c:pt>
                <c:pt idx="11">
                  <c:v>19801.804804348001</c:v>
                </c:pt>
                <c:pt idx="12">
                  <c:v>20003.934816370998</c:v>
                </c:pt>
                <c:pt idx="13">
                  <c:v>18525.393244383999</c:v>
                </c:pt>
                <c:pt idx="14">
                  <c:v>20102.851911123002</c:v>
                </c:pt>
                <c:pt idx="15">
                  <c:v>21617.998998789</c:v>
                </c:pt>
                <c:pt idx="16">
                  <c:v>20927.137242729001</c:v>
                </c:pt>
                <c:pt idx="17">
                  <c:v>18909.490048348001</c:v>
                </c:pt>
                <c:pt idx="18">
                  <c:v>19786.348515547001</c:v>
                </c:pt>
                <c:pt idx="19">
                  <c:v>21694.843396198001</c:v>
                </c:pt>
                <c:pt idx="20">
                  <c:v>24449.123177122001</c:v>
                </c:pt>
                <c:pt idx="21">
                  <c:v>26250.695934919</c:v>
                </c:pt>
                <c:pt idx="22">
                  <c:v>27634.318297516002</c:v>
                </c:pt>
                <c:pt idx="23">
                  <c:v>26970.678039271999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34-4655-9F16-5FD9ED3DBB70}"/>
            </c:ext>
          </c:extLst>
        </c:ser>
        <c:ser>
          <c:idx val="1"/>
          <c:order val="1"/>
          <c:tx>
            <c:strRef>
              <c:f>Age!$AE$1</c:f>
              <c:strCache>
                <c:ptCount val="1"/>
                <c:pt idx="0">
                  <c:v>Day -1</c:v>
                </c:pt>
              </c:strCache>
            </c:strRef>
          </c:tx>
          <c:spPr>
            <a:ln w="3492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Age!$V$3:$V$26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Age!$AF$3:$AF$26</c:f>
              <c:numCache>
                <c:formatCode>General</c:formatCode>
                <c:ptCount val="24"/>
                <c:pt idx="0">
                  <c:v>20903.913644687</c:v>
                </c:pt>
                <c:pt idx="1">
                  <c:v>13719.070983116</c:v>
                </c:pt>
                <c:pt idx="2">
                  <c:v>7996.5973338880003</c:v>
                </c:pt>
                <c:pt idx="3">
                  <c:v>4637.5593096140001</c:v>
                </c:pt>
                <c:pt idx="4">
                  <c:v>2673.3185102090001</c:v>
                </c:pt>
                <c:pt idx="5">
                  <c:v>2981.892473074</c:v>
                </c:pt>
                <c:pt idx="6">
                  <c:v>5780.1387023549996</c:v>
                </c:pt>
                <c:pt idx="7">
                  <c:v>10315.399159978</c:v>
                </c:pt>
                <c:pt idx="8">
                  <c:v>15212.977147285001</c:v>
                </c:pt>
                <c:pt idx="9">
                  <c:v>19271.503840855999</c:v>
                </c:pt>
                <c:pt idx="10">
                  <c:v>22057.029204453</c:v>
                </c:pt>
                <c:pt idx="11">
                  <c:v>23280.658692735</c:v>
                </c:pt>
                <c:pt idx="12">
                  <c:v>23612.947493993001</c:v>
                </c:pt>
                <c:pt idx="13">
                  <c:v>21685.906085438</c:v>
                </c:pt>
                <c:pt idx="14">
                  <c:v>22828.169162032002</c:v>
                </c:pt>
                <c:pt idx="15">
                  <c:v>23836.842510864</c:v>
                </c:pt>
                <c:pt idx="16">
                  <c:v>23262.021992475999</c:v>
                </c:pt>
                <c:pt idx="17">
                  <c:v>21622.767094129002</c:v>
                </c:pt>
                <c:pt idx="18">
                  <c:v>20818.911778614001</c:v>
                </c:pt>
                <c:pt idx="19">
                  <c:v>25145.054944127001</c:v>
                </c:pt>
                <c:pt idx="20">
                  <c:v>27224.646251792001</c:v>
                </c:pt>
                <c:pt idx="21">
                  <c:v>29079.381897848001</c:v>
                </c:pt>
                <c:pt idx="22">
                  <c:v>29948.806031267999</c:v>
                </c:pt>
                <c:pt idx="23">
                  <c:v>27795.128329880001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34-4655-9F16-5FD9ED3DBB70}"/>
            </c:ext>
          </c:extLst>
        </c:ser>
        <c:ser>
          <c:idx val="2"/>
          <c:order val="2"/>
          <c:tx>
            <c:strRef>
              <c:f>Age!$AM$1</c:f>
              <c:strCache>
                <c:ptCount val="1"/>
                <c:pt idx="0">
                  <c:v>Today</c:v>
                </c:pt>
              </c:strCache>
            </c:strRef>
          </c:tx>
          <c:spPr>
            <a:ln w="3492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Age!$V$3:$V$26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Age!$AN$3:$AN$26</c:f>
              <c:numCache>
                <c:formatCode>General</c:formatCode>
                <c:ptCount val="24"/>
                <c:pt idx="0">
                  <c:v>20694.266278556999</c:v>
                </c:pt>
                <c:pt idx="1">
                  <c:v>13496.772047291</c:v>
                </c:pt>
                <c:pt idx="2">
                  <c:v>7835.6900436779997</c:v>
                </c:pt>
                <c:pt idx="3">
                  <c:v>4439.7148457100002</c:v>
                </c:pt>
                <c:pt idx="4">
                  <c:v>2621.0684801430002</c:v>
                </c:pt>
                <c:pt idx="5">
                  <c:v>2945.2856587840001</c:v>
                </c:pt>
                <c:pt idx="6">
                  <c:v>5579.0896841659996</c:v>
                </c:pt>
                <c:pt idx="7">
                  <c:v>10036.97549106</c:v>
                </c:pt>
                <c:pt idx="8">
                  <c:v>14960.8020117</c:v>
                </c:pt>
                <c:pt idx="9">
                  <c:v>18801.482328204998</c:v>
                </c:pt>
                <c:pt idx="10">
                  <c:v>21455.674364399001</c:v>
                </c:pt>
                <c:pt idx="11">
                  <c:v>23020.216667975001</c:v>
                </c:pt>
                <c:pt idx="12">
                  <c:v>23338.189951468001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34-4655-9F16-5FD9ED3DBB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7006704"/>
        <c:axId val="607000464"/>
      </c:lineChart>
      <c:catAx>
        <c:axId val="607006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0464"/>
        <c:crosses val="autoZero"/>
        <c:auto val="1"/>
        <c:lblAlgn val="ctr"/>
        <c:lblOffset val="100"/>
        <c:noMultiLvlLbl val="0"/>
      </c:catAx>
      <c:valAx>
        <c:axId val="60700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0">
                    <a:solidFill>
                      <a:schemeClr val="tx1"/>
                    </a:solidFill>
                  </a:rPr>
                  <a:t>GB</a:t>
                </a:r>
              </a:p>
            </c:rich>
          </c:tx>
          <c:layout>
            <c:manualLayout>
              <c:xMode val="edge"/>
              <c:yMode val="edge"/>
              <c:x val="4.3146462763692574E-3"/>
              <c:y val="0.35807060275369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6704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3544362220078641"/>
          <c:y val="0.91039759046722746"/>
          <c:w val="0.51661716609916886"/>
          <c:h val="8.9602409532772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Age!$Y$2</c:f>
          <c:strCache>
            <c:ptCount val="1"/>
            <c:pt idx="0">
              <c:v>vEPC KT_2G &amp; 3G [Gi]</c:v>
            </c:pt>
          </c:strCache>
        </c:strRef>
      </c:tx>
      <c:layout>
        <c:manualLayout>
          <c:xMode val="edge"/>
          <c:yMode val="edge"/>
          <c:x val="0.4175874323064061"/>
          <c:y val="1.90476190476190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43173804717048"/>
          <c:y val="0.14751243781094528"/>
          <c:w val="0.85404017863229764"/>
          <c:h val="0.61691738532683416"/>
        </c:manualLayout>
      </c:layout>
      <c:lineChart>
        <c:grouping val="standard"/>
        <c:varyColors val="0"/>
        <c:ser>
          <c:idx val="0"/>
          <c:order val="0"/>
          <c:tx>
            <c:strRef>
              <c:f>Age!$W$1</c:f>
              <c:strCache>
                <c:ptCount val="1"/>
                <c:pt idx="0">
                  <c:v>Day -7</c:v>
                </c:pt>
              </c:strCache>
            </c:strRef>
          </c:tx>
          <c:spPr>
            <a:ln w="3492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Age!$V$3:$V$26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Age!$Y$3:$Y$26</c:f>
              <c:numCache>
                <c:formatCode>General</c:formatCode>
                <c:ptCount val="24"/>
                <c:pt idx="0">
                  <c:v>10204</c:v>
                </c:pt>
                <c:pt idx="1">
                  <c:v>6724</c:v>
                </c:pt>
                <c:pt idx="2">
                  <c:v>3917</c:v>
                </c:pt>
                <c:pt idx="3">
                  <c:v>2282</c:v>
                </c:pt>
                <c:pt idx="4">
                  <c:v>1548</c:v>
                </c:pt>
                <c:pt idx="5">
                  <c:v>1997</c:v>
                </c:pt>
                <c:pt idx="6">
                  <c:v>3860</c:v>
                </c:pt>
                <c:pt idx="7">
                  <c:v>6013</c:v>
                </c:pt>
                <c:pt idx="8">
                  <c:v>7705</c:v>
                </c:pt>
                <c:pt idx="9">
                  <c:v>8719</c:v>
                </c:pt>
                <c:pt idx="10">
                  <c:v>9142</c:v>
                </c:pt>
                <c:pt idx="11">
                  <c:v>9336</c:v>
                </c:pt>
                <c:pt idx="12">
                  <c:v>9359</c:v>
                </c:pt>
                <c:pt idx="13">
                  <c:v>8762</c:v>
                </c:pt>
                <c:pt idx="14">
                  <c:v>9647</c:v>
                </c:pt>
                <c:pt idx="15">
                  <c:v>10335</c:v>
                </c:pt>
                <c:pt idx="16">
                  <c:v>9837</c:v>
                </c:pt>
                <c:pt idx="17">
                  <c:v>8496</c:v>
                </c:pt>
                <c:pt idx="18">
                  <c:v>8502</c:v>
                </c:pt>
                <c:pt idx="19">
                  <c:v>9553</c:v>
                </c:pt>
                <c:pt idx="20">
                  <c:v>10859</c:v>
                </c:pt>
                <c:pt idx="21">
                  <c:v>11574</c:v>
                </c:pt>
                <c:pt idx="22">
                  <c:v>12268</c:v>
                </c:pt>
                <c:pt idx="23">
                  <c:v>12287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01-4D5D-97F0-E6D98BCE5F8F}"/>
            </c:ext>
          </c:extLst>
        </c:ser>
        <c:ser>
          <c:idx val="1"/>
          <c:order val="1"/>
          <c:tx>
            <c:strRef>
              <c:f>Age!$AE$1</c:f>
              <c:strCache>
                <c:ptCount val="1"/>
                <c:pt idx="0">
                  <c:v>Day -1</c:v>
                </c:pt>
              </c:strCache>
            </c:strRef>
          </c:tx>
          <c:spPr>
            <a:ln w="3492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Age!$V$3:$V$26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Age!$AG$3:$AG$26</c:f>
              <c:numCache>
                <c:formatCode>General</c:formatCode>
                <c:ptCount val="24"/>
                <c:pt idx="0">
                  <c:v>10063</c:v>
                </c:pt>
                <c:pt idx="1">
                  <c:v>6400</c:v>
                </c:pt>
                <c:pt idx="2">
                  <c:v>3690</c:v>
                </c:pt>
                <c:pt idx="3">
                  <c:v>2087</c:v>
                </c:pt>
                <c:pt idx="4">
                  <c:v>1303</c:v>
                </c:pt>
                <c:pt idx="5">
                  <c:v>1716</c:v>
                </c:pt>
                <c:pt idx="6">
                  <c:v>3577</c:v>
                </c:pt>
                <c:pt idx="7">
                  <c:v>6039</c:v>
                </c:pt>
                <c:pt idx="8">
                  <c:v>8205</c:v>
                </c:pt>
                <c:pt idx="9">
                  <c:v>9474</c:v>
                </c:pt>
                <c:pt idx="10">
                  <c:v>10225</c:v>
                </c:pt>
                <c:pt idx="11">
                  <c:v>10511</c:v>
                </c:pt>
                <c:pt idx="12">
                  <c:v>10544</c:v>
                </c:pt>
                <c:pt idx="13">
                  <c:v>9774</c:v>
                </c:pt>
                <c:pt idx="14">
                  <c:v>10289</c:v>
                </c:pt>
                <c:pt idx="15">
                  <c:v>10791</c:v>
                </c:pt>
                <c:pt idx="16">
                  <c:v>10239</c:v>
                </c:pt>
                <c:pt idx="17">
                  <c:v>9171</c:v>
                </c:pt>
                <c:pt idx="18">
                  <c:v>7048</c:v>
                </c:pt>
                <c:pt idx="19">
                  <c:v>10524</c:v>
                </c:pt>
                <c:pt idx="20">
                  <c:v>11600</c:v>
                </c:pt>
                <c:pt idx="21">
                  <c:v>12438</c:v>
                </c:pt>
                <c:pt idx="22">
                  <c:v>13141</c:v>
                </c:pt>
                <c:pt idx="23">
                  <c:v>12784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701-4D5D-97F0-E6D98BCE5F8F}"/>
            </c:ext>
          </c:extLst>
        </c:ser>
        <c:ser>
          <c:idx val="2"/>
          <c:order val="2"/>
          <c:tx>
            <c:strRef>
              <c:f>Age!$AM$1</c:f>
              <c:strCache>
                <c:ptCount val="1"/>
                <c:pt idx="0">
                  <c:v>Today</c:v>
                </c:pt>
              </c:strCache>
            </c:strRef>
          </c:tx>
          <c:spPr>
            <a:ln w="3492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Age!$V$3:$V$26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Age!$AO$3:$AO$26</c:f>
              <c:numCache>
                <c:formatCode>General</c:formatCode>
                <c:ptCount val="24"/>
                <c:pt idx="0">
                  <c:v>9831</c:v>
                </c:pt>
                <c:pt idx="1">
                  <c:v>6280</c:v>
                </c:pt>
                <c:pt idx="2">
                  <c:v>3569</c:v>
                </c:pt>
                <c:pt idx="3">
                  <c:v>2010</c:v>
                </c:pt>
                <c:pt idx="4">
                  <c:v>1276</c:v>
                </c:pt>
                <c:pt idx="5">
                  <c:v>1612</c:v>
                </c:pt>
                <c:pt idx="6">
                  <c:v>3276</c:v>
                </c:pt>
                <c:pt idx="7">
                  <c:v>5689</c:v>
                </c:pt>
                <c:pt idx="8">
                  <c:v>7923</c:v>
                </c:pt>
                <c:pt idx="9">
                  <c:v>9247</c:v>
                </c:pt>
                <c:pt idx="10">
                  <c:v>10036</c:v>
                </c:pt>
                <c:pt idx="11">
                  <c:v>10498</c:v>
                </c:pt>
                <c:pt idx="12">
                  <c:v>10609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701-4D5D-97F0-E6D98BCE5F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7006704"/>
        <c:axId val="607000464"/>
      </c:lineChart>
      <c:catAx>
        <c:axId val="607006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0464"/>
        <c:crosses val="autoZero"/>
        <c:auto val="1"/>
        <c:lblAlgn val="ctr"/>
        <c:lblOffset val="100"/>
        <c:noMultiLvlLbl val="0"/>
      </c:catAx>
      <c:valAx>
        <c:axId val="60700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0">
                    <a:solidFill>
                      <a:sysClr val="windowText" lastClr="000000"/>
                    </a:solidFill>
                  </a:rPr>
                  <a:t>GB</a:t>
                </a:r>
              </a:p>
            </c:rich>
          </c:tx>
          <c:layout>
            <c:manualLayout>
              <c:xMode val="edge"/>
              <c:yMode val="edge"/>
              <c:x val="9.2643782405885441E-3"/>
              <c:y val="0.35807060275369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6704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3544362220078641"/>
          <c:y val="0.91039759046722746"/>
          <c:w val="0.51661716609916886"/>
          <c:h val="8.9602409532772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Age!$Z$2</c:f>
          <c:strCache>
            <c:ptCount val="1"/>
            <c:pt idx="0">
              <c:v>vEPC KT_4G [SGi]</c:v>
            </c:pt>
          </c:strCache>
        </c:strRef>
      </c:tx>
      <c:layout>
        <c:manualLayout>
          <c:xMode val="edge"/>
          <c:yMode val="edge"/>
          <c:x val="0.4175874323064061"/>
          <c:y val="1.90476190476190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43173804717048"/>
          <c:y val="0.14751243781094528"/>
          <c:w val="0.85404017863229764"/>
          <c:h val="0.61691738532683416"/>
        </c:manualLayout>
      </c:layout>
      <c:lineChart>
        <c:grouping val="standard"/>
        <c:varyColors val="0"/>
        <c:ser>
          <c:idx val="0"/>
          <c:order val="0"/>
          <c:tx>
            <c:strRef>
              <c:f>Age!$W$1</c:f>
              <c:strCache>
                <c:ptCount val="1"/>
                <c:pt idx="0">
                  <c:v>Day -7</c:v>
                </c:pt>
              </c:strCache>
            </c:strRef>
          </c:tx>
          <c:spPr>
            <a:ln w="3492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Age!$V$3:$V$26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Age!$Z$3:$Z$26</c:f>
              <c:numCache>
                <c:formatCode>General</c:formatCode>
                <c:ptCount val="24"/>
                <c:pt idx="0">
                  <c:v>19173.563972953001</c:v>
                </c:pt>
                <c:pt idx="1">
                  <c:v>13025.864573522</c:v>
                </c:pt>
                <c:pt idx="2">
                  <c:v>7891.5648341030001</c:v>
                </c:pt>
                <c:pt idx="3">
                  <c:v>4611.4990176920001</c:v>
                </c:pt>
                <c:pt idx="4">
                  <c:v>2882.0594760049999</c:v>
                </c:pt>
                <c:pt idx="5">
                  <c:v>3298.6792465059998</c:v>
                </c:pt>
                <c:pt idx="6">
                  <c:v>5895.5278948819996</c:v>
                </c:pt>
                <c:pt idx="7">
                  <c:v>9416.2731653049996</c:v>
                </c:pt>
                <c:pt idx="8">
                  <c:v>12562.866971124</c:v>
                </c:pt>
                <c:pt idx="9">
                  <c:v>14977.823206110999</c:v>
                </c:pt>
                <c:pt idx="10">
                  <c:v>16147.872056486</c:v>
                </c:pt>
                <c:pt idx="11">
                  <c:v>17098.447800099999</c:v>
                </c:pt>
                <c:pt idx="12">
                  <c:v>17190.569809356999</c:v>
                </c:pt>
                <c:pt idx="13">
                  <c:v>15907.037957126</c:v>
                </c:pt>
                <c:pt idx="14">
                  <c:v>17445.155600001999</c:v>
                </c:pt>
                <c:pt idx="15">
                  <c:v>18588.105594327</c:v>
                </c:pt>
                <c:pt idx="16">
                  <c:v>18071.245251969001</c:v>
                </c:pt>
                <c:pt idx="17">
                  <c:v>16255.265917256</c:v>
                </c:pt>
                <c:pt idx="18">
                  <c:v>16848.081246802001</c:v>
                </c:pt>
                <c:pt idx="19">
                  <c:v>18681.742999787999</c:v>
                </c:pt>
                <c:pt idx="20">
                  <c:v>20788.510834571</c:v>
                </c:pt>
                <c:pt idx="21">
                  <c:v>22176.577457314001</c:v>
                </c:pt>
                <c:pt idx="22">
                  <c:v>22901.018216969002</c:v>
                </c:pt>
                <c:pt idx="23">
                  <c:v>22404.202162889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C7-48B1-8C12-4BE908C428B7}"/>
            </c:ext>
          </c:extLst>
        </c:ser>
        <c:ser>
          <c:idx val="1"/>
          <c:order val="1"/>
          <c:tx>
            <c:strRef>
              <c:f>Age!$AE$1</c:f>
              <c:strCache>
                <c:ptCount val="1"/>
                <c:pt idx="0">
                  <c:v>Day -1</c:v>
                </c:pt>
              </c:strCache>
            </c:strRef>
          </c:tx>
          <c:spPr>
            <a:ln w="3492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Age!$V$3:$V$26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Age!$AH$3:$AH$26</c:f>
              <c:numCache>
                <c:formatCode>General</c:formatCode>
                <c:ptCount val="24"/>
                <c:pt idx="0">
                  <c:v>18181.772242138999</c:v>
                </c:pt>
                <c:pt idx="1">
                  <c:v>11718.186626924</c:v>
                </c:pt>
                <c:pt idx="2">
                  <c:v>6869.736811537</c:v>
                </c:pt>
                <c:pt idx="3">
                  <c:v>3917.7895689890001</c:v>
                </c:pt>
                <c:pt idx="4">
                  <c:v>2295.1917534889999</c:v>
                </c:pt>
                <c:pt idx="5">
                  <c:v>2574.5908004779999</c:v>
                </c:pt>
                <c:pt idx="6">
                  <c:v>5036.1884968869999</c:v>
                </c:pt>
                <c:pt idx="7">
                  <c:v>8902.0062836239995</c:v>
                </c:pt>
                <c:pt idx="8">
                  <c:v>13170.387320575001</c:v>
                </c:pt>
                <c:pt idx="9">
                  <c:v>16593.769341529001</c:v>
                </c:pt>
                <c:pt idx="10">
                  <c:v>19008.110180748001</c:v>
                </c:pt>
                <c:pt idx="11">
                  <c:v>20150.303410589</c:v>
                </c:pt>
                <c:pt idx="12">
                  <c:v>20593.565295411001</c:v>
                </c:pt>
                <c:pt idx="13">
                  <c:v>18853.094852941002</c:v>
                </c:pt>
                <c:pt idx="14">
                  <c:v>19628.706419883001</c:v>
                </c:pt>
                <c:pt idx="15">
                  <c:v>20813.365599065</c:v>
                </c:pt>
                <c:pt idx="16">
                  <c:v>20093.631577880999</c:v>
                </c:pt>
                <c:pt idx="17">
                  <c:v>18617.352614971001</c:v>
                </c:pt>
                <c:pt idx="18">
                  <c:v>18018.38078802</c:v>
                </c:pt>
                <c:pt idx="19">
                  <c:v>21760.561287184999</c:v>
                </c:pt>
                <c:pt idx="20">
                  <c:v>23821.835778843</c:v>
                </c:pt>
                <c:pt idx="21">
                  <c:v>25182.787915182998</c:v>
                </c:pt>
                <c:pt idx="22">
                  <c:v>25593.401084796998</c:v>
                </c:pt>
                <c:pt idx="23">
                  <c:v>24095.711246373001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C7-48B1-8C12-4BE908C428B7}"/>
            </c:ext>
          </c:extLst>
        </c:ser>
        <c:ser>
          <c:idx val="2"/>
          <c:order val="2"/>
          <c:tx>
            <c:strRef>
              <c:f>Age!$AM$1</c:f>
              <c:strCache>
                <c:ptCount val="1"/>
                <c:pt idx="0">
                  <c:v>Today</c:v>
                </c:pt>
              </c:strCache>
            </c:strRef>
          </c:tx>
          <c:spPr>
            <a:ln w="3492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Age!$V$3:$V$26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Age!$AP$3:$AP$26</c:f>
              <c:numCache>
                <c:formatCode>General</c:formatCode>
                <c:ptCount val="24"/>
                <c:pt idx="0">
                  <c:v>17970.935505347999</c:v>
                </c:pt>
                <c:pt idx="1">
                  <c:v>11645.306578575</c:v>
                </c:pt>
                <c:pt idx="2">
                  <c:v>6705.1616001729999</c:v>
                </c:pt>
                <c:pt idx="3">
                  <c:v>3765.9947500809999</c:v>
                </c:pt>
                <c:pt idx="4">
                  <c:v>2246.1570482530001</c:v>
                </c:pt>
                <c:pt idx="5">
                  <c:v>2513.6263252170002</c:v>
                </c:pt>
                <c:pt idx="6">
                  <c:v>4788.7101389890004</c:v>
                </c:pt>
                <c:pt idx="7">
                  <c:v>8555.5333278100006</c:v>
                </c:pt>
                <c:pt idx="8">
                  <c:v>12889.161944631</c:v>
                </c:pt>
                <c:pt idx="9">
                  <c:v>16233.645580851</c:v>
                </c:pt>
                <c:pt idx="10">
                  <c:v>18725.518976861</c:v>
                </c:pt>
                <c:pt idx="11">
                  <c:v>20000.208546611</c:v>
                </c:pt>
                <c:pt idx="12">
                  <c:v>20325.912503308999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6C7-48B1-8C12-4BE908C42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7006704"/>
        <c:axId val="607000464"/>
      </c:lineChart>
      <c:catAx>
        <c:axId val="607006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0464"/>
        <c:crosses val="autoZero"/>
        <c:auto val="1"/>
        <c:lblAlgn val="ctr"/>
        <c:lblOffset val="100"/>
        <c:noMultiLvlLbl val="0"/>
      </c:catAx>
      <c:valAx>
        <c:axId val="60700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0">
                    <a:solidFill>
                      <a:sysClr val="windowText" lastClr="000000"/>
                    </a:solidFill>
                  </a:rPr>
                  <a:t>GB</a:t>
                </a:r>
              </a:p>
            </c:rich>
          </c:tx>
          <c:layout>
            <c:manualLayout>
              <c:xMode val="edge"/>
              <c:yMode val="edge"/>
              <c:x val="9.2643782405885441E-3"/>
              <c:y val="0.35807060275369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6704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3544362220078641"/>
          <c:y val="0.91039759046722746"/>
          <c:w val="0.51661716609916886"/>
          <c:h val="8.9602409532772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Age!$AA$2</c:f>
          <c:strCache>
            <c:ptCount val="1"/>
            <c:pt idx="0">
              <c:v>EC_UGW_2G &amp; 3G [Gi]</c:v>
            </c:pt>
          </c:strCache>
        </c:strRef>
      </c:tx>
      <c:layout>
        <c:manualLayout>
          <c:xMode val="edge"/>
          <c:yMode val="edge"/>
          <c:x val="0.4175874323064061"/>
          <c:y val="1.90476190476190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43173804717048"/>
          <c:y val="0.14751243781094528"/>
          <c:w val="0.85404017863229764"/>
          <c:h val="0.61691738532683416"/>
        </c:manualLayout>
      </c:layout>
      <c:lineChart>
        <c:grouping val="standard"/>
        <c:varyColors val="0"/>
        <c:ser>
          <c:idx val="0"/>
          <c:order val="0"/>
          <c:tx>
            <c:strRef>
              <c:f>Age!$W$1</c:f>
              <c:strCache>
                <c:ptCount val="1"/>
                <c:pt idx="0">
                  <c:v>Day -7</c:v>
                </c:pt>
              </c:strCache>
            </c:strRef>
          </c:tx>
          <c:spPr>
            <a:ln w="3492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Age!$V$3:$V$26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Age!$AA$3:$AA$26</c:f>
              <c:numCache>
                <c:formatCode>General</c:formatCode>
                <c:ptCount val="24"/>
                <c:pt idx="0">
                  <c:v>6590.482</c:v>
                </c:pt>
                <c:pt idx="1">
                  <c:v>4619.8900000000003</c:v>
                </c:pt>
                <c:pt idx="2">
                  <c:v>2868.5880000000002</c:v>
                </c:pt>
                <c:pt idx="3">
                  <c:v>1776.482</c:v>
                </c:pt>
                <c:pt idx="4">
                  <c:v>1170.1500000000001</c:v>
                </c:pt>
                <c:pt idx="5">
                  <c:v>1448.4559999999999</c:v>
                </c:pt>
                <c:pt idx="6">
                  <c:v>2652.1179999999999</c:v>
                </c:pt>
                <c:pt idx="7">
                  <c:v>3978.9810000000002</c:v>
                </c:pt>
                <c:pt idx="8">
                  <c:v>4910.2669999999998</c:v>
                </c:pt>
                <c:pt idx="9">
                  <c:v>5516.3190000000004</c:v>
                </c:pt>
                <c:pt idx="10">
                  <c:v>5734.9269999999997</c:v>
                </c:pt>
                <c:pt idx="11">
                  <c:v>5870.0479999999998</c:v>
                </c:pt>
                <c:pt idx="12">
                  <c:v>5833.7020000000002</c:v>
                </c:pt>
                <c:pt idx="13">
                  <c:v>5436.5690000000004</c:v>
                </c:pt>
                <c:pt idx="14">
                  <c:v>5906.7460000000001</c:v>
                </c:pt>
                <c:pt idx="15">
                  <c:v>6298.8</c:v>
                </c:pt>
                <c:pt idx="16">
                  <c:v>6129.6580000000004</c:v>
                </c:pt>
                <c:pt idx="17">
                  <c:v>5531.2020000000002</c:v>
                </c:pt>
                <c:pt idx="18">
                  <c:v>5511.902</c:v>
                </c:pt>
                <c:pt idx="19">
                  <c:v>6105.1440000000002</c:v>
                </c:pt>
                <c:pt idx="20">
                  <c:v>6826.6170000000002</c:v>
                </c:pt>
                <c:pt idx="21">
                  <c:v>7212.3010000000004</c:v>
                </c:pt>
                <c:pt idx="22">
                  <c:v>7706.58</c:v>
                </c:pt>
                <c:pt idx="23">
                  <c:v>7722.7780000000002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B0-42B0-8C9F-A14E01D49188}"/>
            </c:ext>
          </c:extLst>
        </c:ser>
        <c:ser>
          <c:idx val="1"/>
          <c:order val="1"/>
          <c:tx>
            <c:strRef>
              <c:f>Age!$AE$1</c:f>
              <c:strCache>
                <c:ptCount val="1"/>
                <c:pt idx="0">
                  <c:v>Day -1</c:v>
                </c:pt>
              </c:strCache>
            </c:strRef>
          </c:tx>
          <c:spPr>
            <a:ln w="3492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Age!$V$3:$V$26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Age!$AI$3:$AI$26</c:f>
              <c:numCache>
                <c:formatCode>General</c:formatCode>
                <c:ptCount val="24"/>
                <c:pt idx="0">
                  <c:v>6131.3680000000004</c:v>
                </c:pt>
                <c:pt idx="1">
                  <c:v>4062.4470000000001</c:v>
                </c:pt>
                <c:pt idx="2">
                  <c:v>2441.9589999999998</c:v>
                </c:pt>
                <c:pt idx="3">
                  <c:v>1408.201</c:v>
                </c:pt>
                <c:pt idx="4">
                  <c:v>885.60799999999995</c:v>
                </c:pt>
                <c:pt idx="5">
                  <c:v>1173.17</c:v>
                </c:pt>
                <c:pt idx="6">
                  <c:v>2366.5149999999999</c:v>
                </c:pt>
                <c:pt idx="7">
                  <c:v>3857.154</c:v>
                </c:pt>
                <c:pt idx="8">
                  <c:v>5210.4340000000002</c:v>
                </c:pt>
                <c:pt idx="9">
                  <c:v>6080.7070000000003</c:v>
                </c:pt>
                <c:pt idx="10">
                  <c:v>6618.78</c:v>
                </c:pt>
                <c:pt idx="11">
                  <c:v>6754.902</c:v>
                </c:pt>
                <c:pt idx="12">
                  <c:v>6707.0619999999999</c:v>
                </c:pt>
                <c:pt idx="13">
                  <c:v>6220.6180000000004</c:v>
                </c:pt>
                <c:pt idx="14">
                  <c:v>6512.5910000000003</c:v>
                </c:pt>
                <c:pt idx="15">
                  <c:v>6842.2560000000003</c:v>
                </c:pt>
                <c:pt idx="16">
                  <c:v>6616.4040000000005</c:v>
                </c:pt>
                <c:pt idx="17">
                  <c:v>6197.866</c:v>
                </c:pt>
                <c:pt idx="18">
                  <c:v>6183.59</c:v>
                </c:pt>
                <c:pt idx="19">
                  <c:v>6790.4560000000001</c:v>
                </c:pt>
                <c:pt idx="20">
                  <c:v>7312.1210000000001</c:v>
                </c:pt>
                <c:pt idx="21">
                  <c:v>7735.3</c:v>
                </c:pt>
                <c:pt idx="22">
                  <c:v>8044.5290000000005</c:v>
                </c:pt>
                <c:pt idx="23">
                  <c:v>7872.6940000000004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B0-42B0-8C9F-A14E01D49188}"/>
            </c:ext>
          </c:extLst>
        </c:ser>
        <c:ser>
          <c:idx val="2"/>
          <c:order val="2"/>
          <c:tx>
            <c:strRef>
              <c:f>Age!$AM$1</c:f>
              <c:strCache>
                <c:ptCount val="1"/>
                <c:pt idx="0">
                  <c:v>Today</c:v>
                </c:pt>
              </c:strCache>
            </c:strRef>
          </c:tx>
          <c:spPr>
            <a:ln w="3492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Age!$V$3:$V$26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Age!$AQ$3:$AQ$26</c:f>
              <c:numCache>
                <c:formatCode>General</c:formatCode>
                <c:ptCount val="24"/>
                <c:pt idx="0">
                  <c:v>6100.9350000000004</c:v>
                </c:pt>
                <c:pt idx="1">
                  <c:v>4035.9879999999998</c:v>
                </c:pt>
                <c:pt idx="2">
                  <c:v>2366.0920000000001</c:v>
                </c:pt>
                <c:pt idx="3">
                  <c:v>1373.681</c:v>
                </c:pt>
                <c:pt idx="4">
                  <c:v>870.10799999999995</c:v>
                </c:pt>
                <c:pt idx="5">
                  <c:v>1145.17</c:v>
                </c:pt>
                <c:pt idx="6">
                  <c:v>2377.846</c:v>
                </c:pt>
                <c:pt idx="7">
                  <c:v>3825.5540000000001</c:v>
                </c:pt>
                <c:pt idx="8">
                  <c:v>5113.6170000000002</c:v>
                </c:pt>
                <c:pt idx="9">
                  <c:v>5977.75</c:v>
                </c:pt>
                <c:pt idx="10">
                  <c:v>6365.6120000000001</c:v>
                </c:pt>
                <c:pt idx="11">
                  <c:v>6704.2370000000001</c:v>
                </c:pt>
                <c:pt idx="12">
                  <c:v>6758.7920000000004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DB0-42B0-8C9F-A14E01D491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7006704"/>
        <c:axId val="607000464"/>
      </c:lineChart>
      <c:catAx>
        <c:axId val="607006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0464"/>
        <c:crosses val="autoZero"/>
        <c:auto val="1"/>
        <c:lblAlgn val="ctr"/>
        <c:lblOffset val="100"/>
        <c:noMultiLvlLbl val="0"/>
      </c:catAx>
      <c:valAx>
        <c:axId val="60700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0">
                    <a:solidFill>
                      <a:sysClr val="windowText" lastClr="000000"/>
                    </a:solidFill>
                  </a:rPr>
                  <a:t>GB</a:t>
                </a:r>
              </a:p>
            </c:rich>
          </c:tx>
          <c:layout>
            <c:manualLayout>
              <c:xMode val="edge"/>
              <c:yMode val="edge"/>
              <c:x val="9.2643782405885441E-3"/>
              <c:y val="0.35807060275369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6704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3544362220078641"/>
          <c:y val="0.91039759046722746"/>
          <c:w val="0.51661716609916886"/>
          <c:h val="8.9602409532772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Age!$AB$2</c:f>
          <c:strCache>
            <c:ptCount val="1"/>
            <c:pt idx="0">
              <c:v>EC_UGW_4G [SGi]</c:v>
            </c:pt>
          </c:strCache>
        </c:strRef>
      </c:tx>
      <c:layout>
        <c:manualLayout>
          <c:xMode val="edge"/>
          <c:yMode val="edge"/>
          <c:x val="0.4175874323064061"/>
          <c:y val="1.90476190476190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43173804717048"/>
          <c:y val="0.14751243781094528"/>
          <c:w val="0.85404017863229764"/>
          <c:h val="0.61691738532683416"/>
        </c:manualLayout>
      </c:layout>
      <c:lineChart>
        <c:grouping val="standard"/>
        <c:varyColors val="0"/>
        <c:ser>
          <c:idx val="0"/>
          <c:order val="0"/>
          <c:tx>
            <c:strRef>
              <c:f>Age!$W$1</c:f>
              <c:strCache>
                <c:ptCount val="1"/>
                <c:pt idx="0">
                  <c:v>Day -7</c:v>
                </c:pt>
              </c:strCache>
            </c:strRef>
          </c:tx>
          <c:spPr>
            <a:ln w="3492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Age!$V$3:$V$26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Age!$AB$3:$AB$26</c:f>
              <c:numCache>
                <c:formatCode>General</c:formatCode>
                <c:ptCount val="24"/>
                <c:pt idx="0">
                  <c:v>980.11540000000002</c:v>
                </c:pt>
                <c:pt idx="1">
                  <c:v>693.95365600000002</c:v>
                </c:pt>
                <c:pt idx="2">
                  <c:v>396.33925599999998</c:v>
                </c:pt>
                <c:pt idx="3">
                  <c:v>248.74166500000001</c:v>
                </c:pt>
                <c:pt idx="4">
                  <c:v>158.616874</c:v>
                </c:pt>
                <c:pt idx="5">
                  <c:v>160.235401</c:v>
                </c:pt>
                <c:pt idx="6">
                  <c:v>282.90655800000002</c:v>
                </c:pt>
                <c:pt idx="7">
                  <c:v>447.82380799999999</c:v>
                </c:pt>
                <c:pt idx="8">
                  <c:v>582.24563999999998</c:v>
                </c:pt>
                <c:pt idx="9">
                  <c:v>716.30373499999996</c:v>
                </c:pt>
                <c:pt idx="10">
                  <c:v>794.61105699999996</c:v>
                </c:pt>
                <c:pt idx="11">
                  <c:v>853.13145099999997</c:v>
                </c:pt>
                <c:pt idx="12">
                  <c:v>864.89495199999999</c:v>
                </c:pt>
                <c:pt idx="13">
                  <c:v>804.21294999999998</c:v>
                </c:pt>
                <c:pt idx="14">
                  <c:v>848.811195</c:v>
                </c:pt>
                <c:pt idx="15">
                  <c:v>938.93068800000003</c:v>
                </c:pt>
                <c:pt idx="16">
                  <c:v>931.14467100000002</c:v>
                </c:pt>
                <c:pt idx="17">
                  <c:v>851.48049400000002</c:v>
                </c:pt>
                <c:pt idx="18">
                  <c:v>902.09170099999994</c:v>
                </c:pt>
                <c:pt idx="19">
                  <c:v>933.91312800000003</c:v>
                </c:pt>
                <c:pt idx="20">
                  <c:v>1127.560782</c:v>
                </c:pt>
                <c:pt idx="21">
                  <c:v>1221.6145690000001</c:v>
                </c:pt>
                <c:pt idx="22">
                  <c:v>1236.77493</c:v>
                </c:pt>
                <c:pt idx="23">
                  <c:v>1200.082435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7B-4C3D-B413-DC3C65F0B2C4}"/>
            </c:ext>
          </c:extLst>
        </c:ser>
        <c:ser>
          <c:idx val="1"/>
          <c:order val="1"/>
          <c:tx>
            <c:strRef>
              <c:f>Age!$AE$1</c:f>
              <c:strCache>
                <c:ptCount val="1"/>
                <c:pt idx="0">
                  <c:v>Day -1</c:v>
                </c:pt>
              </c:strCache>
            </c:strRef>
          </c:tx>
          <c:spPr>
            <a:ln w="3492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Age!$V$3:$V$26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Age!$AJ$3:$AJ$26</c:f>
              <c:numCache>
                <c:formatCode>General</c:formatCode>
                <c:ptCount val="24"/>
                <c:pt idx="0">
                  <c:v>929.603252</c:v>
                </c:pt>
                <c:pt idx="1">
                  <c:v>609.86158</c:v>
                </c:pt>
                <c:pt idx="2">
                  <c:v>355.06774200000001</c:v>
                </c:pt>
                <c:pt idx="3">
                  <c:v>198.17073300000001</c:v>
                </c:pt>
                <c:pt idx="4">
                  <c:v>124.05918699999999</c:v>
                </c:pt>
                <c:pt idx="5">
                  <c:v>148.54636099999999</c:v>
                </c:pt>
                <c:pt idx="6">
                  <c:v>273.29615000000001</c:v>
                </c:pt>
                <c:pt idx="7">
                  <c:v>474.42635899999999</c:v>
                </c:pt>
                <c:pt idx="8">
                  <c:v>676.07611199999997</c:v>
                </c:pt>
                <c:pt idx="9">
                  <c:v>865.54718600000001</c:v>
                </c:pt>
                <c:pt idx="10">
                  <c:v>1022.8826769999999</c:v>
                </c:pt>
                <c:pt idx="11">
                  <c:v>1127.1851409999999</c:v>
                </c:pt>
                <c:pt idx="12">
                  <c:v>1156.5789990000001</c:v>
                </c:pt>
                <c:pt idx="13">
                  <c:v>1014.187948</c:v>
                </c:pt>
                <c:pt idx="14">
                  <c:v>1016.372063</c:v>
                </c:pt>
                <c:pt idx="15">
                  <c:v>1090.1381269999999</c:v>
                </c:pt>
                <c:pt idx="16">
                  <c:v>1109.6555129999999</c:v>
                </c:pt>
                <c:pt idx="17">
                  <c:v>1089.792946</c:v>
                </c:pt>
                <c:pt idx="18">
                  <c:v>1089.485461</c:v>
                </c:pt>
                <c:pt idx="19">
                  <c:v>1216.6017589999999</c:v>
                </c:pt>
                <c:pt idx="20">
                  <c:v>1344.2661210000001</c:v>
                </c:pt>
                <c:pt idx="21">
                  <c:v>1416.0949539999999</c:v>
                </c:pt>
                <c:pt idx="22">
                  <c:v>1409.6929399999999</c:v>
                </c:pt>
                <c:pt idx="23">
                  <c:v>1276.7424040000001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7B-4C3D-B413-DC3C65F0B2C4}"/>
            </c:ext>
          </c:extLst>
        </c:ser>
        <c:ser>
          <c:idx val="2"/>
          <c:order val="2"/>
          <c:tx>
            <c:strRef>
              <c:f>Age!$AM$1</c:f>
              <c:strCache>
                <c:ptCount val="1"/>
                <c:pt idx="0">
                  <c:v>Today</c:v>
                </c:pt>
              </c:strCache>
            </c:strRef>
          </c:tx>
          <c:spPr>
            <a:ln w="3492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Age!$V$3:$V$26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Age!$AR$3:$AR$26</c:f>
              <c:numCache>
                <c:formatCode>General</c:formatCode>
                <c:ptCount val="24"/>
                <c:pt idx="0">
                  <c:v>945.93655999999999</c:v>
                </c:pt>
                <c:pt idx="1">
                  <c:v>597.05645400000003</c:v>
                </c:pt>
                <c:pt idx="2">
                  <c:v>344.962355</c:v>
                </c:pt>
                <c:pt idx="3">
                  <c:v>187.001417</c:v>
                </c:pt>
                <c:pt idx="4">
                  <c:v>109.445189</c:v>
                </c:pt>
                <c:pt idx="5">
                  <c:v>124.619344</c:v>
                </c:pt>
                <c:pt idx="6">
                  <c:v>239.68799300000001</c:v>
                </c:pt>
                <c:pt idx="7">
                  <c:v>435.159401</c:v>
                </c:pt>
                <c:pt idx="8">
                  <c:v>673.50556700000004</c:v>
                </c:pt>
                <c:pt idx="9">
                  <c:v>835.50233400000002</c:v>
                </c:pt>
                <c:pt idx="10">
                  <c:v>965.639366</c:v>
                </c:pt>
                <c:pt idx="11">
                  <c:v>1035.3583120000001</c:v>
                </c:pt>
                <c:pt idx="12">
                  <c:v>1083.434393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47B-4C3D-B413-DC3C65F0B2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7006704"/>
        <c:axId val="607000464"/>
      </c:lineChart>
      <c:catAx>
        <c:axId val="607006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0464"/>
        <c:crosses val="autoZero"/>
        <c:auto val="1"/>
        <c:lblAlgn val="ctr"/>
        <c:lblOffset val="100"/>
        <c:noMultiLvlLbl val="0"/>
      </c:catAx>
      <c:valAx>
        <c:axId val="60700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0">
                    <a:solidFill>
                      <a:sysClr val="windowText" lastClr="000000"/>
                    </a:solidFill>
                  </a:rPr>
                  <a:t>GB</a:t>
                </a:r>
              </a:p>
            </c:rich>
          </c:tx>
          <c:layout>
            <c:manualLayout>
              <c:xMode val="edge"/>
              <c:yMode val="edge"/>
              <c:x val="9.2643782405885441E-3"/>
              <c:y val="0.35807060275369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6704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3544362220078641"/>
          <c:y val="0.91039759046722746"/>
          <c:w val="0.51661716609916886"/>
          <c:h val="8.9602409532772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Age!$AC$2</c:f>
          <c:strCache>
            <c:ptCount val="1"/>
            <c:pt idx="0">
              <c:v>GZ_UGW_2G &amp; 3G [Gi]</c:v>
            </c:pt>
          </c:strCache>
        </c:strRef>
      </c:tx>
      <c:layout>
        <c:manualLayout>
          <c:xMode val="edge"/>
          <c:yMode val="edge"/>
          <c:x val="0.4175874323064061"/>
          <c:y val="1.90476190476190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43173804717048"/>
          <c:y val="0.14751243781094528"/>
          <c:w val="0.85404017863229764"/>
          <c:h val="0.61691738532683416"/>
        </c:manualLayout>
      </c:layout>
      <c:lineChart>
        <c:grouping val="standard"/>
        <c:varyColors val="0"/>
        <c:ser>
          <c:idx val="0"/>
          <c:order val="0"/>
          <c:tx>
            <c:strRef>
              <c:f>Age!$W$1</c:f>
              <c:strCache>
                <c:ptCount val="1"/>
                <c:pt idx="0">
                  <c:v>Day -7</c:v>
                </c:pt>
              </c:strCache>
            </c:strRef>
          </c:tx>
          <c:spPr>
            <a:ln w="3492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Age!$V$3:$V$26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Age!$AC$3:$AC$26</c:f>
              <c:numCache>
                <c:formatCode>General</c:formatCode>
                <c:ptCount val="24"/>
                <c:pt idx="0">
                  <c:v>7876.1210000000001</c:v>
                </c:pt>
                <c:pt idx="1">
                  <c:v>5575.9319999999998</c:v>
                </c:pt>
                <c:pt idx="2">
                  <c:v>3415.7269999999999</c:v>
                </c:pt>
                <c:pt idx="3">
                  <c:v>2079.5619999999999</c:v>
                </c:pt>
                <c:pt idx="4">
                  <c:v>1390.4690000000001</c:v>
                </c:pt>
                <c:pt idx="5">
                  <c:v>1723.173</c:v>
                </c:pt>
                <c:pt idx="6">
                  <c:v>3200.2950000000001</c:v>
                </c:pt>
                <c:pt idx="7">
                  <c:v>4783.0860000000002</c:v>
                </c:pt>
                <c:pt idx="8">
                  <c:v>5960.1890000000003</c:v>
                </c:pt>
                <c:pt idx="9">
                  <c:v>6567.7359999999999</c:v>
                </c:pt>
                <c:pt idx="10">
                  <c:v>6861.8220000000001</c:v>
                </c:pt>
                <c:pt idx="11">
                  <c:v>7063.4459999999999</c:v>
                </c:pt>
                <c:pt idx="12">
                  <c:v>6953.0079999999998</c:v>
                </c:pt>
                <c:pt idx="13">
                  <c:v>6552.3869999999997</c:v>
                </c:pt>
                <c:pt idx="14">
                  <c:v>7084.6930000000002</c:v>
                </c:pt>
                <c:pt idx="15">
                  <c:v>7629.875</c:v>
                </c:pt>
                <c:pt idx="16">
                  <c:v>7396.183</c:v>
                </c:pt>
                <c:pt idx="17">
                  <c:v>6658.982</c:v>
                </c:pt>
                <c:pt idx="18">
                  <c:v>6661.9930000000004</c:v>
                </c:pt>
                <c:pt idx="19">
                  <c:v>7350.7370000000001</c:v>
                </c:pt>
                <c:pt idx="20">
                  <c:v>8172.0379999999996</c:v>
                </c:pt>
                <c:pt idx="21">
                  <c:v>8684.2260000000006</c:v>
                </c:pt>
                <c:pt idx="22">
                  <c:v>9254.8029999999999</c:v>
                </c:pt>
                <c:pt idx="23">
                  <c:v>9292.4969999999994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DE-4BF0-9B78-892ABFFF2702}"/>
            </c:ext>
          </c:extLst>
        </c:ser>
        <c:ser>
          <c:idx val="1"/>
          <c:order val="1"/>
          <c:tx>
            <c:strRef>
              <c:f>Age!$AE$1</c:f>
              <c:strCache>
                <c:ptCount val="1"/>
                <c:pt idx="0">
                  <c:v>Day -1</c:v>
                </c:pt>
              </c:strCache>
            </c:strRef>
          </c:tx>
          <c:spPr>
            <a:ln w="3492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Age!$V$3:$V$26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Age!$AK$3:$AK$26</c:f>
              <c:numCache>
                <c:formatCode>General</c:formatCode>
                <c:ptCount val="24"/>
                <c:pt idx="0">
                  <c:v>7391.58</c:v>
                </c:pt>
                <c:pt idx="1">
                  <c:v>4984.4880000000003</c:v>
                </c:pt>
                <c:pt idx="2">
                  <c:v>2933.076</c:v>
                </c:pt>
                <c:pt idx="3">
                  <c:v>1713.145</c:v>
                </c:pt>
                <c:pt idx="4">
                  <c:v>1064.6420000000001</c:v>
                </c:pt>
                <c:pt idx="5">
                  <c:v>1388.799</c:v>
                </c:pt>
                <c:pt idx="6">
                  <c:v>2845.1669999999999</c:v>
                </c:pt>
                <c:pt idx="7">
                  <c:v>4599.2929999999997</c:v>
                </c:pt>
                <c:pt idx="8">
                  <c:v>6135.4790000000003</c:v>
                </c:pt>
                <c:pt idx="9">
                  <c:v>7183.84</c:v>
                </c:pt>
                <c:pt idx="10">
                  <c:v>7784.415</c:v>
                </c:pt>
                <c:pt idx="11">
                  <c:v>8147.3950000000004</c:v>
                </c:pt>
                <c:pt idx="12">
                  <c:v>8007.0649999999996</c:v>
                </c:pt>
                <c:pt idx="13">
                  <c:v>7519.4049999999997</c:v>
                </c:pt>
                <c:pt idx="14">
                  <c:v>7828.5569999999998</c:v>
                </c:pt>
                <c:pt idx="15">
                  <c:v>8242.2160000000003</c:v>
                </c:pt>
                <c:pt idx="16">
                  <c:v>7981.55</c:v>
                </c:pt>
                <c:pt idx="17">
                  <c:v>7452.8639999999996</c:v>
                </c:pt>
                <c:pt idx="18">
                  <c:v>7432.732</c:v>
                </c:pt>
                <c:pt idx="19">
                  <c:v>8286.6110000000008</c:v>
                </c:pt>
                <c:pt idx="20">
                  <c:v>8893.9349999999995</c:v>
                </c:pt>
                <c:pt idx="21">
                  <c:v>9280.9860000000008</c:v>
                </c:pt>
                <c:pt idx="22">
                  <c:v>9704.6270000000004</c:v>
                </c:pt>
                <c:pt idx="23">
                  <c:v>9410.8379999999997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DE-4BF0-9B78-892ABFFF2702}"/>
            </c:ext>
          </c:extLst>
        </c:ser>
        <c:ser>
          <c:idx val="2"/>
          <c:order val="2"/>
          <c:tx>
            <c:strRef>
              <c:f>Age!$AM$1</c:f>
              <c:strCache>
                <c:ptCount val="1"/>
                <c:pt idx="0">
                  <c:v>Today</c:v>
                </c:pt>
              </c:strCache>
            </c:strRef>
          </c:tx>
          <c:spPr>
            <a:ln w="3492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Age!$V$3:$V$26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Age!$AS$3:$AS$26</c:f>
              <c:numCache>
                <c:formatCode>General</c:formatCode>
                <c:ptCount val="24"/>
                <c:pt idx="0">
                  <c:v>7345.6149999999998</c:v>
                </c:pt>
                <c:pt idx="1">
                  <c:v>4938.7309999999998</c:v>
                </c:pt>
                <c:pt idx="2">
                  <c:v>2870.9119999999998</c:v>
                </c:pt>
                <c:pt idx="3">
                  <c:v>1661.8989999999999</c:v>
                </c:pt>
                <c:pt idx="4">
                  <c:v>1084.559</c:v>
                </c:pt>
                <c:pt idx="5">
                  <c:v>1388.462</c:v>
                </c:pt>
                <c:pt idx="6">
                  <c:v>2826.31</c:v>
                </c:pt>
                <c:pt idx="7">
                  <c:v>4632.7560000000003</c:v>
                </c:pt>
                <c:pt idx="8">
                  <c:v>6206.0119999999997</c:v>
                </c:pt>
                <c:pt idx="9">
                  <c:v>7177.5739999999996</c:v>
                </c:pt>
                <c:pt idx="10">
                  <c:v>7703.866</c:v>
                </c:pt>
                <c:pt idx="11">
                  <c:v>7991.6779999999999</c:v>
                </c:pt>
                <c:pt idx="12">
                  <c:v>8042.1229999999996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DE-4BF0-9B78-892ABFFF2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7006704"/>
        <c:axId val="607000464"/>
      </c:lineChart>
      <c:catAx>
        <c:axId val="607006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0464"/>
        <c:crosses val="autoZero"/>
        <c:auto val="1"/>
        <c:lblAlgn val="ctr"/>
        <c:lblOffset val="100"/>
        <c:noMultiLvlLbl val="0"/>
      </c:catAx>
      <c:valAx>
        <c:axId val="60700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0">
                    <a:solidFill>
                      <a:sysClr val="windowText" lastClr="000000"/>
                    </a:solidFill>
                  </a:rPr>
                  <a:t>GB</a:t>
                </a:r>
              </a:p>
            </c:rich>
          </c:tx>
          <c:layout>
            <c:manualLayout>
              <c:xMode val="edge"/>
              <c:yMode val="edge"/>
              <c:x val="9.2643782405885441E-3"/>
              <c:y val="0.35807060275369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6704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3544362220078641"/>
          <c:y val="0.91039759046722746"/>
          <c:w val="0.51661716609916886"/>
          <c:h val="8.9602409532772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Age!$AD$2</c:f>
          <c:strCache>
            <c:ptCount val="1"/>
            <c:pt idx="0">
              <c:v>GZ_UGW_4G [SGi]</c:v>
            </c:pt>
          </c:strCache>
        </c:strRef>
      </c:tx>
      <c:layout>
        <c:manualLayout>
          <c:xMode val="edge"/>
          <c:yMode val="edge"/>
          <c:x val="0.4175874323064061"/>
          <c:y val="1.90476190476190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43173804717048"/>
          <c:y val="0.14751243781094528"/>
          <c:w val="0.85404017863229764"/>
          <c:h val="0.61691738532683416"/>
        </c:manualLayout>
      </c:layout>
      <c:lineChart>
        <c:grouping val="standard"/>
        <c:varyColors val="0"/>
        <c:ser>
          <c:idx val="0"/>
          <c:order val="0"/>
          <c:tx>
            <c:strRef>
              <c:f>Age!$W$1</c:f>
              <c:strCache>
                <c:ptCount val="1"/>
                <c:pt idx="0">
                  <c:v>Day -7</c:v>
                </c:pt>
              </c:strCache>
            </c:strRef>
          </c:tx>
          <c:spPr>
            <a:ln w="3492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Age!$V$3:$V$26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Age!$AD$3:$AD$26</c:f>
              <c:numCache>
                <c:formatCode>General</c:formatCode>
                <c:ptCount val="24"/>
                <c:pt idx="0">
                  <c:v>1081.867606</c:v>
                </c:pt>
                <c:pt idx="1">
                  <c:v>746.35921299999995</c:v>
                </c:pt>
                <c:pt idx="2">
                  <c:v>453.738923</c:v>
                </c:pt>
                <c:pt idx="3">
                  <c:v>268.87473599999998</c:v>
                </c:pt>
                <c:pt idx="4">
                  <c:v>155.40535499999999</c:v>
                </c:pt>
                <c:pt idx="5">
                  <c:v>175.144192</c:v>
                </c:pt>
                <c:pt idx="6">
                  <c:v>319.06125400000002</c:v>
                </c:pt>
                <c:pt idx="7">
                  <c:v>493.50396499999999</c:v>
                </c:pt>
                <c:pt idx="8">
                  <c:v>694.49387300000001</c:v>
                </c:pt>
                <c:pt idx="9">
                  <c:v>819.28547800000001</c:v>
                </c:pt>
                <c:pt idx="10">
                  <c:v>890.11860300000001</c:v>
                </c:pt>
                <c:pt idx="11">
                  <c:v>971.66122900000005</c:v>
                </c:pt>
                <c:pt idx="12">
                  <c:v>955.73267699999997</c:v>
                </c:pt>
                <c:pt idx="13">
                  <c:v>896.407599</c:v>
                </c:pt>
                <c:pt idx="14">
                  <c:v>953.65022499999998</c:v>
                </c:pt>
                <c:pt idx="15">
                  <c:v>1037.8439639999999</c:v>
                </c:pt>
                <c:pt idx="16">
                  <c:v>1045.168995</c:v>
                </c:pt>
                <c:pt idx="17">
                  <c:v>958.35218199999997</c:v>
                </c:pt>
                <c:pt idx="18">
                  <c:v>998.14881300000002</c:v>
                </c:pt>
                <c:pt idx="19">
                  <c:v>1102.7858570000001</c:v>
                </c:pt>
                <c:pt idx="20">
                  <c:v>1247.07602</c:v>
                </c:pt>
                <c:pt idx="21">
                  <c:v>1337.499984</c:v>
                </c:pt>
                <c:pt idx="22">
                  <c:v>1407.1391060000001</c:v>
                </c:pt>
                <c:pt idx="23">
                  <c:v>1384.059624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BB-4870-846D-5539EC1CBA29}"/>
            </c:ext>
          </c:extLst>
        </c:ser>
        <c:ser>
          <c:idx val="1"/>
          <c:order val="1"/>
          <c:tx>
            <c:strRef>
              <c:f>Age!$AE$1</c:f>
              <c:strCache>
                <c:ptCount val="1"/>
                <c:pt idx="0">
                  <c:v>Day -1</c:v>
                </c:pt>
              </c:strCache>
            </c:strRef>
          </c:tx>
          <c:spPr>
            <a:ln w="3492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Age!$V$3:$V$26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Age!$AL$3:$AL$26</c:f>
              <c:numCache>
                <c:formatCode>General</c:formatCode>
                <c:ptCount val="24"/>
                <c:pt idx="0">
                  <c:v>1126.749452</c:v>
                </c:pt>
                <c:pt idx="1">
                  <c:v>743.95600000000002</c:v>
                </c:pt>
                <c:pt idx="2">
                  <c:v>404.42695600000002</c:v>
                </c:pt>
                <c:pt idx="3">
                  <c:v>221.129018</c:v>
                </c:pt>
                <c:pt idx="4">
                  <c:v>130.19779800000001</c:v>
                </c:pt>
                <c:pt idx="5">
                  <c:v>155.89087000000001</c:v>
                </c:pt>
                <c:pt idx="6">
                  <c:v>277.98827199999999</c:v>
                </c:pt>
                <c:pt idx="7">
                  <c:v>498.87165499999998</c:v>
                </c:pt>
                <c:pt idx="8">
                  <c:v>773.49222499999996</c:v>
                </c:pt>
                <c:pt idx="9">
                  <c:v>980.93927799999994</c:v>
                </c:pt>
                <c:pt idx="10">
                  <c:v>1157.9817700000001</c:v>
                </c:pt>
                <c:pt idx="11">
                  <c:v>1271.8561380000001</c:v>
                </c:pt>
                <c:pt idx="12">
                  <c:v>1303.6832179999999</c:v>
                </c:pt>
                <c:pt idx="13">
                  <c:v>1181.244565</c:v>
                </c:pt>
                <c:pt idx="14">
                  <c:v>1200.432536</c:v>
                </c:pt>
                <c:pt idx="15">
                  <c:v>1288.087391</c:v>
                </c:pt>
                <c:pt idx="16">
                  <c:v>1238.5550430000001</c:v>
                </c:pt>
                <c:pt idx="17">
                  <c:v>1256.719781</c:v>
                </c:pt>
                <c:pt idx="18">
                  <c:v>1225.6245060000001</c:v>
                </c:pt>
                <c:pt idx="19">
                  <c:v>1357.6792849999999</c:v>
                </c:pt>
                <c:pt idx="20">
                  <c:v>1494.4656849999999</c:v>
                </c:pt>
                <c:pt idx="21">
                  <c:v>1574.5901140000001</c:v>
                </c:pt>
                <c:pt idx="22">
                  <c:v>1599.2622019999999</c:v>
                </c:pt>
                <c:pt idx="23">
                  <c:v>1487.129862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BB-4870-846D-5539EC1CBA29}"/>
            </c:ext>
          </c:extLst>
        </c:ser>
        <c:ser>
          <c:idx val="2"/>
          <c:order val="2"/>
          <c:tx>
            <c:strRef>
              <c:f>Age!$AM$1</c:f>
              <c:strCache>
                <c:ptCount val="1"/>
                <c:pt idx="0">
                  <c:v>Today</c:v>
                </c:pt>
              </c:strCache>
            </c:strRef>
          </c:tx>
          <c:spPr>
            <a:ln w="3492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Age!$V$3:$V$26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Age!$AT$3:$AT$26</c:f>
              <c:numCache>
                <c:formatCode>General</c:formatCode>
                <c:ptCount val="24"/>
                <c:pt idx="0">
                  <c:v>1080.7061200000001</c:v>
                </c:pt>
                <c:pt idx="1">
                  <c:v>677.37894500000004</c:v>
                </c:pt>
                <c:pt idx="2">
                  <c:v>390.29037199999999</c:v>
                </c:pt>
                <c:pt idx="3">
                  <c:v>225.99912</c:v>
                </c:pt>
                <c:pt idx="4">
                  <c:v>124.54198</c:v>
                </c:pt>
                <c:pt idx="5">
                  <c:v>137.250508</c:v>
                </c:pt>
                <c:pt idx="6">
                  <c:v>257.822271</c:v>
                </c:pt>
                <c:pt idx="7">
                  <c:v>489.379187</c:v>
                </c:pt>
                <c:pt idx="8">
                  <c:v>747.84670500000004</c:v>
                </c:pt>
                <c:pt idx="9">
                  <c:v>977.55493000000001</c:v>
                </c:pt>
                <c:pt idx="10">
                  <c:v>1127.926289</c:v>
                </c:pt>
                <c:pt idx="11">
                  <c:v>1227.8312840000001</c:v>
                </c:pt>
                <c:pt idx="12">
                  <c:v>1249.0915600000001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ABB-4870-846D-5539EC1CBA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7006704"/>
        <c:axId val="607000464"/>
      </c:lineChart>
      <c:catAx>
        <c:axId val="607006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0464"/>
        <c:crosses val="autoZero"/>
        <c:auto val="1"/>
        <c:lblAlgn val="ctr"/>
        <c:lblOffset val="100"/>
        <c:noMultiLvlLbl val="0"/>
      </c:catAx>
      <c:valAx>
        <c:axId val="60700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0">
                    <a:solidFill>
                      <a:sysClr val="windowText" lastClr="000000"/>
                    </a:solidFill>
                  </a:rPr>
                  <a:t>GB</a:t>
                </a:r>
              </a:p>
            </c:rich>
          </c:tx>
          <c:layout>
            <c:manualLayout>
              <c:xMode val="edge"/>
              <c:yMode val="edge"/>
              <c:x val="9.2643782405885441E-3"/>
              <c:y val="0.35807060275369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6704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3544362220078641"/>
          <c:y val="0.91039759046722746"/>
          <c:w val="0.51661716609916886"/>
          <c:h val="8.9602409532772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Age!$AX$1</c:f>
          <c:strCache>
            <c:ptCount val="1"/>
            <c:pt idx="0">
              <c:v>PS Core [ 06/08/2020 12:00:00  To  06/08/2020 12:00:00 ]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8049323106665972E-2"/>
          <c:y val="0.13026907437810478"/>
          <c:w val="0.89094298746277933"/>
          <c:h val="0.680533761581852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Age!$AW$2</c:f>
              <c:strCache>
                <c:ptCount val="1"/>
                <c:pt idx="0">
                  <c:v>2G &amp;3G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4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Age!$AV$3:$AV$6</c:f>
              <c:strCache>
                <c:ptCount val="4"/>
                <c:pt idx="0">
                  <c:v>vPEPC GZ</c:v>
                </c:pt>
                <c:pt idx="1">
                  <c:v>vPEPC KT</c:v>
                </c:pt>
                <c:pt idx="2">
                  <c:v>EC_UGW</c:v>
                </c:pt>
                <c:pt idx="3">
                  <c:v>GZ_UGW</c:v>
                </c:pt>
              </c:strCache>
            </c:strRef>
          </c:cat>
          <c:val>
            <c:numRef>
              <c:f>Age!$AW$3:$AW$6</c:f>
              <c:numCache>
                <c:formatCode>General</c:formatCode>
                <c:ptCount val="4"/>
                <c:pt idx="0">
                  <c:v>13252</c:v>
                </c:pt>
                <c:pt idx="1">
                  <c:v>10609</c:v>
                </c:pt>
                <c:pt idx="2">
                  <c:v>6758.7920000000004</c:v>
                </c:pt>
                <c:pt idx="3">
                  <c:v>8042.1229999999996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45E0-9372-991AACAA68C6}"/>
            </c:ext>
          </c:extLst>
        </c:ser>
        <c:ser>
          <c:idx val="1"/>
          <c:order val="1"/>
          <c:tx>
            <c:strRef>
              <c:f>Age!$AX$2</c:f>
              <c:strCache>
                <c:ptCount val="1"/>
                <c:pt idx="0">
                  <c:v>4G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1.2461059190031062E-2"/>
                  <c:y val="-1.008403628241560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A53B-4198-B72A-F1615DC4ABAA}"/>
                </c:ext>
              </c:extLst>
            </c:dLbl>
            <c:dLbl>
              <c:idx val="3"/>
              <c:layout>
                <c:manualLayout>
                  <c:x val="1.1214953271028037E-2"/>
                  <c:y val="-1.008403628241547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A53B-4198-B72A-F1615DC4ABAA}"/>
                </c:ext>
              </c:extLst>
            </c:dLbl>
            <c:spPr>
              <a:solidFill>
                <a:schemeClr val="accent1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Age!$AV$3:$AV$6</c:f>
              <c:strCache>
                <c:ptCount val="4"/>
                <c:pt idx="0">
                  <c:v>vPEPC GZ</c:v>
                </c:pt>
                <c:pt idx="1">
                  <c:v>vPEPC KT</c:v>
                </c:pt>
                <c:pt idx="2">
                  <c:v>EC_UGW</c:v>
                </c:pt>
                <c:pt idx="3">
                  <c:v>GZ_UGW</c:v>
                </c:pt>
              </c:strCache>
            </c:strRef>
          </c:cat>
          <c:val>
            <c:numRef>
              <c:f>Age!$AX$3:$AX$6</c:f>
              <c:numCache>
                <c:formatCode>General</c:formatCode>
                <c:ptCount val="4"/>
                <c:pt idx="0">
                  <c:v>23338.189951468001</c:v>
                </c:pt>
                <c:pt idx="1">
                  <c:v>20325.912503308999</c:v>
                </c:pt>
                <c:pt idx="2">
                  <c:v>1083.434393</c:v>
                </c:pt>
                <c:pt idx="3">
                  <c:v>1249.0915600000001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29-45E0-9372-991AACAA68C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871826272"/>
        <c:axId val="871820864"/>
      </c:barChart>
      <c:catAx>
        <c:axId val="871826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1820864"/>
        <c:crosses val="autoZero"/>
        <c:auto val="1"/>
        <c:lblAlgn val="ctr"/>
        <c:lblOffset val="100"/>
        <c:noMultiLvlLbl val="0"/>
      </c:catAx>
      <c:valAx>
        <c:axId val="87182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chemeClr val="tx1"/>
                    </a:solidFill>
                  </a:rPr>
                  <a:t>GB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\ \K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1826272"/>
        <c:crosses val="autoZero"/>
        <c:crossBetween val="between"/>
        <c:dispUnits>
          <c:builtInUnit val="thousands"/>
          <c:dispUnitsLbl>
            <c:layout/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Age!$W$31</c:f>
          <c:strCache>
            <c:ptCount val="1"/>
            <c:pt idx="0">
              <c:v>vEPC_GZ [Gi+SGi]</c:v>
            </c:pt>
          </c:strCache>
        </c:strRef>
      </c:tx>
      <c:layout>
        <c:manualLayout>
          <c:xMode val="edge"/>
          <c:yMode val="edge"/>
          <c:x val="0.4175874323064061"/>
          <c:y val="1.90476190476190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43173804717048"/>
          <c:y val="0.14751243781094528"/>
          <c:w val="0.85404017863229764"/>
          <c:h val="0.61691738532683416"/>
        </c:manualLayout>
      </c:layout>
      <c:lineChart>
        <c:grouping val="standard"/>
        <c:varyColors val="0"/>
        <c:ser>
          <c:idx val="0"/>
          <c:order val="0"/>
          <c:tx>
            <c:strRef>
              <c:f>Age!$W$1</c:f>
              <c:strCache>
                <c:ptCount val="1"/>
                <c:pt idx="0">
                  <c:v>Day -7</c:v>
                </c:pt>
              </c:strCache>
            </c:strRef>
          </c:tx>
          <c:spPr>
            <a:ln w="3492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Age!$V$32:$V$55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Age!$W$32:$W$55</c:f>
              <c:numCache>
                <c:formatCode>General</c:formatCode>
                <c:ptCount val="24"/>
                <c:pt idx="0">
                  <c:v>35003.090477908001</c:v>
                </c:pt>
                <c:pt idx="1">
                  <c:v>23420.813084396999</c:v>
                </c:pt>
                <c:pt idx="2">
                  <c:v>13967.433492276001</c:v>
                </c:pt>
                <c:pt idx="3">
                  <c:v>8339.0609557549997</c:v>
                </c:pt>
                <c:pt idx="4">
                  <c:v>5412.3086816539999</c:v>
                </c:pt>
                <c:pt idx="5">
                  <c:v>6338.14290119</c:v>
                </c:pt>
                <c:pt idx="6">
                  <c:v>11819.380509323</c:v>
                </c:pt>
                <c:pt idx="7">
                  <c:v>18604.503300217999</c:v>
                </c:pt>
                <c:pt idx="8">
                  <c:v>24239.669270365001</c:v>
                </c:pt>
                <c:pt idx="9">
                  <c:v>27963.535521545</c:v>
                </c:pt>
                <c:pt idx="10">
                  <c:v>30314.69844507</c:v>
                </c:pt>
                <c:pt idx="11">
                  <c:v>31366.804804348001</c:v>
                </c:pt>
                <c:pt idx="12">
                  <c:v>31623.934816370998</c:v>
                </c:pt>
                <c:pt idx="13">
                  <c:v>29403.393244383999</c:v>
                </c:pt>
                <c:pt idx="14">
                  <c:v>32074.851911123002</c:v>
                </c:pt>
                <c:pt idx="15">
                  <c:v>34341.998998789</c:v>
                </c:pt>
                <c:pt idx="16">
                  <c:v>32976.137242729004</c:v>
                </c:pt>
                <c:pt idx="17">
                  <c:v>29426.490048348001</c:v>
                </c:pt>
                <c:pt idx="18">
                  <c:v>30253.348515547001</c:v>
                </c:pt>
                <c:pt idx="19">
                  <c:v>33554.843396198004</c:v>
                </c:pt>
                <c:pt idx="20">
                  <c:v>37952.123177122005</c:v>
                </c:pt>
                <c:pt idx="21">
                  <c:v>40579.695934919</c:v>
                </c:pt>
                <c:pt idx="22">
                  <c:v>43059.318297516002</c:v>
                </c:pt>
                <c:pt idx="23">
                  <c:v>42515.678039271996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63-4439-8EE8-5CA3D4E89358}"/>
            </c:ext>
          </c:extLst>
        </c:ser>
        <c:ser>
          <c:idx val="1"/>
          <c:order val="1"/>
          <c:tx>
            <c:strRef>
              <c:f>Age!$AE$1</c:f>
              <c:strCache>
                <c:ptCount val="1"/>
                <c:pt idx="0">
                  <c:v>Day -1</c:v>
                </c:pt>
              </c:strCache>
            </c:strRef>
          </c:tx>
          <c:spPr>
            <a:ln w="3492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Age!$V$32:$V$55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Age!$AA$32:$AA$55</c:f>
              <c:numCache>
                <c:formatCode>General</c:formatCode>
                <c:ptCount val="24"/>
                <c:pt idx="0">
                  <c:v>33214.913644686996</c:v>
                </c:pt>
                <c:pt idx="1">
                  <c:v>21656.070983115998</c:v>
                </c:pt>
                <c:pt idx="2">
                  <c:v>12601.597333887999</c:v>
                </c:pt>
                <c:pt idx="3">
                  <c:v>7323.5593096140001</c:v>
                </c:pt>
                <c:pt idx="4">
                  <c:v>4326.3185102090001</c:v>
                </c:pt>
                <c:pt idx="5">
                  <c:v>5109.892473074</c:v>
                </c:pt>
                <c:pt idx="6">
                  <c:v>10174.138702355</c:v>
                </c:pt>
                <c:pt idx="7">
                  <c:v>17754.399159977998</c:v>
                </c:pt>
                <c:pt idx="8">
                  <c:v>25266.977147285001</c:v>
                </c:pt>
                <c:pt idx="9">
                  <c:v>30937.503840855999</c:v>
                </c:pt>
                <c:pt idx="10">
                  <c:v>34681.029204453</c:v>
                </c:pt>
                <c:pt idx="11">
                  <c:v>36186.658692735</c:v>
                </c:pt>
                <c:pt idx="12">
                  <c:v>36604.947493993001</c:v>
                </c:pt>
                <c:pt idx="13">
                  <c:v>33865.906085438</c:v>
                </c:pt>
                <c:pt idx="14">
                  <c:v>35726.169162032005</c:v>
                </c:pt>
                <c:pt idx="15">
                  <c:v>37232.842510864</c:v>
                </c:pt>
                <c:pt idx="16">
                  <c:v>35892.021992476002</c:v>
                </c:pt>
                <c:pt idx="17">
                  <c:v>33079.767094128998</c:v>
                </c:pt>
                <c:pt idx="18">
                  <c:v>29436.911778614001</c:v>
                </c:pt>
                <c:pt idx="19">
                  <c:v>38029.054944126998</c:v>
                </c:pt>
                <c:pt idx="20">
                  <c:v>41502.646251792001</c:v>
                </c:pt>
                <c:pt idx="21">
                  <c:v>44288.381897847998</c:v>
                </c:pt>
                <c:pt idx="22">
                  <c:v>46110.806031268003</c:v>
                </c:pt>
                <c:pt idx="23">
                  <c:v>43520.128329879997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163-4439-8EE8-5CA3D4E89358}"/>
            </c:ext>
          </c:extLst>
        </c:ser>
        <c:ser>
          <c:idx val="2"/>
          <c:order val="2"/>
          <c:tx>
            <c:strRef>
              <c:f>Age!$AM$1</c:f>
              <c:strCache>
                <c:ptCount val="1"/>
                <c:pt idx="0">
                  <c:v>Today</c:v>
                </c:pt>
              </c:strCache>
            </c:strRef>
          </c:tx>
          <c:spPr>
            <a:ln w="3492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Age!$V$32:$V$55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Age!$AE$32:$AE$55</c:f>
              <c:numCache>
                <c:formatCode>General</c:formatCode>
                <c:ptCount val="24"/>
                <c:pt idx="0">
                  <c:v>32741.266278556999</c:v>
                </c:pt>
                <c:pt idx="1">
                  <c:v>21281.772047291</c:v>
                </c:pt>
                <c:pt idx="2">
                  <c:v>12244.690043678</c:v>
                </c:pt>
                <c:pt idx="3">
                  <c:v>6995.7148457100002</c:v>
                </c:pt>
                <c:pt idx="4">
                  <c:v>4218.0684801429998</c:v>
                </c:pt>
                <c:pt idx="5">
                  <c:v>4908.2856587839997</c:v>
                </c:pt>
                <c:pt idx="6">
                  <c:v>9687.0896841659996</c:v>
                </c:pt>
                <c:pt idx="7">
                  <c:v>17091.975491060002</c:v>
                </c:pt>
                <c:pt idx="8">
                  <c:v>24699.802011699998</c:v>
                </c:pt>
                <c:pt idx="9">
                  <c:v>30231.482328204998</c:v>
                </c:pt>
                <c:pt idx="10">
                  <c:v>33929.674364399005</c:v>
                </c:pt>
                <c:pt idx="11">
                  <c:v>36094.216667975001</c:v>
                </c:pt>
                <c:pt idx="12">
                  <c:v>36590.189951467997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163-4439-8EE8-5CA3D4E893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7006704"/>
        <c:axId val="607000464"/>
      </c:lineChart>
      <c:catAx>
        <c:axId val="607006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0464"/>
        <c:crosses val="autoZero"/>
        <c:auto val="1"/>
        <c:lblAlgn val="ctr"/>
        <c:lblOffset val="100"/>
        <c:noMultiLvlLbl val="0"/>
      </c:catAx>
      <c:valAx>
        <c:axId val="60700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0">
                    <a:solidFill>
                      <a:schemeClr val="tx1"/>
                    </a:solidFill>
                  </a:rPr>
                  <a:t>GB</a:t>
                </a:r>
              </a:p>
            </c:rich>
          </c:tx>
          <c:layout>
            <c:manualLayout>
              <c:xMode val="edge"/>
              <c:yMode val="edge"/>
              <c:x val="4.3146462763692574E-3"/>
              <c:y val="0.35807060275369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6704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3544362220078641"/>
          <c:y val="0.91039759046722746"/>
          <c:w val="0.51661716609916886"/>
          <c:h val="8.9602409532772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Age!$X$31</c:f>
          <c:strCache>
            <c:ptCount val="1"/>
            <c:pt idx="0">
              <c:v>vEPC_KT [Gi+SGi]</c:v>
            </c:pt>
          </c:strCache>
        </c:strRef>
      </c:tx>
      <c:layout>
        <c:manualLayout>
          <c:xMode val="edge"/>
          <c:yMode val="edge"/>
          <c:x val="0.4175874323064061"/>
          <c:y val="1.90476190476190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43173804717048"/>
          <c:y val="0.14751243781094528"/>
          <c:w val="0.85404017863229764"/>
          <c:h val="0.61691738532683416"/>
        </c:manualLayout>
      </c:layout>
      <c:lineChart>
        <c:grouping val="standard"/>
        <c:varyColors val="0"/>
        <c:ser>
          <c:idx val="0"/>
          <c:order val="0"/>
          <c:tx>
            <c:strRef>
              <c:f>Age!$W$1</c:f>
              <c:strCache>
                <c:ptCount val="1"/>
                <c:pt idx="0">
                  <c:v>Day -7</c:v>
                </c:pt>
              </c:strCache>
            </c:strRef>
          </c:tx>
          <c:spPr>
            <a:ln w="3492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Age!$V$32:$V$55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Age!$X$32:$X$55</c:f>
              <c:numCache>
                <c:formatCode>General</c:formatCode>
                <c:ptCount val="24"/>
                <c:pt idx="0">
                  <c:v>29377.563972953001</c:v>
                </c:pt>
                <c:pt idx="1">
                  <c:v>19749.864573521998</c:v>
                </c:pt>
                <c:pt idx="2">
                  <c:v>11808.564834102999</c:v>
                </c:pt>
                <c:pt idx="3">
                  <c:v>6893.4990176920001</c:v>
                </c:pt>
                <c:pt idx="4">
                  <c:v>4430.0594760049999</c:v>
                </c:pt>
                <c:pt idx="5">
                  <c:v>5295.6792465059998</c:v>
                </c:pt>
                <c:pt idx="6">
                  <c:v>9755.5278948819996</c:v>
                </c:pt>
                <c:pt idx="7">
                  <c:v>15429.273165305</c:v>
                </c:pt>
                <c:pt idx="8">
                  <c:v>20267.866971124</c:v>
                </c:pt>
                <c:pt idx="9">
                  <c:v>23696.823206110999</c:v>
                </c:pt>
                <c:pt idx="10">
                  <c:v>25289.872056485998</c:v>
                </c:pt>
                <c:pt idx="11">
                  <c:v>26434.447800099999</c:v>
                </c:pt>
                <c:pt idx="12">
                  <c:v>26549.569809356999</c:v>
                </c:pt>
                <c:pt idx="13">
                  <c:v>24669.037957125998</c:v>
                </c:pt>
                <c:pt idx="14">
                  <c:v>27092.155600001999</c:v>
                </c:pt>
                <c:pt idx="15">
                  <c:v>28923.105594327</c:v>
                </c:pt>
                <c:pt idx="16">
                  <c:v>27908.245251969001</c:v>
                </c:pt>
                <c:pt idx="17">
                  <c:v>24751.265917256002</c:v>
                </c:pt>
                <c:pt idx="18">
                  <c:v>25350.081246802001</c:v>
                </c:pt>
                <c:pt idx="19">
                  <c:v>28234.742999787999</c:v>
                </c:pt>
                <c:pt idx="20">
                  <c:v>31647.510834571</c:v>
                </c:pt>
                <c:pt idx="21">
                  <c:v>33750.577457314001</c:v>
                </c:pt>
                <c:pt idx="22">
                  <c:v>35169.018216969002</c:v>
                </c:pt>
                <c:pt idx="23">
                  <c:v>34691.202162889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84-4D89-8D1B-E94C6197966D}"/>
            </c:ext>
          </c:extLst>
        </c:ser>
        <c:ser>
          <c:idx val="1"/>
          <c:order val="1"/>
          <c:tx>
            <c:strRef>
              <c:f>Age!$AE$1</c:f>
              <c:strCache>
                <c:ptCount val="1"/>
                <c:pt idx="0">
                  <c:v>Day -1</c:v>
                </c:pt>
              </c:strCache>
            </c:strRef>
          </c:tx>
          <c:spPr>
            <a:ln w="3492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Age!$V$32:$V$55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Age!$AB$32:$AB$55</c:f>
              <c:numCache>
                <c:formatCode>General</c:formatCode>
                <c:ptCount val="24"/>
                <c:pt idx="0">
                  <c:v>28244.772242138999</c:v>
                </c:pt>
                <c:pt idx="1">
                  <c:v>18118.186626923998</c:v>
                </c:pt>
                <c:pt idx="2">
                  <c:v>10559.736811537001</c:v>
                </c:pt>
                <c:pt idx="3">
                  <c:v>6004.7895689890001</c:v>
                </c:pt>
                <c:pt idx="4">
                  <c:v>3598.1917534889999</c:v>
                </c:pt>
                <c:pt idx="5">
                  <c:v>4290.5908004779994</c:v>
                </c:pt>
                <c:pt idx="6">
                  <c:v>8613.1884968869999</c:v>
                </c:pt>
                <c:pt idx="7">
                  <c:v>14941.006283623999</c:v>
                </c:pt>
                <c:pt idx="8">
                  <c:v>21375.387320574999</c:v>
                </c:pt>
                <c:pt idx="9">
                  <c:v>26067.769341529001</c:v>
                </c:pt>
                <c:pt idx="10">
                  <c:v>29233.110180748001</c:v>
                </c:pt>
                <c:pt idx="11">
                  <c:v>30661.303410589</c:v>
                </c:pt>
                <c:pt idx="12">
                  <c:v>31137.565295411001</c:v>
                </c:pt>
                <c:pt idx="13">
                  <c:v>28627.094852941002</c:v>
                </c:pt>
                <c:pt idx="14">
                  <c:v>29917.706419883001</c:v>
                </c:pt>
                <c:pt idx="15">
                  <c:v>31604.365599065</c:v>
                </c:pt>
                <c:pt idx="16">
                  <c:v>30332.631577880999</c:v>
                </c:pt>
                <c:pt idx="17">
                  <c:v>27788.352614971001</c:v>
                </c:pt>
                <c:pt idx="18">
                  <c:v>25066.38078802</c:v>
                </c:pt>
                <c:pt idx="19">
                  <c:v>32284.561287184999</c:v>
                </c:pt>
                <c:pt idx="20">
                  <c:v>35421.835778843</c:v>
                </c:pt>
                <c:pt idx="21">
                  <c:v>37620.787915182998</c:v>
                </c:pt>
                <c:pt idx="22">
                  <c:v>38734.401084796998</c:v>
                </c:pt>
                <c:pt idx="23">
                  <c:v>36879.711246373001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84-4D89-8D1B-E94C6197966D}"/>
            </c:ext>
          </c:extLst>
        </c:ser>
        <c:ser>
          <c:idx val="2"/>
          <c:order val="2"/>
          <c:tx>
            <c:strRef>
              <c:f>Age!$AM$1</c:f>
              <c:strCache>
                <c:ptCount val="1"/>
                <c:pt idx="0">
                  <c:v>Today</c:v>
                </c:pt>
              </c:strCache>
            </c:strRef>
          </c:tx>
          <c:spPr>
            <a:ln w="3492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Age!$V$32:$V$55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Age!$AF$32:$AF$55</c:f>
              <c:numCache>
                <c:formatCode>General</c:formatCode>
                <c:ptCount val="24"/>
                <c:pt idx="0">
                  <c:v>27801.935505347999</c:v>
                </c:pt>
                <c:pt idx="1">
                  <c:v>17925.306578575</c:v>
                </c:pt>
                <c:pt idx="2">
                  <c:v>10274.161600173</c:v>
                </c:pt>
                <c:pt idx="3">
                  <c:v>5775.9947500809994</c:v>
                </c:pt>
                <c:pt idx="4">
                  <c:v>3522.1570482530001</c:v>
                </c:pt>
                <c:pt idx="5">
                  <c:v>4125.6263252170002</c:v>
                </c:pt>
                <c:pt idx="6">
                  <c:v>8064.7101389890004</c:v>
                </c:pt>
                <c:pt idx="7">
                  <c:v>14244.533327810001</c:v>
                </c:pt>
                <c:pt idx="8">
                  <c:v>20812.161944631</c:v>
                </c:pt>
                <c:pt idx="9">
                  <c:v>25480.645580851</c:v>
                </c:pt>
                <c:pt idx="10">
                  <c:v>28761.518976861</c:v>
                </c:pt>
                <c:pt idx="11">
                  <c:v>30498.208546611</c:v>
                </c:pt>
                <c:pt idx="12">
                  <c:v>30934.912503308999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784-4D89-8D1B-E94C61979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7006704"/>
        <c:axId val="607000464"/>
      </c:lineChart>
      <c:catAx>
        <c:axId val="607006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0464"/>
        <c:crosses val="autoZero"/>
        <c:auto val="1"/>
        <c:lblAlgn val="ctr"/>
        <c:lblOffset val="100"/>
        <c:noMultiLvlLbl val="0"/>
      </c:catAx>
      <c:valAx>
        <c:axId val="60700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0">
                    <a:solidFill>
                      <a:schemeClr val="tx1"/>
                    </a:solidFill>
                  </a:rPr>
                  <a:t>GB</a:t>
                </a:r>
              </a:p>
            </c:rich>
          </c:tx>
          <c:layout>
            <c:manualLayout>
              <c:xMode val="edge"/>
              <c:yMode val="edge"/>
              <c:x val="4.3146462763692574E-3"/>
              <c:y val="0.35807060275369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6704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3544362220078641"/>
          <c:y val="0.91039759046722746"/>
          <c:w val="0.51661716609916886"/>
          <c:h val="8.9602409532772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Age!$Y$31</c:f>
          <c:strCache>
            <c:ptCount val="1"/>
            <c:pt idx="0">
              <c:v> UGW EC+GZ [Gi+SGi]</c:v>
            </c:pt>
          </c:strCache>
        </c:strRef>
      </c:tx>
      <c:layout>
        <c:manualLayout>
          <c:xMode val="edge"/>
          <c:yMode val="edge"/>
          <c:x val="0.4175874323064061"/>
          <c:y val="1.90476190476190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43173804717048"/>
          <c:y val="0.14751243781094528"/>
          <c:w val="0.85404017863229764"/>
          <c:h val="0.61691738532683416"/>
        </c:manualLayout>
      </c:layout>
      <c:lineChart>
        <c:grouping val="standard"/>
        <c:varyColors val="0"/>
        <c:ser>
          <c:idx val="0"/>
          <c:order val="0"/>
          <c:tx>
            <c:strRef>
              <c:f>Age!$W$1</c:f>
              <c:strCache>
                <c:ptCount val="1"/>
                <c:pt idx="0">
                  <c:v>Day -7</c:v>
                </c:pt>
              </c:strCache>
            </c:strRef>
          </c:tx>
          <c:spPr>
            <a:ln w="3492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Age!$V$32:$V$55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Age!$Y$32:$Y$55</c:f>
              <c:numCache>
                <c:formatCode>General</c:formatCode>
                <c:ptCount val="24"/>
                <c:pt idx="0">
                  <c:v>16528.586006000001</c:v>
                </c:pt>
                <c:pt idx="1">
                  <c:v>11636.134869</c:v>
                </c:pt>
                <c:pt idx="2">
                  <c:v>7134.3931789999997</c:v>
                </c:pt>
                <c:pt idx="3">
                  <c:v>4373.6604009999992</c:v>
                </c:pt>
                <c:pt idx="4">
                  <c:v>2874.6412289999998</c:v>
                </c:pt>
                <c:pt idx="5">
                  <c:v>3507.008593</c:v>
                </c:pt>
                <c:pt idx="6">
                  <c:v>6454.3808120000003</c:v>
                </c:pt>
                <c:pt idx="7">
                  <c:v>9703.394773</c:v>
                </c:pt>
                <c:pt idx="8">
                  <c:v>12147.195512999999</c:v>
                </c:pt>
                <c:pt idx="9">
                  <c:v>13619.644213000001</c:v>
                </c:pt>
                <c:pt idx="10">
                  <c:v>14281.478660000001</c:v>
                </c:pt>
                <c:pt idx="11">
                  <c:v>14758.286679999999</c:v>
                </c:pt>
                <c:pt idx="12">
                  <c:v>14607.337629</c:v>
                </c:pt>
                <c:pt idx="13">
                  <c:v>13689.576548999999</c:v>
                </c:pt>
                <c:pt idx="14">
                  <c:v>14793.90042</c:v>
                </c:pt>
                <c:pt idx="15">
                  <c:v>15905.449651999999</c:v>
                </c:pt>
                <c:pt idx="16">
                  <c:v>15502.154666</c:v>
                </c:pt>
                <c:pt idx="17">
                  <c:v>14000.016676000001</c:v>
                </c:pt>
                <c:pt idx="18">
                  <c:v>14074.135514000001</c:v>
                </c:pt>
                <c:pt idx="19">
                  <c:v>15492.579985000002</c:v>
                </c:pt>
                <c:pt idx="20">
                  <c:v>17373.291802</c:v>
                </c:pt>
                <c:pt idx="21">
                  <c:v>18455.641553000001</c:v>
                </c:pt>
                <c:pt idx="22">
                  <c:v>19605.297036</c:v>
                </c:pt>
                <c:pt idx="23">
                  <c:v>19599.417058999999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99-4BAE-848A-88405123F3A0}"/>
            </c:ext>
          </c:extLst>
        </c:ser>
        <c:ser>
          <c:idx val="1"/>
          <c:order val="1"/>
          <c:tx>
            <c:strRef>
              <c:f>Age!$AE$1</c:f>
              <c:strCache>
                <c:ptCount val="1"/>
                <c:pt idx="0">
                  <c:v>Day -1</c:v>
                </c:pt>
              </c:strCache>
            </c:strRef>
          </c:tx>
          <c:spPr>
            <a:ln w="3492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Age!$V$32:$V$55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Age!$AC$32:$AC$55</c:f>
              <c:numCache>
                <c:formatCode>General</c:formatCode>
                <c:ptCount val="24"/>
                <c:pt idx="0">
                  <c:v>15579.300704000001</c:v>
                </c:pt>
                <c:pt idx="1">
                  <c:v>10400.75258</c:v>
                </c:pt>
                <c:pt idx="2">
                  <c:v>6134.5296980000003</c:v>
                </c:pt>
                <c:pt idx="3">
                  <c:v>3540.645751</c:v>
                </c:pt>
                <c:pt idx="4">
                  <c:v>2204.506985</c:v>
                </c:pt>
                <c:pt idx="5">
                  <c:v>2866.4062309999999</c:v>
                </c:pt>
                <c:pt idx="6">
                  <c:v>5762.9664219999995</c:v>
                </c:pt>
                <c:pt idx="7">
                  <c:v>9429.7450140000001</c:v>
                </c:pt>
                <c:pt idx="8">
                  <c:v>12795.481336999999</c:v>
                </c:pt>
                <c:pt idx="9">
                  <c:v>15111.033464</c:v>
                </c:pt>
                <c:pt idx="10">
                  <c:v>16584.059447</c:v>
                </c:pt>
                <c:pt idx="11">
                  <c:v>17301.338279</c:v>
                </c:pt>
                <c:pt idx="12">
                  <c:v>17174.389217</c:v>
                </c:pt>
                <c:pt idx="13">
                  <c:v>15935.455513000001</c:v>
                </c:pt>
                <c:pt idx="14">
                  <c:v>16557.952599</c:v>
                </c:pt>
                <c:pt idx="15">
                  <c:v>17462.697518000001</c:v>
                </c:pt>
                <c:pt idx="16">
                  <c:v>16946.164556</c:v>
                </c:pt>
                <c:pt idx="17">
                  <c:v>15997.242726999999</c:v>
                </c:pt>
                <c:pt idx="18">
                  <c:v>15931.431967</c:v>
                </c:pt>
                <c:pt idx="19">
                  <c:v>17651.348043999998</c:v>
                </c:pt>
                <c:pt idx="20">
                  <c:v>19044.787805999997</c:v>
                </c:pt>
                <c:pt idx="21">
                  <c:v>20006.971067999999</c:v>
                </c:pt>
                <c:pt idx="22">
                  <c:v>20758.111142000002</c:v>
                </c:pt>
                <c:pt idx="23">
                  <c:v>20047.404266000001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99-4BAE-848A-88405123F3A0}"/>
            </c:ext>
          </c:extLst>
        </c:ser>
        <c:ser>
          <c:idx val="2"/>
          <c:order val="2"/>
          <c:tx>
            <c:strRef>
              <c:f>Age!$AM$1</c:f>
              <c:strCache>
                <c:ptCount val="1"/>
                <c:pt idx="0">
                  <c:v>Today</c:v>
                </c:pt>
              </c:strCache>
            </c:strRef>
          </c:tx>
          <c:spPr>
            <a:ln w="3492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Age!$V$32:$V$55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Age!$AG$32:$AG$55</c:f>
              <c:numCache>
                <c:formatCode>General</c:formatCode>
                <c:ptCount val="24"/>
                <c:pt idx="0">
                  <c:v>15473.192680000002</c:v>
                </c:pt>
                <c:pt idx="1">
                  <c:v>10249.154398999999</c:v>
                </c:pt>
                <c:pt idx="2">
                  <c:v>5972.2567270000009</c:v>
                </c:pt>
                <c:pt idx="3">
                  <c:v>3448.5805369999998</c:v>
                </c:pt>
                <c:pt idx="4">
                  <c:v>2188.6541689999999</c:v>
                </c:pt>
                <c:pt idx="5">
                  <c:v>2795.5018520000003</c:v>
                </c:pt>
                <c:pt idx="6">
                  <c:v>5701.6662640000004</c:v>
                </c:pt>
                <c:pt idx="7">
                  <c:v>9382.8485880000007</c:v>
                </c:pt>
                <c:pt idx="8">
                  <c:v>12740.981272000001</c:v>
                </c:pt>
                <c:pt idx="9">
                  <c:v>14968.381264</c:v>
                </c:pt>
                <c:pt idx="10">
                  <c:v>16163.043655000001</c:v>
                </c:pt>
                <c:pt idx="11">
                  <c:v>16959.104596000001</c:v>
                </c:pt>
                <c:pt idx="12">
                  <c:v>17133.440953000001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499-4BAE-848A-88405123F3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7006704"/>
        <c:axId val="607000464"/>
      </c:lineChart>
      <c:catAx>
        <c:axId val="607006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0464"/>
        <c:crosses val="autoZero"/>
        <c:auto val="1"/>
        <c:lblAlgn val="ctr"/>
        <c:lblOffset val="100"/>
        <c:noMultiLvlLbl val="0"/>
      </c:catAx>
      <c:valAx>
        <c:axId val="60700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0">
                    <a:solidFill>
                      <a:schemeClr val="tx1"/>
                    </a:solidFill>
                  </a:rPr>
                  <a:t>GB</a:t>
                </a:r>
              </a:p>
            </c:rich>
          </c:tx>
          <c:layout>
            <c:manualLayout>
              <c:xMode val="edge"/>
              <c:yMode val="edge"/>
              <c:x val="4.3146462763692574E-3"/>
              <c:y val="0.35807060275369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6704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3544362220078641"/>
          <c:y val="0.91039759046722746"/>
          <c:w val="0.51661716609916886"/>
          <c:h val="8.9602409532772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Age!$Z$31</c:f>
          <c:strCache>
            <c:ptCount val="1"/>
            <c:pt idx="0">
              <c:v>PS Core status [vEPC_GZ &amp; KT, UGW_EC &amp; GZ]</c:v>
            </c:pt>
          </c:strCache>
        </c:strRef>
      </c:tx>
      <c:layout>
        <c:manualLayout>
          <c:xMode val="edge"/>
          <c:yMode val="edge"/>
          <c:x val="0.19562904019948862"/>
          <c:y val="1.90474459923278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43173804717048"/>
          <c:y val="0.14751243781094528"/>
          <c:w val="0.85404017863229764"/>
          <c:h val="0.61691738532683416"/>
        </c:manualLayout>
      </c:layout>
      <c:lineChart>
        <c:grouping val="standard"/>
        <c:varyColors val="0"/>
        <c:ser>
          <c:idx val="0"/>
          <c:order val="0"/>
          <c:tx>
            <c:strRef>
              <c:f>Age!$W$1</c:f>
              <c:strCache>
                <c:ptCount val="1"/>
                <c:pt idx="0">
                  <c:v>Day -7</c:v>
                </c:pt>
              </c:strCache>
            </c:strRef>
          </c:tx>
          <c:spPr>
            <a:ln w="3492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Age!$V$32:$V$55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Age!$Z$32:$Z$55</c:f>
              <c:numCache>
                <c:formatCode>General</c:formatCode>
                <c:ptCount val="24"/>
                <c:pt idx="0">
                  <c:v>80.909240456861014</c:v>
                </c:pt>
                <c:pt idx="1">
                  <c:v>54.806812526918996</c:v>
                </c:pt>
                <c:pt idx="2">
                  <c:v>32.910391505378996</c:v>
                </c:pt>
                <c:pt idx="3">
                  <c:v>19.606220374446998</c:v>
                </c:pt>
                <c:pt idx="4">
                  <c:v>12.717009386658999</c:v>
                </c:pt>
                <c:pt idx="5">
                  <c:v>15.140830740696</c:v>
                </c:pt>
                <c:pt idx="6">
                  <c:v>28.029289216205001</c:v>
                </c:pt>
                <c:pt idx="7">
                  <c:v>43.737171238522997</c:v>
                </c:pt>
                <c:pt idx="8">
                  <c:v>56.654731754488992</c:v>
                </c:pt>
                <c:pt idx="9">
                  <c:v>65.280002940656004</c:v>
                </c:pt>
                <c:pt idx="10">
                  <c:v>69.886049161556002</c:v>
                </c:pt>
                <c:pt idx="11">
                  <c:v>72.559539284448007</c:v>
                </c:pt>
                <c:pt idx="12">
                  <c:v>72.780842254727986</c:v>
                </c:pt>
                <c:pt idx="13">
                  <c:v>67.762007750510008</c:v>
                </c:pt>
                <c:pt idx="14">
                  <c:v>73.960907931125007</c:v>
                </c:pt>
                <c:pt idx="15">
                  <c:v>79.170554245115994</c:v>
                </c:pt>
                <c:pt idx="16">
                  <c:v>76.386537160697998</c:v>
                </c:pt>
                <c:pt idx="17">
                  <c:v>68.177772641604008</c:v>
                </c:pt>
                <c:pt idx="18">
                  <c:v>69.677565276348986</c:v>
                </c:pt>
                <c:pt idx="19">
                  <c:v>77.282166380985998</c:v>
                </c:pt>
                <c:pt idx="20">
                  <c:v>86.972925813692996</c:v>
                </c:pt>
                <c:pt idx="21">
                  <c:v>92.785914945233003</c:v>
                </c:pt>
                <c:pt idx="22">
                  <c:v>97.833633550485018</c:v>
                </c:pt>
                <c:pt idx="23">
                  <c:v>96.806297261161006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AC-47E3-936F-510640F0E0D5}"/>
            </c:ext>
          </c:extLst>
        </c:ser>
        <c:ser>
          <c:idx val="1"/>
          <c:order val="1"/>
          <c:tx>
            <c:strRef>
              <c:f>Age!$AE$1</c:f>
              <c:strCache>
                <c:ptCount val="1"/>
                <c:pt idx="0">
                  <c:v>Day -1</c:v>
                </c:pt>
              </c:strCache>
            </c:strRef>
          </c:tx>
          <c:spPr>
            <a:ln w="3492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Age!$V$32:$V$55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Age!$AD$32:$AD$55</c:f>
              <c:numCache>
                <c:formatCode>General</c:formatCode>
                <c:ptCount val="24"/>
                <c:pt idx="0">
                  <c:v>77.038986590825999</c:v>
                </c:pt>
                <c:pt idx="1">
                  <c:v>50.175010190039998</c:v>
                </c:pt>
                <c:pt idx="2">
                  <c:v>29.295863843425003</c:v>
                </c:pt>
                <c:pt idx="3">
                  <c:v>16.868994629602998</c:v>
                </c:pt>
                <c:pt idx="4">
                  <c:v>10.129017248698</c:v>
                </c:pt>
                <c:pt idx="5">
                  <c:v>12.266889504552001</c:v>
                </c:pt>
                <c:pt idx="6">
                  <c:v>24.550293621241995</c:v>
                </c:pt>
                <c:pt idx="7">
                  <c:v>42.125150457601997</c:v>
                </c:pt>
                <c:pt idx="8">
                  <c:v>59.437845804859997</c:v>
                </c:pt>
                <c:pt idx="9">
                  <c:v>72.116306646384999</c:v>
                </c:pt>
                <c:pt idx="10">
                  <c:v>80.498198832200998</c:v>
                </c:pt>
                <c:pt idx="11">
                  <c:v>84.149300382324</c:v>
                </c:pt>
                <c:pt idx="12">
                  <c:v>84.916902006404015</c:v>
                </c:pt>
                <c:pt idx="13">
                  <c:v>78.428456451378992</c:v>
                </c:pt>
                <c:pt idx="14">
                  <c:v>82.201828180915001</c:v>
                </c:pt>
                <c:pt idx="15">
                  <c:v>86.299905627928993</c:v>
                </c:pt>
                <c:pt idx="16">
                  <c:v>83.170818126357005</c:v>
                </c:pt>
                <c:pt idx="17">
                  <c:v>76.8653624361</c:v>
                </c:pt>
                <c:pt idx="18">
                  <c:v>70.434724533633997</c:v>
                </c:pt>
                <c:pt idx="19">
                  <c:v>87.964964275311999</c:v>
                </c:pt>
                <c:pt idx="20">
                  <c:v>95.969269836634993</c:v>
                </c:pt>
                <c:pt idx="21">
                  <c:v>101.916140881031</c:v>
                </c:pt>
                <c:pt idx="22">
                  <c:v>105.603318258065</c:v>
                </c:pt>
                <c:pt idx="23">
                  <c:v>100.447243842253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AC-47E3-936F-510640F0E0D5}"/>
            </c:ext>
          </c:extLst>
        </c:ser>
        <c:ser>
          <c:idx val="2"/>
          <c:order val="2"/>
          <c:tx>
            <c:strRef>
              <c:f>Age!$AM$1</c:f>
              <c:strCache>
                <c:ptCount val="1"/>
                <c:pt idx="0">
                  <c:v>Today</c:v>
                </c:pt>
              </c:strCache>
            </c:strRef>
          </c:tx>
          <c:spPr>
            <a:ln w="3492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Age!$V$32:$V$55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Age!$AH$32:$AH$55</c:f>
              <c:numCache>
                <c:formatCode>General</c:formatCode>
                <c:ptCount val="24"/>
                <c:pt idx="0">
                  <c:v>76.016394463905002</c:v>
                </c:pt>
                <c:pt idx="1">
                  <c:v>49.456233024866002</c:v>
                </c:pt>
                <c:pt idx="2">
                  <c:v>28.491108370850998</c:v>
                </c:pt>
                <c:pt idx="3">
                  <c:v>16.220290132791</c:v>
                </c:pt>
                <c:pt idx="4">
                  <c:v>9.928879697395999</c:v>
                </c:pt>
                <c:pt idx="5">
                  <c:v>11.829413836001001</c:v>
                </c:pt>
                <c:pt idx="6">
                  <c:v>23.453466087155</c:v>
                </c:pt>
                <c:pt idx="7">
                  <c:v>40.719357406870003</c:v>
                </c:pt>
                <c:pt idx="8">
                  <c:v>58.252945228330994</c:v>
                </c:pt>
                <c:pt idx="9">
                  <c:v>70.680509173055995</c:v>
                </c:pt>
                <c:pt idx="10">
                  <c:v>78.854236996259999</c:v>
                </c:pt>
                <c:pt idx="11">
                  <c:v>83.551529810586004</c:v>
                </c:pt>
                <c:pt idx="12">
                  <c:v>84.658543407776989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AC-47E3-936F-510640F0E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7006704"/>
        <c:axId val="607000464"/>
      </c:lineChart>
      <c:catAx>
        <c:axId val="607006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0464"/>
        <c:crosses val="autoZero"/>
        <c:auto val="1"/>
        <c:lblAlgn val="ctr"/>
        <c:lblOffset val="100"/>
        <c:noMultiLvlLbl val="0"/>
      </c:catAx>
      <c:valAx>
        <c:axId val="60700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0">
                    <a:solidFill>
                      <a:schemeClr val="tx1"/>
                    </a:solidFill>
                  </a:rPr>
                  <a:t>TB</a:t>
                </a:r>
              </a:p>
            </c:rich>
          </c:tx>
          <c:layout>
            <c:manualLayout>
              <c:xMode val="edge"/>
              <c:yMode val="edge"/>
              <c:x val="4.3146462763692574E-3"/>
              <c:y val="0.35807060275369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06704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3544362220078641"/>
          <c:y val="0.91039759046722746"/>
          <c:w val="0.51661716609916886"/>
          <c:h val="8.9602409532772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Age!$Y$57</c:f>
          <c:strCache>
            <c:ptCount val="1"/>
            <c:pt idx="0">
              <c:v>PS Core Status  [ 30/07/2020 00:00:00   TO   06/08/2020 12:00:00 ]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0" normalizeH="0" baseline="0">
              <a:solidFill>
                <a:sysClr val="windowText" lastClr="000000"/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Age!$W$59:$W$61</c:f>
              <c:strCache>
                <c:ptCount val="3"/>
                <c:pt idx="0">
                  <c:v>Day -7 [24 Hrs]</c:v>
                </c:pt>
                <c:pt idx="1">
                  <c:v>Day -1 [24 Hrs]</c:v>
                </c:pt>
                <c:pt idx="2">
                  <c:v>Today</c:v>
                </c:pt>
              </c:strCache>
            </c:strRef>
          </c:cat>
          <c:val>
            <c:numRef>
              <c:f>Age!$X$59:$X$61</c:f>
              <c:numCache>
                <c:formatCode>General</c:formatCode>
                <c:ptCount val="3"/>
                <c:pt idx="0">
                  <c:v>1511.8344137985259</c:v>
                </c:pt>
                <c:pt idx="1">
                  <c:v>1612.870792207772</c:v>
                </c:pt>
                <c:pt idx="2">
                  <c:v>632.11290763584498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2F-45EB-9C60-9A43C9DA4E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7"/>
        <c:overlap val="-43"/>
        <c:axId val="1358498656"/>
        <c:axId val="1451034592"/>
      </c:barChart>
      <c:catAx>
        <c:axId val="1358498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1034592"/>
        <c:crosses val="autoZero"/>
        <c:auto val="1"/>
        <c:lblAlgn val="ctr"/>
        <c:lblOffset val="100"/>
        <c:noMultiLvlLbl val="0"/>
      </c:catAx>
      <c:valAx>
        <c:axId val="1451034592"/>
        <c:scaling>
          <c:orientation val="minMax"/>
          <c:max val="3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="1">
                    <a:solidFill>
                      <a:sysClr val="windowText" lastClr="000000"/>
                    </a:solidFill>
                  </a:rPr>
                  <a:t>TB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8498656"/>
        <c:crosses val="autoZero"/>
        <c:crossBetween val="between"/>
        <c:majorUnit val="250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9.xml"/><Relationship Id="rId13" Type="http://schemas.openxmlformats.org/officeDocument/2006/relationships/chart" Target="../charts/chart34.xml"/><Relationship Id="rId3" Type="http://schemas.openxmlformats.org/officeDocument/2006/relationships/chart" Target="../charts/chart24.xml"/><Relationship Id="rId7" Type="http://schemas.openxmlformats.org/officeDocument/2006/relationships/chart" Target="../charts/chart28.xml"/><Relationship Id="rId12" Type="http://schemas.openxmlformats.org/officeDocument/2006/relationships/chart" Target="../charts/chart33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Relationship Id="rId6" Type="http://schemas.openxmlformats.org/officeDocument/2006/relationships/chart" Target="../charts/chart27.xml"/><Relationship Id="rId11" Type="http://schemas.openxmlformats.org/officeDocument/2006/relationships/chart" Target="../charts/chart32.xml"/><Relationship Id="rId5" Type="http://schemas.openxmlformats.org/officeDocument/2006/relationships/chart" Target="../charts/chart26.xml"/><Relationship Id="rId10" Type="http://schemas.openxmlformats.org/officeDocument/2006/relationships/chart" Target="../charts/chart31.xml"/><Relationship Id="rId4" Type="http://schemas.openxmlformats.org/officeDocument/2006/relationships/chart" Target="../charts/chart25.xml"/><Relationship Id="rId9" Type="http://schemas.openxmlformats.org/officeDocument/2006/relationships/chart" Target="../charts/chart30.xml"/><Relationship Id="rId14" Type="http://schemas.openxmlformats.org/officeDocument/2006/relationships/chart" Target="../charts/chart3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600075</xdr:colOff>
      <xdr:row>12</xdr:row>
      <xdr:rowOff>105833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12</xdr:row>
      <xdr:rowOff>103189</xdr:rowOff>
    </xdr:from>
    <xdr:to>
      <xdr:col>7</xdr:col>
      <xdr:colOff>593460</xdr:colOff>
      <xdr:row>25</xdr:row>
      <xdr:rowOff>18522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0</xdr:row>
      <xdr:rowOff>15875</xdr:rowOff>
    </xdr:from>
    <xdr:to>
      <xdr:col>15</xdr:col>
      <xdr:colOff>600075</xdr:colOff>
      <xdr:row>12</xdr:row>
      <xdr:rowOff>121708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603250</xdr:colOff>
      <xdr:row>12</xdr:row>
      <xdr:rowOff>95250</xdr:rowOff>
    </xdr:from>
    <xdr:to>
      <xdr:col>15</xdr:col>
      <xdr:colOff>589491</xdr:colOff>
      <xdr:row>25</xdr:row>
      <xdr:rowOff>10583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37</xdr:row>
      <xdr:rowOff>140379</xdr:rowOff>
    </xdr:from>
    <xdr:to>
      <xdr:col>12</xdr:col>
      <xdr:colOff>40063</xdr:colOff>
      <xdr:row>62</xdr:row>
      <xdr:rowOff>73479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38100</xdr:colOff>
      <xdr:row>37</xdr:row>
      <xdr:rowOff>151871</xdr:rowOff>
    </xdr:from>
    <xdr:to>
      <xdr:col>23</xdr:col>
      <xdr:colOff>582385</xdr:colOff>
      <xdr:row>62</xdr:row>
      <xdr:rowOff>78921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603250</xdr:colOff>
      <xdr:row>10</xdr:row>
      <xdr:rowOff>74083</xdr:rowOff>
    </xdr:from>
    <xdr:to>
      <xdr:col>4</xdr:col>
      <xdr:colOff>412750</xdr:colOff>
      <xdr:row>11</xdr:row>
      <xdr:rowOff>137583</xdr:rowOff>
    </xdr:to>
    <xdr:sp macro="" textlink="">
      <xdr:nvSpPr>
        <xdr:cNvPr id="2" name="TextBox 1"/>
        <xdr:cNvSpPr txBox="1"/>
      </xdr:nvSpPr>
      <xdr:spPr>
        <a:xfrm>
          <a:off x="2444750" y="1979083"/>
          <a:ext cx="423333" cy="25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Hrs</a:t>
          </a:r>
        </a:p>
      </xdr:txBody>
    </xdr:sp>
    <xdr:clientData/>
  </xdr:twoCellAnchor>
  <xdr:twoCellAnchor>
    <xdr:from>
      <xdr:col>0</xdr:col>
      <xdr:colOff>7938</xdr:colOff>
      <xdr:row>25</xdr:row>
      <xdr:rowOff>15876</xdr:rowOff>
    </xdr:from>
    <xdr:to>
      <xdr:col>7</xdr:col>
      <xdr:colOff>592138</xdr:colOff>
      <xdr:row>37</xdr:row>
      <xdr:rowOff>111126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3970</xdr:colOff>
      <xdr:row>25</xdr:row>
      <xdr:rowOff>0</xdr:rowOff>
    </xdr:from>
    <xdr:to>
      <xdr:col>15</xdr:col>
      <xdr:colOff>587375</xdr:colOff>
      <xdr:row>37</xdr:row>
      <xdr:rowOff>105833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23</xdr:col>
      <xdr:colOff>587374</xdr:colOff>
      <xdr:row>37</xdr:row>
      <xdr:rowOff>119063</xdr:rowOff>
    </xdr:from>
    <xdr:to>
      <xdr:col>47</xdr:col>
      <xdr:colOff>571500</xdr:colOff>
      <xdr:row>62</xdr:row>
      <xdr:rowOff>68036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597958</xdr:colOff>
      <xdr:row>0</xdr:row>
      <xdr:rowOff>9978</xdr:rowOff>
    </xdr:from>
    <xdr:to>
      <xdr:col>23</xdr:col>
      <xdr:colOff>578908</xdr:colOff>
      <xdr:row>12</xdr:row>
      <xdr:rowOff>105228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587375</xdr:colOff>
      <xdr:row>12</xdr:row>
      <xdr:rowOff>104548</xdr:rowOff>
    </xdr:from>
    <xdr:to>
      <xdr:col>23</xdr:col>
      <xdr:colOff>578909</xdr:colOff>
      <xdr:row>25</xdr:row>
      <xdr:rowOff>9298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23</xdr:col>
      <xdr:colOff>585788</xdr:colOff>
      <xdr:row>0</xdr:row>
      <xdr:rowOff>0</xdr:rowOff>
    </xdr:from>
    <xdr:to>
      <xdr:col>31</xdr:col>
      <xdr:colOff>574675</xdr:colOff>
      <xdr:row>12</xdr:row>
      <xdr:rowOff>95250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587376</xdr:colOff>
      <xdr:row>12</xdr:row>
      <xdr:rowOff>91848</xdr:rowOff>
    </xdr:from>
    <xdr:to>
      <xdr:col>31</xdr:col>
      <xdr:colOff>568326</xdr:colOff>
      <xdr:row>24</xdr:row>
      <xdr:rowOff>187098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571500</xdr:colOff>
      <xdr:row>0</xdr:row>
      <xdr:rowOff>0</xdr:rowOff>
    </xdr:from>
    <xdr:to>
      <xdr:col>39</xdr:col>
      <xdr:colOff>556419</xdr:colOff>
      <xdr:row>12</xdr:row>
      <xdr:rowOff>95250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31</xdr:col>
      <xdr:colOff>571500</xdr:colOff>
      <xdr:row>12</xdr:row>
      <xdr:rowOff>89731</xdr:rowOff>
    </xdr:from>
    <xdr:to>
      <xdr:col>39</xdr:col>
      <xdr:colOff>558800</xdr:colOff>
      <xdr:row>24</xdr:row>
      <xdr:rowOff>184981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555625</xdr:colOff>
      <xdr:row>0</xdr:row>
      <xdr:rowOff>6123</xdr:rowOff>
    </xdr:from>
    <xdr:to>
      <xdr:col>47</xdr:col>
      <xdr:colOff>536575</xdr:colOff>
      <xdr:row>12</xdr:row>
      <xdr:rowOff>101373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39</xdr:col>
      <xdr:colOff>555625</xdr:colOff>
      <xdr:row>12</xdr:row>
      <xdr:rowOff>101373</xdr:rowOff>
    </xdr:from>
    <xdr:to>
      <xdr:col>47</xdr:col>
      <xdr:colOff>536575</xdr:colOff>
      <xdr:row>25</xdr:row>
      <xdr:rowOff>6123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15</xdr:col>
      <xdr:colOff>587375</xdr:colOff>
      <xdr:row>25</xdr:row>
      <xdr:rowOff>0</xdr:rowOff>
    </xdr:from>
    <xdr:to>
      <xdr:col>23</xdr:col>
      <xdr:colOff>568325</xdr:colOff>
      <xdr:row>37</xdr:row>
      <xdr:rowOff>95250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23</xdr:col>
      <xdr:colOff>587375</xdr:colOff>
      <xdr:row>25</xdr:row>
      <xdr:rowOff>0</xdr:rowOff>
    </xdr:from>
    <xdr:to>
      <xdr:col>31</xdr:col>
      <xdr:colOff>568325</xdr:colOff>
      <xdr:row>37</xdr:row>
      <xdr:rowOff>95250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31</xdr:col>
      <xdr:colOff>571500</xdr:colOff>
      <xdr:row>25</xdr:row>
      <xdr:rowOff>0</xdr:rowOff>
    </xdr:from>
    <xdr:to>
      <xdr:col>39</xdr:col>
      <xdr:colOff>552450</xdr:colOff>
      <xdr:row>37</xdr:row>
      <xdr:rowOff>95250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39</xdr:col>
      <xdr:colOff>555625</xdr:colOff>
      <xdr:row>25</xdr:row>
      <xdr:rowOff>0</xdr:rowOff>
    </xdr:from>
    <xdr:to>
      <xdr:col>47</xdr:col>
      <xdr:colOff>536575</xdr:colOff>
      <xdr:row>37</xdr:row>
      <xdr:rowOff>95250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0.49233</cdr:x>
      <cdr:y>0.82655</cdr:y>
    </cdr:from>
    <cdr:to>
      <cdr:x>0.57878</cdr:x>
      <cdr:y>0.93274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410883" y="1976967"/>
          <a:ext cx="423333" cy="254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Hrs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0.49233</cdr:x>
      <cdr:y>0.82655</cdr:y>
    </cdr:from>
    <cdr:to>
      <cdr:x>0.57878</cdr:x>
      <cdr:y>0.93274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410883" y="1976966"/>
          <a:ext cx="423333" cy="254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Hrs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0.48801</cdr:x>
      <cdr:y>0.83097</cdr:y>
    </cdr:from>
    <cdr:to>
      <cdr:x>0.57445</cdr:x>
      <cdr:y>0.93717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389717" y="1987550"/>
          <a:ext cx="423333" cy="254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Hrs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0.49233</cdr:x>
      <cdr:y>0.82655</cdr:y>
    </cdr:from>
    <cdr:to>
      <cdr:x>0.57878</cdr:x>
      <cdr:y>0.93274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410883" y="1976966"/>
          <a:ext cx="423333" cy="254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Hrs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0.49233</cdr:x>
      <cdr:y>0.82655</cdr:y>
    </cdr:from>
    <cdr:to>
      <cdr:x>0.57878</cdr:x>
      <cdr:y>0.93274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410883" y="1976966"/>
          <a:ext cx="423333" cy="254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Hrs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0.49233</cdr:x>
      <cdr:y>0.82655</cdr:y>
    </cdr:from>
    <cdr:to>
      <cdr:x>0.57878</cdr:x>
      <cdr:y>0.93274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410883" y="1976966"/>
          <a:ext cx="423333" cy="254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Hrs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0.49233</cdr:x>
      <cdr:y>0.82655</cdr:y>
    </cdr:from>
    <cdr:to>
      <cdr:x>0.57878</cdr:x>
      <cdr:y>0.93274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410883" y="1976966"/>
          <a:ext cx="423333" cy="254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Hrs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0.49233</cdr:x>
      <cdr:y>0.82655</cdr:y>
    </cdr:from>
    <cdr:to>
      <cdr:x>0.57878</cdr:x>
      <cdr:y>0.93274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410883" y="1976966"/>
          <a:ext cx="423333" cy="254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Hrs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0.49233</cdr:x>
      <cdr:y>0.82655</cdr:y>
    </cdr:from>
    <cdr:to>
      <cdr:x>0.57878</cdr:x>
      <cdr:y>0.93274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410883" y="1976966"/>
          <a:ext cx="423333" cy="254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Hrs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0.49233</cdr:x>
      <cdr:y>0.82655</cdr:y>
    </cdr:from>
    <cdr:to>
      <cdr:x>0.57878</cdr:x>
      <cdr:y>0.93274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410883" y="1976966"/>
          <a:ext cx="423333" cy="254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Hrs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0.49233</cdr:x>
      <cdr:y>0.82655</cdr:y>
    </cdr:from>
    <cdr:to>
      <cdr:x>0.57878</cdr:x>
      <cdr:y>0.93274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410883" y="1976966"/>
          <a:ext cx="423333" cy="254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Hrs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0.49233</cdr:x>
      <cdr:y>0.82655</cdr:y>
    </cdr:from>
    <cdr:to>
      <cdr:x>0.57878</cdr:x>
      <cdr:y>0.93274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410883" y="1976966"/>
          <a:ext cx="423333" cy="254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Hrs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0.49233</cdr:x>
      <cdr:y>0.82655</cdr:y>
    </cdr:from>
    <cdr:to>
      <cdr:x>0.57878</cdr:x>
      <cdr:y>0.93274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410883" y="1976966"/>
          <a:ext cx="423333" cy="254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Hrs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0.49233</cdr:x>
      <cdr:y>0.82655</cdr:y>
    </cdr:from>
    <cdr:to>
      <cdr:x>0.57878</cdr:x>
      <cdr:y>0.93274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410883" y="1976966"/>
          <a:ext cx="423333" cy="254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Hrs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0.49233</cdr:x>
      <cdr:y>0.82655</cdr:y>
    </cdr:from>
    <cdr:to>
      <cdr:x>0.57878</cdr:x>
      <cdr:y>0.93274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410883" y="1976966"/>
          <a:ext cx="423333" cy="254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Hrs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0.49233</cdr:x>
      <cdr:y>0.82655</cdr:y>
    </cdr:from>
    <cdr:to>
      <cdr:x>0.57878</cdr:x>
      <cdr:y>0.93274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410883" y="1976966"/>
          <a:ext cx="423333" cy="254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Hrs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0.49233</cdr:x>
      <cdr:y>0.82655</cdr:y>
    </cdr:from>
    <cdr:to>
      <cdr:x>0.57878</cdr:x>
      <cdr:y>0.93274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410883" y="1976966"/>
          <a:ext cx="423333" cy="254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/>
            <a:t>Hrs</a:t>
          </a:r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</xdr:colOff>
      <xdr:row>13</xdr:row>
      <xdr:rowOff>0</xdr:rowOff>
    </xdr:from>
    <xdr:to>
      <xdr:col>8</xdr:col>
      <xdr:colOff>273844</xdr:colOff>
      <xdr:row>26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63236</xdr:colOff>
      <xdr:row>24</xdr:row>
      <xdr:rowOff>72759</xdr:rowOff>
    </xdr:from>
    <xdr:to>
      <xdr:col>4</xdr:col>
      <xdr:colOff>479954</xdr:colOff>
      <xdr:row>25</xdr:row>
      <xdr:rowOff>93926</xdr:rowOff>
    </xdr:to>
    <xdr:sp macro="" textlink="">
      <xdr:nvSpPr>
        <xdr:cNvPr id="8" name="TextBox 7"/>
        <xdr:cNvSpPr txBox="1"/>
      </xdr:nvSpPr>
      <xdr:spPr>
        <a:xfrm>
          <a:off x="2492111" y="2168259"/>
          <a:ext cx="416718" cy="2116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1">
              <a:solidFill>
                <a:schemeClr val="tx1">
                  <a:lumMod val="65000"/>
                  <a:lumOff val="35000"/>
                </a:schemeClr>
              </a:solidFill>
            </a:rPr>
            <a:t>Hrs</a:t>
          </a:r>
        </a:p>
      </xdr:txBody>
    </xdr:sp>
    <xdr:clientData/>
  </xdr:twoCellAnchor>
  <xdr:twoCellAnchor>
    <xdr:from>
      <xdr:col>0</xdr:col>
      <xdr:colOff>0</xdr:colOff>
      <xdr:row>26</xdr:row>
      <xdr:rowOff>95250</xdr:rowOff>
    </xdr:from>
    <xdr:to>
      <xdr:col>8</xdr:col>
      <xdr:colOff>273841</xdr:colOff>
      <xdr:row>40</xdr:row>
      <xdr:rowOff>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51327</xdr:colOff>
      <xdr:row>37</xdr:row>
      <xdr:rowOff>168009</xdr:rowOff>
    </xdr:from>
    <xdr:to>
      <xdr:col>4</xdr:col>
      <xdr:colOff>468045</xdr:colOff>
      <xdr:row>38</xdr:row>
      <xdr:rowOff>189176</xdr:rowOff>
    </xdr:to>
    <xdr:sp macro="" textlink="">
      <xdr:nvSpPr>
        <xdr:cNvPr id="13" name="TextBox 12"/>
        <xdr:cNvSpPr txBox="1"/>
      </xdr:nvSpPr>
      <xdr:spPr>
        <a:xfrm>
          <a:off x="2480202" y="4740009"/>
          <a:ext cx="416718" cy="2116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1">
              <a:solidFill>
                <a:schemeClr val="tx1">
                  <a:lumMod val="65000"/>
                  <a:lumOff val="35000"/>
                </a:schemeClr>
              </a:solidFill>
            </a:rPr>
            <a:t>Hrs</a:t>
          </a:r>
        </a:p>
      </xdr:txBody>
    </xdr:sp>
    <xdr:clientData/>
  </xdr:twoCellAnchor>
  <xdr:twoCellAnchor>
    <xdr:from>
      <xdr:col>8</xdr:col>
      <xdr:colOff>273844</xdr:colOff>
      <xdr:row>13</xdr:row>
      <xdr:rowOff>0</xdr:rowOff>
    </xdr:from>
    <xdr:to>
      <xdr:col>16</xdr:col>
      <xdr:colOff>547685</xdr:colOff>
      <xdr:row>26</xdr:row>
      <xdr:rowOff>95250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273843</xdr:colOff>
      <xdr:row>26</xdr:row>
      <xdr:rowOff>95250</xdr:rowOff>
    </xdr:from>
    <xdr:to>
      <xdr:col>16</xdr:col>
      <xdr:colOff>547684</xdr:colOff>
      <xdr:row>40</xdr:row>
      <xdr:rowOff>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547687</xdr:colOff>
      <xdr:row>13</xdr:row>
      <xdr:rowOff>0</xdr:rowOff>
    </xdr:from>
    <xdr:to>
      <xdr:col>25</xdr:col>
      <xdr:colOff>214309</xdr:colOff>
      <xdr:row>26</xdr:row>
      <xdr:rowOff>95250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539750</xdr:colOff>
      <xdr:row>26</xdr:row>
      <xdr:rowOff>95250</xdr:rowOff>
    </xdr:from>
    <xdr:to>
      <xdr:col>25</xdr:col>
      <xdr:colOff>206372</xdr:colOff>
      <xdr:row>40</xdr:row>
      <xdr:rowOff>0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214312</xdr:colOff>
      <xdr:row>13</xdr:row>
      <xdr:rowOff>0</xdr:rowOff>
    </xdr:from>
    <xdr:to>
      <xdr:col>33</xdr:col>
      <xdr:colOff>484184</xdr:colOff>
      <xdr:row>26</xdr:row>
      <xdr:rowOff>95250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25</xdr:col>
      <xdr:colOff>206375</xdr:colOff>
      <xdr:row>26</xdr:row>
      <xdr:rowOff>95250</xdr:rowOff>
    </xdr:from>
    <xdr:to>
      <xdr:col>33</xdr:col>
      <xdr:colOff>476247</xdr:colOff>
      <xdr:row>40</xdr:row>
      <xdr:rowOff>0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40</xdr:row>
      <xdr:rowOff>1</xdr:rowOff>
    </xdr:from>
    <xdr:to>
      <xdr:col>16</xdr:col>
      <xdr:colOff>539750</xdr:colOff>
      <xdr:row>61</xdr:row>
      <xdr:rowOff>79375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29</xdr:col>
      <xdr:colOff>349250</xdr:colOff>
      <xdr:row>37</xdr:row>
      <xdr:rowOff>174625</xdr:rowOff>
    </xdr:from>
    <xdr:to>
      <xdr:col>30</xdr:col>
      <xdr:colOff>162718</xdr:colOff>
      <xdr:row>39</xdr:row>
      <xdr:rowOff>5292</xdr:rowOff>
    </xdr:to>
    <xdr:sp macro="" textlink="">
      <xdr:nvSpPr>
        <xdr:cNvPr id="22" name="TextBox 21"/>
        <xdr:cNvSpPr txBox="1"/>
      </xdr:nvSpPr>
      <xdr:spPr>
        <a:xfrm>
          <a:off x="17843500" y="4746625"/>
          <a:ext cx="416718" cy="2116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1">
              <a:solidFill>
                <a:schemeClr val="tx1">
                  <a:lumMod val="65000"/>
                  <a:lumOff val="35000"/>
                </a:schemeClr>
              </a:solidFill>
            </a:rPr>
            <a:t>Hrs</a:t>
          </a:r>
        </a:p>
      </xdr:txBody>
    </xdr:sp>
    <xdr:clientData/>
  </xdr:twoCellAnchor>
  <xdr:twoCellAnchor>
    <xdr:from>
      <xdr:col>21</xdr:col>
      <xdr:colOff>63500</xdr:colOff>
      <xdr:row>37</xdr:row>
      <xdr:rowOff>158750</xdr:rowOff>
    </xdr:from>
    <xdr:to>
      <xdr:col>21</xdr:col>
      <xdr:colOff>480218</xdr:colOff>
      <xdr:row>38</xdr:row>
      <xdr:rowOff>179917</xdr:rowOff>
    </xdr:to>
    <xdr:sp macro="" textlink="">
      <xdr:nvSpPr>
        <xdr:cNvPr id="23" name="TextBox 22"/>
        <xdr:cNvSpPr txBox="1"/>
      </xdr:nvSpPr>
      <xdr:spPr>
        <a:xfrm>
          <a:off x="12731750" y="4730750"/>
          <a:ext cx="416718" cy="2116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1">
              <a:solidFill>
                <a:schemeClr val="tx1">
                  <a:lumMod val="65000"/>
                  <a:lumOff val="35000"/>
                </a:schemeClr>
              </a:solidFill>
            </a:rPr>
            <a:t>Hrs</a:t>
          </a:r>
        </a:p>
      </xdr:txBody>
    </xdr:sp>
    <xdr:clientData/>
  </xdr:twoCellAnchor>
  <xdr:twoCellAnchor>
    <xdr:from>
      <xdr:col>12</xdr:col>
      <xdr:colOff>396875</xdr:colOff>
      <xdr:row>37</xdr:row>
      <xdr:rowOff>174625</xdr:rowOff>
    </xdr:from>
    <xdr:to>
      <xdr:col>13</xdr:col>
      <xdr:colOff>210343</xdr:colOff>
      <xdr:row>39</xdr:row>
      <xdr:rowOff>5292</xdr:rowOff>
    </xdr:to>
    <xdr:sp macro="" textlink="">
      <xdr:nvSpPr>
        <xdr:cNvPr id="24" name="TextBox 23"/>
        <xdr:cNvSpPr txBox="1"/>
      </xdr:nvSpPr>
      <xdr:spPr>
        <a:xfrm>
          <a:off x="7635875" y="4746625"/>
          <a:ext cx="416718" cy="2116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1">
              <a:solidFill>
                <a:schemeClr val="tx1">
                  <a:lumMod val="65000"/>
                  <a:lumOff val="35000"/>
                </a:schemeClr>
              </a:solidFill>
            </a:rPr>
            <a:t>Hrs</a:t>
          </a:r>
        </a:p>
      </xdr:txBody>
    </xdr:sp>
    <xdr:clientData/>
  </xdr:twoCellAnchor>
  <xdr:twoCellAnchor>
    <xdr:from>
      <xdr:col>20</xdr:col>
      <xdr:colOff>507999</xdr:colOff>
      <xdr:row>24</xdr:row>
      <xdr:rowOff>79375</xdr:rowOff>
    </xdr:from>
    <xdr:to>
      <xdr:col>24</xdr:col>
      <xdr:colOff>523874</xdr:colOff>
      <xdr:row>28</xdr:row>
      <xdr:rowOff>31750</xdr:rowOff>
    </xdr:to>
    <xdr:sp macro="" textlink="">
      <xdr:nvSpPr>
        <xdr:cNvPr id="26" name="TextBox 25"/>
        <xdr:cNvSpPr txBox="1"/>
      </xdr:nvSpPr>
      <xdr:spPr>
        <a:xfrm flipH="1">
          <a:off x="12572999" y="2174875"/>
          <a:ext cx="2428875" cy="714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1">
              <a:solidFill>
                <a:schemeClr val="tx1">
                  <a:lumMod val="65000"/>
                  <a:lumOff val="35000"/>
                </a:schemeClr>
              </a:solidFill>
            </a:rPr>
            <a:t>Hrs</a:t>
          </a:r>
        </a:p>
      </xdr:txBody>
    </xdr:sp>
    <xdr:clientData/>
  </xdr:twoCellAnchor>
  <xdr:twoCellAnchor>
    <xdr:from>
      <xdr:col>29</xdr:col>
      <xdr:colOff>317499</xdr:colOff>
      <xdr:row>24</xdr:row>
      <xdr:rowOff>47625</xdr:rowOff>
    </xdr:from>
    <xdr:to>
      <xdr:col>33</xdr:col>
      <xdr:colOff>333374</xdr:colOff>
      <xdr:row>28</xdr:row>
      <xdr:rowOff>0</xdr:rowOff>
    </xdr:to>
    <xdr:sp macro="" textlink="">
      <xdr:nvSpPr>
        <xdr:cNvPr id="27" name="TextBox 26"/>
        <xdr:cNvSpPr txBox="1"/>
      </xdr:nvSpPr>
      <xdr:spPr>
        <a:xfrm flipH="1">
          <a:off x="17811749" y="2143125"/>
          <a:ext cx="2428875" cy="714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1">
              <a:solidFill>
                <a:schemeClr val="tx1">
                  <a:lumMod val="65000"/>
                  <a:lumOff val="35000"/>
                </a:schemeClr>
              </a:solidFill>
            </a:rPr>
            <a:t>Hrs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273841</xdr:colOff>
      <xdr:row>13</xdr:row>
      <xdr:rowOff>0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</xdr:col>
      <xdr:colOff>51327</xdr:colOff>
      <xdr:row>10</xdr:row>
      <xdr:rowOff>168009</xdr:rowOff>
    </xdr:from>
    <xdr:to>
      <xdr:col>4</xdr:col>
      <xdr:colOff>468045</xdr:colOff>
      <xdr:row>11</xdr:row>
      <xdr:rowOff>189176</xdr:rowOff>
    </xdr:to>
    <xdr:sp macro="" textlink="">
      <xdr:nvSpPr>
        <xdr:cNvPr id="28" name="TextBox 27"/>
        <xdr:cNvSpPr txBox="1"/>
      </xdr:nvSpPr>
      <xdr:spPr>
        <a:xfrm>
          <a:off x="2464327" y="2263509"/>
          <a:ext cx="416718" cy="2116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1">
              <a:solidFill>
                <a:schemeClr val="tx1">
                  <a:lumMod val="65000"/>
                  <a:lumOff val="35000"/>
                </a:schemeClr>
              </a:solidFill>
            </a:rPr>
            <a:t>Hrs</a:t>
          </a:r>
        </a:p>
      </xdr:txBody>
    </xdr:sp>
    <xdr:clientData/>
  </xdr:twoCellAnchor>
  <xdr:twoCellAnchor>
    <xdr:from>
      <xdr:col>8</xdr:col>
      <xdr:colOff>269875</xdr:colOff>
      <xdr:row>0</xdr:row>
      <xdr:rowOff>0</xdr:rowOff>
    </xdr:from>
    <xdr:to>
      <xdr:col>16</xdr:col>
      <xdr:colOff>543716</xdr:colOff>
      <xdr:row>13</xdr:row>
      <xdr:rowOff>0</xdr:rowOff>
    </xdr:to>
    <xdr:graphicFrame macro="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321202</xdr:colOff>
      <xdr:row>10</xdr:row>
      <xdr:rowOff>168009</xdr:rowOff>
    </xdr:from>
    <xdr:to>
      <xdr:col>13</xdr:col>
      <xdr:colOff>134670</xdr:colOff>
      <xdr:row>11</xdr:row>
      <xdr:rowOff>189176</xdr:rowOff>
    </xdr:to>
    <xdr:sp macro="" textlink="">
      <xdr:nvSpPr>
        <xdr:cNvPr id="30" name="TextBox 29"/>
        <xdr:cNvSpPr txBox="1"/>
      </xdr:nvSpPr>
      <xdr:spPr>
        <a:xfrm>
          <a:off x="7560202" y="2263509"/>
          <a:ext cx="416718" cy="2116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1">
              <a:solidFill>
                <a:schemeClr val="tx1">
                  <a:lumMod val="65000"/>
                  <a:lumOff val="35000"/>
                </a:schemeClr>
              </a:solidFill>
            </a:rPr>
            <a:t>Hrs</a:t>
          </a:r>
        </a:p>
      </xdr:txBody>
    </xdr:sp>
    <xdr:clientData/>
  </xdr:twoCellAnchor>
  <xdr:twoCellAnchor>
    <xdr:from>
      <xdr:col>16</xdr:col>
      <xdr:colOff>539750</xdr:colOff>
      <xdr:row>0</xdr:row>
      <xdr:rowOff>0</xdr:rowOff>
    </xdr:from>
    <xdr:to>
      <xdr:col>25</xdr:col>
      <xdr:colOff>210341</xdr:colOff>
      <xdr:row>13</xdr:row>
      <xdr:rowOff>0</xdr:rowOff>
    </xdr:to>
    <xdr:graphicFrame macro="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20</xdr:col>
      <xdr:colOff>591077</xdr:colOff>
      <xdr:row>10</xdr:row>
      <xdr:rowOff>168009</xdr:rowOff>
    </xdr:from>
    <xdr:to>
      <xdr:col>21</xdr:col>
      <xdr:colOff>404545</xdr:colOff>
      <xdr:row>11</xdr:row>
      <xdr:rowOff>189176</xdr:rowOff>
    </xdr:to>
    <xdr:sp macro="" textlink="">
      <xdr:nvSpPr>
        <xdr:cNvPr id="32" name="TextBox 31"/>
        <xdr:cNvSpPr txBox="1"/>
      </xdr:nvSpPr>
      <xdr:spPr>
        <a:xfrm>
          <a:off x="12656077" y="2263509"/>
          <a:ext cx="416718" cy="2116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1">
              <a:solidFill>
                <a:schemeClr val="tx1">
                  <a:lumMod val="65000"/>
                  <a:lumOff val="35000"/>
                </a:schemeClr>
              </a:solidFill>
            </a:rPr>
            <a:t>Hrs</a:t>
          </a:r>
        </a:p>
      </xdr:txBody>
    </xdr:sp>
    <xdr:clientData/>
  </xdr:twoCellAnchor>
  <xdr:twoCellAnchor>
    <xdr:from>
      <xdr:col>25</xdr:col>
      <xdr:colOff>206375</xdr:colOff>
      <xdr:row>0</xdr:row>
      <xdr:rowOff>0</xdr:rowOff>
    </xdr:from>
    <xdr:to>
      <xdr:col>33</xdr:col>
      <xdr:colOff>480216</xdr:colOff>
      <xdr:row>13</xdr:row>
      <xdr:rowOff>0</xdr:rowOff>
    </xdr:to>
    <xdr:graphicFrame macro="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29</xdr:col>
      <xdr:colOff>257702</xdr:colOff>
      <xdr:row>10</xdr:row>
      <xdr:rowOff>168009</xdr:rowOff>
    </xdr:from>
    <xdr:to>
      <xdr:col>30</xdr:col>
      <xdr:colOff>71170</xdr:colOff>
      <xdr:row>11</xdr:row>
      <xdr:rowOff>189176</xdr:rowOff>
    </xdr:to>
    <xdr:sp macro="" textlink="">
      <xdr:nvSpPr>
        <xdr:cNvPr id="34" name="TextBox 33"/>
        <xdr:cNvSpPr txBox="1"/>
      </xdr:nvSpPr>
      <xdr:spPr>
        <a:xfrm>
          <a:off x="17751952" y="2263509"/>
          <a:ext cx="416718" cy="2116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1">
              <a:solidFill>
                <a:schemeClr val="tx1">
                  <a:lumMod val="65000"/>
                  <a:lumOff val="35000"/>
                </a:schemeClr>
              </a:solidFill>
            </a:rPr>
            <a:t>Hrs</a:t>
          </a:r>
        </a:p>
      </xdr:txBody>
    </xdr:sp>
    <xdr:clientData/>
  </xdr:twoCellAnchor>
  <xdr:twoCellAnchor>
    <xdr:from>
      <xdr:col>16</xdr:col>
      <xdr:colOff>539751</xdr:colOff>
      <xdr:row>39</xdr:row>
      <xdr:rowOff>190499</xdr:rowOff>
    </xdr:from>
    <xdr:to>
      <xdr:col>33</xdr:col>
      <xdr:colOff>492125</xdr:colOff>
      <xdr:row>61</xdr:row>
      <xdr:rowOff>63500</xdr:rowOff>
    </xdr:to>
    <xdr:graphicFrame macro="">
      <xdr:nvGraphicFramePr>
        <xdr:cNvPr id="36" name="Chart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0.00996</cdr:x>
      <cdr:y>0.01975</cdr:y>
    </cdr:from>
    <cdr:to>
      <cdr:x>0.09167</cdr:x>
      <cdr:y>0.10206</cdr:y>
    </cdr:to>
    <cdr:sp macro="" textlink="">
      <cdr:nvSpPr>
        <cdr:cNvPr id="2" name="TextBox 7"/>
        <cdr:cNvSpPr txBox="1"/>
      </cdr:nvSpPr>
      <cdr:spPr>
        <a:xfrm xmlns:a="http://schemas.openxmlformats.org/drawingml/2006/main">
          <a:off x="50800" y="50800"/>
          <a:ext cx="416718" cy="2116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 b="1">
              <a:solidFill>
                <a:schemeClr val="tx1">
                  <a:lumMod val="65000"/>
                  <a:lumOff val="35000"/>
                </a:schemeClr>
              </a:solidFill>
            </a:rPr>
            <a:t>Hrs</a:t>
          </a:r>
        </a:p>
      </cdr:txBody>
    </cdr:sp>
  </cdr:relSizeAnchor>
  <cdr:relSizeAnchor xmlns:cdr="http://schemas.openxmlformats.org/drawingml/2006/chartDrawing">
    <cdr:from>
      <cdr:x>0.48</cdr:x>
      <cdr:y>0.84074</cdr:y>
    </cdr:from>
    <cdr:to>
      <cdr:x>0.56171</cdr:x>
      <cdr:y>0.92305</cdr:y>
    </cdr:to>
    <cdr:sp macro="" textlink="">
      <cdr:nvSpPr>
        <cdr:cNvPr id="3" name="TextBox 7"/>
        <cdr:cNvSpPr txBox="1"/>
      </cdr:nvSpPr>
      <cdr:spPr>
        <a:xfrm xmlns:a="http://schemas.openxmlformats.org/drawingml/2006/main">
          <a:off x="2447925" y="2162175"/>
          <a:ext cx="416718" cy="2116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 b="1">
              <a:solidFill>
                <a:schemeClr val="tx1">
                  <a:lumMod val="65000"/>
                  <a:lumOff val="35000"/>
                </a:schemeClr>
              </a:solidFill>
            </a:rPr>
            <a:t>Hrs</a:t>
          </a:r>
        </a:p>
      </cdr:txBody>
    </cdr:sp>
  </cdr:relSizeAnchor>
</c:userShapes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285750</xdr:colOff>
          <xdr:row>0</xdr:row>
          <xdr:rowOff>142875</xdr:rowOff>
        </xdr:from>
        <xdr:to>
          <xdr:col>6</xdr:col>
          <xdr:colOff>152400</xdr:colOff>
          <xdr:row>2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Run-CS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0</xdr:row>
          <xdr:rowOff>47625</xdr:rowOff>
        </xdr:from>
        <xdr:to>
          <xdr:col>2</xdr:col>
          <xdr:colOff>1285875</xdr:colOff>
          <xdr:row>1</xdr:row>
          <xdr:rowOff>228600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Abnormal Hrs_CS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285750</xdr:colOff>
          <xdr:row>3</xdr:row>
          <xdr:rowOff>28575</xdr:rowOff>
        </xdr:from>
        <xdr:to>
          <xdr:col>6</xdr:col>
          <xdr:colOff>152400</xdr:colOff>
          <xdr:row>5</xdr:row>
          <xdr:rowOff>66675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Run-PS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</xdr:row>
          <xdr:rowOff>76200</xdr:rowOff>
        </xdr:from>
        <xdr:to>
          <xdr:col>2</xdr:col>
          <xdr:colOff>1285875</xdr:colOff>
          <xdr:row>3</xdr:row>
          <xdr:rowOff>238125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Abnormal Hrs_PS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0</xdr:row>
          <xdr:rowOff>95250</xdr:rowOff>
        </xdr:from>
        <xdr:to>
          <xdr:col>14</xdr:col>
          <xdr:colOff>200025</xdr:colOff>
          <xdr:row>2</xdr:row>
          <xdr:rowOff>76200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Clean_History_CS&amp;PS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4</xdr:row>
          <xdr:rowOff>104775</xdr:rowOff>
        </xdr:from>
        <xdr:to>
          <xdr:col>2</xdr:col>
          <xdr:colOff>1285875</xdr:colOff>
          <xdr:row>6</xdr:row>
          <xdr:rowOff>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142875</xdr:rowOff>
        </xdr:from>
        <xdr:to>
          <xdr:col>10</xdr:col>
          <xdr:colOff>304800</xdr:colOff>
          <xdr:row>2</xdr:row>
          <xdr:rowOff>133350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On-Demand CS &amp; PS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</xdr:row>
          <xdr:rowOff>133350</xdr:rowOff>
        </xdr:from>
        <xdr:to>
          <xdr:col>10</xdr:col>
          <xdr:colOff>304800</xdr:colOff>
          <xdr:row>5</xdr:row>
          <xdr:rowOff>114300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</xdr:row>
          <xdr:rowOff>28575</xdr:rowOff>
        </xdr:from>
        <xdr:to>
          <xdr:col>10</xdr:col>
          <xdr:colOff>304800</xdr:colOff>
          <xdr:row>8</xdr:row>
          <xdr:rowOff>19050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showGridLines="0" zoomScale="60" zoomScaleNormal="60" workbookViewId="0">
      <selection activeCell="AX13" sqref="AX13"/>
    </sheetView>
  </sheetViews>
  <sheetFormatPr defaultRowHeight="15" x14ac:dyDescent="0.25"/>
  <sheetData/>
  <dataConsolidate/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showGridLines="0" topLeftCell="A25" zoomScale="60" zoomScaleNormal="60" workbookViewId="0">
      <selection activeCell="F65" sqref="F65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18"/>
  <sheetViews>
    <sheetView showGridLines="0" tabSelected="1" workbookViewId="0">
      <selection activeCell="G14" sqref="G14"/>
    </sheetView>
  </sheetViews>
  <sheetFormatPr defaultRowHeight="15" x14ac:dyDescent="0.25"/>
  <cols>
    <col min="1" max="1" width="14.5703125" customWidth="1"/>
    <col min="2" max="2" width="17.85546875" customWidth="1"/>
    <col min="3" max="3" width="22" customWidth="1"/>
    <col min="4" max="4" width="5.42578125" customWidth="1"/>
  </cols>
  <sheetData>
    <row r="1" spans="1:15" ht="14.25" customHeight="1" x14ac:dyDescent="0.25">
      <c r="A1" s="64" t="s">
        <v>96</v>
      </c>
      <c r="B1" s="65"/>
      <c r="I1" s="60"/>
      <c r="J1" s="60"/>
      <c r="K1" s="60"/>
      <c r="M1" s="62"/>
      <c r="N1" s="62"/>
      <c r="O1" s="62"/>
    </row>
    <row r="2" spans="1:15" ht="18.75" customHeight="1" x14ac:dyDescent="0.25">
      <c r="A2" s="54">
        <v>43990.5</v>
      </c>
      <c r="B2" s="54">
        <v>43990.5</v>
      </c>
      <c r="I2" s="60"/>
      <c r="J2" s="60"/>
      <c r="K2" s="60"/>
      <c r="M2" s="62"/>
      <c r="N2" s="62"/>
      <c r="O2" s="62"/>
    </row>
    <row r="3" spans="1:15" ht="15" customHeight="1" x14ac:dyDescent="0.25">
      <c r="A3" s="64" t="s">
        <v>97</v>
      </c>
      <c r="B3" s="65"/>
      <c r="I3" s="60"/>
      <c r="J3" s="60"/>
      <c r="K3" s="60"/>
      <c r="M3" s="62"/>
      <c r="N3" s="62"/>
      <c r="O3" s="62"/>
    </row>
    <row r="4" spans="1:15" ht="19.5" customHeight="1" x14ac:dyDescent="0.25">
      <c r="A4" s="54">
        <v>43990.5</v>
      </c>
      <c r="B4" s="54">
        <v>43990.5</v>
      </c>
      <c r="I4" s="60"/>
      <c r="J4" s="60"/>
      <c r="K4" s="60"/>
    </row>
    <row r="5" spans="1:15" ht="14.25" customHeight="1" thickBot="1" x14ac:dyDescent="0.3">
      <c r="A5" s="11"/>
      <c r="B5" s="12"/>
      <c r="I5" s="60"/>
      <c r="J5" s="60"/>
      <c r="K5" s="60"/>
    </row>
    <row r="6" spans="1:15" ht="20.25" customHeight="1" thickTop="1" thickBot="1" x14ac:dyDescent="0.3">
      <c r="A6" s="10" t="s">
        <v>54</v>
      </c>
      <c r="B6" s="58" t="s">
        <v>129</v>
      </c>
      <c r="C6" s="13"/>
      <c r="I6" s="60"/>
      <c r="J6" s="60"/>
      <c r="K6" s="60"/>
    </row>
    <row r="7" spans="1:15" ht="16.5" thickTop="1" thickBot="1" x14ac:dyDescent="0.3">
      <c r="I7" s="60"/>
      <c r="J7" s="60"/>
      <c r="K7" s="60"/>
    </row>
    <row r="8" spans="1:15" ht="16.5" thickTop="1" thickBot="1" x14ac:dyDescent="0.3">
      <c r="A8" s="10" t="s">
        <v>111</v>
      </c>
      <c r="B8" s="58" t="s">
        <v>126</v>
      </c>
      <c r="I8" s="60"/>
      <c r="J8" s="60"/>
      <c r="K8" s="60"/>
    </row>
    <row r="9" spans="1:15" ht="15.75" thickTop="1" x14ac:dyDescent="0.25">
      <c r="B9" s="9"/>
      <c r="I9" s="60"/>
      <c r="J9" s="60"/>
      <c r="K9" s="60"/>
    </row>
    <row r="11" spans="1:15" x14ac:dyDescent="0.25">
      <c r="A11" s="20" t="s">
        <v>36</v>
      </c>
      <c r="B11" s="20" t="s">
        <v>52</v>
      </c>
      <c r="C11" s="26" t="s">
        <v>67</v>
      </c>
      <c r="F11" s="29"/>
    </row>
    <row r="12" spans="1:15" x14ac:dyDescent="0.25">
      <c r="A12" s="55" t="s">
        <v>80</v>
      </c>
      <c r="B12" s="54" t="s">
        <v>130</v>
      </c>
      <c r="C12" s="54">
        <v>43990.5</v>
      </c>
    </row>
    <row r="13" spans="1:15" x14ac:dyDescent="0.25">
      <c r="A13" s="55" t="s">
        <v>81</v>
      </c>
      <c r="B13" s="54" t="s">
        <v>130</v>
      </c>
      <c r="C13" s="54">
        <v>43990.5</v>
      </c>
      <c r="F13" s="13"/>
    </row>
    <row r="14" spans="1:15" x14ac:dyDescent="0.25">
      <c r="A14" s="56" t="s">
        <v>37</v>
      </c>
      <c r="B14" s="56" t="s">
        <v>52</v>
      </c>
      <c r="C14" s="57" t="s">
        <v>67</v>
      </c>
    </row>
    <row r="15" spans="1:15" x14ac:dyDescent="0.25">
      <c r="A15" s="55" t="s">
        <v>57</v>
      </c>
      <c r="B15" s="54" t="s">
        <v>130</v>
      </c>
      <c r="C15" s="54">
        <v>43990.5</v>
      </c>
    </row>
    <row r="16" spans="1:15" x14ac:dyDescent="0.25">
      <c r="A16" s="55" t="s">
        <v>58</v>
      </c>
      <c r="B16" s="54" t="s">
        <v>130</v>
      </c>
      <c r="C16" s="54">
        <v>43990.5</v>
      </c>
    </row>
    <row r="17" spans="1:3" x14ac:dyDescent="0.25">
      <c r="A17" s="55" t="s">
        <v>44</v>
      </c>
      <c r="B17" s="54" t="s">
        <v>130</v>
      </c>
      <c r="C17" s="54">
        <v>43990.5</v>
      </c>
    </row>
    <row r="18" spans="1:3" x14ac:dyDescent="0.25">
      <c r="A18" s="55" t="s">
        <v>45</v>
      </c>
      <c r="B18" s="54" t="s">
        <v>130</v>
      </c>
      <c r="C18" s="54">
        <v>43990.5</v>
      </c>
    </row>
  </sheetData>
  <mergeCells count="2">
    <mergeCell ref="A1:B1"/>
    <mergeCell ref="A3:B3"/>
  </mergeCells>
  <dataValidations count="2">
    <dataValidation type="list" allowBlank="1" showInputMessage="1" showErrorMessage="1" sqref="B6">
      <formula1>"Today,Yesterday, Last 7 Days"</formula1>
    </dataValidation>
    <dataValidation type="list" allowBlank="1" showInputMessage="1" showErrorMessage="1" sqref="B8">
      <formula1>"Regular, On-Demand"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final_CS">
                <anchor moveWithCells="1" sizeWithCells="1">
                  <from>
                    <xdr:col>3</xdr:col>
                    <xdr:colOff>285750</xdr:colOff>
                    <xdr:row>0</xdr:row>
                    <xdr:rowOff>142875</xdr:rowOff>
                  </from>
                  <to>
                    <xdr:col>6</xdr:col>
                    <xdr:colOff>152400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AB_CS">
                <anchor moveWithCells="1" sizeWithCells="1">
                  <from>
                    <xdr:col>2</xdr:col>
                    <xdr:colOff>47625</xdr:colOff>
                    <xdr:row>0</xdr:row>
                    <xdr:rowOff>47625</xdr:rowOff>
                  </from>
                  <to>
                    <xdr:col>2</xdr:col>
                    <xdr:colOff>1285875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final_PS">
                <anchor moveWithCells="1" sizeWithCells="1">
                  <from>
                    <xdr:col>3</xdr:col>
                    <xdr:colOff>285750</xdr:colOff>
                    <xdr:row>3</xdr:row>
                    <xdr:rowOff>28575</xdr:rowOff>
                  </from>
                  <to>
                    <xdr:col>6</xdr:col>
                    <xdr:colOff>152400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AB_PS">
                <anchor moveWithCells="1" sizeWithCells="1">
                  <from>
                    <xdr:col>2</xdr:col>
                    <xdr:colOff>38100</xdr:colOff>
                    <xdr:row>2</xdr:row>
                    <xdr:rowOff>76200</xdr:rowOff>
                  </from>
                  <to>
                    <xdr:col>2</xdr:col>
                    <xdr:colOff>1285875</xdr:colOff>
                    <xdr:row>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8" name="Button 7">
              <controlPr defaultSize="0" print="0" autoFill="0" autoPict="0" macro="[0]!ALL_Clean_history">
                <anchor moveWithCells="1" sizeWithCells="1">
                  <from>
                    <xdr:col>12</xdr:col>
                    <xdr:colOff>28575</xdr:colOff>
                    <xdr:row>0</xdr:row>
                    <xdr:rowOff>95250</xdr:rowOff>
                  </from>
                  <to>
                    <xdr:col>14</xdr:col>
                    <xdr:colOff>200025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Button 10">
              <controlPr defaultSize="0" print="0" autoFill="0" autoPict="0" macro="[0]!UploadUpdate_22">
                <anchor moveWithCells="1" sizeWithCells="1">
                  <from>
                    <xdr:col>2</xdr:col>
                    <xdr:colOff>47625</xdr:colOff>
                    <xdr:row>4</xdr:row>
                    <xdr:rowOff>104775</xdr:rowOff>
                  </from>
                  <to>
                    <xdr:col>2</xdr:col>
                    <xdr:colOff>1285875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0" name="Button 12">
              <controlPr defaultSize="0" print="0" autoFill="0" autoPict="0" macro="[0]!Coustomise_final">
                <anchor moveWithCells="1" sizeWithCells="1">
                  <from>
                    <xdr:col>8</xdr:col>
                    <xdr:colOff>0</xdr:colOff>
                    <xdr:row>0</xdr:row>
                    <xdr:rowOff>142875</xdr:rowOff>
                  </from>
                  <to>
                    <xdr:col>10</xdr:col>
                    <xdr:colOff>304800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1" name="Button 13">
              <controlPr defaultSize="0" print="0" autoFill="0" autoPict="0" macro="[0]!Customizess_upload">
                <anchor moveWithCells="1" sizeWithCells="1">
                  <from>
                    <xdr:col>8</xdr:col>
                    <xdr:colOff>0</xdr:colOff>
                    <xdr:row>3</xdr:row>
                    <xdr:rowOff>133350</xdr:rowOff>
                  </from>
                  <to>
                    <xdr:col>10</xdr:col>
                    <xdr:colOff>304800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2" name="Button 14">
              <controlPr defaultSize="0" print="0" autoFill="0" autoPict="0" macro="[0]!CM_ALL_Clean_history">
                <anchor moveWithCells="1" sizeWithCells="1">
                  <from>
                    <xdr:col>8</xdr:col>
                    <xdr:colOff>0</xdr:colOff>
                    <xdr:row>6</xdr:row>
                    <xdr:rowOff>28575</xdr:rowOff>
                  </from>
                  <to>
                    <xdr:col>10</xdr:col>
                    <xdr:colOff>304800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L3"/>
  <sheetViews>
    <sheetView zoomScale="70" zoomScaleNormal="70" workbookViewId="0">
      <selection activeCell="H17" sqref="H17"/>
    </sheetView>
  </sheetViews>
  <sheetFormatPr defaultRowHeight="15" x14ac:dyDescent="0.25"/>
  <sheetData>
    <row r="1" spans="1:38" x14ac:dyDescent="0.25">
      <c r="B1" s="66" t="s">
        <v>99</v>
      </c>
      <c r="C1" s="66"/>
      <c r="D1" s="66"/>
      <c r="E1" s="66"/>
      <c r="F1" s="66"/>
      <c r="G1" s="67" t="s">
        <v>100</v>
      </c>
      <c r="H1" s="67"/>
      <c r="I1" s="67"/>
      <c r="J1" s="67"/>
      <c r="K1" s="67"/>
      <c r="M1" t="s">
        <v>101</v>
      </c>
      <c r="N1" s="66" t="s">
        <v>98</v>
      </c>
      <c r="O1" s="66"/>
      <c r="P1" s="66"/>
      <c r="Q1" s="66"/>
      <c r="R1" s="66"/>
      <c r="S1" s="66"/>
      <c r="T1" s="66"/>
      <c r="U1" s="66"/>
      <c r="V1" s="66"/>
      <c r="W1" s="66"/>
      <c r="X1" s="66"/>
      <c r="Z1" s="66" t="s">
        <v>104</v>
      </c>
      <c r="AA1" s="66"/>
      <c r="AB1" s="66"/>
      <c r="AC1" s="66"/>
      <c r="AD1" s="66"/>
      <c r="AE1" s="66"/>
      <c r="AF1" s="66"/>
      <c r="AG1" s="66"/>
      <c r="AH1" s="66"/>
      <c r="AI1" s="66"/>
      <c r="AJ1" s="66"/>
    </row>
    <row r="2" spans="1:38" x14ac:dyDescent="0.25">
      <c r="A2" s="2" t="s">
        <v>103</v>
      </c>
      <c r="B2" s="2" t="s">
        <v>55</v>
      </c>
      <c r="C2" s="2" t="s">
        <v>56</v>
      </c>
      <c r="D2" s="2" t="s">
        <v>44</v>
      </c>
      <c r="E2" s="2" t="s">
        <v>45</v>
      </c>
      <c r="F2" s="2" t="s">
        <v>8</v>
      </c>
      <c r="G2" s="25" t="s">
        <v>55</v>
      </c>
      <c r="H2" s="2" t="s">
        <v>56</v>
      </c>
      <c r="I2" s="2" t="s">
        <v>44</v>
      </c>
      <c r="J2" s="2" t="s">
        <v>45</v>
      </c>
      <c r="K2" s="2" t="s">
        <v>8</v>
      </c>
      <c r="L2" s="5" t="s">
        <v>8</v>
      </c>
      <c r="M2" s="5"/>
      <c r="N2" s="2" t="s">
        <v>9</v>
      </c>
      <c r="O2" s="2" t="s">
        <v>10</v>
      </c>
      <c r="P2" s="2" t="s">
        <v>11</v>
      </c>
      <c r="Q2" s="2" t="s">
        <v>12</v>
      </c>
      <c r="R2" s="2" t="s">
        <v>13</v>
      </c>
      <c r="S2" s="2" t="s">
        <v>14</v>
      </c>
      <c r="T2" s="2" t="s">
        <v>15</v>
      </c>
      <c r="U2" s="2" t="s">
        <v>16</v>
      </c>
      <c r="V2" s="2" t="s">
        <v>17</v>
      </c>
      <c r="W2" s="2" t="s">
        <v>18</v>
      </c>
      <c r="X2" s="2" t="s">
        <v>19</v>
      </c>
      <c r="Y2" s="30" t="s">
        <v>8</v>
      </c>
      <c r="Z2" s="2" t="s">
        <v>9</v>
      </c>
      <c r="AA2" s="2" t="s">
        <v>10</v>
      </c>
      <c r="AB2" s="2" t="s">
        <v>11</v>
      </c>
      <c r="AC2" s="2" t="s">
        <v>12</v>
      </c>
      <c r="AD2" s="2" t="s">
        <v>13</v>
      </c>
      <c r="AE2" s="2" t="s">
        <v>14</v>
      </c>
      <c r="AF2" s="2" t="s">
        <v>15</v>
      </c>
      <c r="AG2" s="2" t="s">
        <v>16</v>
      </c>
      <c r="AH2" s="2" t="s">
        <v>17</v>
      </c>
      <c r="AI2" s="2" t="s">
        <v>18</v>
      </c>
      <c r="AJ2" s="2" t="s">
        <v>19</v>
      </c>
      <c r="AK2" s="6" t="s">
        <v>8</v>
      </c>
      <c r="AL2" s="6" t="s">
        <v>102</v>
      </c>
    </row>
    <row r="3" spans="1:38" x14ac:dyDescent="0.25">
      <c r="N3">
        <v>437593.93999999989</v>
      </c>
      <c r="O3">
        <v>451722.6</v>
      </c>
      <c r="P3">
        <v>340223.62000000011</v>
      </c>
      <c r="Q3">
        <v>517203.48400000011</v>
      </c>
      <c r="R3">
        <v>357900.52</v>
      </c>
      <c r="S3">
        <v>295701.63999999984</v>
      </c>
      <c r="T3">
        <v>327867.98</v>
      </c>
      <c r="U3">
        <v>50752.039999999994</v>
      </c>
      <c r="V3">
        <v>529563.5360000002</v>
      </c>
      <c r="W3">
        <v>503028.11600000004</v>
      </c>
      <c r="X3">
        <v>114610.96000000004</v>
      </c>
      <c r="Z3">
        <v>208795.19</v>
      </c>
      <c r="AA3">
        <v>284160.69000000006</v>
      </c>
      <c r="AB3">
        <v>173318.82000000004</v>
      </c>
      <c r="AC3">
        <v>240107.37999999998</v>
      </c>
      <c r="AD3">
        <v>203384.24999999997</v>
      </c>
      <c r="AE3">
        <v>132221.77000000002</v>
      </c>
      <c r="AF3">
        <v>164867.68999999997</v>
      </c>
      <c r="AG3">
        <v>29261.779999999995</v>
      </c>
      <c r="AH3">
        <v>242840.11099999998</v>
      </c>
      <c r="AI3">
        <v>316906.141</v>
      </c>
      <c r="AJ3">
        <v>74604.44</v>
      </c>
    </row>
  </sheetData>
  <mergeCells count="4">
    <mergeCell ref="N1:X1"/>
    <mergeCell ref="G1:K1"/>
    <mergeCell ref="B1:F1"/>
    <mergeCell ref="Z1:A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X61"/>
  <sheetViews>
    <sheetView topLeftCell="W1" zoomScale="60" zoomScaleNormal="60" workbookViewId="0">
      <selection activeCell="AV1" sqref="AV1"/>
    </sheetView>
  </sheetViews>
  <sheetFormatPr defaultRowHeight="15" x14ac:dyDescent="0.25"/>
  <cols>
    <col min="14" max="14" width="5.7109375" customWidth="1"/>
    <col min="15" max="15" width="17.140625" customWidth="1"/>
    <col min="21" max="21" width="5" style="59" customWidth="1"/>
    <col min="23" max="23" width="10.140625" customWidth="1"/>
    <col min="47" max="47" width="5.7109375" customWidth="1"/>
    <col min="48" max="48" width="19.7109375" customWidth="1"/>
    <col min="50" max="50" width="11.42578125" customWidth="1"/>
  </cols>
  <sheetData>
    <row r="1" spans="1:50" x14ac:dyDescent="0.25">
      <c r="A1" s="8" t="s">
        <v>36</v>
      </c>
      <c r="B1" s="68" t="s">
        <v>127</v>
      </c>
      <c r="C1" s="69"/>
      <c r="D1" s="69"/>
      <c r="E1" s="70"/>
      <c r="F1" s="68" t="s">
        <v>112</v>
      </c>
      <c r="G1" s="69"/>
      <c r="H1" s="69"/>
      <c r="I1" s="70"/>
      <c r="J1" s="68" t="s">
        <v>30</v>
      </c>
      <c r="K1" s="69"/>
      <c r="L1" s="69"/>
      <c r="M1" s="70"/>
      <c r="O1" s="27" t="str">
        <f>O2&amp; "  2G &amp; 3G  [ "&amp;TEXT(P1,"mm/dd/yyyy hh:mm:ss")&amp;"  To  " &amp;TEXT(Q1,"mm/dd/yyyy hh:mm:ss"&amp;" ]")</f>
        <v>MO  2G &amp; 3G  [ 06/08/2020 12:00:00  To  06/08/2020 12:00:00 ]</v>
      </c>
      <c r="P1" s="54">
        <v>43990.5</v>
      </c>
      <c r="Q1" s="54">
        <v>43990.5</v>
      </c>
      <c r="R1" s="22" t="str">
        <f>R2&amp; "  2G &amp; 3G  [ "&amp;TEXT(P1,"mm/dd/yyyy hh:mm:ss")&amp;"  To  " &amp;TEXT(Q1,"mm/dd/yyyy hh:mm:ss"&amp;" ]")</f>
        <v>MT  2G &amp; 3G  [ 06/08/2020 12:00:00  To  06/08/2020 12:00:00 ]</v>
      </c>
      <c r="S1" s="22"/>
      <c r="T1" s="23"/>
      <c r="V1" s="8" t="s">
        <v>37</v>
      </c>
      <c r="W1" s="68" t="s">
        <v>127</v>
      </c>
      <c r="X1" s="69"/>
      <c r="Y1" s="69"/>
      <c r="Z1" s="69"/>
      <c r="AA1" s="69"/>
      <c r="AB1" s="69"/>
      <c r="AC1" s="69"/>
      <c r="AD1" s="70"/>
      <c r="AE1" s="68" t="s">
        <v>112</v>
      </c>
      <c r="AF1" s="69"/>
      <c r="AG1" s="69"/>
      <c r="AH1" s="69"/>
      <c r="AI1" s="69"/>
      <c r="AJ1" s="69"/>
      <c r="AK1" s="69"/>
      <c r="AL1" s="70"/>
      <c r="AM1" s="68" t="s">
        <v>30</v>
      </c>
      <c r="AN1" s="69"/>
      <c r="AO1" s="69"/>
      <c r="AP1" s="69"/>
      <c r="AQ1" s="69"/>
      <c r="AR1" s="69"/>
      <c r="AS1" s="69"/>
      <c r="AT1" s="70"/>
      <c r="AV1" s="54">
        <v>43990.5</v>
      </c>
      <c r="AW1" s="54">
        <v>43990.5</v>
      </c>
      <c r="AX1" s="2" t="str">
        <f>"PS Core [ "&amp;TEXT(AV1,"mm/dd/yyyy hh:mm:ss")&amp;"  To  " &amp;TEXT(AW1,"mm/dd/yyyy hh:mm:ss"&amp;" ]")</f>
        <v>PS Core [ 06/08/2020 12:00:00  To  06/08/2020 12:00:00 ]</v>
      </c>
    </row>
    <row r="2" spans="1:50" x14ac:dyDescent="0.25">
      <c r="A2" s="5"/>
      <c r="B2" s="2" t="s">
        <v>21</v>
      </c>
      <c r="C2" s="2" t="s">
        <v>22</v>
      </c>
      <c r="D2" s="2" t="s">
        <v>23</v>
      </c>
      <c r="E2" s="2" t="s">
        <v>24</v>
      </c>
      <c r="F2" s="2" t="s">
        <v>21</v>
      </c>
      <c r="G2" s="2" t="s">
        <v>22</v>
      </c>
      <c r="H2" s="2" t="s">
        <v>23</v>
      </c>
      <c r="I2" s="2" t="s">
        <v>24</v>
      </c>
      <c r="J2" s="2" t="s">
        <v>21</v>
      </c>
      <c r="K2" s="2" t="s">
        <v>22</v>
      </c>
      <c r="L2" s="2" t="s">
        <v>23</v>
      </c>
      <c r="M2" s="2" t="s">
        <v>24</v>
      </c>
      <c r="O2" s="6" t="s">
        <v>20</v>
      </c>
      <c r="P2" s="6" t="s">
        <v>5</v>
      </c>
      <c r="Q2" s="6" t="s">
        <v>6</v>
      </c>
      <c r="R2" s="6" t="s">
        <v>7</v>
      </c>
      <c r="S2" s="6" t="s">
        <v>5</v>
      </c>
      <c r="T2" s="6" t="s">
        <v>6</v>
      </c>
      <c r="V2" s="5"/>
      <c r="W2" s="6" t="s">
        <v>114</v>
      </c>
      <c r="X2" s="6" t="s">
        <v>115</v>
      </c>
      <c r="Y2" s="6" t="s">
        <v>116</v>
      </c>
      <c r="Z2" s="6" t="s">
        <v>119</v>
      </c>
      <c r="AA2" s="6" t="s">
        <v>117</v>
      </c>
      <c r="AB2" s="6" t="s">
        <v>120</v>
      </c>
      <c r="AC2" s="6" t="s">
        <v>118</v>
      </c>
      <c r="AD2" s="6" t="s">
        <v>121</v>
      </c>
      <c r="AE2" s="2" t="s">
        <v>39</v>
      </c>
      <c r="AF2" s="2" t="s">
        <v>42</v>
      </c>
      <c r="AG2" s="2" t="s">
        <v>40</v>
      </c>
      <c r="AH2" s="2" t="s">
        <v>41</v>
      </c>
      <c r="AI2" s="2" t="s">
        <v>48</v>
      </c>
      <c r="AJ2" s="2" t="s">
        <v>49</v>
      </c>
      <c r="AK2" s="2" t="s">
        <v>50</v>
      </c>
      <c r="AL2" s="2" t="s">
        <v>51</v>
      </c>
      <c r="AM2" s="2" t="s">
        <v>39</v>
      </c>
      <c r="AN2" s="2" t="s">
        <v>42</v>
      </c>
      <c r="AO2" s="2" t="s">
        <v>40</v>
      </c>
      <c r="AP2" s="2" t="s">
        <v>41</v>
      </c>
      <c r="AQ2" s="2" t="s">
        <v>48</v>
      </c>
      <c r="AR2" s="2" t="s">
        <v>49</v>
      </c>
      <c r="AS2" s="2" t="s">
        <v>50</v>
      </c>
      <c r="AT2" s="2" t="s">
        <v>51</v>
      </c>
      <c r="AV2" s="6" t="s">
        <v>53</v>
      </c>
      <c r="AW2" s="6" t="s">
        <v>43</v>
      </c>
      <c r="AX2" s="6" t="s">
        <v>38</v>
      </c>
    </row>
    <row r="3" spans="1:50" x14ac:dyDescent="0.25">
      <c r="A3" s="1">
        <v>0</v>
      </c>
      <c r="B3" s="22">
        <v>27750.940000000002</v>
      </c>
      <c r="C3" s="22">
        <v>12100.45</v>
      </c>
      <c r="D3" s="22">
        <v>27975.730000000003</v>
      </c>
      <c r="E3" s="23">
        <v>10001.86</v>
      </c>
      <c r="F3" s="22">
        <v>19282.05</v>
      </c>
      <c r="G3" s="22">
        <v>8377.5999999999985</v>
      </c>
      <c r="H3" s="22">
        <v>19653.8</v>
      </c>
      <c r="I3" s="23">
        <v>7182.9899999999989</v>
      </c>
      <c r="J3" s="22">
        <v>19722.13</v>
      </c>
      <c r="K3" s="22">
        <v>8687.27</v>
      </c>
      <c r="L3" s="22">
        <v>20237.350000000002</v>
      </c>
      <c r="M3" s="23">
        <v>7536.0000000000009</v>
      </c>
      <c r="O3" s="3" t="s">
        <v>9</v>
      </c>
      <c r="P3">
        <v>1119.8699999999999</v>
      </c>
      <c r="Q3">
        <v>399.17</v>
      </c>
      <c r="R3" s="3"/>
      <c r="S3">
        <v>1167.6600000000001</v>
      </c>
      <c r="T3">
        <v>499.74</v>
      </c>
      <c r="V3" s="1">
        <v>0</v>
      </c>
      <c r="W3" s="1">
        <v>12677</v>
      </c>
      <c r="X3">
        <v>22326.090477908001</v>
      </c>
      <c r="Y3" s="1">
        <v>10204</v>
      </c>
      <c r="Z3">
        <v>19173.563972953001</v>
      </c>
      <c r="AA3">
        <v>6590.482</v>
      </c>
      <c r="AB3">
        <v>980.11540000000002</v>
      </c>
      <c r="AC3">
        <v>7876.1210000000001</v>
      </c>
      <c r="AD3">
        <v>1081.867606</v>
      </c>
      <c r="AE3" s="1">
        <v>12311</v>
      </c>
      <c r="AF3">
        <v>20903.913644687</v>
      </c>
      <c r="AG3" s="1">
        <v>10063</v>
      </c>
      <c r="AH3">
        <v>18181.772242138999</v>
      </c>
      <c r="AI3">
        <v>6131.3680000000004</v>
      </c>
      <c r="AJ3">
        <v>929.603252</v>
      </c>
      <c r="AK3">
        <v>7391.58</v>
      </c>
      <c r="AL3">
        <v>1126.749452</v>
      </c>
      <c r="AM3" s="1">
        <v>12047</v>
      </c>
      <c r="AN3">
        <v>20694.266278556999</v>
      </c>
      <c r="AO3" s="1">
        <v>9831</v>
      </c>
      <c r="AP3">
        <v>17970.935505347999</v>
      </c>
      <c r="AQ3">
        <v>6100.9350000000004</v>
      </c>
      <c r="AR3">
        <v>945.93655999999999</v>
      </c>
      <c r="AS3">
        <v>7345.6149999999998</v>
      </c>
      <c r="AT3">
        <v>1080.7061200000001</v>
      </c>
      <c r="AV3" s="2" t="s">
        <v>55</v>
      </c>
      <c r="AW3" s="2">
        <v>13252</v>
      </c>
      <c r="AX3" s="2">
        <v>23338.189951468001</v>
      </c>
    </row>
    <row r="4" spans="1:50" x14ac:dyDescent="0.25">
      <c r="A4">
        <v>1</v>
      </c>
      <c r="B4" s="13">
        <v>12840.25</v>
      </c>
      <c r="C4" s="13">
        <v>5832.79</v>
      </c>
      <c r="D4" s="13">
        <v>13117.7</v>
      </c>
      <c r="E4" s="14">
        <v>4686.12</v>
      </c>
      <c r="F4" s="13">
        <v>8876.4499999999989</v>
      </c>
      <c r="G4" s="13">
        <v>4051.62</v>
      </c>
      <c r="H4" s="13">
        <v>9250.1999999999989</v>
      </c>
      <c r="I4" s="14">
        <v>3527.15</v>
      </c>
      <c r="J4" s="13">
        <v>9188.41</v>
      </c>
      <c r="K4" s="13">
        <v>4246.68</v>
      </c>
      <c r="L4" s="13">
        <v>9566.6500000000015</v>
      </c>
      <c r="M4" s="14">
        <v>3510.1499999999996</v>
      </c>
      <c r="O4" s="3" t="s">
        <v>10</v>
      </c>
      <c r="P4">
        <v>8612.19</v>
      </c>
      <c r="Q4">
        <v>1788.33</v>
      </c>
      <c r="R4" s="3"/>
      <c r="S4">
        <v>8744.3700000000008</v>
      </c>
      <c r="T4">
        <v>2066.87</v>
      </c>
      <c r="V4">
        <v>1</v>
      </c>
      <c r="W4" s="1">
        <v>8320</v>
      </c>
      <c r="X4">
        <v>15100.813084396999</v>
      </c>
      <c r="Y4" s="1">
        <v>6724</v>
      </c>
      <c r="Z4">
        <v>13025.864573522</v>
      </c>
      <c r="AA4">
        <v>4619.8900000000003</v>
      </c>
      <c r="AB4">
        <v>693.95365600000002</v>
      </c>
      <c r="AC4">
        <v>5575.9319999999998</v>
      </c>
      <c r="AD4">
        <v>746.35921299999995</v>
      </c>
      <c r="AE4" s="1">
        <v>7937</v>
      </c>
      <c r="AF4">
        <v>13719.070983116</v>
      </c>
      <c r="AG4" s="1">
        <v>6400</v>
      </c>
      <c r="AH4">
        <v>11718.186626924</v>
      </c>
      <c r="AI4">
        <v>4062.4470000000001</v>
      </c>
      <c r="AJ4">
        <v>609.86158</v>
      </c>
      <c r="AK4">
        <v>4984.4880000000003</v>
      </c>
      <c r="AL4">
        <v>743.95600000000002</v>
      </c>
      <c r="AM4" s="1">
        <v>7785</v>
      </c>
      <c r="AN4">
        <v>13496.772047291</v>
      </c>
      <c r="AO4" s="1">
        <v>6280</v>
      </c>
      <c r="AP4">
        <v>11645.306578575</v>
      </c>
      <c r="AQ4">
        <v>4035.9879999999998</v>
      </c>
      <c r="AR4">
        <v>597.05645400000003</v>
      </c>
      <c r="AS4">
        <v>4938.7309999999998</v>
      </c>
      <c r="AT4">
        <v>677.37894500000004</v>
      </c>
      <c r="AV4" s="2" t="s">
        <v>56</v>
      </c>
      <c r="AW4" s="2">
        <v>10609</v>
      </c>
      <c r="AX4" s="2">
        <v>20325.912503308999</v>
      </c>
    </row>
    <row r="5" spans="1:50" x14ac:dyDescent="0.25">
      <c r="A5" s="1">
        <v>2</v>
      </c>
      <c r="B5" s="13">
        <v>6283.48</v>
      </c>
      <c r="C5" s="13">
        <v>2839.7900000000004</v>
      </c>
      <c r="D5" s="13">
        <v>6494.4299999999994</v>
      </c>
      <c r="E5" s="14">
        <v>2345.04</v>
      </c>
      <c r="F5" s="13">
        <v>4358.4699999999993</v>
      </c>
      <c r="G5" s="13">
        <v>2056.08</v>
      </c>
      <c r="H5" s="13">
        <v>4637.87</v>
      </c>
      <c r="I5" s="14">
        <v>1726.92</v>
      </c>
      <c r="J5" s="13">
        <v>4425.5499999999993</v>
      </c>
      <c r="K5" s="13">
        <v>2046.1599999999996</v>
      </c>
      <c r="L5" s="13">
        <v>4703.0200000000004</v>
      </c>
      <c r="M5" s="14">
        <v>1653.23</v>
      </c>
      <c r="O5" s="3" t="s">
        <v>11</v>
      </c>
      <c r="P5">
        <v>2075.85</v>
      </c>
      <c r="Q5">
        <v>1067.22</v>
      </c>
      <c r="R5" s="3"/>
      <c r="S5">
        <v>2517.54</v>
      </c>
      <c r="T5">
        <v>1376.27</v>
      </c>
      <c r="V5" s="1">
        <v>2</v>
      </c>
      <c r="W5" s="1">
        <v>4857</v>
      </c>
      <c r="X5">
        <v>9110.4334922760008</v>
      </c>
      <c r="Y5" s="1">
        <v>3917</v>
      </c>
      <c r="Z5">
        <v>7891.5648341030001</v>
      </c>
      <c r="AA5">
        <v>2868.5880000000002</v>
      </c>
      <c r="AB5">
        <v>396.33925599999998</v>
      </c>
      <c r="AC5">
        <v>3415.7269999999999</v>
      </c>
      <c r="AD5">
        <v>453.738923</v>
      </c>
      <c r="AE5" s="1">
        <v>4605</v>
      </c>
      <c r="AF5">
        <v>7996.5973338880003</v>
      </c>
      <c r="AG5" s="1">
        <v>3690</v>
      </c>
      <c r="AH5">
        <v>6869.736811537</v>
      </c>
      <c r="AI5">
        <v>2441.9589999999998</v>
      </c>
      <c r="AJ5">
        <v>355.06774200000001</v>
      </c>
      <c r="AK5">
        <v>2933.076</v>
      </c>
      <c r="AL5">
        <v>404.42695600000002</v>
      </c>
      <c r="AM5" s="1">
        <v>4409</v>
      </c>
      <c r="AN5">
        <v>7835.6900436779997</v>
      </c>
      <c r="AO5" s="1">
        <v>3569</v>
      </c>
      <c r="AP5">
        <v>6705.1616001729999</v>
      </c>
      <c r="AQ5">
        <v>2366.0920000000001</v>
      </c>
      <c r="AR5">
        <v>344.962355</v>
      </c>
      <c r="AS5">
        <v>2870.9119999999998</v>
      </c>
      <c r="AT5">
        <v>390.29037199999999</v>
      </c>
      <c r="AV5" s="2" t="s">
        <v>44</v>
      </c>
      <c r="AW5" s="2">
        <v>6758.7920000000004</v>
      </c>
      <c r="AX5" s="2">
        <v>1083.434393</v>
      </c>
    </row>
    <row r="6" spans="1:50" x14ac:dyDescent="0.25">
      <c r="A6">
        <v>3</v>
      </c>
      <c r="B6" s="13">
        <v>3875.98</v>
      </c>
      <c r="C6" s="13">
        <v>1663.6100000000001</v>
      </c>
      <c r="D6" s="13">
        <v>4002.1</v>
      </c>
      <c r="E6" s="14">
        <v>1375.43</v>
      </c>
      <c r="F6" s="13">
        <v>2433.9</v>
      </c>
      <c r="G6" s="13">
        <v>1091.8699999999999</v>
      </c>
      <c r="H6" s="13">
        <v>2610.23</v>
      </c>
      <c r="I6" s="14">
        <v>904.00000000000011</v>
      </c>
      <c r="J6" s="13">
        <v>2522.89</v>
      </c>
      <c r="K6" s="13">
        <v>1108.6799999999998</v>
      </c>
      <c r="L6" s="13">
        <v>2689.6400000000003</v>
      </c>
      <c r="M6" s="14">
        <v>919.72</v>
      </c>
      <c r="O6" s="3" t="s">
        <v>12</v>
      </c>
      <c r="P6">
        <v>7291.3</v>
      </c>
      <c r="Q6">
        <v>1140.02</v>
      </c>
      <c r="R6" s="3"/>
      <c r="S6">
        <v>6636.53</v>
      </c>
      <c r="T6">
        <v>1117.76</v>
      </c>
      <c r="V6">
        <v>3</v>
      </c>
      <c r="W6" s="1">
        <v>2889</v>
      </c>
      <c r="X6">
        <v>5450.0609557549997</v>
      </c>
      <c r="Y6" s="1">
        <v>2282</v>
      </c>
      <c r="Z6">
        <v>4611.4990176920001</v>
      </c>
      <c r="AA6">
        <v>1776.482</v>
      </c>
      <c r="AB6">
        <v>248.74166500000001</v>
      </c>
      <c r="AC6">
        <v>2079.5619999999999</v>
      </c>
      <c r="AD6">
        <v>268.87473599999998</v>
      </c>
      <c r="AE6" s="1">
        <v>2686</v>
      </c>
      <c r="AF6">
        <v>4637.5593096140001</v>
      </c>
      <c r="AG6" s="1">
        <v>2087</v>
      </c>
      <c r="AH6">
        <v>3917.7895689890001</v>
      </c>
      <c r="AI6">
        <v>1408.201</v>
      </c>
      <c r="AJ6">
        <v>198.17073300000001</v>
      </c>
      <c r="AK6">
        <v>1713.145</v>
      </c>
      <c r="AL6">
        <v>221.129018</v>
      </c>
      <c r="AM6" s="1">
        <v>2556</v>
      </c>
      <c r="AN6">
        <v>4439.7148457100002</v>
      </c>
      <c r="AO6" s="1">
        <v>2010</v>
      </c>
      <c r="AP6">
        <v>3765.9947500809999</v>
      </c>
      <c r="AQ6">
        <v>1373.681</v>
      </c>
      <c r="AR6">
        <v>187.001417</v>
      </c>
      <c r="AS6">
        <v>1661.8989999999999</v>
      </c>
      <c r="AT6">
        <v>225.99912</v>
      </c>
      <c r="AV6" s="2" t="s">
        <v>45</v>
      </c>
      <c r="AW6" s="2">
        <v>8042.1229999999996</v>
      </c>
      <c r="AX6" s="2">
        <v>1249.0915600000001</v>
      </c>
    </row>
    <row r="7" spans="1:50" x14ac:dyDescent="0.25">
      <c r="A7" s="1">
        <v>4</v>
      </c>
      <c r="B7" s="13">
        <v>3317.12</v>
      </c>
      <c r="C7" s="13">
        <v>1204.26</v>
      </c>
      <c r="D7" s="13">
        <v>3350.57</v>
      </c>
      <c r="E7" s="14">
        <v>1025.02</v>
      </c>
      <c r="F7" s="13">
        <v>1955.3100000000002</v>
      </c>
      <c r="G7" s="13">
        <v>712.47</v>
      </c>
      <c r="H7" s="13">
        <v>2044.62</v>
      </c>
      <c r="I7" s="14">
        <v>574.7600000000001</v>
      </c>
      <c r="J7" s="13">
        <v>2107.9299999999998</v>
      </c>
      <c r="K7" s="13">
        <v>733.39999999999986</v>
      </c>
      <c r="L7" s="13">
        <v>2165.94</v>
      </c>
      <c r="M7" s="14">
        <v>643.47</v>
      </c>
      <c r="O7" s="3" t="s">
        <v>13</v>
      </c>
      <c r="P7">
        <v>8620.2199999999993</v>
      </c>
      <c r="Q7">
        <v>2390.11</v>
      </c>
      <c r="R7" s="3"/>
      <c r="S7">
        <v>7697.27</v>
      </c>
      <c r="T7">
        <v>2706.26</v>
      </c>
      <c r="V7" s="1">
        <v>4</v>
      </c>
      <c r="W7" s="1">
        <v>1939</v>
      </c>
      <c r="X7">
        <v>3473.3086816539999</v>
      </c>
      <c r="Y7" s="1">
        <v>1548</v>
      </c>
      <c r="Z7">
        <v>2882.0594760049999</v>
      </c>
      <c r="AA7">
        <v>1170.1500000000001</v>
      </c>
      <c r="AB7">
        <v>158.616874</v>
      </c>
      <c r="AC7">
        <v>1390.4690000000001</v>
      </c>
      <c r="AD7">
        <v>155.40535499999999</v>
      </c>
      <c r="AE7" s="1">
        <v>1653</v>
      </c>
      <c r="AF7">
        <v>2673.3185102090001</v>
      </c>
      <c r="AG7" s="1">
        <v>1303</v>
      </c>
      <c r="AH7">
        <v>2295.1917534889999</v>
      </c>
      <c r="AI7">
        <v>885.60799999999995</v>
      </c>
      <c r="AJ7">
        <v>124.05918699999999</v>
      </c>
      <c r="AK7">
        <v>1064.6420000000001</v>
      </c>
      <c r="AL7">
        <v>130.19779800000001</v>
      </c>
      <c r="AM7" s="1">
        <v>1597</v>
      </c>
      <c r="AN7">
        <v>2621.0684801430002</v>
      </c>
      <c r="AO7" s="1">
        <v>1276</v>
      </c>
      <c r="AP7">
        <v>2246.1570482530001</v>
      </c>
      <c r="AQ7">
        <v>870.10799999999995</v>
      </c>
      <c r="AR7">
        <v>109.445189</v>
      </c>
      <c r="AS7">
        <v>1084.559</v>
      </c>
      <c r="AT7">
        <v>124.54198</v>
      </c>
      <c r="AV7" s="2" t="s">
        <v>8</v>
      </c>
      <c r="AW7" s="2">
        <f>SUM(AW3:AW6)</f>
        <v>38661.915000000001</v>
      </c>
      <c r="AX7" s="2">
        <f>SUM(AX3:AX6)</f>
        <v>45996.628407777003</v>
      </c>
    </row>
    <row r="8" spans="1:50" x14ac:dyDescent="0.25">
      <c r="A8">
        <v>5</v>
      </c>
      <c r="B8" s="13">
        <v>9136.6399999999976</v>
      </c>
      <c r="C8" s="13">
        <v>2293</v>
      </c>
      <c r="D8" s="13">
        <v>8809.7500000000018</v>
      </c>
      <c r="E8" s="14">
        <v>1833.2399999999998</v>
      </c>
      <c r="F8" s="13">
        <v>5396.83</v>
      </c>
      <c r="G8" s="13">
        <v>1188.8900000000001</v>
      </c>
      <c r="H8" s="13">
        <v>5261.5999999999995</v>
      </c>
      <c r="I8" s="14">
        <v>1020.25</v>
      </c>
      <c r="J8" s="13">
        <v>5237.9499999999989</v>
      </c>
      <c r="K8" s="13">
        <v>1188.25</v>
      </c>
      <c r="L8" s="13">
        <v>5127.0199999999995</v>
      </c>
      <c r="M8" s="14">
        <v>1018.7900000000001</v>
      </c>
      <c r="O8" s="3" t="s">
        <v>14</v>
      </c>
      <c r="P8">
        <v>10906.82</v>
      </c>
      <c r="Q8">
        <v>2386.16</v>
      </c>
      <c r="R8" s="3"/>
      <c r="S8">
        <v>9774.99</v>
      </c>
      <c r="T8">
        <v>2764.59</v>
      </c>
      <c r="V8">
        <v>5</v>
      </c>
      <c r="W8" s="1">
        <v>2468</v>
      </c>
      <c r="X8">
        <v>3870.14290119</v>
      </c>
      <c r="Y8" s="1">
        <v>1997</v>
      </c>
      <c r="Z8">
        <v>3298.6792465059998</v>
      </c>
      <c r="AA8">
        <v>1448.4559999999999</v>
      </c>
      <c r="AB8">
        <v>160.235401</v>
      </c>
      <c r="AC8">
        <v>1723.173</v>
      </c>
      <c r="AD8">
        <v>175.144192</v>
      </c>
      <c r="AE8" s="1">
        <v>2128</v>
      </c>
      <c r="AF8">
        <v>2981.892473074</v>
      </c>
      <c r="AG8" s="1">
        <v>1716</v>
      </c>
      <c r="AH8">
        <v>2574.5908004779999</v>
      </c>
      <c r="AI8">
        <v>1173.17</v>
      </c>
      <c r="AJ8">
        <v>148.54636099999999</v>
      </c>
      <c r="AK8">
        <v>1388.799</v>
      </c>
      <c r="AL8">
        <v>155.89087000000001</v>
      </c>
      <c r="AM8" s="1">
        <v>1963</v>
      </c>
      <c r="AN8">
        <v>2945.2856587840001</v>
      </c>
      <c r="AO8" s="1">
        <v>1612</v>
      </c>
      <c r="AP8">
        <v>2513.6263252170002</v>
      </c>
      <c r="AQ8">
        <v>1145.17</v>
      </c>
      <c r="AR8">
        <v>124.619344</v>
      </c>
      <c r="AS8">
        <v>1388.462</v>
      </c>
      <c r="AT8">
        <v>137.250508</v>
      </c>
    </row>
    <row r="9" spans="1:50" x14ac:dyDescent="0.25">
      <c r="A9" s="1">
        <v>6</v>
      </c>
      <c r="B9" s="13">
        <v>27461.3</v>
      </c>
      <c r="C9" s="13">
        <v>5974.829999999999</v>
      </c>
      <c r="D9" s="13">
        <v>25866.489999999998</v>
      </c>
      <c r="E9" s="14">
        <v>4577.7</v>
      </c>
      <c r="F9" s="13">
        <v>19775.810000000001</v>
      </c>
      <c r="G9" s="13">
        <v>3673.4100000000008</v>
      </c>
      <c r="H9" s="13">
        <v>18728.030000000002</v>
      </c>
      <c r="I9" s="14">
        <v>2961.4</v>
      </c>
      <c r="J9" s="13">
        <v>18665.750000000004</v>
      </c>
      <c r="K9" s="13">
        <v>3541.5499999999997</v>
      </c>
      <c r="L9" s="13">
        <v>17532.870000000003</v>
      </c>
      <c r="M9" s="14">
        <v>2852.8999999999996</v>
      </c>
      <c r="O9" s="3" t="s">
        <v>15</v>
      </c>
      <c r="P9">
        <v>5916.15</v>
      </c>
      <c r="Q9">
        <v>3959.47</v>
      </c>
      <c r="R9" s="3"/>
      <c r="S9">
        <v>7088.27</v>
      </c>
      <c r="T9">
        <v>4797.91</v>
      </c>
      <c r="V9" s="1">
        <v>6</v>
      </c>
      <c r="W9" s="1">
        <v>4790</v>
      </c>
      <c r="X9">
        <v>7029.3805093230003</v>
      </c>
      <c r="Y9" s="1">
        <v>3860</v>
      </c>
      <c r="Z9">
        <v>5895.5278948819996</v>
      </c>
      <c r="AA9">
        <v>2652.1179999999999</v>
      </c>
      <c r="AB9">
        <v>282.90655800000002</v>
      </c>
      <c r="AC9">
        <v>3200.2950000000001</v>
      </c>
      <c r="AD9">
        <v>319.06125400000002</v>
      </c>
      <c r="AE9" s="1">
        <v>4394</v>
      </c>
      <c r="AF9">
        <v>5780.1387023549996</v>
      </c>
      <c r="AG9" s="1">
        <v>3577</v>
      </c>
      <c r="AH9">
        <v>5036.1884968869999</v>
      </c>
      <c r="AI9">
        <v>2366.5149999999999</v>
      </c>
      <c r="AJ9">
        <v>273.29615000000001</v>
      </c>
      <c r="AK9">
        <v>2845.1669999999999</v>
      </c>
      <c r="AL9">
        <v>277.98827199999999</v>
      </c>
      <c r="AM9" s="1">
        <v>4108</v>
      </c>
      <c r="AN9">
        <v>5579.0896841659996</v>
      </c>
      <c r="AO9" s="1">
        <v>3276</v>
      </c>
      <c r="AP9">
        <v>4788.7101389890004</v>
      </c>
      <c r="AQ9">
        <v>2377.846</v>
      </c>
      <c r="AR9">
        <v>239.68799300000001</v>
      </c>
      <c r="AS9">
        <v>2826.31</v>
      </c>
      <c r="AT9">
        <v>257.822271</v>
      </c>
    </row>
    <row r="10" spans="1:50" x14ac:dyDescent="0.25">
      <c r="A10">
        <v>7</v>
      </c>
      <c r="B10" s="13">
        <v>48882.51</v>
      </c>
      <c r="C10" s="13">
        <v>11455.17</v>
      </c>
      <c r="D10" s="13">
        <v>46105.320000000007</v>
      </c>
      <c r="E10" s="14">
        <v>8856.869999999999</v>
      </c>
      <c r="F10" s="13">
        <v>41552.120000000003</v>
      </c>
      <c r="G10" s="13">
        <v>8345.75</v>
      </c>
      <c r="H10" s="13">
        <v>39079.24</v>
      </c>
      <c r="I10" s="14">
        <v>6845.8799999999992</v>
      </c>
      <c r="J10" s="13">
        <v>40692.75</v>
      </c>
      <c r="K10" s="13">
        <v>8423.81</v>
      </c>
      <c r="L10" s="13">
        <v>38320.829999999994</v>
      </c>
      <c r="M10" s="14">
        <v>6749.14</v>
      </c>
      <c r="O10" s="3" t="s">
        <v>16</v>
      </c>
      <c r="P10">
        <v>7375.84</v>
      </c>
      <c r="Q10">
        <v>2752.91</v>
      </c>
      <c r="R10" s="3"/>
      <c r="S10">
        <v>7359.46</v>
      </c>
      <c r="T10">
        <v>2823.72</v>
      </c>
      <c r="V10">
        <v>7</v>
      </c>
      <c r="W10" s="1">
        <v>7518</v>
      </c>
      <c r="X10">
        <v>11086.503300218001</v>
      </c>
      <c r="Y10" s="1">
        <v>6013</v>
      </c>
      <c r="Z10">
        <v>9416.2731653049996</v>
      </c>
      <c r="AA10">
        <v>3978.9810000000002</v>
      </c>
      <c r="AB10">
        <v>447.82380799999999</v>
      </c>
      <c r="AC10">
        <v>4783.0860000000002</v>
      </c>
      <c r="AD10">
        <v>493.50396499999999</v>
      </c>
      <c r="AE10" s="1">
        <v>7439</v>
      </c>
      <c r="AF10">
        <v>10315.399159978</v>
      </c>
      <c r="AG10" s="1">
        <v>6039</v>
      </c>
      <c r="AH10">
        <v>8902.0062836239995</v>
      </c>
      <c r="AI10">
        <v>3857.154</v>
      </c>
      <c r="AJ10">
        <v>474.42635899999999</v>
      </c>
      <c r="AK10">
        <v>4599.2929999999997</v>
      </c>
      <c r="AL10">
        <v>498.87165499999998</v>
      </c>
      <c r="AM10" s="1">
        <v>7055</v>
      </c>
      <c r="AN10">
        <v>10036.97549106</v>
      </c>
      <c r="AO10" s="1">
        <v>5689</v>
      </c>
      <c r="AP10">
        <v>8555.5333278100006</v>
      </c>
      <c r="AQ10">
        <v>3825.5540000000001</v>
      </c>
      <c r="AR10">
        <v>435.159401</v>
      </c>
      <c r="AS10">
        <v>4632.7560000000003</v>
      </c>
      <c r="AT10">
        <v>489.379187</v>
      </c>
    </row>
    <row r="11" spans="1:50" x14ac:dyDescent="0.25">
      <c r="A11" s="1">
        <v>8</v>
      </c>
      <c r="B11" s="13">
        <v>66930.739999999991</v>
      </c>
      <c r="C11" s="13">
        <v>17625.810000000001</v>
      </c>
      <c r="D11" s="13">
        <v>64742.34</v>
      </c>
      <c r="E11" s="14">
        <v>14317.150000000003</v>
      </c>
      <c r="F11" s="13">
        <v>63764.75</v>
      </c>
      <c r="G11" s="13">
        <v>14852.73</v>
      </c>
      <c r="H11" s="13">
        <v>60556.679999999993</v>
      </c>
      <c r="I11" s="14">
        <v>12391.22</v>
      </c>
      <c r="J11" s="13">
        <v>63521.76999999999</v>
      </c>
      <c r="K11" s="13">
        <v>14946.1</v>
      </c>
      <c r="L11" s="13">
        <v>60371.75</v>
      </c>
      <c r="M11" s="14">
        <v>12425.7</v>
      </c>
      <c r="O11" s="3" t="s">
        <v>17</v>
      </c>
      <c r="P11">
        <v>14202.81</v>
      </c>
      <c r="Q11">
        <v>2729.92</v>
      </c>
      <c r="R11" s="3"/>
      <c r="S11">
        <v>13324.31</v>
      </c>
      <c r="T11">
        <v>2537.11</v>
      </c>
      <c r="V11" s="1">
        <v>8</v>
      </c>
      <c r="W11" s="1">
        <v>9568</v>
      </c>
      <c r="X11">
        <v>14671.669270365001</v>
      </c>
      <c r="Y11" s="1">
        <v>7705</v>
      </c>
      <c r="Z11">
        <v>12562.866971124</v>
      </c>
      <c r="AA11">
        <v>4910.2669999999998</v>
      </c>
      <c r="AB11">
        <v>582.24563999999998</v>
      </c>
      <c r="AC11">
        <v>5960.1890000000003</v>
      </c>
      <c r="AD11">
        <v>694.49387300000001</v>
      </c>
      <c r="AE11" s="1">
        <v>10054</v>
      </c>
      <c r="AF11">
        <v>15212.977147285001</v>
      </c>
      <c r="AG11" s="1">
        <v>8205</v>
      </c>
      <c r="AH11">
        <v>13170.387320575001</v>
      </c>
      <c r="AI11">
        <v>5210.4340000000002</v>
      </c>
      <c r="AJ11">
        <v>676.07611199999997</v>
      </c>
      <c r="AK11">
        <v>6135.4790000000003</v>
      </c>
      <c r="AL11">
        <v>773.49222499999996</v>
      </c>
      <c r="AM11" s="1">
        <v>9739</v>
      </c>
      <c r="AN11">
        <v>14960.8020117</v>
      </c>
      <c r="AO11" s="1">
        <v>7923</v>
      </c>
      <c r="AP11">
        <v>12889.161944631</v>
      </c>
      <c r="AQ11">
        <v>5113.6170000000002</v>
      </c>
      <c r="AR11">
        <v>673.50556700000004</v>
      </c>
      <c r="AS11">
        <v>6206.0119999999997</v>
      </c>
      <c r="AT11">
        <v>747.84670500000004</v>
      </c>
    </row>
    <row r="12" spans="1:50" x14ac:dyDescent="0.25">
      <c r="A12">
        <v>9</v>
      </c>
      <c r="B12" s="13">
        <v>82085.569999999992</v>
      </c>
      <c r="C12" s="13">
        <v>24656.54</v>
      </c>
      <c r="D12" s="13">
        <v>80476.350000000006</v>
      </c>
      <c r="E12" s="14">
        <v>20835.66</v>
      </c>
      <c r="F12" s="13">
        <v>82893.460000000006</v>
      </c>
      <c r="G12" s="13">
        <v>22503.040000000001</v>
      </c>
      <c r="H12" s="13">
        <v>79904.87999999999</v>
      </c>
      <c r="I12" s="14">
        <v>19386.29</v>
      </c>
      <c r="J12" s="13">
        <v>82566.380000000019</v>
      </c>
      <c r="K12" s="13">
        <v>22720.050000000003</v>
      </c>
      <c r="L12" s="13">
        <v>80111.890000000014</v>
      </c>
      <c r="M12" s="14">
        <v>19474.52</v>
      </c>
      <c r="O12" s="3" t="s">
        <v>18</v>
      </c>
      <c r="P12">
        <v>8924.08</v>
      </c>
      <c r="Q12">
        <v>5197.29</v>
      </c>
      <c r="R12" s="3"/>
      <c r="S12">
        <v>9996.64</v>
      </c>
      <c r="T12">
        <v>5702.02</v>
      </c>
      <c r="V12">
        <v>9</v>
      </c>
      <c r="W12" s="1">
        <v>10688</v>
      </c>
      <c r="X12">
        <v>17275.535521545</v>
      </c>
      <c r="Y12" s="1">
        <v>8719</v>
      </c>
      <c r="Z12">
        <v>14977.823206110999</v>
      </c>
      <c r="AA12">
        <v>5516.3190000000004</v>
      </c>
      <c r="AB12">
        <v>716.30373499999996</v>
      </c>
      <c r="AC12">
        <v>6567.7359999999999</v>
      </c>
      <c r="AD12">
        <v>819.28547800000001</v>
      </c>
      <c r="AE12" s="1">
        <v>11666</v>
      </c>
      <c r="AF12">
        <v>19271.503840855999</v>
      </c>
      <c r="AG12" s="1">
        <v>9474</v>
      </c>
      <c r="AH12">
        <v>16593.769341529001</v>
      </c>
      <c r="AI12">
        <v>6080.7070000000003</v>
      </c>
      <c r="AJ12">
        <v>865.54718600000001</v>
      </c>
      <c r="AK12">
        <v>7183.84</v>
      </c>
      <c r="AL12">
        <v>980.93927799999994</v>
      </c>
      <c r="AM12" s="1">
        <v>11430</v>
      </c>
      <c r="AN12">
        <v>18801.482328204998</v>
      </c>
      <c r="AO12" s="1">
        <v>9247</v>
      </c>
      <c r="AP12">
        <v>16233.645580851</v>
      </c>
      <c r="AQ12">
        <v>5977.75</v>
      </c>
      <c r="AR12">
        <v>835.50233400000002</v>
      </c>
      <c r="AS12">
        <v>7177.5739999999996</v>
      </c>
      <c r="AT12">
        <v>977.55493000000001</v>
      </c>
    </row>
    <row r="13" spans="1:50" x14ac:dyDescent="0.25">
      <c r="A13" s="1">
        <v>10</v>
      </c>
      <c r="B13" s="13">
        <v>88854.87999999999</v>
      </c>
      <c r="C13" s="13">
        <v>30346.639999999999</v>
      </c>
      <c r="D13" s="13">
        <v>88447.450000000012</v>
      </c>
      <c r="E13" s="14">
        <v>26275.820000000003</v>
      </c>
      <c r="F13" s="13">
        <v>92773.68</v>
      </c>
      <c r="G13" s="13">
        <v>28694.770000000004</v>
      </c>
      <c r="H13" s="13">
        <v>91186.35</v>
      </c>
      <c r="I13" s="14">
        <v>25403.09</v>
      </c>
      <c r="J13" s="13">
        <v>93001.18</v>
      </c>
      <c r="K13" s="13">
        <v>29388.879999999997</v>
      </c>
      <c r="L13" s="13">
        <v>91491.33</v>
      </c>
      <c r="M13" s="14">
        <v>25800.09</v>
      </c>
      <c r="O13" s="3" t="s">
        <v>19</v>
      </c>
      <c r="P13">
        <v>8793.34</v>
      </c>
      <c r="Q13">
        <v>2494.3200000000002</v>
      </c>
      <c r="R13" s="3"/>
      <c r="S13">
        <v>10314.57</v>
      </c>
      <c r="T13">
        <v>3000.65</v>
      </c>
      <c r="V13" s="1">
        <v>10</v>
      </c>
      <c r="W13" s="1">
        <v>11298</v>
      </c>
      <c r="X13">
        <v>19016.69844507</v>
      </c>
      <c r="Y13" s="1">
        <v>9142</v>
      </c>
      <c r="Z13">
        <v>16147.872056486</v>
      </c>
      <c r="AA13">
        <v>5734.9269999999997</v>
      </c>
      <c r="AB13">
        <v>794.61105699999996</v>
      </c>
      <c r="AC13">
        <v>6861.8220000000001</v>
      </c>
      <c r="AD13">
        <v>890.11860300000001</v>
      </c>
      <c r="AE13" s="1">
        <v>12624</v>
      </c>
      <c r="AF13">
        <v>22057.029204453</v>
      </c>
      <c r="AG13" s="1">
        <v>10225</v>
      </c>
      <c r="AH13">
        <v>19008.110180748001</v>
      </c>
      <c r="AI13">
        <v>6618.78</v>
      </c>
      <c r="AJ13">
        <v>1022.8826769999999</v>
      </c>
      <c r="AK13">
        <v>7784.415</v>
      </c>
      <c r="AL13">
        <v>1157.9817700000001</v>
      </c>
      <c r="AM13" s="1">
        <v>12474</v>
      </c>
      <c r="AN13">
        <v>21455.674364399001</v>
      </c>
      <c r="AO13" s="1">
        <v>10036</v>
      </c>
      <c r="AP13">
        <v>18725.518976861</v>
      </c>
      <c r="AQ13">
        <v>6365.6120000000001</v>
      </c>
      <c r="AR13">
        <v>965.639366</v>
      </c>
      <c r="AS13">
        <v>7703.866</v>
      </c>
      <c r="AT13">
        <v>1127.926289</v>
      </c>
    </row>
    <row r="14" spans="1:50" x14ac:dyDescent="0.25">
      <c r="A14">
        <v>11</v>
      </c>
      <c r="B14" s="13">
        <v>87260.540000000023</v>
      </c>
      <c r="C14" s="13">
        <v>31711.499999999996</v>
      </c>
      <c r="D14" s="13">
        <v>87241.11</v>
      </c>
      <c r="E14" s="14">
        <v>28060.850000000002</v>
      </c>
      <c r="F14" s="13">
        <v>90953.53</v>
      </c>
      <c r="G14" s="13">
        <v>30679.49</v>
      </c>
      <c r="H14" s="13">
        <v>90571.38</v>
      </c>
      <c r="I14" s="14">
        <v>27198.460000000003</v>
      </c>
      <c r="J14" s="13">
        <v>92338.87000000001</v>
      </c>
      <c r="K14" s="13">
        <v>31322.879999999997</v>
      </c>
      <c r="L14" s="13">
        <v>91559.9</v>
      </c>
      <c r="M14" s="14">
        <v>27940.310000000005</v>
      </c>
      <c r="O14" s="2" t="s">
        <v>8</v>
      </c>
      <c r="P14" s="2">
        <f>SUM(P3:P13)</f>
        <v>83838.47</v>
      </c>
      <c r="Q14" s="2">
        <f>SUM(Q3:Q13)</f>
        <v>26304.92</v>
      </c>
      <c r="R14" s="2"/>
      <c r="S14" s="2">
        <f t="shared" ref="S14:T14" si="0">SUM(S3:S13)</f>
        <v>84621.610000000015</v>
      </c>
      <c r="T14" s="2">
        <f t="shared" si="0"/>
        <v>29392.9</v>
      </c>
      <c r="V14">
        <v>11</v>
      </c>
      <c r="W14" s="1">
        <v>11565</v>
      </c>
      <c r="X14">
        <v>19801.804804348001</v>
      </c>
      <c r="Y14" s="1">
        <v>9336</v>
      </c>
      <c r="Z14">
        <v>17098.447800099999</v>
      </c>
      <c r="AA14">
        <v>5870.0479999999998</v>
      </c>
      <c r="AB14">
        <v>853.13145099999997</v>
      </c>
      <c r="AC14">
        <v>7063.4459999999999</v>
      </c>
      <c r="AD14">
        <v>971.66122900000005</v>
      </c>
      <c r="AE14" s="1">
        <v>12906</v>
      </c>
      <c r="AF14">
        <v>23280.658692735</v>
      </c>
      <c r="AG14" s="1">
        <v>10511</v>
      </c>
      <c r="AH14">
        <v>20150.303410589</v>
      </c>
      <c r="AI14">
        <v>6754.902</v>
      </c>
      <c r="AJ14">
        <v>1127.1851409999999</v>
      </c>
      <c r="AK14">
        <v>8147.3950000000004</v>
      </c>
      <c r="AL14">
        <v>1271.8561380000001</v>
      </c>
      <c r="AM14" s="1">
        <v>13074</v>
      </c>
      <c r="AN14">
        <v>23020.216667975001</v>
      </c>
      <c r="AO14" s="1">
        <v>10498</v>
      </c>
      <c r="AP14">
        <v>20000.208546611</v>
      </c>
      <c r="AQ14">
        <v>6704.2370000000001</v>
      </c>
      <c r="AR14">
        <v>1035.3583120000001</v>
      </c>
      <c r="AS14">
        <v>7991.6779999999999</v>
      </c>
      <c r="AT14">
        <v>1227.8312840000001</v>
      </c>
    </row>
    <row r="15" spans="1:50" x14ac:dyDescent="0.25">
      <c r="A15" s="1">
        <v>12</v>
      </c>
      <c r="B15" s="13">
        <v>81623.599999999991</v>
      </c>
      <c r="C15" s="13">
        <v>30276.570000000003</v>
      </c>
      <c r="D15" s="13">
        <v>81731.97</v>
      </c>
      <c r="E15" s="14">
        <v>27076.089999999997</v>
      </c>
      <c r="F15" s="13">
        <v>82978.2</v>
      </c>
      <c r="G15" s="13">
        <v>28760.959999999995</v>
      </c>
      <c r="H15" s="13">
        <v>82608.12</v>
      </c>
      <c r="I15" s="14">
        <v>25851.909999999996</v>
      </c>
      <c r="J15" s="13">
        <v>84621.610000000015</v>
      </c>
      <c r="K15" s="13">
        <v>29392.9</v>
      </c>
      <c r="L15" s="13">
        <v>83838.47</v>
      </c>
      <c r="M15" s="14">
        <v>26304.92</v>
      </c>
      <c r="V15" s="1">
        <v>12</v>
      </c>
      <c r="W15" s="1">
        <v>11620</v>
      </c>
      <c r="X15">
        <v>20003.934816370998</v>
      </c>
      <c r="Y15" s="1">
        <v>9359</v>
      </c>
      <c r="Z15">
        <v>17190.569809356999</v>
      </c>
      <c r="AA15">
        <v>5833.7020000000002</v>
      </c>
      <c r="AB15">
        <v>864.89495199999999</v>
      </c>
      <c r="AC15">
        <v>6953.0079999999998</v>
      </c>
      <c r="AD15">
        <v>955.73267699999997</v>
      </c>
      <c r="AE15" s="1">
        <v>12992</v>
      </c>
      <c r="AF15">
        <v>23612.947493993001</v>
      </c>
      <c r="AG15" s="1">
        <v>10544</v>
      </c>
      <c r="AH15">
        <v>20593.565295411001</v>
      </c>
      <c r="AI15">
        <v>6707.0619999999999</v>
      </c>
      <c r="AJ15">
        <v>1156.5789990000001</v>
      </c>
      <c r="AK15">
        <v>8007.0649999999996</v>
      </c>
      <c r="AL15">
        <v>1303.6832179999999</v>
      </c>
      <c r="AM15" s="1">
        <v>13252</v>
      </c>
      <c r="AN15">
        <v>23338.189951468001</v>
      </c>
      <c r="AO15" s="1">
        <v>10609</v>
      </c>
      <c r="AP15">
        <v>20325.912503308999</v>
      </c>
      <c r="AQ15">
        <v>6758.7920000000004</v>
      </c>
      <c r="AR15">
        <v>1083.434393</v>
      </c>
      <c r="AS15">
        <v>8042.1229999999996</v>
      </c>
      <c r="AT15">
        <v>1249.0915600000001</v>
      </c>
    </row>
    <row r="16" spans="1:50" x14ac:dyDescent="0.25">
      <c r="A16">
        <v>13</v>
      </c>
      <c r="B16" s="13">
        <v>74610.58</v>
      </c>
      <c r="C16" s="13">
        <v>27165.040000000001</v>
      </c>
      <c r="D16" s="13">
        <v>74927.02</v>
      </c>
      <c r="E16" s="14">
        <v>24492.880000000005</v>
      </c>
      <c r="F16" s="13">
        <v>71360.930000000008</v>
      </c>
      <c r="G16" s="13">
        <v>24037.29</v>
      </c>
      <c r="H16" s="13">
        <v>70890.489999999991</v>
      </c>
      <c r="I16" s="14">
        <v>21697.29</v>
      </c>
      <c r="J16" s="13"/>
      <c r="K16" s="13"/>
      <c r="L16" s="13"/>
      <c r="M16" s="14"/>
      <c r="V16">
        <v>13</v>
      </c>
      <c r="W16" s="1">
        <v>10878</v>
      </c>
      <c r="X16">
        <v>18525.393244383999</v>
      </c>
      <c r="Y16" s="1">
        <v>8762</v>
      </c>
      <c r="Z16">
        <v>15907.037957126</v>
      </c>
      <c r="AA16">
        <v>5436.5690000000004</v>
      </c>
      <c r="AB16">
        <v>804.21294999999998</v>
      </c>
      <c r="AC16">
        <v>6552.3869999999997</v>
      </c>
      <c r="AD16">
        <v>896.407599</v>
      </c>
      <c r="AE16" s="1">
        <v>12180</v>
      </c>
      <c r="AF16">
        <v>21685.906085438</v>
      </c>
      <c r="AG16" s="1">
        <v>9774</v>
      </c>
      <c r="AH16">
        <v>18853.094852941002</v>
      </c>
      <c r="AI16">
        <v>6220.6180000000004</v>
      </c>
      <c r="AJ16">
        <v>1014.187948</v>
      </c>
      <c r="AK16">
        <v>7519.4049999999997</v>
      </c>
      <c r="AL16">
        <v>1181.244565</v>
      </c>
      <c r="AM16" s="1"/>
      <c r="AO16" s="1"/>
    </row>
    <row r="17" spans="1:41" x14ac:dyDescent="0.25">
      <c r="A17" s="1">
        <v>14</v>
      </c>
      <c r="B17" s="13">
        <v>80228.45</v>
      </c>
      <c r="C17" s="13">
        <v>27767.07</v>
      </c>
      <c r="D17" s="13">
        <v>79602.13</v>
      </c>
      <c r="E17" s="14">
        <v>24844.37</v>
      </c>
      <c r="F17" s="13">
        <v>71576.55</v>
      </c>
      <c r="G17" s="13">
        <v>22733.38</v>
      </c>
      <c r="H17" s="13">
        <v>70705.899999999994</v>
      </c>
      <c r="I17" s="14">
        <v>20640.93</v>
      </c>
      <c r="J17" s="13"/>
      <c r="K17" s="13"/>
      <c r="L17" s="13"/>
      <c r="M17" s="14"/>
      <c r="V17" s="1">
        <v>14</v>
      </c>
      <c r="W17" s="1">
        <v>11972</v>
      </c>
      <c r="X17">
        <v>20102.851911123002</v>
      </c>
      <c r="Y17" s="1">
        <v>9647</v>
      </c>
      <c r="Z17">
        <v>17445.155600001999</v>
      </c>
      <c r="AA17">
        <v>5906.7460000000001</v>
      </c>
      <c r="AB17">
        <v>848.811195</v>
      </c>
      <c r="AC17">
        <v>7084.6930000000002</v>
      </c>
      <c r="AD17">
        <v>953.65022499999998</v>
      </c>
      <c r="AE17" s="1">
        <v>12898</v>
      </c>
      <c r="AF17">
        <v>22828.169162032002</v>
      </c>
      <c r="AG17" s="1">
        <v>10289</v>
      </c>
      <c r="AH17">
        <v>19628.706419883001</v>
      </c>
      <c r="AI17">
        <v>6512.5910000000003</v>
      </c>
      <c r="AJ17">
        <v>1016.372063</v>
      </c>
      <c r="AK17">
        <v>7828.5569999999998</v>
      </c>
      <c r="AL17">
        <v>1200.432536</v>
      </c>
      <c r="AM17" s="1"/>
      <c r="AO17" s="1"/>
    </row>
    <row r="18" spans="1:41" x14ac:dyDescent="0.25">
      <c r="A18">
        <v>15</v>
      </c>
      <c r="B18" s="13">
        <v>84649.62</v>
      </c>
      <c r="C18" s="13">
        <v>29006.98</v>
      </c>
      <c r="D18" s="13">
        <v>84279.479999999981</v>
      </c>
      <c r="E18" s="14">
        <v>25663.539999999997</v>
      </c>
      <c r="F18" s="13">
        <v>75119.179999999993</v>
      </c>
      <c r="G18" s="13">
        <v>23586.639999999999</v>
      </c>
      <c r="H18" s="13">
        <v>74692.08</v>
      </c>
      <c r="I18" s="14">
        <v>21336.68</v>
      </c>
      <c r="J18" s="13"/>
      <c r="K18" s="13"/>
      <c r="L18" s="13"/>
      <c r="M18" s="14"/>
      <c r="V18">
        <v>15</v>
      </c>
      <c r="W18" s="1">
        <v>12724</v>
      </c>
      <c r="X18">
        <v>21617.998998789</v>
      </c>
      <c r="Y18" s="1">
        <v>10335</v>
      </c>
      <c r="Z18">
        <v>18588.105594327</v>
      </c>
      <c r="AA18">
        <v>6298.8</v>
      </c>
      <c r="AB18">
        <v>938.93068800000003</v>
      </c>
      <c r="AC18">
        <v>7629.875</v>
      </c>
      <c r="AD18">
        <v>1037.8439639999999</v>
      </c>
      <c r="AE18" s="1">
        <v>13396</v>
      </c>
      <c r="AF18">
        <v>23836.842510864</v>
      </c>
      <c r="AG18" s="1">
        <v>10791</v>
      </c>
      <c r="AH18">
        <v>20813.365599065</v>
      </c>
      <c r="AI18">
        <v>6842.2560000000003</v>
      </c>
      <c r="AJ18">
        <v>1090.1381269999999</v>
      </c>
      <c r="AK18">
        <v>8242.2160000000003</v>
      </c>
      <c r="AL18">
        <v>1288.087391</v>
      </c>
      <c r="AM18" s="1"/>
      <c r="AO18" s="1"/>
    </row>
    <row r="19" spans="1:41" x14ac:dyDescent="0.25">
      <c r="A19" s="1">
        <v>16</v>
      </c>
      <c r="B19" s="13">
        <v>84855.040000000008</v>
      </c>
      <c r="C19" s="13">
        <v>29579.14</v>
      </c>
      <c r="D19" s="13">
        <v>85252.589999999982</v>
      </c>
      <c r="E19" s="14">
        <v>26018.760000000002</v>
      </c>
      <c r="F19" s="13">
        <v>78199.44</v>
      </c>
      <c r="G19" s="13">
        <v>25450.43</v>
      </c>
      <c r="H19" s="13">
        <v>78331.199999999997</v>
      </c>
      <c r="I19" s="14">
        <v>22577.200000000001</v>
      </c>
      <c r="J19" s="13"/>
      <c r="K19" s="13"/>
      <c r="L19" s="13"/>
      <c r="M19" s="14"/>
      <c r="V19" s="1">
        <v>16</v>
      </c>
      <c r="W19" s="1">
        <v>12049</v>
      </c>
      <c r="X19">
        <v>20927.137242729001</v>
      </c>
      <c r="Y19" s="1">
        <v>9837</v>
      </c>
      <c r="Z19">
        <v>18071.245251969001</v>
      </c>
      <c r="AA19">
        <v>6129.6580000000004</v>
      </c>
      <c r="AB19">
        <v>931.14467100000002</v>
      </c>
      <c r="AC19">
        <v>7396.183</v>
      </c>
      <c r="AD19">
        <v>1045.168995</v>
      </c>
      <c r="AE19" s="1">
        <v>12630</v>
      </c>
      <c r="AF19">
        <v>23262.021992475999</v>
      </c>
      <c r="AG19" s="1">
        <v>10239</v>
      </c>
      <c r="AH19">
        <v>20093.631577880999</v>
      </c>
      <c r="AI19">
        <v>6616.4040000000005</v>
      </c>
      <c r="AJ19">
        <v>1109.6555129999999</v>
      </c>
      <c r="AK19">
        <v>7981.55</v>
      </c>
      <c r="AL19">
        <v>1238.5550430000001</v>
      </c>
      <c r="AM19" s="1"/>
      <c r="AO19" s="1"/>
    </row>
    <row r="20" spans="1:41" x14ac:dyDescent="0.25">
      <c r="A20">
        <v>17</v>
      </c>
      <c r="B20" s="13">
        <v>86197.59</v>
      </c>
      <c r="C20" s="13">
        <v>31035.859999999997</v>
      </c>
      <c r="D20" s="13">
        <v>86705.430000000008</v>
      </c>
      <c r="E20" s="14">
        <v>27296.03</v>
      </c>
      <c r="F20" s="13">
        <v>84664.57</v>
      </c>
      <c r="G20" s="13">
        <v>28363.8</v>
      </c>
      <c r="H20" s="13">
        <v>84411.97</v>
      </c>
      <c r="I20" s="14">
        <v>24893.68</v>
      </c>
      <c r="J20" s="13"/>
      <c r="K20" s="13"/>
      <c r="L20" s="13"/>
      <c r="M20" s="14"/>
      <c r="V20">
        <v>17</v>
      </c>
      <c r="W20" s="1">
        <v>10517</v>
      </c>
      <c r="X20">
        <v>18909.490048348001</v>
      </c>
      <c r="Y20" s="1">
        <v>8496</v>
      </c>
      <c r="Z20">
        <v>16255.265917256</v>
      </c>
      <c r="AA20">
        <v>5531.2020000000002</v>
      </c>
      <c r="AB20">
        <v>851.48049400000002</v>
      </c>
      <c r="AC20">
        <v>6658.982</v>
      </c>
      <c r="AD20">
        <v>958.35218199999997</v>
      </c>
      <c r="AE20" s="1">
        <v>11457</v>
      </c>
      <c r="AF20">
        <v>21622.767094129002</v>
      </c>
      <c r="AG20" s="1">
        <v>9171</v>
      </c>
      <c r="AH20">
        <v>18617.352614971001</v>
      </c>
      <c r="AI20">
        <v>6197.866</v>
      </c>
      <c r="AJ20">
        <v>1089.792946</v>
      </c>
      <c r="AK20">
        <v>7452.8639999999996</v>
      </c>
      <c r="AL20">
        <v>1256.719781</v>
      </c>
      <c r="AM20" s="1"/>
      <c r="AO20" s="1"/>
    </row>
    <row r="21" spans="1:41" x14ac:dyDescent="0.25">
      <c r="A21" s="1">
        <v>18</v>
      </c>
      <c r="B21" s="13">
        <v>89805.72</v>
      </c>
      <c r="C21" s="13">
        <v>31978.550000000003</v>
      </c>
      <c r="D21" s="13">
        <v>90401.86</v>
      </c>
      <c r="E21" s="14">
        <v>28159.910000000003</v>
      </c>
      <c r="F21" s="13">
        <v>89702.3</v>
      </c>
      <c r="G21" s="13">
        <v>29810.46</v>
      </c>
      <c r="H21" s="13">
        <v>89272.699999999983</v>
      </c>
      <c r="I21" s="14">
        <v>25903.94</v>
      </c>
      <c r="J21" s="13"/>
      <c r="K21" s="13"/>
      <c r="L21" s="13"/>
      <c r="M21" s="14"/>
      <c r="V21" s="1">
        <v>18</v>
      </c>
      <c r="W21" s="1">
        <v>10467</v>
      </c>
      <c r="X21">
        <v>19786.348515547001</v>
      </c>
      <c r="Y21" s="1">
        <v>8502</v>
      </c>
      <c r="Z21">
        <v>16848.081246802001</v>
      </c>
      <c r="AA21">
        <v>5511.902</v>
      </c>
      <c r="AB21">
        <v>902.09170099999994</v>
      </c>
      <c r="AC21">
        <v>6661.9930000000004</v>
      </c>
      <c r="AD21">
        <v>998.14881300000002</v>
      </c>
      <c r="AE21" s="1">
        <v>8618</v>
      </c>
      <c r="AF21">
        <v>20818.911778614001</v>
      </c>
      <c r="AG21" s="1">
        <v>7048</v>
      </c>
      <c r="AH21">
        <v>18018.38078802</v>
      </c>
      <c r="AI21">
        <v>6183.59</v>
      </c>
      <c r="AJ21">
        <v>1089.485461</v>
      </c>
      <c r="AK21">
        <v>7432.732</v>
      </c>
      <c r="AL21">
        <v>1225.6245060000001</v>
      </c>
      <c r="AM21" s="1"/>
      <c r="AO21" s="1"/>
    </row>
    <row r="22" spans="1:41" x14ac:dyDescent="0.25">
      <c r="A22">
        <v>19</v>
      </c>
      <c r="B22" s="13">
        <v>141681.821</v>
      </c>
      <c r="C22" s="13">
        <v>44506</v>
      </c>
      <c r="D22" s="13">
        <v>140633.65900000001</v>
      </c>
      <c r="E22" s="14">
        <v>38619.42</v>
      </c>
      <c r="F22" s="13">
        <v>146831.26</v>
      </c>
      <c r="G22" s="13">
        <v>43295.61</v>
      </c>
      <c r="H22" s="13">
        <v>142834.92000000001</v>
      </c>
      <c r="I22" s="14">
        <v>37004.14</v>
      </c>
      <c r="J22" s="13"/>
      <c r="K22" s="13"/>
      <c r="L22" s="13"/>
      <c r="M22" s="14"/>
      <c r="V22">
        <v>19</v>
      </c>
      <c r="W22" s="1">
        <v>11860</v>
      </c>
      <c r="X22">
        <v>21694.843396198001</v>
      </c>
      <c r="Y22" s="1">
        <v>9553</v>
      </c>
      <c r="Z22">
        <v>18681.742999787999</v>
      </c>
      <c r="AA22">
        <v>6105.1440000000002</v>
      </c>
      <c r="AB22">
        <v>933.91312800000003</v>
      </c>
      <c r="AC22">
        <v>7350.7370000000001</v>
      </c>
      <c r="AD22">
        <v>1102.7858570000001</v>
      </c>
      <c r="AE22" s="1">
        <v>12884</v>
      </c>
      <c r="AF22">
        <v>25145.054944127001</v>
      </c>
      <c r="AG22" s="1">
        <v>10524</v>
      </c>
      <c r="AH22">
        <v>21760.561287184999</v>
      </c>
      <c r="AI22">
        <v>6790.4560000000001</v>
      </c>
      <c r="AJ22">
        <v>1216.6017589999999</v>
      </c>
      <c r="AK22">
        <v>8286.6110000000008</v>
      </c>
      <c r="AL22">
        <v>1357.6792849999999</v>
      </c>
      <c r="AM22" s="1"/>
      <c r="AO22" s="1"/>
    </row>
    <row r="23" spans="1:41" x14ac:dyDescent="0.25">
      <c r="A23" s="1">
        <v>20</v>
      </c>
      <c r="B23" s="13">
        <v>154012.65199999997</v>
      </c>
      <c r="C23" s="13">
        <v>48572.619999999995</v>
      </c>
      <c r="D23" s="13">
        <v>154162.29200000002</v>
      </c>
      <c r="E23" s="14">
        <v>41338.100000000006</v>
      </c>
      <c r="F23" s="13">
        <v>145449.68800000002</v>
      </c>
      <c r="G23" s="13">
        <v>43926.07</v>
      </c>
      <c r="H23" s="13">
        <v>143269.70000000001</v>
      </c>
      <c r="I23" s="14">
        <v>37012.699999999997</v>
      </c>
      <c r="J23" s="13"/>
      <c r="K23" s="13"/>
      <c r="L23" s="13"/>
      <c r="M23" s="14"/>
      <c r="V23" s="1">
        <v>20</v>
      </c>
      <c r="W23" s="1">
        <v>13503</v>
      </c>
      <c r="X23">
        <v>24449.123177122001</v>
      </c>
      <c r="Y23" s="1">
        <v>10859</v>
      </c>
      <c r="Z23">
        <v>20788.510834571</v>
      </c>
      <c r="AA23">
        <v>6826.6170000000002</v>
      </c>
      <c r="AB23">
        <v>1127.560782</v>
      </c>
      <c r="AC23">
        <v>8172.0379999999996</v>
      </c>
      <c r="AD23">
        <v>1247.07602</v>
      </c>
      <c r="AE23" s="1">
        <v>14278</v>
      </c>
      <c r="AF23">
        <v>27224.646251792001</v>
      </c>
      <c r="AG23" s="1">
        <v>11600</v>
      </c>
      <c r="AH23">
        <v>23821.835778843</v>
      </c>
      <c r="AI23">
        <v>7312.1210000000001</v>
      </c>
      <c r="AJ23">
        <v>1344.2661210000001</v>
      </c>
      <c r="AK23">
        <v>8893.9349999999995</v>
      </c>
      <c r="AL23">
        <v>1494.4656849999999</v>
      </c>
      <c r="AM23" s="1"/>
      <c r="AO23" s="1"/>
    </row>
    <row r="24" spans="1:41" x14ac:dyDescent="0.25">
      <c r="A24">
        <v>21</v>
      </c>
      <c r="B24" s="13">
        <v>146380.07</v>
      </c>
      <c r="C24" s="13">
        <v>45568.260000000009</v>
      </c>
      <c r="D24" s="13">
        <v>145938.541</v>
      </c>
      <c r="E24" s="14">
        <v>39407.85</v>
      </c>
      <c r="F24" s="13">
        <v>131324.92000000001</v>
      </c>
      <c r="G24" s="13">
        <v>40189.019999999997</v>
      </c>
      <c r="H24" s="13">
        <v>129198.069</v>
      </c>
      <c r="I24" s="14">
        <v>34119.379999999997</v>
      </c>
      <c r="J24" s="13"/>
      <c r="K24" s="13"/>
      <c r="L24" s="13"/>
      <c r="M24" s="14"/>
      <c r="V24">
        <v>21</v>
      </c>
      <c r="W24" s="1">
        <v>14329</v>
      </c>
      <c r="X24">
        <v>26250.695934919</v>
      </c>
      <c r="Y24" s="1">
        <v>11574</v>
      </c>
      <c r="Z24">
        <v>22176.577457314001</v>
      </c>
      <c r="AA24">
        <v>7212.3010000000004</v>
      </c>
      <c r="AB24">
        <v>1221.6145690000001</v>
      </c>
      <c r="AC24">
        <v>8684.2260000000006</v>
      </c>
      <c r="AD24">
        <v>1337.499984</v>
      </c>
      <c r="AE24" s="1">
        <v>15209</v>
      </c>
      <c r="AF24">
        <v>29079.381897848001</v>
      </c>
      <c r="AG24" s="1">
        <v>12438</v>
      </c>
      <c r="AH24">
        <v>25182.787915182998</v>
      </c>
      <c r="AI24">
        <v>7735.3</v>
      </c>
      <c r="AJ24">
        <v>1416.0949539999999</v>
      </c>
      <c r="AK24">
        <v>9280.9860000000008</v>
      </c>
      <c r="AL24">
        <v>1574.5901140000001</v>
      </c>
      <c r="AM24" s="1"/>
      <c r="AO24" s="1"/>
    </row>
    <row r="25" spans="1:41" x14ac:dyDescent="0.25">
      <c r="A25" s="1">
        <v>22</v>
      </c>
      <c r="B25" s="13">
        <v>111023.769</v>
      </c>
      <c r="C25" s="13">
        <v>36862.639999999992</v>
      </c>
      <c r="D25" s="13">
        <v>110656.45999999999</v>
      </c>
      <c r="E25" s="14">
        <v>32301.510000000006</v>
      </c>
      <c r="F25" s="13">
        <v>87710.33</v>
      </c>
      <c r="G25" s="13">
        <v>29514.62</v>
      </c>
      <c r="H25" s="13">
        <v>87020.83</v>
      </c>
      <c r="I25" s="14">
        <v>25281.440000000002</v>
      </c>
      <c r="J25" s="13"/>
      <c r="K25" s="13"/>
      <c r="L25" s="13"/>
      <c r="M25" s="14"/>
      <c r="V25" s="1">
        <v>22</v>
      </c>
      <c r="W25" s="1">
        <v>15425</v>
      </c>
      <c r="X25">
        <v>27634.318297516002</v>
      </c>
      <c r="Y25" s="1">
        <v>12268</v>
      </c>
      <c r="Z25">
        <v>22901.018216969002</v>
      </c>
      <c r="AA25">
        <v>7706.58</v>
      </c>
      <c r="AB25">
        <v>1236.77493</v>
      </c>
      <c r="AC25">
        <v>9254.8029999999999</v>
      </c>
      <c r="AD25">
        <v>1407.1391060000001</v>
      </c>
      <c r="AE25" s="1">
        <v>16162</v>
      </c>
      <c r="AF25">
        <v>29948.806031267999</v>
      </c>
      <c r="AG25" s="1">
        <v>13141</v>
      </c>
      <c r="AH25">
        <v>25593.401084796998</v>
      </c>
      <c r="AI25">
        <v>8044.5290000000005</v>
      </c>
      <c r="AJ25">
        <v>1409.6929399999999</v>
      </c>
      <c r="AK25">
        <v>9704.6270000000004</v>
      </c>
      <c r="AL25">
        <v>1599.2622019999999</v>
      </c>
      <c r="AM25" s="1"/>
      <c r="AO25" s="1"/>
    </row>
    <row r="26" spans="1:41" x14ac:dyDescent="0.25">
      <c r="A26">
        <v>23</v>
      </c>
      <c r="B26" s="16">
        <v>61688.729999999996</v>
      </c>
      <c r="C26" s="16">
        <v>23424.09</v>
      </c>
      <c r="D26" s="16">
        <v>61783.93</v>
      </c>
      <c r="E26" s="17">
        <v>20443.810000000001</v>
      </c>
      <c r="F26" s="16">
        <v>44580.799999999996</v>
      </c>
      <c r="G26" s="16">
        <v>17179.939999999999</v>
      </c>
      <c r="H26" s="16">
        <v>44470</v>
      </c>
      <c r="I26" s="17">
        <v>14848.280000000002</v>
      </c>
      <c r="J26" s="16"/>
      <c r="K26" s="16"/>
      <c r="L26" s="16"/>
      <c r="M26" s="17"/>
      <c r="V26">
        <v>23</v>
      </c>
      <c r="W26" s="1">
        <v>15545</v>
      </c>
      <c r="X26">
        <v>26970.678039271999</v>
      </c>
      <c r="Y26" s="1">
        <v>12287</v>
      </c>
      <c r="Z26">
        <v>22404.202162889</v>
      </c>
      <c r="AA26">
        <v>7722.7780000000002</v>
      </c>
      <c r="AB26">
        <v>1200.082435</v>
      </c>
      <c r="AC26">
        <v>9292.4969999999994</v>
      </c>
      <c r="AD26">
        <v>1384.059624</v>
      </c>
      <c r="AE26" s="1">
        <v>15725</v>
      </c>
      <c r="AF26">
        <v>27795.128329880001</v>
      </c>
      <c r="AG26" s="1">
        <v>12784</v>
      </c>
      <c r="AH26">
        <v>24095.711246373001</v>
      </c>
      <c r="AI26">
        <v>7872.6940000000004</v>
      </c>
      <c r="AJ26">
        <v>1276.7424040000001</v>
      </c>
      <c r="AK26">
        <v>9410.8379999999997</v>
      </c>
      <c r="AL26">
        <v>1487.129862</v>
      </c>
      <c r="AM26" s="1"/>
      <c r="AO26" s="1"/>
    </row>
    <row r="29" spans="1:41" x14ac:dyDescent="0.25">
      <c r="B29" t="s">
        <v>65</v>
      </c>
      <c r="C29" t="s">
        <v>66</v>
      </c>
      <c r="D29" t="s">
        <v>64</v>
      </c>
    </row>
    <row r="30" spans="1:41" x14ac:dyDescent="0.25">
      <c r="B30" s="71">
        <v>-7</v>
      </c>
      <c r="C30" s="72"/>
      <c r="D30" s="73"/>
      <c r="E30" s="71">
        <v>-1</v>
      </c>
      <c r="F30" s="72"/>
      <c r="G30" s="73"/>
      <c r="H30" s="71">
        <v>0</v>
      </c>
      <c r="I30" s="72"/>
      <c r="J30" s="73"/>
      <c r="W30" s="71">
        <v>-7</v>
      </c>
      <c r="X30" s="72"/>
      <c r="Y30" s="72"/>
      <c r="Z30" s="73"/>
      <c r="AA30" s="71">
        <v>-1</v>
      </c>
      <c r="AB30" s="72"/>
      <c r="AC30" s="72"/>
      <c r="AD30" s="73"/>
      <c r="AE30" s="71">
        <v>0</v>
      </c>
      <c r="AF30" s="72"/>
      <c r="AG30" s="72"/>
      <c r="AH30" s="73"/>
    </row>
    <row r="31" spans="1:41" x14ac:dyDescent="0.25">
      <c r="A31" s="1">
        <v>0</v>
      </c>
      <c r="B31" s="18">
        <f>B3+C3</f>
        <v>39851.39</v>
      </c>
      <c r="C31" s="13">
        <f>D3+E3</f>
        <v>37977.590000000004</v>
      </c>
      <c r="D31" s="14">
        <f>B31+C31</f>
        <v>77828.98000000001</v>
      </c>
      <c r="E31" s="3">
        <f>IF(F3="",ERROR.TYPE(7),F3+G3)</f>
        <v>27659.649999999998</v>
      </c>
      <c r="F31" s="13">
        <f>IF(H3="",ERROR.TYPE(7),H3+I3)</f>
        <v>26836.789999999997</v>
      </c>
      <c r="G31" s="14">
        <f>E31+F31</f>
        <v>54496.439999999995</v>
      </c>
      <c r="H31" s="3">
        <f>IF(J3="",ERROR.TYPE(7),J3+K3)</f>
        <v>28409.4</v>
      </c>
      <c r="I31" s="13">
        <f>IF(L3="",ERROR.TYPE(7),L3+M3)</f>
        <v>27773.350000000002</v>
      </c>
      <c r="J31" s="14">
        <f>H31+I31</f>
        <v>56182.75</v>
      </c>
      <c r="W31" s="3" t="s">
        <v>122</v>
      </c>
      <c r="X31" s="13" t="s">
        <v>123</v>
      </c>
      <c r="Y31" s="13" t="s">
        <v>124</v>
      </c>
      <c r="Z31" s="14" t="s">
        <v>125</v>
      </c>
      <c r="AA31" s="3" t="s">
        <v>61</v>
      </c>
      <c r="AB31" s="13" t="s">
        <v>62</v>
      </c>
      <c r="AC31" s="13" t="s">
        <v>63</v>
      </c>
      <c r="AD31" s="14" t="s">
        <v>8</v>
      </c>
      <c r="AE31" s="3" t="s">
        <v>61</v>
      </c>
      <c r="AF31" s="13" t="s">
        <v>62</v>
      </c>
      <c r="AG31" s="13" t="s">
        <v>63</v>
      </c>
      <c r="AH31" s="14" t="s">
        <v>8</v>
      </c>
    </row>
    <row r="32" spans="1:41" x14ac:dyDescent="0.25">
      <c r="A32">
        <v>1</v>
      </c>
      <c r="B32" s="18">
        <f t="shared" ref="B32:B54" si="1">B4+C4</f>
        <v>18673.04</v>
      </c>
      <c r="C32" s="13">
        <f t="shared" ref="C32:C54" si="2">D4+E4</f>
        <v>17803.82</v>
      </c>
      <c r="D32" s="14">
        <f t="shared" ref="D32:D54" si="3">B32+C32</f>
        <v>36476.86</v>
      </c>
      <c r="E32" s="3">
        <f t="shared" ref="E32:E54" si="4">IF(F4="",ERROR.TYPE(7),F4+G4)</f>
        <v>12928.07</v>
      </c>
      <c r="F32" s="13">
        <f t="shared" ref="F32:F54" si="5">IF(H4="",ERROR.TYPE(7),H4+I4)</f>
        <v>12777.349999999999</v>
      </c>
      <c r="G32" s="14">
        <f t="shared" ref="G32:G54" si="6">E32+F32</f>
        <v>25705.42</v>
      </c>
      <c r="H32" s="3">
        <f>IF(J4="",ERROR.TYPE(7),J4+K4)</f>
        <v>13435.09</v>
      </c>
      <c r="I32" s="13">
        <f t="shared" ref="I32:I54" si="7">IF(L4="",ERROR.TYPE(7),L4+M4)</f>
        <v>13076.800000000001</v>
      </c>
      <c r="J32" s="14">
        <f t="shared" ref="J32:J54" si="8">H32+I32</f>
        <v>26511.89</v>
      </c>
      <c r="V32" s="1">
        <v>0</v>
      </c>
      <c r="W32" s="3">
        <f>W3+X3</f>
        <v>35003.090477908001</v>
      </c>
      <c r="X32" s="13">
        <f>Y3+Z3</f>
        <v>29377.563972953001</v>
      </c>
      <c r="Y32" s="13">
        <f>AA3+AB3+AC3+AD3</f>
        <v>16528.586006000001</v>
      </c>
      <c r="Z32" s="14">
        <f>(W32+X32+Y32)/1000</f>
        <v>80.909240456861014</v>
      </c>
      <c r="AA32" s="3">
        <f>IF(AE3="",ERROR.TYPE(7),AE3+AF3)</f>
        <v>33214.913644686996</v>
      </c>
      <c r="AB32" s="13">
        <f>IF(AG3="",ERROR.TYPE(7),AG3+AH3)</f>
        <v>28244.772242138999</v>
      </c>
      <c r="AC32" s="13">
        <f>IF(AI3="",ERROR.TYPE(7),AI3+AJ3+AK3+AL3)</f>
        <v>15579.300704000001</v>
      </c>
      <c r="AD32" s="14">
        <f>(AA32+AB32+AC32)/1000</f>
        <v>77.038986590825999</v>
      </c>
      <c r="AE32" s="3">
        <f>IF(AM3="",ERROR.TYPE(7),AM3+AN3)</f>
        <v>32741.266278556999</v>
      </c>
      <c r="AF32" s="13">
        <f t="shared" ref="AF32:AF55" si="9">IF(AO3="",ERROR.TYPE(7),AO3+AP3)</f>
        <v>27801.935505347999</v>
      </c>
      <c r="AG32" s="13">
        <f>IF(AQ3="",ERROR.TYPE(7),AQ3+AR3+AS3+AT3)</f>
        <v>15473.192680000002</v>
      </c>
      <c r="AH32" s="14">
        <f>(AE32+AF32+AG32)/1000</f>
        <v>76.016394463905002</v>
      </c>
    </row>
    <row r="33" spans="1:34" x14ac:dyDescent="0.25">
      <c r="A33" s="1">
        <v>2</v>
      </c>
      <c r="B33" s="18">
        <f t="shared" si="1"/>
        <v>9123.27</v>
      </c>
      <c r="C33" s="13">
        <f t="shared" si="2"/>
        <v>8839.4699999999993</v>
      </c>
      <c r="D33" s="14">
        <f t="shared" si="3"/>
        <v>17962.739999999998</v>
      </c>
      <c r="E33" s="3">
        <f t="shared" si="4"/>
        <v>6414.5499999999993</v>
      </c>
      <c r="F33" s="13">
        <f t="shared" si="5"/>
        <v>6364.79</v>
      </c>
      <c r="G33" s="14">
        <f t="shared" si="6"/>
        <v>12779.34</v>
      </c>
      <c r="H33" s="3">
        <f t="shared" ref="H33:H54" si="10">IF(J5="",ERROR.TYPE(7),J5+K5)</f>
        <v>6471.7099999999991</v>
      </c>
      <c r="I33" s="13">
        <f t="shared" si="7"/>
        <v>6356.25</v>
      </c>
      <c r="J33" s="14">
        <f t="shared" si="8"/>
        <v>12827.96</v>
      </c>
      <c r="V33">
        <v>1</v>
      </c>
      <c r="W33" s="3">
        <f t="shared" ref="W33:W55" si="11">W4+X4</f>
        <v>23420.813084396999</v>
      </c>
      <c r="X33" s="13">
        <f t="shared" ref="X33:X55" si="12">Y4+Z4</f>
        <v>19749.864573521998</v>
      </c>
      <c r="Y33" s="13">
        <f t="shared" ref="Y33:Y55" si="13">AA4+AB4+AC4+AD4</f>
        <v>11636.134869</v>
      </c>
      <c r="Z33" s="14">
        <f t="shared" ref="Z33:Z55" si="14">(W33+X33+Y33)/1000</f>
        <v>54.806812526918996</v>
      </c>
      <c r="AA33" s="3">
        <f t="shared" ref="AA33:AA55" si="15">IF(AE4="",ERROR.TYPE(7),AE4+AF4)</f>
        <v>21656.070983115998</v>
      </c>
      <c r="AB33" s="13">
        <f t="shared" ref="AB33:AB55" si="16">IF(AG4="",ERROR.TYPE(7),AG4+AH4)</f>
        <v>18118.186626923998</v>
      </c>
      <c r="AC33" s="13">
        <f t="shared" ref="AC33:AC55" si="17">IF(AI4="",ERROR.TYPE(7),AI4+AJ4+AK4+AL4)</f>
        <v>10400.75258</v>
      </c>
      <c r="AD33" s="14">
        <f t="shared" ref="AD33:AD55" si="18">(AA33+AB33+AC33)/1000</f>
        <v>50.175010190039998</v>
      </c>
      <c r="AE33" s="3">
        <f t="shared" ref="AE33:AE55" si="19">IF(AM4="",ERROR.TYPE(7),AM4+AN4)</f>
        <v>21281.772047291</v>
      </c>
      <c r="AF33" s="13">
        <f t="shared" si="9"/>
        <v>17925.306578575</v>
      </c>
      <c r="AG33" s="13">
        <f t="shared" ref="AG33:AG55" si="20">IF(AQ4="",ERROR.TYPE(7),AQ4+AR4+AS4+AT4)</f>
        <v>10249.154398999999</v>
      </c>
      <c r="AH33" s="14">
        <f t="shared" ref="AH33:AH55" si="21">(AE33+AF33+AG33)/1000</f>
        <v>49.456233024866002</v>
      </c>
    </row>
    <row r="34" spans="1:34" x14ac:dyDescent="0.25">
      <c r="A34">
        <v>3</v>
      </c>
      <c r="B34" s="18">
        <f t="shared" si="1"/>
        <v>5539.59</v>
      </c>
      <c r="C34" s="13">
        <f t="shared" si="2"/>
        <v>5377.53</v>
      </c>
      <c r="D34" s="14">
        <f t="shared" si="3"/>
        <v>10917.119999999999</v>
      </c>
      <c r="E34" s="3">
        <f t="shared" si="4"/>
        <v>3525.77</v>
      </c>
      <c r="F34" s="13">
        <f t="shared" si="5"/>
        <v>3514.23</v>
      </c>
      <c r="G34" s="14">
        <f t="shared" si="6"/>
        <v>7040</v>
      </c>
      <c r="H34" s="3">
        <f t="shared" si="10"/>
        <v>3631.5699999999997</v>
      </c>
      <c r="I34" s="13">
        <f t="shared" si="7"/>
        <v>3609.3600000000006</v>
      </c>
      <c r="J34" s="14">
        <f t="shared" si="8"/>
        <v>7240.93</v>
      </c>
      <c r="V34" s="1">
        <v>2</v>
      </c>
      <c r="W34" s="3">
        <f t="shared" si="11"/>
        <v>13967.433492276001</v>
      </c>
      <c r="X34" s="13">
        <f t="shared" si="12"/>
        <v>11808.564834102999</v>
      </c>
      <c r="Y34" s="13">
        <f t="shared" si="13"/>
        <v>7134.3931789999997</v>
      </c>
      <c r="Z34" s="14">
        <f t="shared" si="14"/>
        <v>32.910391505378996</v>
      </c>
      <c r="AA34" s="3">
        <f t="shared" si="15"/>
        <v>12601.597333887999</v>
      </c>
      <c r="AB34" s="13">
        <f t="shared" si="16"/>
        <v>10559.736811537001</v>
      </c>
      <c r="AC34" s="13">
        <f t="shared" si="17"/>
        <v>6134.5296980000003</v>
      </c>
      <c r="AD34" s="14">
        <f t="shared" si="18"/>
        <v>29.295863843425003</v>
      </c>
      <c r="AE34" s="3">
        <f t="shared" si="19"/>
        <v>12244.690043678</v>
      </c>
      <c r="AF34" s="13">
        <f t="shared" si="9"/>
        <v>10274.161600173</v>
      </c>
      <c r="AG34" s="13">
        <f t="shared" si="20"/>
        <v>5972.2567270000009</v>
      </c>
      <c r="AH34" s="14">
        <f t="shared" si="21"/>
        <v>28.491108370850998</v>
      </c>
    </row>
    <row r="35" spans="1:34" x14ac:dyDescent="0.25">
      <c r="A35" s="1">
        <v>4</v>
      </c>
      <c r="B35" s="18">
        <f t="shared" si="1"/>
        <v>4521.38</v>
      </c>
      <c r="C35" s="13">
        <f t="shared" si="2"/>
        <v>4375.59</v>
      </c>
      <c r="D35" s="14">
        <f t="shared" si="3"/>
        <v>8896.9700000000012</v>
      </c>
      <c r="E35" s="3">
        <f t="shared" si="4"/>
        <v>2667.78</v>
      </c>
      <c r="F35" s="13">
        <f t="shared" si="5"/>
        <v>2619.38</v>
      </c>
      <c r="G35" s="14">
        <f t="shared" si="6"/>
        <v>5287.16</v>
      </c>
      <c r="H35" s="3">
        <f t="shared" si="10"/>
        <v>2841.33</v>
      </c>
      <c r="I35" s="13">
        <f t="shared" si="7"/>
        <v>2809.41</v>
      </c>
      <c r="J35" s="14">
        <f t="shared" si="8"/>
        <v>5650.74</v>
      </c>
      <c r="V35">
        <v>3</v>
      </c>
      <c r="W35" s="3">
        <f t="shared" si="11"/>
        <v>8339.0609557549997</v>
      </c>
      <c r="X35" s="13">
        <f t="shared" si="12"/>
        <v>6893.4990176920001</v>
      </c>
      <c r="Y35" s="13">
        <f t="shared" si="13"/>
        <v>4373.6604009999992</v>
      </c>
      <c r="Z35" s="14">
        <f t="shared" si="14"/>
        <v>19.606220374446998</v>
      </c>
      <c r="AA35" s="3">
        <f t="shared" si="15"/>
        <v>7323.5593096140001</v>
      </c>
      <c r="AB35" s="13">
        <f t="shared" si="16"/>
        <v>6004.7895689890001</v>
      </c>
      <c r="AC35" s="13">
        <f t="shared" si="17"/>
        <v>3540.645751</v>
      </c>
      <c r="AD35" s="14">
        <f t="shared" si="18"/>
        <v>16.868994629602998</v>
      </c>
      <c r="AE35" s="3">
        <f t="shared" si="19"/>
        <v>6995.7148457100002</v>
      </c>
      <c r="AF35" s="13">
        <f t="shared" si="9"/>
        <v>5775.9947500809994</v>
      </c>
      <c r="AG35" s="13">
        <f t="shared" si="20"/>
        <v>3448.5805369999998</v>
      </c>
      <c r="AH35" s="14">
        <f t="shared" si="21"/>
        <v>16.220290132791</v>
      </c>
    </row>
    <row r="36" spans="1:34" x14ac:dyDescent="0.25">
      <c r="A36">
        <v>5</v>
      </c>
      <c r="B36" s="18">
        <f t="shared" si="1"/>
        <v>11429.639999999998</v>
      </c>
      <c r="C36" s="13">
        <f t="shared" si="2"/>
        <v>10642.990000000002</v>
      </c>
      <c r="D36" s="14">
        <f t="shared" si="3"/>
        <v>22072.629999999997</v>
      </c>
      <c r="E36" s="3">
        <f t="shared" si="4"/>
        <v>6585.72</v>
      </c>
      <c r="F36" s="13">
        <f t="shared" si="5"/>
        <v>6281.8499999999995</v>
      </c>
      <c r="G36" s="14">
        <f t="shared" si="6"/>
        <v>12867.57</v>
      </c>
      <c r="H36" s="3">
        <f t="shared" si="10"/>
        <v>6426.1999999999989</v>
      </c>
      <c r="I36" s="13">
        <f t="shared" si="7"/>
        <v>6145.8099999999995</v>
      </c>
      <c r="J36" s="14">
        <f t="shared" si="8"/>
        <v>12572.009999999998</v>
      </c>
      <c r="V36" s="1">
        <v>4</v>
      </c>
      <c r="W36" s="3">
        <f t="shared" si="11"/>
        <v>5412.3086816539999</v>
      </c>
      <c r="X36" s="13">
        <f t="shared" si="12"/>
        <v>4430.0594760049999</v>
      </c>
      <c r="Y36" s="13">
        <f t="shared" si="13"/>
        <v>2874.6412289999998</v>
      </c>
      <c r="Z36" s="14">
        <f t="shared" si="14"/>
        <v>12.717009386658999</v>
      </c>
      <c r="AA36" s="3">
        <f t="shared" si="15"/>
        <v>4326.3185102090001</v>
      </c>
      <c r="AB36" s="13">
        <f t="shared" si="16"/>
        <v>3598.1917534889999</v>
      </c>
      <c r="AC36" s="13">
        <f t="shared" si="17"/>
        <v>2204.506985</v>
      </c>
      <c r="AD36" s="14">
        <f t="shared" si="18"/>
        <v>10.129017248698</v>
      </c>
      <c r="AE36" s="3">
        <f t="shared" si="19"/>
        <v>4218.0684801429998</v>
      </c>
      <c r="AF36" s="13">
        <f t="shared" si="9"/>
        <v>3522.1570482530001</v>
      </c>
      <c r="AG36" s="13">
        <f t="shared" si="20"/>
        <v>2188.6541689999999</v>
      </c>
      <c r="AH36" s="14">
        <f t="shared" si="21"/>
        <v>9.928879697395999</v>
      </c>
    </row>
    <row r="37" spans="1:34" x14ac:dyDescent="0.25">
      <c r="A37" s="1">
        <v>6</v>
      </c>
      <c r="B37" s="18">
        <f t="shared" si="1"/>
        <v>33436.129999999997</v>
      </c>
      <c r="C37" s="13">
        <f t="shared" si="2"/>
        <v>30444.19</v>
      </c>
      <c r="D37" s="14">
        <f t="shared" si="3"/>
        <v>63880.319999999992</v>
      </c>
      <c r="E37" s="3">
        <f t="shared" si="4"/>
        <v>23449.22</v>
      </c>
      <c r="F37" s="13">
        <f t="shared" si="5"/>
        <v>21689.430000000004</v>
      </c>
      <c r="G37" s="14">
        <f t="shared" si="6"/>
        <v>45138.650000000009</v>
      </c>
      <c r="H37" s="3">
        <f t="shared" si="10"/>
        <v>22207.300000000003</v>
      </c>
      <c r="I37" s="13">
        <f t="shared" si="7"/>
        <v>20385.770000000004</v>
      </c>
      <c r="J37" s="14">
        <f t="shared" si="8"/>
        <v>42593.070000000007</v>
      </c>
      <c r="V37">
        <v>5</v>
      </c>
      <c r="W37" s="3">
        <f t="shared" si="11"/>
        <v>6338.14290119</v>
      </c>
      <c r="X37" s="13">
        <f t="shared" si="12"/>
        <v>5295.6792465059998</v>
      </c>
      <c r="Y37" s="13">
        <f t="shared" si="13"/>
        <v>3507.008593</v>
      </c>
      <c r="Z37" s="14">
        <f t="shared" si="14"/>
        <v>15.140830740696</v>
      </c>
      <c r="AA37" s="3">
        <f t="shared" si="15"/>
        <v>5109.892473074</v>
      </c>
      <c r="AB37" s="13">
        <f t="shared" si="16"/>
        <v>4290.5908004779994</v>
      </c>
      <c r="AC37" s="13">
        <f t="shared" si="17"/>
        <v>2866.4062309999999</v>
      </c>
      <c r="AD37" s="14">
        <f t="shared" si="18"/>
        <v>12.266889504552001</v>
      </c>
      <c r="AE37" s="3">
        <f t="shared" si="19"/>
        <v>4908.2856587839997</v>
      </c>
      <c r="AF37" s="13">
        <f t="shared" si="9"/>
        <v>4125.6263252170002</v>
      </c>
      <c r="AG37" s="13">
        <f t="shared" si="20"/>
        <v>2795.5018520000003</v>
      </c>
      <c r="AH37" s="14">
        <f t="shared" si="21"/>
        <v>11.829413836001001</v>
      </c>
    </row>
    <row r="38" spans="1:34" x14ac:dyDescent="0.25">
      <c r="A38">
        <v>7</v>
      </c>
      <c r="B38" s="18">
        <f t="shared" si="1"/>
        <v>60337.68</v>
      </c>
      <c r="C38" s="13">
        <f t="shared" si="2"/>
        <v>54962.19</v>
      </c>
      <c r="D38" s="14">
        <f t="shared" si="3"/>
        <v>115299.87</v>
      </c>
      <c r="E38" s="3">
        <f t="shared" si="4"/>
        <v>49897.87</v>
      </c>
      <c r="F38" s="13">
        <f t="shared" si="5"/>
        <v>45925.119999999995</v>
      </c>
      <c r="G38" s="14">
        <f t="shared" si="6"/>
        <v>95822.989999999991</v>
      </c>
      <c r="H38" s="3">
        <f t="shared" si="10"/>
        <v>49116.56</v>
      </c>
      <c r="I38" s="13">
        <f t="shared" si="7"/>
        <v>45069.969999999994</v>
      </c>
      <c r="J38" s="14">
        <f t="shared" si="8"/>
        <v>94186.53</v>
      </c>
      <c r="V38" s="1">
        <v>6</v>
      </c>
      <c r="W38" s="3">
        <f t="shared" si="11"/>
        <v>11819.380509323</v>
      </c>
      <c r="X38" s="13">
        <f t="shared" si="12"/>
        <v>9755.5278948819996</v>
      </c>
      <c r="Y38" s="13">
        <f t="shared" si="13"/>
        <v>6454.3808120000003</v>
      </c>
      <c r="Z38" s="14">
        <f t="shared" si="14"/>
        <v>28.029289216205001</v>
      </c>
      <c r="AA38" s="3">
        <f t="shared" si="15"/>
        <v>10174.138702355</v>
      </c>
      <c r="AB38" s="13">
        <f t="shared" si="16"/>
        <v>8613.1884968869999</v>
      </c>
      <c r="AC38" s="13">
        <f t="shared" si="17"/>
        <v>5762.9664219999995</v>
      </c>
      <c r="AD38" s="14">
        <f t="shared" si="18"/>
        <v>24.550293621241995</v>
      </c>
      <c r="AE38" s="3">
        <f t="shared" si="19"/>
        <v>9687.0896841659996</v>
      </c>
      <c r="AF38" s="13">
        <f t="shared" si="9"/>
        <v>8064.7101389890004</v>
      </c>
      <c r="AG38" s="13">
        <f t="shared" si="20"/>
        <v>5701.6662640000004</v>
      </c>
      <c r="AH38" s="14">
        <f t="shared" si="21"/>
        <v>23.453466087155</v>
      </c>
    </row>
    <row r="39" spans="1:34" x14ac:dyDescent="0.25">
      <c r="A39" s="1">
        <v>8</v>
      </c>
      <c r="B39" s="18">
        <f t="shared" si="1"/>
        <v>84556.549999999988</v>
      </c>
      <c r="C39" s="13">
        <f t="shared" si="2"/>
        <v>79059.490000000005</v>
      </c>
      <c r="D39" s="14">
        <f t="shared" si="3"/>
        <v>163616.03999999998</v>
      </c>
      <c r="E39" s="3">
        <f t="shared" si="4"/>
        <v>78617.48</v>
      </c>
      <c r="F39" s="13">
        <f t="shared" si="5"/>
        <v>72947.899999999994</v>
      </c>
      <c r="G39" s="14">
        <f t="shared" si="6"/>
        <v>151565.38</v>
      </c>
      <c r="H39" s="3">
        <f t="shared" si="10"/>
        <v>78467.87</v>
      </c>
      <c r="I39" s="13">
        <f t="shared" si="7"/>
        <v>72797.45</v>
      </c>
      <c r="J39" s="14">
        <f t="shared" si="8"/>
        <v>151265.32</v>
      </c>
      <c r="V39">
        <v>7</v>
      </c>
      <c r="W39" s="3">
        <f t="shared" si="11"/>
        <v>18604.503300217999</v>
      </c>
      <c r="X39" s="13">
        <f t="shared" si="12"/>
        <v>15429.273165305</v>
      </c>
      <c r="Y39" s="13">
        <f t="shared" si="13"/>
        <v>9703.394773</v>
      </c>
      <c r="Z39" s="14">
        <f t="shared" si="14"/>
        <v>43.737171238522997</v>
      </c>
      <c r="AA39" s="3">
        <f t="shared" si="15"/>
        <v>17754.399159977998</v>
      </c>
      <c r="AB39" s="13">
        <f t="shared" si="16"/>
        <v>14941.006283623999</v>
      </c>
      <c r="AC39" s="13">
        <f t="shared" si="17"/>
        <v>9429.7450140000001</v>
      </c>
      <c r="AD39" s="14">
        <f t="shared" si="18"/>
        <v>42.125150457601997</v>
      </c>
      <c r="AE39" s="3">
        <f t="shared" si="19"/>
        <v>17091.975491060002</v>
      </c>
      <c r="AF39" s="13">
        <f t="shared" si="9"/>
        <v>14244.533327810001</v>
      </c>
      <c r="AG39" s="13">
        <f t="shared" si="20"/>
        <v>9382.8485880000007</v>
      </c>
      <c r="AH39" s="14">
        <f t="shared" si="21"/>
        <v>40.719357406870003</v>
      </c>
    </row>
    <row r="40" spans="1:34" x14ac:dyDescent="0.25">
      <c r="A40">
        <v>9</v>
      </c>
      <c r="B40" s="18">
        <f t="shared" si="1"/>
        <v>106742.10999999999</v>
      </c>
      <c r="C40" s="13">
        <f t="shared" si="2"/>
        <v>101312.01000000001</v>
      </c>
      <c r="D40" s="14">
        <f t="shared" si="3"/>
        <v>208054.12</v>
      </c>
      <c r="E40" s="3">
        <f t="shared" si="4"/>
        <v>105396.5</v>
      </c>
      <c r="F40" s="13">
        <f t="shared" si="5"/>
        <v>99291.169999999984</v>
      </c>
      <c r="G40" s="14">
        <f t="shared" si="6"/>
        <v>204687.66999999998</v>
      </c>
      <c r="H40" s="3">
        <f t="shared" si="10"/>
        <v>105286.43000000002</v>
      </c>
      <c r="I40" s="13">
        <f t="shared" si="7"/>
        <v>99586.410000000018</v>
      </c>
      <c r="J40" s="14">
        <f t="shared" si="8"/>
        <v>204872.84000000003</v>
      </c>
      <c r="V40" s="1">
        <v>8</v>
      </c>
      <c r="W40" s="3">
        <f t="shared" si="11"/>
        <v>24239.669270365001</v>
      </c>
      <c r="X40" s="13">
        <f t="shared" si="12"/>
        <v>20267.866971124</v>
      </c>
      <c r="Y40" s="13">
        <f t="shared" si="13"/>
        <v>12147.195512999999</v>
      </c>
      <c r="Z40" s="14">
        <f t="shared" si="14"/>
        <v>56.654731754488992</v>
      </c>
      <c r="AA40" s="3">
        <f t="shared" si="15"/>
        <v>25266.977147285001</v>
      </c>
      <c r="AB40" s="13">
        <f t="shared" si="16"/>
        <v>21375.387320574999</v>
      </c>
      <c r="AC40" s="13">
        <f t="shared" si="17"/>
        <v>12795.481336999999</v>
      </c>
      <c r="AD40" s="14">
        <f t="shared" si="18"/>
        <v>59.437845804859997</v>
      </c>
      <c r="AE40" s="3">
        <f t="shared" si="19"/>
        <v>24699.802011699998</v>
      </c>
      <c r="AF40" s="13">
        <f t="shared" si="9"/>
        <v>20812.161944631</v>
      </c>
      <c r="AG40" s="13">
        <f t="shared" si="20"/>
        <v>12740.981272000001</v>
      </c>
      <c r="AH40" s="14">
        <f t="shared" si="21"/>
        <v>58.252945228330994</v>
      </c>
    </row>
    <row r="41" spans="1:34" x14ac:dyDescent="0.25">
      <c r="A41" s="1">
        <v>10</v>
      </c>
      <c r="B41" s="18">
        <f t="shared" si="1"/>
        <v>119201.51999999999</v>
      </c>
      <c r="C41" s="13">
        <f t="shared" si="2"/>
        <v>114723.27000000002</v>
      </c>
      <c r="D41" s="14">
        <f t="shared" si="3"/>
        <v>233924.79</v>
      </c>
      <c r="E41" s="3">
        <f t="shared" si="4"/>
        <v>121468.45</v>
      </c>
      <c r="F41" s="13">
        <f t="shared" si="5"/>
        <v>116589.44</v>
      </c>
      <c r="G41" s="14">
        <f t="shared" si="6"/>
        <v>238057.89</v>
      </c>
      <c r="H41" s="3">
        <f t="shared" si="10"/>
        <v>122390.06</v>
      </c>
      <c r="I41" s="13">
        <f t="shared" si="7"/>
        <v>117291.42</v>
      </c>
      <c r="J41" s="14">
        <f t="shared" si="8"/>
        <v>239681.47999999998</v>
      </c>
      <c r="V41">
        <v>9</v>
      </c>
      <c r="W41" s="3">
        <f t="shared" si="11"/>
        <v>27963.535521545</v>
      </c>
      <c r="X41" s="13">
        <f t="shared" si="12"/>
        <v>23696.823206110999</v>
      </c>
      <c r="Y41" s="13">
        <f t="shared" si="13"/>
        <v>13619.644213000001</v>
      </c>
      <c r="Z41" s="14">
        <f t="shared" si="14"/>
        <v>65.280002940656004</v>
      </c>
      <c r="AA41" s="3">
        <f t="shared" si="15"/>
        <v>30937.503840855999</v>
      </c>
      <c r="AB41" s="13">
        <f t="shared" si="16"/>
        <v>26067.769341529001</v>
      </c>
      <c r="AC41" s="13">
        <f t="shared" si="17"/>
        <v>15111.033464</v>
      </c>
      <c r="AD41" s="14">
        <f t="shared" si="18"/>
        <v>72.116306646384999</v>
      </c>
      <c r="AE41" s="3">
        <f t="shared" si="19"/>
        <v>30231.482328204998</v>
      </c>
      <c r="AF41" s="13">
        <f t="shared" si="9"/>
        <v>25480.645580851</v>
      </c>
      <c r="AG41" s="13">
        <f t="shared" si="20"/>
        <v>14968.381264</v>
      </c>
      <c r="AH41" s="14">
        <f t="shared" si="21"/>
        <v>70.680509173055995</v>
      </c>
    </row>
    <row r="42" spans="1:34" x14ac:dyDescent="0.25">
      <c r="A42">
        <v>11</v>
      </c>
      <c r="B42" s="18">
        <f t="shared" si="1"/>
        <v>118972.04000000002</v>
      </c>
      <c r="C42" s="13">
        <f t="shared" si="2"/>
        <v>115301.96</v>
      </c>
      <c r="D42" s="14">
        <f t="shared" si="3"/>
        <v>234274.00000000003</v>
      </c>
      <c r="E42" s="3">
        <f t="shared" si="4"/>
        <v>121633.02</v>
      </c>
      <c r="F42" s="13">
        <f t="shared" si="5"/>
        <v>117769.84000000001</v>
      </c>
      <c r="G42" s="14">
        <f t="shared" si="6"/>
        <v>239402.86000000002</v>
      </c>
      <c r="H42" s="3">
        <f t="shared" si="10"/>
        <v>123661.75</v>
      </c>
      <c r="I42" s="13">
        <f t="shared" si="7"/>
        <v>119500.20999999999</v>
      </c>
      <c r="J42" s="14">
        <f t="shared" si="8"/>
        <v>243161.96</v>
      </c>
      <c r="V42" s="1">
        <v>10</v>
      </c>
      <c r="W42" s="3">
        <f t="shared" si="11"/>
        <v>30314.69844507</v>
      </c>
      <c r="X42" s="13">
        <f t="shared" si="12"/>
        <v>25289.872056485998</v>
      </c>
      <c r="Y42" s="13">
        <f t="shared" si="13"/>
        <v>14281.478660000001</v>
      </c>
      <c r="Z42" s="14">
        <f t="shared" si="14"/>
        <v>69.886049161556002</v>
      </c>
      <c r="AA42" s="3">
        <f t="shared" si="15"/>
        <v>34681.029204453</v>
      </c>
      <c r="AB42" s="13">
        <f t="shared" si="16"/>
        <v>29233.110180748001</v>
      </c>
      <c r="AC42" s="13">
        <f t="shared" si="17"/>
        <v>16584.059447</v>
      </c>
      <c r="AD42" s="14">
        <f t="shared" si="18"/>
        <v>80.498198832200998</v>
      </c>
      <c r="AE42" s="3">
        <f t="shared" si="19"/>
        <v>33929.674364399005</v>
      </c>
      <c r="AF42" s="13">
        <f t="shared" si="9"/>
        <v>28761.518976861</v>
      </c>
      <c r="AG42" s="13">
        <f t="shared" si="20"/>
        <v>16163.043655000001</v>
      </c>
      <c r="AH42" s="14">
        <f t="shared" si="21"/>
        <v>78.854236996259999</v>
      </c>
    </row>
    <row r="43" spans="1:34" x14ac:dyDescent="0.25">
      <c r="A43" s="1">
        <v>12</v>
      </c>
      <c r="B43" s="18">
        <f t="shared" si="1"/>
        <v>111900.17</v>
      </c>
      <c r="C43" s="13">
        <f t="shared" si="2"/>
        <v>108808.06</v>
      </c>
      <c r="D43" s="14">
        <f t="shared" si="3"/>
        <v>220708.22999999998</v>
      </c>
      <c r="E43" s="3">
        <f t="shared" si="4"/>
        <v>111739.15999999999</v>
      </c>
      <c r="F43" s="13">
        <f t="shared" si="5"/>
        <v>108460.03</v>
      </c>
      <c r="G43" s="14">
        <f t="shared" si="6"/>
        <v>220199.19</v>
      </c>
      <c r="H43" s="3">
        <f t="shared" si="10"/>
        <v>114014.51000000001</v>
      </c>
      <c r="I43" s="13">
        <f t="shared" si="7"/>
        <v>110143.39</v>
      </c>
      <c r="J43" s="14">
        <f t="shared" si="8"/>
        <v>224157.90000000002</v>
      </c>
      <c r="V43">
        <v>11</v>
      </c>
      <c r="W43" s="3">
        <f t="shared" si="11"/>
        <v>31366.804804348001</v>
      </c>
      <c r="X43" s="13">
        <f t="shared" si="12"/>
        <v>26434.447800099999</v>
      </c>
      <c r="Y43" s="13">
        <f t="shared" si="13"/>
        <v>14758.286679999999</v>
      </c>
      <c r="Z43" s="14">
        <f t="shared" si="14"/>
        <v>72.559539284448007</v>
      </c>
      <c r="AA43" s="3">
        <f t="shared" si="15"/>
        <v>36186.658692735</v>
      </c>
      <c r="AB43" s="13">
        <f t="shared" si="16"/>
        <v>30661.303410589</v>
      </c>
      <c r="AC43" s="13">
        <f t="shared" si="17"/>
        <v>17301.338279</v>
      </c>
      <c r="AD43" s="14">
        <f t="shared" si="18"/>
        <v>84.149300382324</v>
      </c>
      <c r="AE43" s="3">
        <f t="shared" si="19"/>
        <v>36094.216667975001</v>
      </c>
      <c r="AF43" s="13">
        <f t="shared" si="9"/>
        <v>30498.208546611</v>
      </c>
      <c r="AG43" s="13">
        <f t="shared" si="20"/>
        <v>16959.104596000001</v>
      </c>
      <c r="AH43" s="14">
        <f t="shared" si="21"/>
        <v>83.551529810586004</v>
      </c>
    </row>
    <row r="44" spans="1:34" x14ac:dyDescent="0.25">
      <c r="A44">
        <v>13</v>
      </c>
      <c r="B44" s="18">
        <f t="shared" si="1"/>
        <v>101775.62</v>
      </c>
      <c r="C44" s="13">
        <f t="shared" si="2"/>
        <v>99419.900000000009</v>
      </c>
      <c r="D44" s="14">
        <f t="shared" si="3"/>
        <v>201195.52000000002</v>
      </c>
      <c r="E44" s="3">
        <f t="shared" si="4"/>
        <v>95398.22</v>
      </c>
      <c r="F44" s="13">
        <f t="shared" si="5"/>
        <v>92587.78</v>
      </c>
      <c r="G44" s="14">
        <f t="shared" si="6"/>
        <v>187986</v>
      </c>
      <c r="H44" s="3" t="e">
        <f t="shared" si="10"/>
        <v>#N/A</v>
      </c>
      <c r="I44" s="13" t="e">
        <f t="shared" si="7"/>
        <v>#N/A</v>
      </c>
      <c r="J44" s="14" t="e">
        <f t="shared" si="8"/>
        <v>#N/A</v>
      </c>
      <c r="V44" s="1">
        <v>12</v>
      </c>
      <c r="W44" s="3">
        <f t="shared" si="11"/>
        <v>31623.934816370998</v>
      </c>
      <c r="X44" s="13">
        <f t="shared" si="12"/>
        <v>26549.569809356999</v>
      </c>
      <c r="Y44" s="13">
        <f t="shared" si="13"/>
        <v>14607.337629</v>
      </c>
      <c r="Z44" s="14">
        <f t="shared" si="14"/>
        <v>72.780842254727986</v>
      </c>
      <c r="AA44" s="3">
        <f t="shared" si="15"/>
        <v>36604.947493993001</v>
      </c>
      <c r="AB44" s="13">
        <f t="shared" si="16"/>
        <v>31137.565295411001</v>
      </c>
      <c r="AC44" s="13">
        <f t="shared" si="17"/>
        <v>17174.389217</v>
      </c>
      <c r="AD44" s="14">
        <f t="shared" si="18"/>
        <v>84.916902006404015</v>
      </c>
      <c r="AE44" s="3">
        <f t="shared" si="19"/>
        <v>36590.189951467997</v>
      </c>
      <c r="AF44" s="13">
        <f t="shared" si="9"/>
        <v>30934.912503308999</v>
      </c>
      <c r="AG44" s="13">
        <f t="shared" si="20"/>
        <v>17133.440953000001</v>
      </c>
      <c r="AH44" s="14">
        <f t="shared" si="21"/>
        <v>84.658543407776989</v>
      </c>
    </row>
    <row r="45" spans="1:34" x14ac:dyDescent="0.25">
      <c r="A45" s="1">
        <v>14</v>
      </c>
      <c r="B45" s="18">
        <f t="shared" si="1"/>
        <v>107995.51999999999</v>
      </c>
      <c r="C45" s="13">
        <f t="shared" si="2"/>
        <v>104446.5</v>
      </c>
      <c r="D45" s="14">
        <f t="shared" si="3"/>
        <v>212442.02</v>
      </c>
      <c r="E45" s="3">
        <f t="shared" si="4"/>
        <v>94309.930000000008</v>
      </c>
      <c r="F45" s="13">
        <f t="shared" si="5"/>
        <v>91346.829999999987</v>
      </c>
      <c r="G45" s="14">
        <f t="shared" si="6"/>
        <v>185656.76</v>
      </c>
      <c r="H45" s="3" t="e">
        <f t="shared" si="10"/>
        <v>#N/A</v>
      </c>
      <c r="I45" s="13" t="e">
        <f t="shared" si="7"/>
        <v>#N/A</v>
      </c>
      <c r="J45" s="14" t="e">
        <f t="shared" si="8"/>
        <v>#N/A</v>
      </c>
      <c r="V45">
        <v>13</v>
      </c>
      <c r="W45" s="3">
        <f t="shared" si="11"/>
        <v>29403.393244383999</v>
      </c>
      <c r="X45" s="13">
        <f t="shared" si="12"/>
        <v>24669.037957125998</v>
      </c>
      <c r="Y45" s="13">
        <f t="shared" si="13"/>
        <v>13689.576548999999</v>
      </c>
      <c r="Z45" s="14">
        <f t="shared" si="14"/>
        <v>67.762007750510008</v>
      </c>
      <c r="AA45" s="3">
        <f t="shared" si="15"/>
        <v>33865.906085438</v>
      </c>
      <c r="AB45" s="13">
        <f t="shared" si="16"/>
        <v>28627.094852941002</v>
      </c>
      <c r="AC45" s="13">
        <f t="shared" si="17"/>
        <v>15935.455513000001</v>
      </c>
      <c r="AD45" s="14">
        <f t="shared" si="18"/>
        <v>78.428456451378992</v>
      </c>
      <c r="AE45" s="3" t="e">
        <f t="shared" si="19"/>
        <v>#N/A</v>
      </c>
      <c r="AF45" s="13" t="e">
        <f t="shared" si="9"/>
        <v>#N/A</v>
      </c>
      <c r="AG45" s="13" t="e">
        <f t="shared" si="20"/>
        <v>#N/A</v>
      </c>
      <c r="AH45" s="14" t="e">
        <f t="shared" si="21"/>
        <v>#N/A</v>
      </c>
    </row>
    <row r="46" spans="1:34" x14ac:dyDescent="0.25">
      <c r="A46">
        <v>15</v>
      </c>
      <c r="B46" s="18">
        <f t="shared" si="1"/>
        <v>113656.59999999999</v>
      </c>
      <c r="C46" s="13">
        <f t="shared" si="2"/>
        <v>109943.01999999997</v>
      </c>
      <c r="D46" s="14">
        <f t="shared" si="3"/>
        <v>223599.61999999997</v>
      </c>
      <c r="E46" s="3">
        <f t="shared" si="4"/>
        <v>98705.819999999992</v>
      </c>
      <c r="F46" s="13">
        <f t="shared" si="5"/>
        <v>96028.760000000009</v>
      </c>
      <c r="G46" s="14">
        <f t="shared" si="6"/>
        <v>194734.58000000002</v>
      </c>
      <c r="H46" s="3" t="e">
        <f t="shared" si="10"/>
        <v>#N/A</v>
      </c>
      <c r="I46" s="13" t="e">
        <f t="shared" si="7"/>
        <v>#N/A</v>
      </c>
      <c r="J46" s="14" t="e">
        <f t="shared" si="8"/>
        <v>#N/A</v>
      </c>
      <c r="V46" s="1">
        <v>14</v>
      </c>
      <c r="W46" s="3">
        <f t="shared" si="11"/>
        <v>32074.851911123002</v>
      </c>
      <c r="X46" s="13">
        <f t="shared" si="12"/>
        <v>27092.155600001999</v>
      </c>
      <c r="Y46" s="13">
        <f t="shared" si="13"/>
        <v>14793.90042</v>
      </c>
      <c r="Z46" s="14">
        <f t="shared" si="14"/>
        <v>73.960907931125007</v>
      </c>
      <c r="AA46" s="3">
        <f t="shared" si="15"/>
        <v>35726.169162032005</v>
      </c>
      <c r="AB46" s="13">
        <f t="shared" si="16"/>
        <v>29917.706419883001</v>
      </c>
      <c r="AC46" s="13">
        <f t="shared" si="17"/>
        <v>16557.952599</v>
      </c>
      <c r="AD46" s="14">
        <f t="shared" si="18"/>
        <v>82.201828180915001</v>
      </c>
      <c r="AE46" s="3" t="e">
        <f t="shared" si="19"/>
        <v>#N/A</v>
      </c>
      <c r="AF46" s="13" t="e">
        <f t="shared" si="9"/>
        <v>#N/A</v>
      </c>
      <c r="AG46" s="13" t="e">
        <f t="shared" si="20"/>
        <v>#N/A</v>
      </c>
      <c r="AH46" s="14" t="e">
        <f t="shared" si="21"/>
        <v>#N/A</v>
      </c>
    </row>
    <row r="47" spans="1:34" x14ac:dyDescent="0.25">
      <c r="A47" s="1">
        <v>16</v>
      </c>
      <c r="B47" s="18">
        <f t="shared" si="1"/>
        <v>114434.18000000001</v>
      </c>
      <c r="C47" s="13">
        <f t="shared" si="2"/>
        <v>111271.34999999998</v>
      </c>
      <c r="D47" s="14">
        <f t="shared" si="3"/>
        <v>225705.52999999997</v>
      </c>
      <c r="E47" s="3">
        <f t="shared" si="4"/>
        <v>103649.87</v>
      </c>
      <c r="F47" s="13">
        <f t="shared" si="5"/>
        <v>100908.4</v>
      </c>
      <c r="G47" s="14">
        <f t="shared" si="6"/>
        <v>204558.27</v>
      </c>
      <c r="H47" s="3" t="e">
        <f t="shared" si="10"/>
        <v>#N/A</v>
      </c>
      <c r="I47" s="13" t="e">
        <f t="shared" si="7"/>
        <v>#N/A</v>
      </c>
      <c r="J47" s="14" t="e">
        <f t="shared" si="8"/>
        <v>#N/A</v>
      </c>
      <c r="V47">
        <v>15</v>
      </c>
      <c r="W47" s="3">
        <f t="shared" si="11"/>
        <v>34341.998998789</v>
      </c>
      <c r="X47" s="13">
        <f t="shared" si="12"/>
        <v>28923.105594327</v>
      </c>
      <c r="Y47" s="13">
        <f t="shared" si="13"/>
        <v>15905.449651999999</v>
      </c>
      <c r="Z47" s="14">
        <f t="shared" si="14"/>
        <v>79.170554245115994</v>
      </c>
      <c r="AA47" s="3">
        <f t="shared" si="15"/>
        <v>37232.842510864</v>
      </c>
      <c r="AB47" s="13">
        <f t="shared" si="16"/>
        <v>31604.365599065</v>
      </c>
      <c r="AC47" s="13">
        <f t="shared" si="17"/>
        <v>17462.697518000001</v>
      </c>
      <c r="AD47" s="14">
        <f t="shared" si="18"/>
        <v>86.299905627928993</v>
      </c>
      <c r="AE47" s="3" t="e">
        <f t="shared" si="19"/>
        <v>#N/A</v>
      </c>
      <c r="AF47" s="13" t="e">
        <f t="shared" si="9"/>
        <v>#N/A</v>
      </c>
      <c r="AG47" s="13" t="e">
        <f t="shared" si="20"/>
        <v>#N/A</v>
      </c>
      <c r="AH47" s="14" t="e">
        <f t="shared" si="21"/>
        <v>#N/A</v>
      </c>
    </row>
    <row r="48" spans="1:34" x14ac:dyDescent="0.25">
      <c r="A48">
        <v>17</v>
      </c>
      <c r="B48" s="18">
        <f t="shared" si="1"/>
        <v>117233.45</v>
      </c>
      <c r="C48" s="13">
        <f t="shared" si="2"/>
        <v>114001.46</v>
      </c>
      <c r="D48" s="14">
        <f t="shared" si="3"/>
        <v>231234.91</v>
      </c>
      <c r="E48" s="3">
        <f t="shared" si="4"/>
        <v>113028.37000000001</v>
      </c>
      <c r="F48" s="13">
        <f t="shared" si="5"/>
        <v>109305.65</v>
      </c>
      <c r="G48" s="14">
        <f t="shared" si="6"/>
        <v>222334.02000000002</v>
      </c>
      <c r="H48" s="3" t="e">
        <f t="shared" si="10"/>
        <v>#N/A</v>
      </c>
      <c r="I48" s="13" t="e">
        <f t="shared" si="7"/>
        <v>#N/A</v>
      </c>
      <c r="J48" s="14" t="e">
        <f t="shared" si="8"/>
        <v>#N/A</v>
      </c>
      <c r="V48" s="1">
        <v>16</v>
      </c>
      <c r="W48" s="3">
        <f t="shared" si="11"/>
        <v>32976.137242729004</v>
      </c>
      <c r="X48" s="13">
        <f t="shared" si="12"/>
        <v>27908.245251969001</v>
      </c>
      <c r="Y48" s="13">
        <f t="shared" si="13"/>
        <v>15502.154666</v>
      </c>
      <c r="Z48" s="14">
        <f t="shared" si="14"/>
        <v>76.386537160697998</v>
      </c>
      <c r="AA48" s="3">
        <f t="shared" si="15"/>
        <v>35892.021992476002</v>
      </c>
      <c r="AB48" s="13">
        <f t="shared" si="16"/>
        <v>30332.631577880999</v>
      </c>
      <c r="AC48" s="13">
        <f t="shared" si="17"/>
        <v>16946.164556</v>
      </c>
      <c r="AD48" s="14">
        <f t="shared" si="18"/>
        <v>83.170818126357005</v>
      </c>
      <c r="AE48" s="3" t="e">
        <f t="shared" si="19"/>
        <v>#N/A</v>
      </c>
      <c r="AF48" s="13" t="e">
        <f t="shared" si="9"/>
        <v>#N/A</v>
      </c>
      <c r="AG48" s="13" t="e">
        <f t="shared" si="20"/>
        <v>#N/A</v>
      </c>
      <c r="AH48" s="14" t="e">
        <f t="shared" si="21"/>
        <v>#N/A</v>
      </c>
    </row>
    <row r="49" spans="1:34" x14ac:dyDescent="0.25">
      <c r="A49" s="1">
        <v>18</v>
      </c>
      <c r="B49" s="18">
        <f t="shared" si="1"/>
        <v>121784.27</v>
      </c>
      <c r="C49" s="13">
        <f t="shared" si="2"/>
        <v>118561.77</v>
      </c>
      <c r="D49" s="14">
        <f t="shared" si="3"/>
        <v>240346.04</v>
      </c>
      <c r="E49" s="3">
        <f t="shared" si="4"/>
        <v>119512.76000000001</v>
      </c>
      <c r="F49" s="13">
        <f t="shared" si="5"/>
        <v>115176.63999999998</v>
      </c>
      <c r="G49" s="14">
        <f t="shared" si="6"/>
        <v>234689.4</v>
      </c>
      <c r="H49" s="3" t="e">
        <f t="shared" si="10"/>
        <v>#N/A</v>
      </c>
      <c r="I49" s="13" t="e">
        <f t="shared" si="7"/>
        <v>#N/A</v>
      </c>
      <c r="J49" s="14" t="e">
        <f t="shared" si="8"/>
        <v>#N/A</v>
      </c>
      <c r="V49">
        <v>17</v>
      </c>
      <c r="W49" s="3">
        <f t="shared" si="11"/>
        <v>29426.490048348001</v>
      </c>
      <c r="X49" s="13">
        <f t="shared" si="12"/>
        <v>24751.265917256002</v>
      </c>
      <c r="Y49" s="13">
        <f t="shared" si="13"/>
        <v>14000.016676000001</v>
      </c>
      <c r="Z49" s="14">
        <f t="shared" si="14"/>
        <v>68.177772641604008</v>
      </c>
      <c r="AA49" s="3">
        <f t="shared" si="15"/>
        <v>33079.767094128998</v>
      </c>
      <c r="AB49" s="13">
        <f t="shared" si="16"/>
        <v>27788.352614971001</v>
      </c>
      <c r="AC49" s="13">
        <f t="shared" si="17"/>
        <v>15997.242726999999</v>
      </c>
      <c r="AD49" s="14">
        <f t="shared" si="18"/>
        <v>76.8653624361</v>
      </c>
      <c r="AE49" s="3" t="e">
        <f t="shared" si="19"/>
        <v>#N/A</v>
      </c>
      <c r="AF49" s="13" t="e">
        <f t="shared" si="9"/>
        <v>#N/A</v>
      </c>
      <c r="AG49" s="13" t="e">
        <f t="shared" si="20"/>
        <v>#N/A</v>
      </c>
      <c r="AH49" s="14" t="e">
        <f t="shared" si="21"/>
        <v>#N/A</v>
      </c>
    </row>
    <row r="50" spans="1:34" x14ac:dyDescent="0.25">
      <c r="A50">
        <v>19</v>
      </c>
      <c r="B50" s="18">
        <f t="shared" si="1"/>
        <v>186187.821</v>
      </c>
      <c r="C50" s="13">
        <f t="shared" si="2"/>
        <v>179253.07900000003</v>
      </c>
      <c r="D50" s="14">
        <f t="shared" si="3"/>
        <v>365440.9</v>
      </c>
      <c r="E50" s="3">
        <f t="shared" si="4"/>
        <v>190126.87</v>
      </c>
      <c r="F50" s="13">
        <f t="shared" si="5"/>
        <v>179839.06</v>
      </c>
      <c r="G50" s="14">
        <f t="shared" si="6"/>
        <v>369965.93</v>
      </c>
      <c r="H50" s="3" t="e">
        <f t="shared" si="10"/>
        <v>#N/A</v>
      </c>
      <c r="I50" s="13" t="e">
        <f t="shared" si="7"/>
        <v>#N/A</v>
      </c>
      <c r="J50" s="14" t="e">
        <f t="shared" si="8"/>
        <v>#N/A</v>
      </c>
      <c r="V50" s="1">
        <v>18</v>
      </c>
      <c r="W50" s="3">
        <f t="shared" si="11"/>
        <v>30253.348515547001</v>
      </c>
      <c r="X50" s="13">
        <f t="shared" si="12"/>
        <v>25350.081246802001</v>
      </c>
      <c r="Y50" s="13">
        <f t="shared" si="13"/>
        <v>14074.135514000001</v>
      </c>
      <c r="Z50" s="14">
        <f t="shared" si="14"/>
        <v>69.677565276348986</v>
      </c>
      <c r="AA50" s="3">
        <f t="shared" si="15"/>
        <v>29436.911778614001</v>
      </c>
      <c r="AB50" s="13">
        <f t="shared" si="16"/>
        <v>25066.38078802</v>
      </c>
      <c r="AC50" s="13">
        <f t="shared" si="17"/>
        <v>15931.431967</v>
      </c>
      <c r="AD50" s="14">
        <f t="shared" si="18"/>
        <v>70.434724533633997</v>
      </c>
      <c r="AE50" s="3" t="e">
        <f t="shared" si="19"/>
        <v>#N/A</v>
      </c>
      <c r="AF50" s="13" t="e">
        <f t="shared" si="9"/>
        <v>#N/A</v>
      </c>
      <c r="AG50" s="13" t="e">
        <f t="shared" si="20"/>
        <v>#N/A</v>
      </c>
      <c r="AH50" s="14" t="e">
        <f t="shared" si="21"/>
        <v>#N/A</v>
      </c>
    </row>
    <row r="51" spans="1:34" x14ac:dyDescent="0.25">
      <c r="A51" s="1">
        <v>20</v>
      </c>
      <c r="B51" s="18">
        <f t="shared" si="1"/>
        <v>202585.27199999997</v>
      </c>
      <c r="C51" s="13">
        <f t="shared" si="2"/>
        <v>195500.39200000002</v>
      </c>
      <c r="D51" s="14">
        <f t="shared" si="3"/>
        <v>398085.66399999999</v>
      </c>
      <c r="E51" s="3">
        <f t="shared" si="4"/>
        <v>189375.75800000003</v>
      </c>
      <c r="F51" s="13">
        <f t="shared" si="5"/>
        <v>180282.40000000002</v>
      </c>
      <c r="G51" s="14">
        <f t="shared" si="6"/>
        <v>369658.15800000005</v>
      </c>
      <c r="H51" s="3" t="e">
        <f t="shared" si="10"/>
        <v>#N/A</v>
      </c>
      <c r="I51" s="13" t="e">
        <f t="shared" si="7"/>
        <v>#N/A</v>
      </c>
      <c r="J51" s="14" t="e">
        <f t="shared" si="8"/>
        <v>#N/A</v>
      </c>
      <c r="V51">
        <v>19</v>
      </c>
      <c r="W51" s="3">
        <f t="shared" si="11"/>
        <v>33554.843396198004</v>
      </c>
      <c r="X51" s="13">
        <f t="shared" si="12"/>
        <v>28234.742999787999</v>
      </c>
      <c r="Y51" s="13">
        <f t="shared" si="13"/>
        <v>15492.579985000002</v>
      </c>
      <c r="Z51" s="14">
        <f t="shared" si="14"/>
        <v>77.282166380985998</v>
      </c>
      <c r="AA51" s="3">
        <f t="shared" si="15"/>
        <v>38029.054944126998</v>
      </c>
      <c r="AB51" s="13">
        <f t="shared" si="16"/>
        <v>32284.561287184999</v>
      </c>
      <c r="AC51" s="13">
        <f t="shared" si="17"/>
        <v>17651.348043999998</v>
      </c>
      <c r="AD51" s="14">
        <f t="shared" si="18"/>
        <v>87.964964275311999</v>
      </c>
      <c r="AE51" s="3" t="e">
        <f t="shared" si="19"/>
        <v>#N/A</v>
      </c>
      <c r="AF51" s="13" t="e">
        <f t="shared" si="9"/>
        <v>#N/A</v>
      </c>
      <c r="AG51" s="13" t="e">
        <f t="shared" si="20"/>
        <v>#N/A</v>
      </c>
      <c r="AH51" s="14" t="e">
        <f t="shared" si="21"/>
        <v>#N/A</v>
      </c>
    </row>
    <row r="52" spans="1:34" x14ac:dyDescent="0.25">
      <c r="A52">
        <v>21</v>
      </c>
      <c r="B52" s="18">
        <f t="shared" si="1"/>
        <v>191948.33000000002</v>
      </c>
      <c r="C52" s="13">
        <f t="shared" si="2"/>
        <v>185346.391</v>
      </c>
      <c r="D52" s="14">
        <f t="shared" si="3"/>
        <v>377294.72100000002</v>
      </c>
      <c r="E52" s="3">
        <f t="shared" si="4"/>
        <v>171513.94</v>
      </c>
      <c r="F52" s="13">
        <f t="shared" si="5"/>
        <v>163317.44899999999</v>
      </c>
      <c r="G52" s="14">
        <f t="shared" si="6"/>
        <v>334831.38899999997</v>
      </c>
      <c r="H52" s="3" t="e">
        <f t="shared" si="10"/>
        <v>#N/A</v>
      </c>
      <c r="I52" s="13" t="e">
        <f t="shared" si="7"/>
        <v>#N/A</v>
      </c>
      <c r="J52" s="14" t="e">
        <f t="shared" si="8"/>
        <v>#N/A</v>
      </c>
      <c r="V52" s="1">
        <v>20</v>
      </c>
      <c r="W52" s="3">
        <f t="shared" si="11"/>
        <v>37952.123177122005</v>
      </c>
      <c r="X52" s="13">
        <f t="shared" si="12"/>
        <v>31647.510834571</v>
      </c>
      <c r="Y52" s="13">
        <f t="shared" si="13"/>
        <v>17373.291802</v>
      </c>
      <c r="Z52" s="14">
        <f t="shared" si="14"/>
        <v>86.972925813692996</v>
      </c>
      <c r="AA52" s="3">
        <f t="shared" si="15"/>
        <v>41502.646251792001</v>
      </c>
      <c r="AB52" s="13">
        <f t="shared" si="16"/>
        <v>35421.835778843</v>
      </c>
      <c r="AC52" s="13">
        <f t="shared" si="17"/>
        <v>19044.787805999997</v>
      </c>
      <c r="AD52" s="14">
        <f t="shared" si="18"/>
        <v>95.969269836634993</v>
      </c>
      <c r="AE52" s="3" t="e">
        <f t="shared" si="19"/>
        <v>#N/A</v>
      </c>
      <c r="AF52" s="13" t="e">
        <f t="shared" si="9"/>
        <v>#N/A</v>
      </c>
      <c r="AG52" s="13" t="e">
        <f t="shared" si="20"/>
        <v>#N/A</v>
      </c>
      <c r="AH52" s="14" t="e">
        <f t="shared" si="21"/>
        <v>#N/A</v>
      </c>
    </row>
    <row r="53" spans="1:34" x14ac:dyDescent="0.25">
      <c r="A53" s="1">
        <v>22</v>
      </c>
      <c r="B53" s="18">
        <f t="shared" si="1"/>
        <v>147886.40899999999</v>
      </c>
      <c r="C53" s="13">
        <f t="shared" si="2"/>
        <v>142957.97</v>
      </c>
      <c r="D53" s="14">
        <f t="shared" si="3"/>
        <v>290844.37899999996</v>
      </c>
      <c r="E53" s="3">
        <f t="shared" si="4"/>
        <v>117224.95</v>
      </c>
      <c r="F53" s="13">
        <f t="shared" si="5"/>
        <v>112302.27</v>
      </c>
      <c r="G53" s="14">
        <f t="shared" si="6"/>
        <v>229527.22</v>
      </c>
      <c r="H53" s="3" t="e">
        <f t="shared" si="10"/>
        <v>#N/A</v>
      </c>
      <c r="I53" s="13" t="e">
        <f t="shared" si="7"/>
        <v>#N/A</v>
      </c>
      <c r="J53" s="14" t="e">
        <f t="shared" si="8"/>
        <v>#N/A</v>
      </c>
      <c r="V53">
        <v>21</v>
      </c>
      <c r="W53" s="3">
        <f t="shared" si="11"/>
        <v>40579.695934919</v>
      </c>
      <c r="X53" s="13">
        <f t="shared" si="12"/>
        <v>33750.577457314001</v>
      </c>
      <c r="Y53" s="13">
        <f t="shared" si="13"/>
        <v>18455.641553000001</v>
      </c>
      <c r="Z53" s="14">
        <f t="shared" si="14"/>
        <v>92.785914945233003</v>
      </c>
      <c r="AA53" s="3">
        <f t="shared" si="15"/>
        <v>44288.381897847998</v>
      </c>
      <c r="AB53" s="13">
        <f t="shared" si="16"/>
        <v>37620.787915182998</v>
      </c>
      <c r="AC53" s="13">
        <f t="shared" si="17"/>
        <v>20006.971067999999</v>
      </c>
      <c r="AD53" s="14">
        <f t="shared" si="18"/>
        <v>101.916140881031</v>
      </c>
      <c r="AE53" s="3" t="e">
        <f t="shared" si="19"/>
        <v>#N/A</v>
      </c>
      <c r="AF53" s="13" t="e">
        <f t="shared" si="9"/>
        <v>#N/A</v>
      </c>
      <c r="AG53" s="13" t="e">
        <f t="shared" si="20"/>
        <v>#N/A</v>
      </c>
      <c r="AH53" s="14" t="e">
        <f t="shared" si="21"/>
        <v>#N/A</v>
      </c>
    </row>
    <row r="54" spans="1:34" x14ac:dyDescent="0.25">
      <c r="A54">
        <v>23</v>
      </c>
      <c r="B54" s="19">
        <f t="shared" si="1"/>
        <v>85112.819999999992</v>
      </c>
      <c r="C54" s="16">
        <f t="shared" si="2"/>
        <v>82227.740000000005</v>
      </c>
      <c r="D54" s="17">
        <f t="shared" si="3"/>
        <v>167340.56</v>
      </c>
      <c r="E54" s="15">
        <f t="shared" si="4"/>
        <v>61760.739999999991</v>
      </c>
      <c r="F54" s="16">
        <f t="shared" si="5"/>
        <v>59318.28</v>
      </c>
      <c r="G54" s="17">
        <f t="shared" si="6"/>
        <v>121079.01999999999</v>
      </c>
      <c r="H54" s="15" t="e">
        <f t="shared" si="10"/>
        <v>#N/A</v>
      </c>
      <c r="I54" s="16" t="e">
        <f t="shared" si="7"/>
        <v>#N/A</v>
      </c>
      <c r="J54" s="17" t="e">
        <f t="shared" si="8"/>
        <v>#N/A</v>
      </c>
      <c r="V54" s="1">
        <v>22</v>
      </c>
      <c r="W54" s="3">
        <f t="shared" si="11"/>
        <v>43059.318297516002</v>
      </c>
      <c r="X54" s="13">
        <f t="shared" si="12"/>
        <v>35169.018216969002</v>
      </c>
      <c r="Y54" s="13">
        <f t="shared" si="13"/>
        <v>19605.297036</v>
      </c>
      <c r="Z54" s="14">
        <f t="shared" si="14"/>
        <v>97.833633550485018</v>
      </c>
      <c r="AA54" s="3">
        <f t="shared" si="15"/>
        <v>46110.806031268003</v>
      </c>
      <c r="AB54" s="13">
        <f t="shared" si="16"/>
        <v>38734.401084796998</v>
      </c>
      <c r="AC54" s="13">
        <f t="shared" si="17"/>
        <v>20758.111142000002</v>
      </c>
      <c r="AD54" s="14">
        <f t="shared" si="18"/>
        <v>105.603318258065</v>
      </c>
      <c r="AE54" s="3" t="e">
        <f t="shared" si="19"/>
        <v>#N/A</v>
      </c>
      <c r="AF54" s="13" t="e">
        <f t="shared" si="9"/>
        <v>#N/A</v>
      </c>
      <c r="AG54" s="13" t="e">
        <f t="shared" si="20"/>
        <v>#N/A</v>
      </c>
      <c r="AH54" s="14" t="e">
        <f t="shared" si="21"/>
        <v>#N/A</v>
      </c>
    </row>
    <row r="55" spans="1:34" x14ac:dyDescent="0.25">
      <c r="V55">
        <v>23</v>
      </c>
      <c r="W55" s="15">
        <f t="shared" si="11"/>
        <v>42515.678039271996</v>
      </c>
      <c r="X55" s="16">
        <f t="shared" si="12"/>
        <v>34691.202162889</v>
      </c>
      <c r="Y55" s="16">
        <f t="shared" si="13"/>
        <v>19599.417058999999</v>
      </c>
      <c r="Z55" s="17">
        <f t="shared" si="14"/>
        <v>96.806297261161006</v>
      </c>
      <c r="AA55" s="15">
        <f t="shared" si="15"/>
        <v>43520.128329879997</v>
      </c>
      <c r="AB55" s="16">
        <f t="shared" si="16"/>
        <v>36879.711246373001</v>
      </c>
      <c r="AC55" s="16">
        <f t="shared" si="17"/>
        <v>20047.404266000001</v>
      </c>
      <c r="AD55" s="17">
        <f t="shared" si="18"/>
        <v>100.447243842253</v>
      </c>
      <c r="AE55" s="15" t="e">
        <f t="shared" si="19"/>
        <v>#N/A</v>
      </c>
      <c r="AF55" s="16" t="e">
        <f t="shared" si="9"/>
        <v>#N/A</v>
      </c>
      <c r="AG55" s="16" t="e">
        <f t="shared" si="20"/>
        <v>#N/A</v>
      </c>
      <c r="AH55" s="14" t="e">
        <f t="shared" si="21"/>
        <v>#N/A</v>
      </c>
    </row>
    <row r="56" spans="1:34" x14ac:dyDescent="0.25">
      <c r="B56" s="54" t="s">
        <v>130</v>
      </c>
      <c r="C56" s="54">
        <v>43990.5</v>
      </c>
      <c r="D56" t="str">
        <f>"CS Core Status  [ "&amp; TEXT(B56,"mm/dd/yyyy hh:mm:ss") &amp;"   TO   "&amp; TEXT(C56,"mm/dd/yyyy hh:mm:ss")&amp;" ]"</f>
        <v>CS Core Status  [ 30/07/2020 00:00:00   TO   06/08/2020 12:00:00 ]</v>
      </c>
    </row>
    <row r="57" spans="1:34" x14ac:dyDescent="0.25">
      <c r="C57" t="s">
        <v>95</v>
      </c>
      <c r="D57" t="str">
        <f>LEFT(C57,2)&amp;" "&amp;TEXT(MID(C57,4,2)*30,"mmm")&amp;" Upto "&amp;RIGHT(C57,2) &amp;" Hrs CS Core Status"</f>
        <v>05 Jun Upto 16 Hrs CS Core Status</v>
      </c>
      <c r="E57" t="s">
        <v>20</v>
      </c>
      <c r="F57" t="s">
        <v>7</v>
      </c>
      <c r="W57" s="54" t="s">
        <v>130</v>
      </c>
      <c r="X57" s="54">
        <v>43990.5</v>
      </c>
      <c r="Y57" t="str">
        <f>"PS Core Status  [ "&amp; TEXT(W57,"mm/dd/yyyy hh:mm:ss") &amp;"   TO   "&amp; TEXT(X57,"mm/dd/yyyy hh:mm:ss")&amp;" ]"</f>
        <v>PS Core Status  [ 30/07/2020 00:00:00   TO   06/08/2020 12:00:00 ]</v>
      </c>
    </row>
    <row r="58" spans="1:34" x14ac:dyDescent="0.25">
      <c r="B58" t="s">
        <v>128</v>
      </c>
      <c r="D58" t="s">
        <v>94</v>
      </c>
      <c r="E58">
        <f>SUMIF(B3:C26,"&lt;&gt;#N/A")</f>
        <v>2214884.8019999997</v>
      </c>
      <c r="F58">
        <f>SUMIF(D3:E26,"&lt;&gt;#N/A")</f>
        <v>2132557.7320000003</v>
      </c>
      <c r="V58" t="s">
        <v>95</v>
      </c>
      <c r="W58" t="str">
        <f xml:space="preserve"> LEFT(V58,2)&amp;" "&amp;TEXT(MID(V58,4,2)*30,"mmm")&amp;" Upto "&amp;RIGHT(V58,2) &amp;" Hrs PS Core Status"</f>
        <v>05 Jun Upto 16 Hrs PS Core Status</v>
      </c>
    </row>
    <row r="59" spans="1:34" x14ac:dyDescent="0.25">
      <c r="B59" t="s">
        <v>113</v>
      </c>
      <c r="D59" t="s">
        <v>79</v>
      </c>
      <c r="E59">
        <f>SUMIF(F3:G26,"&lt;&gt;#N/A")</f>
        <v>2026590.4680000006</v>
      </c>
      <c r="F59">
        <f>SUMIF(H3:I26,"&lt;&gt;#N/A")</f>
        <v>1941480.8389999995</v>
      </c>
      <c r="W59" t="s">
        <v>128</v>
      </c>
      <c r="X59">
        <f>SUMIF(Z32:Z55,"&lt;&gt;#N/A")</f>
        <v>1511.8344137985259</v>
      </c>
    </row>
    <row r="60" spans="1:34" x14ac:dyDescent="0.25">
      <c r="B60" t="s">
        <v>30</v>
      </c>
      <c r="D60" t="s">
        <v>30</v>
      </c>
      <c r="E60">
        <f>SUMIF(J3:K26,"&lt;&gt;#N/A")</f>
        <v>676359.78</v>
      </c>
      <c r="F60">
        <f>SUMIF(L3:M26,"&lt;&gt;#N/A")</f>
        <v>644545.60000000009</v>
      </c>
      <c r="W60" t="s">
        <v>113</v>
      </c>
      <c r="X60">
        <f>SUMIF(AD32:AD55,"&lt;&gt;#N/A")</f>
        <v>1612.870792207772</v>
      </c>
    </row>
    <row r="61" spans="1:34" x14ac:dyDescent="0.25">
      <c r="W61" t="s">
        <v>30</v>
      </c>
      <c r="X61">
        <f>SUMIF(AH32:AH55,"&lt;&gt;#N/A")</f>
        <v>632.11290763584498</v>
      </c>
    </row>
  </sheetData>
  <dataConsolidate/>
  <mergeCells count="12">
    <mergeCell ref="AM1:AT1"/>
    <mergeCell ref="B1:E1"/>
    <mergeCell ref="F1:I1"/>
    <mergeCell ref="J1:M1"/>
    <mergeCell ref="W30:Z30"/>
    <mergeCell ref="AA30:AD30"/>
    <mergeCell ref="AE30:AH30"/>
    <mergeCell ref="W1:AD1"/>
    <mergeCell ref="AE1:AL1"/>
    <mergeCell ref="B30:D30"/>
    <mergeCell ref="E30:G30"/>
    <mergeCell ref="H30:J30"/>
  </mergeCells>
  <pageMargins left="0.7" right="0.7" top="0.75" bottom="0.75" header="0.3" footer="0.3"/>
  <pageSetup orientation="portrait" horizontalDpi="300" verticalDpi="300" r:id="rId1"/>
  <ignoredErrors>
    <ignoredError sqref="D31 G31 D32:D54 F59 G37 G32:G36 G38:G51 G52:G53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B193"/>
  <sheetViews>
    <sheetView workbookViewId="0">
      <selection activeCell="W1" sqref="W1"/>
    </sheetView>
  </sheetViews>
  <sheetFormatPr defaultRowHeight="15" x14ac:dyDescent="0.25"/>
  <sheetData>
    <row r="1" spans="1:28" x14ac:dyDescent="0.25">
      <c r="A1" s="2" t="s">
        <v>25</v>
      </c>
      <c r="B1" s="2" t="s">
        <v>26</v>
      </c>
      <c r="C1" s="2" t="s">
        <v>27</v>
      </c>
      <c r="D1" s="2" t="s">
        <v>28</v>
      </c>
      <c r="E1" s="2" t="s">
        <v>29</v>
      </c>
      <c r="G1" s="61" t="s">
        <v>82</v>
      </c>
      <c r="H1" s="61" t="s">
        <v>85</v>
      </c>
      <c r="I1" s="61" t="s">
        <v>86</v>
      </c>
      <c r="J1" s="61" t="s">
        <v>87</v>
      </c>
      <c r="K1" s="61" t="s">
        <v>83</v>
      </c>
      <c r="L1" s="61" t="s">
        <v>84</v>
      </c>
      <c r="M1" s="61" t="s">
        <v>88</v>
      </c>
      <c r="N1" s="61" t="s">
        <v>89</v>
      </c>
      <c r="P1" s="5" t="s">
        <v>90</v>
      </c>
      <c r="Q1" s="24" t="s">
        <v>93</v>
      </c>
      <c r="R1" s="24" t="s">
        <v>91</v>
      </c>
      <c r="S1" s="25" t="s">
        <v>92</v>
      </c>
      <c r="U1" s="5" t="s">
        <v>82</v>
      </c>
      <c r="V1" s="5" t="s">
        <v>85</v>
      </c>
      <c r="W1" s="5" t="s">
        <v>86</v>
      </c>
      <c r="X1" s="5" t="s">
        <v>87</v>
      </c>
      <c r="Y1" s="5" t="s">
        <v>83</v>
      </c>
      <c r="Z1" s="5" t="s">
        <v>84</v>
      </c>
      <c r="AA1" s="5" t="s">
        <v>88</v>
      </c>
      <c r="AB1" s="5" t="s">
        <v>89</v>
      </c>
    </row>
    <row r="2" spans="1:28" x14ac:dyDescent="0.25">
      <c r="A2" s="21">
        <v>0</v>
      </c>
      <c r="B2" s="22">
        <v>27750.940000000002</v>
      </c>
      <c r="C2" s="22">
        <v>12100.45</v>
      </c>
      <c r="D2" s="22">
        <v>27975.730000000003</v>
      </c>
      <c r="E2" s="23">
        <v>10001.86</v>
      </c>
      <c r="G2" s="21">
        <v>15425.809999999998</v>
      </c>
      <c r="H2" s="22">
        <v>6659.25</v>
      </c>
      <c r="I2" s="22">
        <v>14898.45</v>
      </c>
      <c r="J2" s="23">
        <v>5555.27</v>
      </c>
      <c r="K2" s="21">
        <v>12325.130000000001</v>
      </c>
      <c r="L2" s="22">
        <v>5441.2</v>
      </c>
      <c r="M2" s="22">
        <v>13077.28</v>
      </c>
      <c r="N2" s="23">
        <v>4446.59</v>
      </c>
      <c r="P2" s="3">
        <f>IF(U2="",ERROR.TYPE(7),U2+V2)</f>
        <v>22085.059999999998</v>
      </c>
      <c r="Q2" s="13">
        <f>IF(W2="",ERROR.TYPE(7),W2+X2)</f>
        <v>20453.72</v>
      </c>
      <c r="R2" s="13">
        <f>IF(Y2="",ERROR.TYPE(7),Y2+Z2)</f>
        <v>17766.330000000002</v>
      </c>
      <c r="S2" s="14">
        <f>IF(AA2="",ERROR.TYPE(7),AA2+AB2)</f>
        <v>17523.870000000003</v>
      </c>
      <c r="U2" s="21">
        <v>15425.809999999998</v>
      </c>
      <c r="V2" s="22">
        <v>6659.25</v>
      </c>
      <c r="W2" s="22">
        <v>14898.45</v>
      </c>
      <c r="X2" s="23">
        <v>5555.27</v>
      </c>
      <c r="Y2" s="21">
        <v>12325.130000000001</v>
      </c>
      <c r="Z2" s="22">
        <v>5441.2</v>
      </c>
      <c r="AA2" s="22">
        <v>13077.28</v>
      </c>
      <c r="AB2" s="23">
        <v>4446.59</v>
      </c>
    </row>
    <row r="3" spans="1:28" x14ac:dyDescent="0.25">
      <c r="A3" s="3">
        <v>1</v>
      </c>
      <c r="B3" s="13">
        <v>12840.25</v>
      </c>
      <c r="C3" s="13">
        <v>5832.79</v>
      </c>
      <c r="D3" s="13">
        <v>13117.7</v>
      </c>
      <c r="E3" s="14">
        <v>4686.12</v>
      </c>
      <c r="G3" s="3">
        <v>7431.32</v>
      </c>
      <c r="H3" s="13">
        <v>3264.3</v>
      </c>
      <c r="I3" s="13">
        <v>7672.52</v>
      </c>
      <c r="J3" s="14">
        <v>2654.17</v>
      </c>
      <c r="K3" s="3">
        <v>5408.93</v>
      </c>
      <c r="L3" s="13">
        <v>2568.4900000000002</v>
      </c>
      <c r="M3" s="13">
        <v>5445.18</v>
      </c>
      <c r="N3" s="14">
        <v>2031.9499999999998</v>
      </c>
      <c r="P3" s="3">
        <f t="shared" ref="P3:P66" si="0">IF(U3="",ERROR.TYPE(7),U3+V3)</f>
        <v>10695.619999999999</v>
      </c>
      <c r="Q3" s="13">
        <f t="shared" ref="Q3:Q66" si="1">IF(W3="",ERROR.TYPE(7),W3+X3)</f>
        <v>10326.69</v>
      </c>
      <c r="R3" s="13">
        <f t="shared" ref="R3:R66" si="2">IF(Y3="",ERROR.TYPE(7),Y3+Z3)</f>
        <v>7977.42</v>
      </c>
      <c r="S3" s="14">
        <f t="shared" ref="S3:S66" si="3">IF(AA3="",ERROR.TYPE(7),AA3+AB3)</f>
        <v>7477.13</v>
      </c>
      <c r="U3" s="3">
        <v>7431.32</v>
      </c>
      <c r="V3" s="13">
        <v>3264.3</v>
      </c>
      <c r="W3" s="13">
        <v>7672.52</v>
      </c>
      <c r="X3" s="14">
        <v>2654.17</v>
      </c>
      <c r="Y3" s="3">
        <v>5408.93</v>
      </c>
      <c r="Z3" s="13">
        <v>2568.4900000000002</v>
      </c>
      <c r="AA3" s="13">
        <v>5445.18</v>
      </c>
      <c r="AB3" s="14">
        <v>2031.9499999999998</v>
      </c>
    </row>
    <row r="4" spans="1:28" x14ac:dyDescent="0.25">
      <c r="A4" s="3">
        <v>2</v>
      </c>
      <c r="B4" s="13">
        <v>6283.48</v>
      </c>
      <c r="C4" s="13">
        <v>2839.7900000000004</v>
      </c>
      <c r="D4" s="13">
        <v>6494.4299999999994</v>
      </c>
      <c r="E4" s="14">
        <v>2345.04</v>
      </c>
      <c r="G4" s="3">
        <v>3887.1600000000003</v>
      </c>
      <c r="H4" s="13">
        <v>1624.08</v>
      </c>
      <c r="I4" s="13">
        <v>3866.6500000000005</v>
      </c>
      <c r="J4" s="14">
        <v>1340.1599999999999</v>
      </c>
      <c r="K4" s="3">
        <v>2396.3199999999997</v>
      </c>
      <c r="L4" s="13">
        <v>1215.71</v>
      </c>
      <c r="M4" s="13">
        <v>2627.7799999999997</v>
      </c>
      <c r="N4" s="14">
        <v>1004.8800000000001</v>
      </c>
      <c r="P4" s="3">
        <f t="shared" si="0"/>
        <v>5511.24</v>
      </c>
      <c r="Q4" s="13">
        <f t="shared" si="1"/>
        <v>5206.8100000000004</v>
      </c>
      <c r="R4" s="13">
        <f t="shared" si="2"/>
        <v>3612.0299999999997</v>
      </c>
      <c r="S4" s="14">
        <f t="shared" si="3"/>
        <v>3632.66</v>
      </c>
      <c r="U4" s="3">
        <v>3887.1600000000003</v>
      </c>
      <c r="V4" s="13">
        <v>1624.08</v>
      </c>
      <c r="W4" s="13">
        <v>3866.6500000000005</v>
      </c>
      <c r="X4" s="14">
        <v>1340.1599999999999</v>
      </c>
      <c r="Y4" s="3">
        <v>2396.3199999999997</v>
      </c>
      <c r="Z4" s="13">
        <v>1215.71</v>
      </c>
      <c r="AA4" s="13">
        <v>2627.7799999999997</v>
      </c>
      <c r="AB4" s="14">
        <v>1004.8800000000001</v>
      </c>
    </row>
    <row r="5" spans="1:28" x14ac:dyDescent="0.25">
      <c r="A5" s="3">
        <v>3</v>
      </c>
      <c r="B5" s="13">
        <v>3875.98</v>
      </c>
      <c r="C5" s="13">
        <v>1663.6100000000001</v>
      </c>
      <c r="D5" s="13">
        <v>4002.1</v>
      </c>
      <c r="E5" s="14">
        <v>1375.43</v>
      </c>
      <c r="G5" s="3">
        <v>2620.7600000000002</v>
      </c>
      <c r="H5" s="13">
        <v>1074.6500000000001</v>
      </c>
      <c r="I5" s="13">
        <v>2701.09</v>
      </c>
      <c r="J5" s="14">
        <v>1016.1</v>
      </c>
      <c r="K5" s="3">
        <v>1255.2199999999998</v>
      </c>
      <c r="L5" s="13">
        <v>588.96</v>
      </c>
      <c r="M5" s="13">
        <v>1301.01</v>
      </c>
      <c r="N5" s="14">
        <v>359.33000000000004</v>
      </c>
      <c r="P5" s="3">
        <f t="shared" si="0"/>
        <v>3695.4100000000003</v>
      </c>
      <c r="Q5" s="13">
        <f t="shared" si="1"/>
        <v>3717.19</v>
      </c>
      <c r="R5" s="13">
        <f t="shared" si="2"/>
        <v>1844.1799999999998</v>
      </c>
      <c r="S5" s="14">
        <f t="shared" si="3"/>
        <v>1660.3400000000001</v>
      </c>
      <c r="U5" s="3">
        <v>2620.7600000000002</v>
      </c>
      <c r="V5" s="13">
        <v>1074.6500000000001</v>
      </c>
      <c r="W5" s="13">
        <v>2701.09</v>
      </c>
      <c r="X5" s="14">
        <v>1016.1</v>
      </c>
      <c r="Y5" s="3">
        <v>1255.2199999999998</v>
      </c>
      <c r="Z5" s="13">
        <v>588.96</v>
      </c>
      <c r="AA5" s="13">
        <v>1301.01</v>
      </c>
      <c r="AB5" s="14">
        <v>359.33000000000004</v>
      </c>
    </row>
    <row r="6" spans="1:28" x14ac:dyDescent="0.25">
      <c r="A6" s="3">
        <v>4</v>
      </c>
      <c r="B6" s="13">
        <v>3317.12</v>
      </c>
      <c r="C6" s="13">
        <v>1204.26</v>
      </c>
      <c r="D6" s="13">
        <v>3350.57</v>
      </c>
      <c r="E6" s="14">
        <v>1025.02</v>
      </c>
      <c r="G6" s="3">
        <v>1719.6799999999998</v>
      </c>
      <c r="H6" s="13">
        <v>699.04</v>
      </c>
      <c r="I6" s="13">
        <v>1697.02</v>
      </c>
      <c r="J6" s="14">
        <v>590.80000000000007</v>
      </c>
      <c r="K6" s="3">
        <v>1597.44</v>
      </c>
      <c r="L6" s="13">
        <v>505.22</v>
      </c>
      <c r="M6" s="13">
        <v>1653.5499999999997</v>
      </c>
      <c r="N6" s="14">
        <v>434.22</v>
      </c>
      <c r="P6" s="3">
        <f t="shared" si="0"/>
        <v>2418.7199999999998</v>
      </c>
      <c r="Q6" s="13">
        <f t="shared" si="1"/>
        <v>2287.8200000000002</v>
      </c>
      <c r="R6" s="13">
        <f t="shared" si="2"/>
        <v>2102.66</v>
      </c>
      <c r="S6" s="14">
        <f t="shared" si="3"/>
        <v>2087.7699999999995</v>
      </c>
      <c r="U6" s="3">
        <v>1719.6799999999998</v>
      </c>
      <c r="V6" s="13">
        <v>699.04</v>
      </c>
      <c r="W6" s="13">
        <v>1697.02</v>
      </c>
      <c r="X6" s="14">
        <v>590.80000000000007</v>
      </c>
      <c r="Y6" s="3">
        <v>1597.44</v>
      </c>
      <c r="Z6" s="13">
        <v>505.22</v>
      </c>
      <c r="AA6" s="13">
        <v>1653.5499999999997</v>
      </c>
      <c r="AB6" s="14">
        <v>434.22</v>
      </c>
    </row>
    <row r="7" spans="1:28" x14ac:dyDescent="0.25">
      <c r="A7" s="3">
        <v>5</v>
      </c>
      <c r="B7" s="13">
        <v>9136.6399999999976</v>
      </c>
      <c r="C7" s="13">
        <v>2293</v>
      </c>
      <c r="D7" s="13">
        <v>8809.7500000000018</v>
      </c>
      <c r="E7" s="14">
        <v>1833.2399999999998</v>
      </c>
      <c r="G7" s="3">
        <v>5242.28</v>
      </c>
      <c r="H7" s="13">
        <v>1636.45</v>
      </c>
      <c r="I7" s="13">
        <v>4478.8500000000004</v>
      </c>
      <c r="J7" s="14">
        <v>1248.31</v>
      </c>
      <c r="K7" s="3">
        <v>3894.36</v>
      </c>
      <c r="L7" s="13">
        <v>656.55</v>
      </c>
      <c r="M7" s="13">
        <v>4330.9000000000005</v>
      </c>
      <c r="N7" s="14">
        <v>584.92999999999995</v>
      </c>
      <c r="P7" s="3">
        <f t="shared" si="0"/>
        <v>6878.73</v>
      </c>
      <c r="Q7" s="13">
        <f t="shared" si="1"/>
        <v>5727.16</v>
      </c>
      <c r="R7" s="13">
        <f t="shared" si="2"/>
        <v>4550.91</v>
      </c>
      <c r="S7" s="14">
        <f t="shared" si="3"/>
        <v>4915.8300000000008</v>
      </c>
      <c r="U7" s="3">
        <v>5242.28</v>
      </c>
      <c r="V7" s="13">
        <v>1636.45</v>
      </c>
      <c r="W7" s="13">
        <v>4478.8500000000004</v>
      </c>
      <c r="X7" s="14">
        <v>1248.31</v>
      </c>
      <c r="Y7" s="3">
        <v>3894.36</v>
      </c>
      <c r="Z7" s="13">
        <v>656.55</v>
      </c>
      <c r="AA7" s="13">
        <v>4330.9000000000005</v>
      </c>
      <c r="AB7" s="14">
        <v>584.92999999999995</v>
      </c>
    </row>
    <row r="8" spans="1:28" x14ac:dyDescent="0.25">
      <c r="A8" s="3">
        <v>6</v>
      </c>
      <c r="B8" s="13">
        <v>27461.3</v>
      </c>
      <c r="C8" s="13">
        <v>5974.829999999999</v>
      </c>
      <c r="D8" s="13">
        <v>25866.489999999998</v>
      </c>
      <c r="E8" s="14">
        <v>4577.7</v>
      </c>
      <c r="G8" s="3">
        <v>16266.76</v>
      </c>
      <c r="H8" s="13">
        <v>4175.2700000000004</v>
      </c>
      <c r="I8" s="13">
        <v>13457.56</v>
      </c>
      <c r="J8" s="14">
        <v>3028.36</v>
      </c>
      <c r="K8" s="3">
        <v>11194.54</v>
      </c>
      <c r="L8" s="13">
        <v>1799.56</v>
      </c>
      <c r="M8" s="13">
        <v>12408.929999999998</v>
      </c>
      <c r="N8" s="14">
        <v>1549.3400000000001</v>
      </c>
      <c r="P8" s="3">
        <f t="shared" si="0"/>
        <v>20442.03</v>
      </c>
      <c r="Q8" s="13">
        <f t="shared" si="1"/>
        <v>16485.919999999998</v>
      </c>
      <c r="R8" s="13">
        <f t="shared" si="2"/>
        <v>12994.1</v>
      </c>
      <c r="S8" s="14">
        <f t="shared" si="3"/>
        <v>13958.269999999999</v>
      </c>
      <c r="U8" s="3">
        <v>16266.76</v>
      </c>
      <c r="V8" s="13">
        <v>4175.2700000000004</v>
      </c>
      <c r="W8" s="13">
        <v>13457.56</v>
      </c>
      <c r="X8" s="14">
        <v>3028.36</v>
      </c>
      <c r="Y8" s="3">
        <v>11194.54</v>
      </c>
      <c r="Z8" s="13">
        <v>1799.56</v>
      </c>
      <c r="AA8" s="13">
        <v>12408.929999999998</v>
      </c>
      <c r="AB8" s="14">
        <v>1549.3400000000001</v>
      </c>
    </row>
    <row r="9" spans="1:28" x14ac:dyDescent="0.25">
      <c r="A9" s="3">
        <v>7</v>
      </c>
      <c r="B9" s="13">
        <v>48882.51</v>
      </c>
      <c r="C9" s="13">
        <v>11455.17</v>
      </c>
      <c r="D9" s="13">
        <v>46105.320000000007</v>
      </c>
      <c r="E9" s="14">
        <v>8856.869999999999</v>
      </c>
      <c r="G9" s="3">
        <v>26234.730000000003</v>
      </c>
      <c r="H9" s="13">
        <v>5796.34</v>
      </c>
      <c r="I9" s="13">
        <v>24438.33</v>
      </c>
      <c r="J9" s="14">
        <v>4522.3099999999995</v>
      </c>
      <c r="K9" s="3">
        <v>22647.78</v>
      </c>
      <c r="L9" s="13">
        <v>5658.83</v>
      </c>
      <c r="M9" s="13">
        <v>21666.989999999998</v>
      </c>
      <c r="N9" s="14">
        <v>4334.5599999999995</v>
      </c>
      <c r="P9" s="3">
        <f t="shared" si="0"/>
        <v>32031.070000000003</v>
      </c>
      <c r="Q9" s="13">
        <f t="shared" si="1"/>
        <v>28960.639999999999</v>
      </c>
      <c r="R9" s="13">
        <f t="shared" si="2"/>
        <v>28306.61</v>
      </c>
      <c r="S9" s="14">
        <f t="shared" si="3"/>
        <v>26001.549999999996</v>
      </c>
      <c r="U9" s="3">
        <v>26234.730000000003</v>
      </c>
      <c r="V9" s="13">
        <v>5796.34</v>
      </c>
      <c r="W9" s="13">
        <v>24438.33</v>
      </c>
      <c r="X9" s="14">
        <v>4522.3099999999995</v>
      </c>
      <c r="Y9" s="3">
        <v>22647.78</v>
      </c>
      <c r="Z9" s="13">
        <v>5658.83</v>
      </c>
      <c r="AA9" s="13">
        <v>21666.989999999998</v>
      </c>
      <c r="AB9" s="14">
        <v>4334.5599999999995</v>
      </c>
    </row>
    <row r="10" spans="1:28" x14ac:dyDescent="0.25">
      <c r="A10" s="3">
        <v>8</v>
      </c>
      <c r="B10" s="13">
        <v>66930.739999999991</v>
      </c>
      <c r="C10" s="13">
        <v>17625.810000000001</v>
      </c>
      <c r="D10" s="13">
        <v>64742.34</v>
      </c>
      <c r="E10" s="14">
        <v>14317.150000000003</v>
      </c>
      <c r="G10" s="3">
        <v>43795.99</v>
      </c>
      <c r="H10" s="13">
        <v>10678.800000000001</v>
      </c>
      <c r="I10" s="13">
        <v>41964.31</v>
      </c>
      <c r="J10" s="14">
        <v>8957.9100000000017</v>
      </c>
      <c r="K10" s="3">
        <v>23134.749999999996</v>
      </c>
      <c r="L10" s="13">
        <v>6947.01</v>
      </c>
      <c r="M10" s="13">
        <v>22778.030000000002</v>
      </c>
      <c r="N10" s="14">
        <v>5359.24</v>
      </c>
      <c r="P10" s="3">
        <f t="shared" si="0"/>
        <v>54474.79</v>
      </c>
      <c r="Q10" s="13">
        <f t="shared" si="1"/>
        <v>50922.22</v>
      </c>
      <c r="R10" s="13">
        <f t="shared" si="2"/>
        <v>30081.759999999995</v>
      </c>
      <c r="S10" s="14">
        <f t="shared" si="3"/>
        <v>28137.270000000004</v>
      </c>
      <c r="U10" s="3">
        <v>43795.99</v>
      </c>
      <c r="V10" s="13">
        <v>10678.800000000001</v>
      </c>
      <c r="W10" s="13">
        <v>41964.31</v>
      </c>
      <c r="X10" s="14">
        <v>8957.9100000000017</v>
      </c>
      <c r="Y10" s="3">
        <v>23134.749999999996</v>
      </c>
      <c r="Z10" s="13">
        <v>6947.01</v>
      </c>
      <c r="AA10" s="13">
        <v>22778.030000000002</v>
      </c>
      <c r="AB10" s="14">
        <v>5359.24</v>
      </c>
    </row>
    <row r="11" spans="1:28" x14ac:dyDescent="0.25">
      <c r="A11" s="3">
        <v>9</v>
      </c>
      <c r="B11" s="13">
        <v>82085.569999999992</v>
      </c>
      <c r="C11" s="13">
        <v>24656.54</v>
      </c>
      <c r="D11" s="13">
        <v>80476.350000000006</v>
      </c>
      <c r="E11" s="14">
        <v>20835.66</v>
      </c>
      <c r="G11" s="3">
        <v>51190.03</v>
      </c>
      <c r="H11" s="13">
        <v>15290.34</v>
      </c>
      <c r="I11" s="13">
        <v>48945.66</v>
      </c>
      <c r="J11" s="14">
        <v>13023.17</v>
      </c>
      <c r="K11" s="3">
        <v>30895.54</v>
      </c>
      <c r="L11" s="13">
        <v>9366.2000000000007</v>
      </c>
      <c r="M11" s="13">
        <v>31530.690000000002</v>
      </c>
      <c r="N11" s="14">
        <v>7812.49</v>
      </c>
      <c r="P11" s="3">
        <f t="shared" si="0"/>
        <v>66480.37</v>
      </c>
      <c r="Q11" s="13">
        <f t="shared" si="1"/>
        <v>61968.83</v>
      </c>
      <c r="R11" s="13">
        <f t="shared" si="2"/>
        <v>40261.740000000005</v>
      </c>
      <c r="S11" s="14">
        <f t="shared" si="3"/>
        <v>39343.18</v>
      </c>
      <c r="U11" s="3">
        <v>51190.03</v>
      </c>
      <c r="V11" s="13">
        <v>15290.34</v>
      </c>
      <c r="W11" s="13">
        <v>48945.66</v>
      </c>
      <c r="X11" s="14">
        <v>13023.17</v>
      </c>
      <c r="Y11" s="3">
        <v>30895.54</v>
      </c>
      <c r="Z11" s="13">
        <v>9366.2000000000007</v>
      </c>
      <c r="AA11" s="13">
        <v>31530.690000000002</v>
      </c>
      <c r="AB11" s="14">
        <v>7812.49</v>
      </c>
    </row>
    <row r="12" spans="1:28" x14ac:dyDescent="0.25">
      <c r="A12" s="3">
        <v>10</v>
      </c>
      <c r="B12" s="13">
        <v>88854.87999999999</v>
      </c>
      <c r="C12" s="13">
        <v>30346.639999999999</v>
      </c>
      <c r="D12" s="13">
        <v>88447.450000000012</v>
      </c>
      <c r="E12" s="14">
        <v>26275.820000000003</v>
      </c>
      <c r="G12" s="3">
        <v>53104.94</v>
      </c>
      <c r="H12" s="13">
        <v>18633.669999999998</v>
      </c>
      <c r="I12" s="13">
        <v>50323.95</v>
      </c>
      <c r="J12" s="14">
        <v>15904.660000000002</v>
      </c>
      <c r="K12" s="3">
        <v>35749.94</v>
      </c>
      <c r="L12" s="13">
        <v>11712.970000000001</v>
      </c>
      <c r="M12" s="13">
        <v>38123.5</v>
      </c>
      <c r="N12" s="14">
        <v>10371.16</v>
      </c>
      <c r="P12" s="3">
        <f t="shared" si="0"/>
        <v>71738.61</v>
      </c>
      <c r="Q12" s="13">
        <f t="shared" si="1"/>
        <v>66228.61</v>
      </c>
      <c r="R12" s="13">
        <f t="shared" si="2"/>
        <v>47462.91</v>
      </c>
      <c r="S12" s="14">
        <f t="shared" si="3"/>
        <v>48494.66</v>
      </c>
      <c r="U12" s="3">
        <v>53104.94</v>
      </c>
      <c r="V12" s="13">
        <v>18633.669999999998</v>
      </c>
      <c r="W12" s="13">
        <v>50323.95</v>
      </c>
      <c r="X12" s="14">
        <v>15904.660000000002</v>
      </c>
      <c r="Y12" s="3">
        <v>35749.94</v>
      </c>
      <c r="Z12" s="13">
        <v>11712.970000000001</v>
      </c>
      <c r="AA12" s="13">
        <v>38123.5</v>
      </c>
      <c r="AB12" s="14">
        <v>10371.16</v>
      </c>
    </row>
    <row r="13" spans="1:28" x14ac:dyDescent="0.25">
      <c r="A13" s="3">
        <v>11</v>
      </c>
      <c r="B13" s="13">
        <v>87260.540000000023</v>
      </c>
      <c r="C13" s="13">
        <v>31711.499999999996</v>
      </c>
      <c r="D13" s="13">
        <v>87241.11</v>
      </c>
      <c r="E13" s="14">
        <v>28060.850000000002</v>
      </c>
      <c r="G13" s="3">
        <v>45439.15</v>
      </c>
      <c r="H13" s="13">
        <v>16698.919999999998</v>
      </c>
      <c r="I13" s="13">
        <v>44341.060000000005</v>
      </c>
      <c r="J13" s="14">
        <v>14501.720000000001</v>
      </c>
      <c r="K13" s="3">
        <v>41821.39</v>
      </c>
      <c r="L13" s="13">
        <v>15012.58</v>
      </c>
      <c r="M13" s="13">
        <v>42900.05</v>
      </c>
      <c r="N13" s="14">
        <v>13559.130000000001</v>
      </c>
      <c r="P13" s="3">
        <f t="shared" si="0"/>
        <v>62138.07</v>
      </c>
      <c r="Q13" s="13">
        <f t="shared" si="1"/>
        <v>58842.780000000006</v>
      </c>
      <c r="R13" s="13">
        <f t="shared" si="2"/>
        <v>56833.97</v>
      </c>
      <c r="S13" s="14">
        <f t="shared" si="3"/>
        <v>56459.180000000008</v>
      </c>
      <c r="U13" s="3">
        <v>45439.15</v>
      </c>
      <c r="V13" s="13">
        <v>16698.919999999998</v>
      </c>
      <c r="W13" s="13">
        <v>44341.060000000005</v>
      </c>
      <c r="X13" s="14">
        <v>14501.720000000001</v>
      </c>
      <c r="Y13" s="3">
        <v>41821.39</v>
      </c>
      <c r="Z13" s="13">
        <v>15012.58</v>
      </c>
      <c r="AA13" s="13">
        <v>42900.05</v>
      </c>
      <c r="AB13" s="14">
        <v>13559.130000000001</v>
      </c>
    </row>
    <row r="14" spans="1:28" x14ac:dyDescent="0.25">
      <c r="A14" s="3">
        <v>12</v>
      </c>
      <c r="B14" s="13">
        <v>81623.599999999991</v>
      </c>
      <c r="C14" s="13">
        <v>30276.570000000003</v>
      </c>
      <c r="D14" s="13">
        <v>81731.97</v>
      </c>
      <c r="E14" s="14">
        <v>27076.089999999997</v>
      </c>
      <c r="G14" s="3">
        <v>49619.94</v>
      </c>
      <c r="H14" s="13">
        <v>18679.52</v>
      </c>
      <c r="I14" s="13">
        <v>47317.75</v>
      </c>
      <c r="J14" s="14">
        <v>16492.18</v>
      </c>
      <c r="K14" s="3">
        <v>32003.66</v>
      </c>
      <c r="L14" s="13">
        <v>11597.05</v>
      </c>
      <c r="M14" s="13">
        <v>34414.22</v>
      </c>
      <c r="N14" s="14">
        <v>10583.91</v>
      </c>
      <c r="P14" s="3">
        <f t="shared" si="0"/>
        <v>68299.460000000006</v>
      </c>
      <c r="Q14" s="13">
        <f t="shared" si="1"/>
        <v>63809.93</v>
      </c>
      <c r="R14" s="13">
        <f t="shared" si="2"/>
        <v>43600.71</v>
      </c>
      <c r="S14" s="14">
        <f t="shared" si="3"/>
        <v>44998.130000000005</v>
      </c>
      <c r="U14" s="3">
        <v>49619.94</v>
      </c>
      <c r="V14" s="13">
        <v>18679.52</v>
      </c>
      <c r="W14" s="13">
        <v>47317.75</v>
      </c>
      <c r="X14" s="14">
        <v>16492.18</v>
      </c>
      <c r="Y14" s="3">
        <v>32003.66</v>
      </c>
      <c r="Z14" s="13">
        <v>11597.05</v>
      </c>
      <c r="AA14" s="13">
        <v>34414.22</v>
      </c>
      <c r="AB14" s="14">
        <v>10583.91</v>
      </c>
    </row>
    <row r="15" spans="1:28" x14ac:dyDescent="0.25">
      <c r="A15" s="3">
        <v>13</v>
      </c>
      <c r="B15" s="13">
        <v>74610.58</v>
      </c>
      <c r="C15" s="13">
        <v>27165.040000000001</v>
      </c>
      <c r="D15" s="13">
        <v>74927.02</v>
      </c>
      <c r="E15" s="14">
        <v>24492.880000000005</v>
      </c>
      <c r="G15" s="3">
        <v>41283.39</v>
      </c>
      <c r="H15" s="13">
        <v>14674.11</v>
      </c>
      <c r="I15" s="13">
        <v>46934.67</v>
      </c>
      <c r="J15" s="14">
        <v>15334.48</v>
      </c>
      <c r="K15" s="3">
        <v>33327.19</v>
      </c>
      <c r="L15" s="13">
        <v>12490.93</v>
      </c>
      <c r="M15" s="13">
        <v>27992.350000000002</v>
      </c>
      <c r="N15" s="14">
        <v>9158.4</v>
      </c>
      <c r="P15" s="3">
        <f t="shared" si="0"/>
        <v>55957.5</v>
      </c>
      <c r="Q15" s="13">
        <f t="shared" si="1"/>
        <v>62269.149999999994</v>
      </c>
      <c r="R15" s="13">
        <f t="shared" si="2"/>
        <v>45818.12</v>
      </c>
      <c r="S15" s="14">
        <f t="shared" si="3"/>
        <v>37150.75</v>
      </c>
      <c r="U15" s="3">
        <v>41283.39</v>
      </c>
      <c r="V15" s="13">
        <v>14674.11</v>
      </c>
      <c r="W15" s="13">
        <v>46934.67</v>
      </c>
      <c r="X15" s="14">
        <v>15334.48</v>
      </c>
      <c r="Y15" s="3">
        <v>33327.19</v>
      </c>
      <c r="Z15" s="13">
        <v>12490.93</v>
      </c>
      <c r="AA15" s="13">
        <v>27992.350000000002</v>
      </c>
      <c r="AB15" s="14">
        <v>9158.4</v>
      </c>
    </row>
    <row r="16" spans="1:28" x14ac:dyDescent="0.25">
      <c r="A16" s="3">
        <v>14</v>
      </c>
      <c r="B16" s="13">
        <v>80228.45</v>
      </c>
      <c r="C16" s="13">
        <v>27767.07</v>
      </c>
      <c r="D16" s="13">
        <v>79602.13</v>
      </c>
      <c r="E16" s="14">
        <v>24844.37</v>
      </c>
      <c r="G16" s="3">
        <v>52958.57</v>
      </c>
      <c r="H16" s="13">
        <v>19771.03</v>
      </c>
      <c r="I16" s="13">
        <v>49279.87</v>
      </c>
      <c r="J16" s="14">
        <v>17239.190000000002</v>
      </c>
      <c r="K16" s="3">
        <v>27269.88</v>
      </c>
      <c r="L16" s="13">
        <v>7996.04</v>
      </c>
      <c r="M16" s="13">
        <v>30322.26</v>
      </c>
      <c r="N16" s="14">
        <v>7605.18</v>
      </c>
      <c r="P16" s="3">
        <f t="shared" si="0"/>
        <v>72729.600000000006</v>
      </c>
      <c r="Q16" s="13">
        <f t="shared" si="1"/>
        <v>66519.06</v>
      </c>
      <c r="R16" s="13">
        <f t="shared" si="2"/>
        <v>35265.919999999998</v>
      </c>
      <c r="S16" s="14">
        <f t="shared" si="3"/>
        <v>37927.440000000002</v>
      </c>
      <c r="U16" s="3">
        <v>52958.57</v>
      </c>
      <c r="V16" s="13">
        <v>19771.03</v>
      </c>
      <c r="W16" s="13">
        <v>49279.87</v>
      </c>
      <c r="X16" s="14">
        <v>17239.190000000002</v>
      </c>
      <c r="Y16" s="3">
        <v>27269.88</v>
      </c>
      <c r="Z16" s="13">
        <v>7996.04</v>
      </c>
      <c r="AA16" s="13">
        <v>30322.26</v>
      </c>
      <c r="AB16" s="14">
        <v>7605.18</v>
      </c>
    </row>
    <row r="17" spans="1:28" x14ac:dyDescent="0.25">
      <c r="A17" s="3">
        <v>15</v>
      </c>
      <c r="B17" s="13">
        <v>84649.62</v>
      </c>
      <c r="C17" s="13">
        <v>29006.98</v>
      </c>
      <c r="D17" s="13">
        <v>84279.479999999981</v>
      </c>
      <c r="E17" s="14">
        <v>25663.539999999997</v>
      </c>
      <c r="G17" s="3">
        <v>52958.350000000006</v>
      </c>
      <c r="H17" s="13">
        <v>19676.690000000002</v>
      </c>
      <c r="I17" s="13">
        <v>53732.77</v>
      </c>
      <c r="J17" s="14">
        <v>17735.099999999999</v>
      </c>
      <c r="K17" s="3">
        <v>31691.27</v>
      </c>
      <c r="L17" s="13">
        <v>9330.2900000000009</v>
      </c>
      <c r="M17" s="13">
        <v>30546.71</v>
      </c>
      <c r="N17" s="14">
        <v>7928.4400000000005</v>
      </c>
      <c r="P17" s="3">
        <f t="shared" si="0"/>
        <v>72635.040000000008</v>
      </c>
      <c r="Q17" s="13">
        <f t="shared" si="1"/>
        <v>71467.87</v>
      </c>
      <c r="R17" s="13">
        <f t="shared" si="2"/>
        <v>41021.56</v>
      </c>
      <c r="S17" s="14">
        <f t="shared" si="3"/>
        <v>38475.15</v>
      </c>
      <c r="U17" s="3">
        <v>52958.350000000006</v>
      </c>
      <c r="V17" s="13">
        <v>19676.690000000002</v>
      </c>
      <c r="W17" s="13">
        <v>53732.77</v>
      </c>
      <c r="X17" s="14">
        <v>17735.099999999999</v>
      </c>
      <c r="Y17" s="3">
        <v>31691.27</v>
      </c>
      <c r="Z17" s="13">
        <v>9330.2900000000009</v>
      </c>
      <c r="AA17" s="13">
        <v>30546.71</v>
      </c>
      <c r="AB17" s="14">
        <v>7928.4400000000005</v>
      </c>
    </row>
    <row r="18" spans="1:28" x14ac:dyDescent="0.25">
      <c r="A18" s="3">
        <v>16</v>
      </c>
      <c r="B18" s="13">
        <v>84855.040000000008</v>
      </c>
      <c r="C18" s="13">
        <v>29579.14</v>
      </c>
      <c r="D18" s="13">
        <v>85252.589999999982</v>
      </c>
      <c r="E18" s="14">
        <v>26018.760000000002</v>
      </c>
      <c r="G18" s="3">
        <v>44348.810000000005</v>
      </c>
      <c r="H18" s="13">
        <v>13350.77</v>
      </c>
      <c r="I18" s="13">
        <v>44632.22</v>
      </c>
      <c r="J18" s="14">
        <v>11563.6</v>
      </c>
      <c r="K18" s="3">
        <v>40506.230000000003</v>
      </c>
      <c r="L18" s="13">
        <v>16228.369999999999</v>
      </c>
      <c r="M18" s="13">
        <v>40620.370000000003</v>
      </c>
      <c r="N18" s="14">
        <v>14455.16</v>
      </c>
      <c r="P18" s="3">
        <f t="shared" si="0"/>
        <v>57699.58</v>
      </c>
      <c r="Q18" s="13">
        <f t="shared" si="1"/>
        <v>56195.82</v>
      </c>
      <c r="R18" s="13">
        <f t="shared" si="2"/>
        <v>56734.600000000006</v>
      </c>
      <c r="S18" s="14">
        <f t="shared" si="3"/>
        <v>55075.53</v>
      </c>
      <c r="U18" s="3">
        <v>44348.810000000005</v>
      </c>
      <c r="V18" s="13">
        <v>13350.77</v>
      </c>
      <c r="W18" s="13">
        <v>44632.22</v>
      </c>
      <c r="X18" s="14">
        <v>11563.6</v>
      </c>
      <c r="Y18" s="3">
        <v>40506.230000000003</v>
      </c>
      <c r="Z18" s="13">
        <v>16228.369999999999</v>
      </c>
      <c r="AA18" s="13">
        <v>40620.370000000003</v>
      </c>
      <c r="AB18" s="14">
        <v>14455.16</v>
      </c>
    </row>
    <row r="19" spans="1:28" x14ac:dyDescent="0.25">
      <c r="A19" s="3">
        <v>17</v>
      </c>
      <c r="B19" s="13">
        <v>86197.59</v>
      </c>
      <c r="C19" s="13">
        <v>31035.859999999997</v>
      </c>
      <c r="D19" s="13">
        <v>86705.430000000008</v>
      </c>
      <c r="E19" s="14">
        <v>27296.03</v>
      </c>
      <c r="G19" s="3">
        <v>49491.08</v>
      </c>
      <c r="H19" s="13">
        <v>17836.439999999999</v>
      </c>
      <c r="I19" s="13">
        <v>47081.299999999996</v>
      </c>
      <c r="J19" s="14">
        <v>15577.67</v>
      </c>
      <c r="K19" s="3">
        <v>36706.509999999995</v>
      </c>
      <c r="L19" s="13">
        <v>13199.420000000002</v>
      </c>
      <c r="M19" s="13">
        <v>39624.129999999997</v>
      </c>
      <c r="N19" s="14">
        <v>11718.36</v>
      </c>
      <c r="P19" s="3">
        <f t="shared" si="0"/>
        <v>67327.520000000004</v>
      </c>
      <c r="Q19" s="13">
        <f t="shared" si="1"/>
        <v>62658.969999999994</v>
      </c>
      <c r="R19" s="13">
        <f t="shared" si="2"/>
        <v>49905.929999999993</v>
      </c>
      <c r="S19" s="14">
        <f t="shared" si="3"/>
        <v>51342.49</v>
      </c>
      <c r="U19" s="3">
        <v>49491.08</v>
      </c>
      <c r="V19" s="13">
        <v>17836.439999999999</v>
      </c>
      <c r="W19" s="13">
        <v>47081.299999999996</v>
      </c>
      <c r="X19" s="14">
        <v>15577.67</v>
      </c>
      <c r="Y19" s="3">
        <v>36706.509999999995</v>
      </c>
      <c r="Z19" s="13">
        <v>13199.420000000002</v>
      </c>
      <c r="AA19" s="13">
        <v>39624.129999999997</v>
      </c>
      <c r="AB19" s="14">
        <v>11718.36</v>
      </c>
    </row>
    <row r="20" spans="1:28" x14ac:dyDescent="0.25">
      <c r="A20" s="3">
        <v>18</v>
      </c>
      <c r="B20" s="13">
        <v>89805.72</v>
      </c>
      <c r="C20" s="13">
        <v>31978.550000000003</v>
      </c>
      <c r="D20" s="13">
        <v>90401.86</v>
      </c>
      <c r="E20" s="14">
        <v>28159.910000000003</v>
      </c>
      <c r="G20" s="3">
        <v>51118.479999999996</v>
      </c>
      <c r="H20" s="13">
        <v>18160.25</v>
      </c>
      <c r="I20" s="13">
        <v>48637.7</v>
      </c>
      <c r="J20" s="14">
        <v>15934.689999999999</v>
      </c>
      <c r="K20" s="3">
        <v>38687.24</v>
      </c>
      <c r="L20" s="13">
        <v>13818.300000000001</v>
      </c>
      <c r="M20" s="13">
        <v>41764.160000000003</v>
      </c>
      <c r="N20" s="14">
        <v>12225.22</v>
      </c>
      <c r="P20" s="3">
        <f t="shared" si="0"/>
        <v>69278.73</v>
      </c>
      <c r="Q20" s="13">
        <f t="shared" si="1"/>
        <v>64572.39</v>
      </c>
      <c r="R20" s="13">
        <f t="shared" si="2"/>
        <v>52505.54</v>
      </c>
      <c r="S20" s="14">
        <f t="shared" si="3"/>
        <v>53989.380000000005</v>
      </c>
      <c r="U20" s="3">
        <v>51118.479999999996</v>
      </c>
      <c r="V20" s="13">
        <v>18160.25</v>
      </c>
      <c r="W20" s="13">
        <v>48637.7</v>
      </c>
      <c r="X20" s="14">
        <v>15934.689999999999</v>
      </c>
      <c r="Y20" s="3">
        <v>38687.24</v>
      </c>
      <c r="Z20" s="13">
        <v>13818.300000000001</v>
      </c>
      <c r="AA20" s="13">
        <v>41764.160000000003</v>
      </c>
      <c r="AB20" s="14">
        <v>12225.22</v>
      </c>
    </row>
    <row r="21" spans="1:28" x14ac:dyDescent="0.25">
      <c r="A21" s="3">
        <v>19</v>
      </c>
      <c r="B21" s="13">
        <v>141681.821</v>
      </c>
      <c r="C21" s="13">
        <v>44506</v>
      </c>
      <c r="D21" s="13">
        <v>140633.65900000001</v>
      </c>
      <c r="E21" s="14">
        <v>38619.42</v>
      </c>
      <c r="G21" s="3">
        <v>82170.350000000006</v>
      </c>
      <c r="H21" s="13">
        <v>24956.120000000003</v>
      </c>
      <c r="I21" s="13">
        <v>77781.34</v>
      </c>
      <c r="J21" s="14">
        <v>21582.65</v>
      </c>
      <c r="K21" s="3">
        <v>59511.471000000005</v>
      </c>
      <c r="L21" s="13">
        <v>19549.88</v>
      </c>
      <c r="M21" s="13">
        <v>62852.319000000003</v>
      </c>
      <c r="N21" s="14">
        <v>17036.769999999997</v>
      </c>
      <c r="P21" s="3">
        <f t="shared" si="0"/>
        <v>107126.47</v>
      </c>
      <c r="Q21" s="13">
        <f t="shared" si="1"/>
        <v>99363.989999999991</v>
      </c>
      <c r="R21" s="13">
        <f t="shared" si="2"/>
        <v>79061.35100000001</v>
      </c>
      <c r="S21" s="14">
        <f t="shared" si="3"/>
        <v>79889.089000000007</v>
      </c>
      <c r="U21" s="3">
        <v>82170.350000000006</v>
      </c>
      <c r="V21" s="13">
        <v>24956.120000000003</v>
      </c>
      <c r="W21" s="13">
        <v>77781.34</v>
      </c>
      <c r="X21" s="14">
        <v>21582.65</v>
      </c>
      <c r="Y21" s="3">
        <v>59511.471000000005</v>
      </c>
      <c r="Z21" s="13">
        <v>19549.88</v>
      </c>
      <c r="AA21" s="13">
        <v>62852.319000000003</v>
      </c>
      <c r="AB21" s="14">
        <v>17036.769999999997</v>
      </c>
    </row>
    <row r="22" spans="1:28" x14ac:dyDescent="0.25">
      <c r="A22" s="3">
        <v>20</v>
      </c>
      <c r="B22" s="13">
        <v>154012.65199999997</v>
      </c>
      <c r="C22" s="13">
        <v>48572.619999999995</v>
      </c>
      <c r="D22" s="13">
        <v>154162.29200000002</v>
      </c>
      <c r="E22" s="14">
        <v>41338.100000000006</v>
      </c>
      <c r="G22" s="3">
        <v>97334.661000000007</v>
      </c>
      <c r="H22" s="13">
        <v>27018.2</v>
      </c>
      <c r="I22" s="13">
        <v>97949.290999999997</v>
      </c>
      <c r="J22" s="14">
        <v>23011.170000000002</v>
      </c>
      <c r="K22" s="3">
        <v>56677.991000000002</v>
      </c>
      <c r="L22" s="13">
        <v>21554.42</v>
      </c>
      <c r="M22" s="13">
        <v>56213.001000000004</v>
      </c>
      <c r="N22" s="14">
        <v>18326.93</v>
      </c>
      <c r="P22" s="3">
        <f t="shared" si="0"/>
        <v>124352.861</v>
      </c>
      <c r="Q22" s="13">
        <f t="shared" si="1"/>
        <v>120960.461</v>
      </c>
      <c r="R22" s="13">
        <f t="shared" si="2"/>
        <v>78232.410999999993</v>
      </c>
      <c r="S22" s="14">
        <f t="shared" si="3"/>
        <v>74539.931000000011</v>
      </c>
      <c r="U22" s="3">
        <v>97334.661000000007</v>
      </c>
      <c r="V22" s="13">
        <v>27018.2</v>
      </c>
      <c r="W22" s="13">
        <v>97949.290999999997</v>
      </c>
      <c r="X22" s="14">
        <v>23011.170000000002</v>
      </c>
      <c r="Y22" s="3">
        <v>56677.991000000002</v>
      </c>
      <c r="Z22" s="13">
        <v>21554.42</v>
      </c>
      <c r="AA22" s="13">
        <v>56213.001000000004</v>
      </c>
      <c r="AB22" s="14">
        <v>18326.93</v>
      </c>
    </row>
    <row r="23" spans="1:28" x14ac:dyDescent="0.25">
      <c r="A23" s="3">
        <v>21</v>
      </c>
      <c r="B23" s="13">
        <v>146380.07</v>
      </c>
      <c r="C23" s="13">
        <v>45568.260000000009</v>
      </c>
      <c r="D23" s="13">
        <v>145938.541</v>
      </c>
      <c r="E23" s="14">
        <v>39407.85</v>
      </c>
      <c r="G23" s="3">
        <v>81816.318999999989</v>
      </c>
      <c r="H23" s="13">
        <v>25426.54</v>
      </c>
      <c r="I23" s="13">
        <v>79277.78</v>
      </c>
      <c r="J23" s="14">
        <v>21696.02</v>
      </c>
      <c r="K23" s="3">
        <v>64563.750999999997</v>
      </c>
      <c r="L23" s="13">
        <v>20141.72</v>
      </c>
      <c r="M23" s="13">
        <v>66660.760999999999</v>
      </c>
      <c r="N23" s="14">
        <v>17711.830000000002</v>
      </c>
      <c r="P23" s="3">
        <f t="shared" si="0"/>
        <v>107242.859</v>
      </c>
      <c r="Q23" s="13">
        <f t="shared" si="1"/>
        <v>100973.8</v>
      </c>
      <c r="R23" s="13">
        <f t="shared" si="2"/>
        <v>84705.47099999999</v>
      </c>
      <c r="S23" s="14">
        <f t="shared" si="3"/>
        <v>84372.591</v>
      </c>
      <c r="U23" s="3">
        <v>81816.318999999989</v>
      </c>
      <c r="V23" s="13">
        <v>25426.54</v>
      </c>
      <c r="W23" s="13">
        <v>79277.78</v>
      </c>
      <c r="X23" s="14">
        <v>21696.02</v>
      </c>
      <c r="Y23" s="3">
        <v>64563.750999999997</v>
      </c>
      <c r="Z23" s="13">
        <v>20141.72</v>
      </c>
      <c r="AA23" s="13">
        <v>66660.760999999999</v>
      </c>
      <c r="AB23" s="14">
        <v>17711.830000000002</v>
      </c>
    </row>
    <row r="24" spans="1:28" x14ac:dyDescent="0.25">
      <c r="A24" s="3">
        <v>22</v>
      </c>
      <c r="B24" s="13">
        <v>111023.769</v>
      </c>
      <c r="C24" s="13">
        <v>36862.639999999992</v>
      </c>
      <c r="D24" s="13">
        <v>110656.45999999999</v>
      </c>
      <c r="E24" s="14">
        <v>32301.510000000006</v>
      </c>
      <c r="G24" s="3">
        <v>62514.728999999999</v>
      </c>
      <c r="H24" s="13">
        <v>23228.309999999998</v>
      </c>
      <c r="I24" s="13">
        <v>58200.06</v>
      </c>
      <c r="J24" s="14">
        <v>20057.29</v>
      </c>
      <c r="K24" s="3">
        <v>48509.04</v>
      </c>
      <c r="L24" s="13">
        <v>13634.33</v>
      </c>
      <c r="M24" s="13">
        <v>52456.4</v>
      </c>
      <c r="N24" s="14">
        <v>12244.220000000001</v>
      </c>
      <c r="P24" s="3">
        <f t="shared" si="0"/>
        <v>85743.03899999999</v>
      </c>
      <c r="Q24" s="13">
        <f t="shared" si="1"/>
        <v>78257.350000000006</v>
      </c>
      <c r="R24" s="13">
        <f t="shared" si="2"/>
        <v>62143.37</v>
      </c>
      <c r="S24" s="14">
        <f t="shared" si="3"/>
        <v>64700.62</v>
      </c>
      <c r="U24" s="3">
        <v>62514.728999999999</v>
      </c>
      <c r="V24" s="13">
        <v>23228.309999999998</v>
      </c>
      <c r="W24" s="13">
        <v>58200.06</v>
      </c>
      <c r="X24" s="14">
        <v>20057.29</v>
      </c>
      <c r="Y24" s="3">
        <v>48509.04</v>
      </c>
      <c r="Z24" s="13">
        <v>13634.33</v>
      </c>
      <c r="AA24" s="13">
        <v>52456.4</v>
      </c>
      <c r="AB24" s="14">
        <v>12244.220000000001</v>
      </c>
    </row>
    <row r="25" spans="1:28" x14ac:dyDescent="0.25">
      <c r="A25" s="15">
        <v>23</v>
      </c>
      <c r="B25" s="16">
        <v>61688.729999999996</v>
      </c>
      <c r="C25" s="16">
        <v>23424.09</v>
      </c>
      <c r="D25" s="16">
        <v>61783.93</v>
      </c>
      <c r="E25" s="17">
        <v>20443.810000000001</v>
      </c>
      <c r="G25" s="15">
        <v>28981.75</v>
      </c>
      <c r="H25" s="16">
        <v>12496.67</v>
      </c>
      <c r="I25" s="16">
        <v>29667.25</v>
      </c>
      <c r="J25" s="17">
        <v>10406.18</v>
      </c>
      <c r="K25" s="15">
        <v>32706.98</v>
      </c>
      <c r="L25" s="16">
        <v>10927.42</v>
      </c>
      <c r="M25" s="16">
        <v>32116.68</v>
      </c>
      <c r="N25" s="17">
        <v>10037.630000000001</v>
      </c>
      <c r="P25" s="3">
        <f t="shared" si="0"/>
        <v>41478.42</v>
      </c>
      <c r="Q25" s="13">
        <f t="shared" si="1"/>
        <v>40073.43</v>
      </c>
      <c r="R25" s="13">
        <f t="shared" si="2"/>
        <v>43634.400000000001</v>
      </c>
      <c r="S25" s="14">
        <f t="shared" si="3"/>
        <v>42154.31</v>
      </c>
      <c r="U25" s="15">
        <v>28981.75</v>
      </c>
      <c r="V25" s="16">
        <v>12496.67</v>
      </c>
      <c r="W25" s="16">
        <v>29667.25</v>
      </c>
      <c r="X25" s="17">
        <v>10406.18</v>
      </c>
      <c r="Y25" s="15">
        <v>32706.98</v>
      </c>
      <c r="Z25" s="16">
        <v>10927.42</v>
      </c>
      <c r="AA25" s="16">
        <v>32116.68</v>
      </c>
      <c r="AB25" s="17">
        <v>10037.630000000001</v>
      </c>
    </row>
    <row r="26" spans="1:28" x14ac:dyDescent="0.25">
      <c r="A26" s="21">
        <v>0</v>
      </c>
      <c r="B26" s="22">
        <v>29716.080000000002</v>
      </c>
      <c r="C26" s="22">
        <v>12752.52</v>
      </c>
      <c r="D26" s="22">
        <v>30241.329999999994</v>
      </c>
      <c r="E26" s="23">
        <v>11089.79</v>
      </c>
      <c r="G26" s="21">
        <v>13351.949999999999</v>
      </c>
      <c r="H26" s="22">
        <v>6625.55</v>
      </c>
      <c r="I26" s="22">
        <v>13945.42</v>
      </c>
      <c r="J26" s="23">
        <v>5492.9</v>
      </c>
      <c r="K26" s="21">
        <v>16364.130000000001</v>
      </c>
      <c r="L26" s="22">
        <v>6126.9699999999993</v>
      </c>
      <c r="M26" s="22">
        <v>16295.91</v>
      </c>
      <c r="N26" s="23">
        <v>5596.8899999999994</v>
      </c>
      <c r="P26" s="21">
        <f t="shared" si="0"/>
        <v>15026.119999999999</v>
      </c>
      <c r="Q26" s="22">
        <f t="shared" si="1"/>
        <v>14330.7</v>
      </c>
      <c r="R26" s="22">
        <f t="shared" si="2"/>
        <v>12633.53</v>
      </c>
      <c r="S26" s="23">
        <f t="shared" si="3"/>
        <v>12506.09</v>
      </c>
      <c r="U26" s="21">
        <v>11094.41</v>
      </c>
      <c r="V26" s="22">
        <v>3931.71</v>
      </c>
      <c r="W26" s="22">
        <v>11024.75</v>
      </c>
      <c r="X26" s="22">
        <v>3305.95</v>
      </c>
      <c r="Y26" s="21">
        <v>8187.6400000000012</v>
      </c>
      <c r="Z26" s="22">
        <v>4445.8899999999994</v>
      </c>
      <c r="AA26" s="22">
        <v>8629.0499999999993</v>
      </c>
      <c r="AB26" s="23">
        <v>3877.04</v>
      </c>
    </row>
    <row r="27" spans="1:28" x14ac:dyDescent="0.25">
      <c r="A27" s="3">
        <v>1</v>
      </c>
      <c r="B27" s="13">
        <v>14760.8</v>
      </c>
      <c r="C27" s="13">
        <v>6615.47</v>
      </c>
      <c r="D27" s="13">
        <v>15076.55</v>
      </c>
      <c r="E27" s="14">
        <v>5756.01</v>
      </c>
      <c r="G27" s="3">
        <v>6739.5099999999993</v>
      </c>
      <c r="H27" s="13">
        <v>2443.71</v>
      </c>
      <c r="I27" s="13">
        <v>7344.6100000000006</v>
      </c>
      <c r="J27" s="14">
        <v>2108.62</v>
      </c>
      <c r="K27" s="3">
        <v>8021.2899999999991</v>
      </c>
      <c r="L27" s="13">
        <v>4171.76</v>
      </c>
      <c r="M27" s="13">
        <v>7731.94</v>
      </c>
      <c r="N27" s="14">
        <v>3647.3899999999994</v>
      </c>
      <c r="P27" s="3">
        <f t="shared" si="0"/>
        <v>8133.0999999999995</v>
      </c>
      <c r="Q27" s="13">
        <f t="shared" si="1"/>
        <v>8015.6</v>
      </c>
      <c r="R27" s="13">
        <f t="shared" si="2"/>
        <v>4794.97</v>
      </c>
      <c r="S27" s="14">
        <f t="shared" si="3"/>
        <v>4761.75</v>
      </c>
      <c r="U27" s="3">
        <v>5559.0599999999995</v>
      </c>
      <c r="V27" s="13">
        <v>2574.04</v>
      </c>
      <c r="W27" s="13">
        <v>5746.62</v>
      </c>
      <c r="X27" s="13">
        <v>2268.98</v>
      </c>
      <c r="Y27" s="3">
        <v>3317.3900000000003</v>
      </c>
      <c r="Z27" s="13">
        <v>1477.58</v>
      </c>
      <c r="AA27" s="13">
        <v>3503.58</v>
      </c>
      <c r="AB27" s="14">
        <v>1258.17</v>
      </c>
    </row>
    <row r="28" spans="1:28" x14ac:dyDescent="0.25">
      <c r="A28" s="3">
        <v>2</v>
      </c>
      <c r="B28" s="13">
        <v>7839.4800000000005</v>
      </c>
      <c r="C28" s="13">
        <v>3467.9700000000007</v>
      </c>
      <c r="D28" s="13">
        <v>8028.2499999999982</v>
      </c>
      <c r="E28" s="14">
        <v>3074.5900000000006</v>
      </c>
      <c r="G28" s="3">
        <v>5269.03</v>
      </c>
      <c r="H28" s="13">
        <v>2468.4300000000003</v>
      </c>
      <c r="I28" s="13">
        <v>5256.7699999999995</v>
      </c>
      <c r="J28" s="14">
        <v>2212.88</v>
      </c>
      <c r="K28" s="3">
        <v>2570.4500000000003</v>
      </c>
      <c r="L28" s="13">
        <v>999.54000000000008</v>
      </c>
      <c r="M28" s="13">
        <v>2771.48</v>
      </c>
      <c r="N28" s="14">
        <v>861.71</v>
      </c>
      <c r="P28" s="3">
        <f t="shared" si="0"/>
        <v>4006.0099999999998</v>
      </c>
      <c r="Q28" s="13">
        <f t="shared" si="1"/>
        <v>3967.4800000000005</v>
      </c>
      <c r="R28" s="13">
        <f t="shared" si="2"/>
        <v>2408.54</v>
      </c>
      <c r="S28" s="14">
        <f t="shared" si="3"/>
        <v>2397.31</v>
      </c>
      <c r="U28" s="3">
        <v>2822.5899999999997</v>
      </c>
      <c r="V28" s="13">
        <v>1183.42</v>
      </c>
      <c r="W28" s="13">
        <v>2929.9700000000003</v>
      </c>
      <c r="X28" s="13">
        <v>1037.51</v>
      </c>
      <c r="Y28" s="3">
        <v>1535.88</v>
      </c>
      <c r="Z28" s="13">
        <v>872.66000000000008</v>
      </c>
      <c r="AA28" s="13">
        <v>1707.9</v>
      </c>
      <c r="AB28" s="14">
        <v>689.41</v>
      </c>
    </row>
    <row r="29" spans="1:28" x14ac:dyDescent="0.25">
      <c r="A29" s="3">
        <v>3</v>
      </c>
      <c r="B29" s="13">
        <v>5209.92</v>
      </c>
      <c r="C29" s="13">
        <v>2112.73</v>
      </c>
      <c r="D29" s="13">
        <v>5307.2699999999986</v>
      </c>
      <c r="E29" s="14">
        <v>1877.6600000000003</v>
      </c>
      <c r="G29" s="3">
        <v>2992.8599999999997</v>
      </c>
      <c r="H29" s="13">
        <v>911.81999999999994</v>
      </c>
      <c r="I29" s="13">
        <v>3060.0300000000007</v>
      </c>
      <c r="J29" s="14">
        <v>821.91000000000008</v>
      </c>
      <c r="K29" s="3">
        <v>2217.06</v>
      </c>
      <c r="L29" s="13">
        <v>1200.9100000000001</v>
      </c>
      <c r="M29" s="13">
        <v>2247.2400000000002</v>
      </c>
      <c r="N29" s="14">
        <v>1055.75</v>
      </c>
      <c r="P29" s="3">
        <f t="shared" si="0"/>
        <v>2065.0700000000002</v>
      </c>
      <c r="Q29" s="13">
        <f t="shared" si="1"/>
        <v>2071.2799999999997</v>
      </c>
      <c r="R29" s="13">
        <f t="shared" si="2"/>
        <v>1460.7</v>
      </c>
      <c r="S29" s="14">
        <f t="shared" si="3"/>
        <v>1442.95</v>
      </c>
      <c r="U29" s="3">
        <v>1325.68</v>
      </c>
      <c r="V29" s="13">
        <v>739.39</v>
      </c>
      <c r="W29" s="13">
        <v>1446.9499999999998</v>
      </c>
      <c r="X29" s="13">
        <v>624.33000000000004</v>
      </c>
      <c r="Y29" s="3">
        <v>1108.22</v>
      </c>
      <c r="Z29" s="13">
        <v>352.48</v>
      </c>
      <c r="AA29" s="13">
        <v>1163.28</v>
      </c>
      <c r="AB29" s="14">
        <v>279.67</v>
      </c>
    </row>
    <row r="30" spans="1:28" x14ac:dyDescent="0.25">
      <c r="A30" s="3">
        <v>4</v>
      </c>
      <c r="B30" s="13">
        <v>4783.08</v>
      </c>
      <c r="C30" s="13">
        <v>1650.5600000000002</v>
      </c>
      <c r="D30" s="13">
        <v>4820.91</v>
      </c>
      <c r="E30" s="14">
        <v>1535.91</v>
      </c>
      <c r="G30" s="3">
        <v>2956.4300000000003</v>
      </c>
      <c r="H30" s="13">
        <v>967.46999999999991</v>
      </c>
      <c r="I30" s="13">
        <v>3007.44</v>
      </c>
      <c r="J30" s="14">
        <v>892.71</v>
      </c>
      <c r="K30" s="3">
        <v>1826.6499999999999</v>
      </c>
      <c r="L30" s="13">
        <v>683.08999999999992</v>
      </c>
      <c r="M30" s="13">
        <v>1813.47</v>
      </c>
      <c r="N30" s="14">
        <v>643.20000000000005</v>
      </c>
      <c r="P30" s="3">
        <f t="shared" si="0"/>
        <v>1437.2299999999998</v>
      </c>
      <c r="Q30" s="13">
        <f t="shared" si="1"/>
        <v>1433.22</v>
      </c>
      <c r="R30" s="13">
        <f t="shared" si="2"/>
        <v>1230.55</v>
      </c>
      <c r="S30" s="14">
        <f t="shared" si="3"/>
        <v>1186.1599999999999</v>
      </c>
      <c r="U30" s="3">
        <v>1029.7399999999998</v>
      </c>
      <c r="V30" s="13">
        <v>407.49</v>
      </c>
      <c r="W30" s="13">
        <v>1094.0899999999999</v>
      </c>
      <c r="X30" s="13">
        <v>339.13000000000005</v>
      </c>
      <c r="Y30" s="3">
        <v>925.56999999999994</v>
      </c>
      <c r="Z30" s="13">
        <v>304.98</v>
      </c>
      <c r="AA30" s="13">
        <v>950.53</v>
      </c>
      <c r="AB30" s="14">
        <v>235.63</v>
      </c>
    </row>
    <row r="31" spans="1:28" x14ac:dyDescent="0.25">
      <c r="A31" s="3">
        <v>5</v>
      </c>
      <c r="B31" s="13">
        <v>11601.89</v>
      </c>
      <c r="C31" s="13">
        <v>2975.31</v>
      </c>
      <c r="D31" s="13">
        <v>11216.33</v>
      </c>
      <c r="E31" s="14">
        <v>2599.52</v>
      </c>
      <c r="G31" s="3">
        <v>6717.17</v>
      </c>
      <c r="H31" s="13">
        <v>1833.1399999999999</v>
      </c>
      <c r="I31" s="13">
        <v>6206.0599999999995</v>
      </c>
      <c r="J31" s="14">
        <v>1579.9</v>
      </c>
      <c r="K31" s="3">
        <v>4884.72</v>
      </c>
      <c r="L31" s="13">
        <v>1142.17</v>
      </c>
      <c r="M31" s="13">
        <v>5010.2700000000004</v>
      </c>
      <c r="N31" s="14">
        <v>1019.6199999999999</v>
      </c>
      <c r="P31" s="3">
        <f t="shared" si="0"/>
        <v>4065.13</v>
      </c>
      <c r="Q31" s="13">
        <f t="shared" si="1"/>
        <v>3886.0300000000007</v>
      </c>
      <c r="R31" s="13">
        <f t="shared" si="2"/>
        <v>2520.59</v>
      </c>
      <c r="S31" s="14">
        <f t="shared" si="3"/>
        <v>2395.8199999999997</v>
      </c>
      <c r="U31" s="3">
        <v>3316.5</v>
      </c>
      <c r="V31" s="13">
        <v>748.63</v>
      </c>
      <c r="W31" s="13">
        <v>3241.4400000000005</v>
      </c>
      <c r="X31" s="13">
        <v>644.59</v>
      </c>
      <c r="Y31" s="3">
        <v>2080.33</v>
      </c>
      <c r="Z31" s="13">
        <v>440.26</v>
      </c>
      <c r="AA31" s="13">
        <v>2020.1599999999999</v>
      </c>
      <c r="AB31" s="14">
        <v>375.66</v>
      </c>
    </row>
    <row r="32" spans="1:28" x14ac:dyDescent="0.25">
      <c r="A32" s="3">
        <v>6</v>
      </c>
      <c r="B32" s="13">
        <v>29415.460000000006</v>
      </c>
      <c r="C32" s="13">
        <v>6384.95</v>
      </c>
      <c r="D32" s="13">
        <v>28033.95</v>
      </c>
      <c r="E32" s="14">
        <v>5213.8200000000006</v>
      </c>
      <c r="G32" s="3">
        <v>16494.29</v>
      </c>
      <c r="H32" s="13">
        <v>3353.95</v>
      </c>
      <c r="I32" s="13">
        <v>16386.54</v>
      </c>
      <c r="J32" s="14">
        <v>2679.22</v>
      </c>
      <c r="K32" s="3">
        <v>12921.17</v>
      </c>
      <c r="L32" s="13">
        <v>3031</v>
      </c>
      <c r="M32" s="13">
        <v>11647.41</v>
      </c>
      <c r="N32" s="14">
        <v>2534.6</v>
      </c>
      <c r="P32" s="3">
        <f t="shared" si="0"/>
        <v>17313.379999999997</v>
      </c>
      <c r="Q32" s="13">
        <f t="shared" si="1"/>
        <v>16621.009999999998</v>
      </c>
      <c r="R32" s="13">
        <f t="shared" si="2"/>
        <v>6135.84</v>
      </c>
      <c r="S32" s="14">
        <f t="shared" si="3"/>
        <v>5068.42</v>
      </c>
      <c r="U32" s="3">
        <v>14888.179999999998</v>
      </c>
      <c r="V32" s="13">
        <v>2425.1999999999998</v>
      </c>
      <c r="W32" s="13">
        <v>14615.57</v>
      </c>
      <c r="X32" s="13">
        <v>2005.4399999999998</v>
      </c>
      <c r="Y32" s="3">
        <v>4887.63</v>
      </c>
      <c r="Z32" s="13">
        <v>1248.21</v>
      </c>
      <c r="AA32" s="13">
        <v>4112.46</v>
      </c>
      <c r="AB32" s="14">
        <v>955.96</v>
      </c>
    </row>
    <row r="33" spans="1:28" x14ac:dyDescent="0.25">
      <c r="A33" s="3">
        <v>7</v>
      </c>
      <c r="B33" s="13">
        <v>52153.470000000008</v>
      </c>
      <c r="C33" s="13">
        <v>11683.29</v>
      </c>
      <c r="D33" s="13">
        <v>51061.17</v>
      </c>
      <c r="E33" s="14">
        <v>9843.02</v>
      </c>
      <c r="G33" s="3">
        <v>30598.550000000003</v>
      </c>
      <c r="H33" s="13">
        <v>6210.44</v>
      </c>
      <c r="I33" s="13">
        <v>35084.560000000005</v>
      </c>
      <c r="J33" s="14">
        <v>5699.58</v>
      </c>
      <c r="K33" s="3">
        <v>21554.92</v>
      </c>
      <c r="L33" s="13">
        <v>5472.85</v>
      </c>
      <c r="M33" s="13">
        <v>15976.61</v>
      </c>
      <c r="N33" s="14">
        <v>4143.4400000000005</v>
      </c>
      <c r="P33" s="3">
        <f t="shared" si="0"/>
        <v>30593.46</v>
      </c>
      <c r="Q33" s="13">
        <f t="shared" si="1"/>
        <v>27176.629999999997</v>
      </c>
      <c r="R33" s="13">
        <f t="shared" si="2"/>
        <v>19304.41</v>
      </c>
      <c r="S33" s="14">
        <f t="shared" si="3"/>
        <v>18748.490000000002</v>
      </c>
      <c r="U33" s="3">
        <v>25805.699999999997</v>
      </c>
      <c r="V33" s="13">
        <v>4787.76</v>
      </c>
      <c r="W33" s="13">
        <v>23248.719999999998</v>
      </c>
      <c r="X33" s="13">
        <v>3927.9100000000003</v>
      </c>
      <c r="Y33" s="3">
        <v>15746.42</v>
      </c>
      <c r="Z33" s="13">
        <v>3557.99</v>
      </c>
      <c r="AA33" s="13">
        <v>15830.52</v>
      </c>
      <c r="AB33" s="14">
        <v>2917.97</v>
      </c>
    </row>
    <row r="34" spans="1:28" x14ac:dyDescent="0.25">
      <c r="A34" s="3">
        <v>8</v>
      </c>
      <c r="B34" s="13">
        <v>73920.700000000012</v>
      </c>
      <c r="C34" s="13">
        <v>18672.309999999998</v>
      </c>
      <c r="D34" s="13">
        <v>73588.959999999992</v>
      </c>
      <c r="E34" s="14">
        <v>15838.46</v>
      </c>
      <c r="G34" s="3">
        <v>43166.329999999994</v>
      </c>
      <c r="H34" s="13">
        <v>11473.59</v>
      </c>
      <c r="I34" s="13">
        <v>45547.679999999993</v>
      </c>
      <c r="J34" s="14">
        <v>10131.359999999999</v>
      </c>
      <c r="K34" s="3">
        <v>30754.37</v>
      </c>
      <c r="L34" s="13">
        <v>7198.72</v>
      </c>
      <c r="M34" s="13">
        <v>28041.280000000002</v>
      </c>
      <c r="N34" s="14">
        <v>5707.1</v>
      </c>
      <c r="P34" s="3">
        <f t="shared" si="0"/>
        <v>46254.369999999995</v>
      </c>
      <c r="Q34" s="13">
        <f t="shared" si="1"/>
        <v>43504.52</v>
      </c>
      <c r="R34" s="13">
        <f t="shared" si="2"/>
        <v>32363.11</v>
      </c>
      <c r="S34" s="14">
        <f t="shared" si="3"/>
        <v>29443.38</v>
      </c>
      <c r="U34" s="3">
        <v>37753.929999999993</v>
      </c>
      <c r="V34" s="13">
        <v>8500.44</v>
      </c>
      <c r="W34" s="13">
        <v>36359.96</v>
      </c>
      <c r="X34" s="13">
        <v>7144.5599999999995</v>
      </c>
      <c r="Y34" s="3">
        <v>26010.82</v>
      </c>
      <c r="Z34" s="13">
        <v>6352.29</v>
      </c>
      <c r="AA34" s="13">
        <v>24196.720000000001</v>
      </c>
      <c r="AB34" s="14">
        <v>5246.66</v>
      </c>
    </row>
    <row r="35" spans="1:28" x14ac:dyDescent="0.25">
      <c r="A35" s="3">
        <v>9</v>
      </c>
      <c r="B35" s="13">
        <v>89650.510000000009</v>
      </c>
      <c r="C35" s="13">
        <v>25789.420000000006</v>
      </c>
      <c r="D35" s="13">
        <v>90810.39</v>
      </c>
      <c r="E35" s="14">
        <v>22448.370000000003</v>
      </c>
      <c r="G35" s="3">
        <v>47312.88</v>
      </c>
      <c r="H35" s="13">
        <v>14206.800000000001</v>
      </c>
      <c r="I35" s="13">
        <v>46838.36</v>
      </c>
      <c r="J35" s="14">
        <v>11933.25</v>
      </c>
      <c r="K35" s="3">
        <v>42337.63</v>
      </c>
      <c r="L35" s="13">
        <v>11582.62</v>
      </c>
      <c r="M35" s="13">
        <v>43972.03</v>
      </c>
      <c r="N35" s="14">
        <v>10515.119999999999</v>
      </c>
      <c r="P35" s="3">
        <f t="shared" si="0"/>
        <v>59263.19</v>
      </c>
      <c r="Q35" s="13">
        <f t="shared" si="1"/>
        <v>56417.130000000005</v>
      </c>
      <c r="R35" s="13">
        <f t="shared" si="2"/>
        <v>46133.31</v>
      </c>
      <c r="S35" s="14">
        <f t="shared" si="3"/>
        <v>42874.039999999994</v>
      </c>
      <c r="U35" s="3">
        <v>45538.400000000001</v>
      </c>
      <c r="V35" s="13">
        <v>13724.79</v>
      </c>
      <c r="W35" s="13">
        <v>44706.720000000001</v>
      </c>
      <c r="X35" s="13">
        <v>11710.41</v>
      </c>
      <c r="Y35" s="3">
        <v>37355.06</v>
      </c>
      <c r="Z35" s="13">
        <v>8778.25</v>
      </c>
      <c r="AA35" s="13">
        <v>35198.159999999996</v>
      </c>
      <c r="AB35" s="14">
        <v>7675.88</v>
      </c>
    </row>
    <row r="36" spans="1:28" x14ac:dyDescent="0.25">
      <c r="A36" s="3">
        <v>10</v>
      </c>
      <c r="B36" s="13">
        <v>95546.66</v>
      </c>
      <c r="C36" s="13">
        <v>30557.469999999998</v>
      </c>
      <c r="D36" s="13">
        <v>97189.78</v>
      </c>
      <c r="E36" s="14">
        <v>26784.36</v>
      </c>
      <c r="G36" s="3">
        <v>50412.66</v>
      </c>
      <c r="H36" s="13">
        <v>17999.400000000001</v>
      </c>
      <c r="I36" s="13">
        <v>52789.440000000002</v>
      </c>
      <c r="J36" s="14">
        <v>15710.35</v>
      </c>
      <c r="K36" s="3">
        <v>45134</v>
      </c>
      <c r="L36" s="13">
        <v>12558.07</v>
      </c>
      <c r="M36" s="13">
        <v>44400.340000000004</v>
      </c>
      <c r="N36" s="14">
        <v>11074.01</v>
      </c>
      <c r="P36" s="3">
        <f t="shared" si="0"/>
        <v>61089.889999999992</v>
      </c>
      <c r="Q36" s="13">
        <f t="shared" si="1"/>
        <v>55706.33</v>
      </c>
      <c r="R36" s="13">
        <f t="shared" si="2"/>
        <v>60378.560000000005</v>
      </c>
      <c r="S36" s="14">
        <f t="shared" si="3"/>
        <v>60883.11</v>
      </c>
      <c r="U36" s="3">
        <v>46439.26999999999</v>
      </c>
      <c r="V36" s="13">
        <v>14650.62</v>
      </c>
      <c r="W36" s="13">
        <v>43124.46</v>
      </c>
      <c r="X36" s="13">
        <v>12581.87</v>
      </c>
      <c r="Y36" s="3">
        <v>46334.41</v>
      </c>
      <c r="Z36" s="13">
        <v>14044.15</v>
      </c>
      <c r="AA36" s="13">
        <v>48061.89</v>
      </c>
      <c r="AB36" s="14">
        <v>12821.220000000001</v>
      </c>
    </row>
    <row r="37" spans="1:28" x14ac:dyDescent="0.25">
      <c r="A37" s="3">
        <v>11</v>
      </c>
      <c r="B37" s="13">
        <v>91914.580000000016</v>
      </c>
      <c r="C37" s="13">
        <v>30663.25</v>
      </c>
      <c r="D37" s="13">
        <v>93000.21</v>
      </c>
      <c r="E37" s="14">
        <v>27456.550000000003</v>
      </c>
      <c r="G37" s="3">
        <v>51088.71</v>
      </c>
      <c r="H37" s="13">
        <v>17006.329999999998</v>
      </c>
      <c r="I37" s="13">
        <v>48959.35</v>
      </c>
      <c r="J37" s="14">
        <v>15187.760000000002</v>
      </c>
      <c r="K37" s="3">
        <v>40825.870000000003</v>
      </c>
      <c r="L37" s="13">
        <v>13656.919999999998</v>
      </c>
      <c r="M37" s="13">
        <v>44040.859999999993</v>
      </c>
      <c r="N37" s="14">
        <v>12268.79</v>
      </c>
      <c r="P37" s="3">
        <f t="shared" si="0"/>
        <v>65670.559999999998</v>
      </c>
      <c r="Q37" s="13">
        <f t="shared" si="1"/>
        <v>62293.61</v>
      </c>
      <c r="R37" s="13">
        <f t="shared" si="2"/>
        <v>55962.46</v>
      </c>
      <c r="S37" s="14">
        <f t="shared" si="3"/>
        <v>55476.229999999996</v>
      </c>
      <c r="U37" s="3">
        <v>47356</v>
      </c>
      <c r="V37" s="13">
        <v>18314.560000000001</v>
      </c>
      <c r="W37" s="13">
        <v>46592.14</v>
      </c>
      <c r="X37" s="13">
        <v>15701.47</v>
      </c>
      <c r="Y37" s="3">
        <v>43597.53</v>
      </c>
      <c r="Z37" s="13">
        <v>12364.93</v>
      </c>
      <c r="AA37" s="13">
        <v>43979.24</v>
      </c>
      <c r="AB37" s="14">
        <v>11496.99</v>
      </c>
    </row>
    <row r="38" spans="1:28" x14ac:dyDescent="0.25">
      <c r="A38" s="3">
        <v>12</v>
      </c>
      <c r="B38" s="13">
        <v>73332.650000000009</v>
      </c>
      <c r="C38" s="13">
        <v>24551.97</v>
      </c>
      <c r="D38" s="13">
        <v>74657.819999999992</v>
      </c>
      <c r="E38" s="14">
        <v>22218.91</v>
      </c>
      <c r="G38" s="3">
        <v>43508.09</v>
      </c>
      <c r="H38" s="13">
        <v>14116.230000000001</v>
      </c>
      <c r="I38" s="13">
        <v>45507.29</v>
      </c>
      <c r="J38" s="14">
        <v>13208.42</v>
      </c>
      <c r="K38" s="3">
        <v>29824.559999999998</v>
      </c>
      <c r="L38" s="13">
        <v>10435.74</v>
      </c>
      <c r="M38" s="13">
        <v>29150.53</v>
      </c>
      <c r="N38" s="14">
        <v>9010.49</v>
      </c>
      <c r="P38" s="3">
        <f t="shared" si="0"/>
        <v>68467.28</v>
      </c>
      <c r="Q38" s="13">
        <f t="shared" si="1"/>
        <v>66794.429999999993</v>
      </c>
      <c r="R38" s="13">
        <f t="shared" si="2"/>
        <v>43271.88</v>
      </c>
      <c r="S38" s="14">
        <f t="shared" si="3"/>
        <v>41665.599999999999</v>
      </c>
      <c r="U38" s="3">
        <v>52670.92</v>
      </c>
      <c r="V38" s="13">
        <v>15796.36</v>
      </c>
      <c r="W38" s="13">
        <v>52560.35</v>
      </c>
      <c r="X38" s="13">
        <v>14234.08</v>
      </c>
      <c r="Y38" s="3">
        <v>30307.279999999999</v>
      </c>
      <c r="Z38" s="13">
        <v>12964.6</v>
      </c>
      <c r="AA38" s="13">
        <v>30047.77</v>
      </c>
      <c r="AB38" s="14">
        <v>11617.83</v>
      </c>
    </row>
    <row r="39" spans="1:28" x14ac:dyDescent="0.25">
      <c r="A39" s="3">
        <v>13</v>
      </c>
      <c r="B39" s="13">
        <v>51004.079999999994</v>
      </c>
      <c r="C39" s="13">
        <v>16055.67</v>
      </c>
      <c r="D39" s="13">
        <v>52480.21</v>
      </c>
      <c r="E39" s="14">
        <v>14536.460000000003</v>
      </c>
      <c r="G39" s="3">
        <v>33091.11</v>
      </c>
      <c r="H39" s="13">
        <v>9059.43</v>
      </c>
      <c r="I39" s="13">
        <v>34041.910000000003</v>
      </c>
      <c r="J39" s="14">
        <v>8161.4400000000005</v>
      </c>
      <c r="K39" s="3">
        <v>17912.969999999998</v>
      </c>
      <c r="L39" s="13">
        <v>6996.24</v>
      </c>
      <c r="M39" s="13">
        <v>18438.3</v>
      </c>
      <c r="N39" s="14">
        <v>6375.02</v>
      </c>
      <c r="P39" s="3">
        <f t="shared" si="0"/>
        <v>66249.51999999999</v>
      </c>
      <c r="Q39" s="13">
        <f t="shared" si="1"/>
        <v>64553.55</v>
      </c>
      <c r="R39" s="13">
        <f t="shared" si="2"/>
        <v>29148.7</v>
      </c>
      <c r="S39" s="14">
        <f t="shared" si="3"/>
        <v>28034.229999999996</v>
      </c>
      <c r="U39" s="3">
        <v>50600.34</v>
      </c>
      <c r="V39" s="13">
        <v>15649.18</v>
      </c>
      <c r="W39" s="13">
        <v>50147.86</v>
      </c>
      <c r="X39" s="13">
        <v>14405.69</v>
      </c>
      <c r="Y39" s="3">
        <v>20760.59</v>
      </c>
      <c r="Z39" s="13">
        <v>8388.11</v>
      </c>
      <c r="AA39" s="13">
        <v>20742.629999999997</v>
      </c>
      <c r="AB39" s="14">
        <v>7291.6</v>
      </c>
    </row>
    <row r="40" spans="1:28" x14ac:dyDescent="0.25">
      <c r="A40" s="3">
        <v>14</v>
      </c>
      <c r="B40" s="13">
        <v>83778.38</v>
      </c>
      <c r="C40" s="13">
        <v>25288.050000000003</v>
      </c>
      <c r="D40" s="13">
        <v>83215.060000000012</v>
      </c>
      <c r="E40" s="14">
        <v>23171.94</v>
      </c>
      <c r="G40" s="3">
        <v>49558.39</v>
      </c>
      <c r="H40" s="13">
        <v>12496.01</v>
      </c>
      <c r="I40" s="13">
        <v>49841.72</v>
      </c>
      <c r="J40" s="14">
        <v>11738.510000000002</v>
      </c>
      <c r="K40" s="3">
        <v>34219.99</v>
      </c>
      <c r="L40" s="13">
        <v>12792.04</v>
      </c>
      <c r="M40" s="13">
        <v>33373.339999999997</v>
      </c>
      <c r="N40" s="14">
        <v>11433.43</v>
      </c>
      <c r="P40" s="3">
        <f t="shared" si="0"/>
        <v>54159.130000000005</v>
      </c>
      <c r="Q40" s="13">
        <f t="shared" si="1"/>
        <v>48043.95</v>
      </c>
      <c r="R40" s="13">
        <f t="shared" si="2"/>
        <v>40150.800000000003</v>
      </c>
      <c r="S40" s="14">
        <f t="shared" si="3"/>
        <v>43302.880000000005</v>
      </c>
      <c r="U40" s="3">
        <v>38917.550000000003</v>
      </c>
      <c r="V40" s="13">
        <v>15241.580000000002</v>
      </c>
      <c r="W40" s="13">
        <v>34605.01</v>
      </c>
      <c r="X40" s="13">
        <v>13438.939999999999</v>
      </c>
      <c r="Y40" s="3">
        <v>32659</v>
      </c>
      <c r="Z40" s="13">
        <v>7491.8000000000011</v>
      </c>
      <c r="AA40" s="13">
        <v>36100.890000000007</v>
      </c>
      <c r="AB40" s="14">
        <v>7201.99</v>
      </c>
    </row>
    <row r="41" spans="1:28" x14ac:dyDescent="0.25">
      <c r="A41" s="3">
        <v>15</v>
      </c>
      <c r="B41" s="13">
        <v>91853.12999999999</v>
      </c>
      <c r="C41" s="13">
        <v>28302.54</v>
      </c>
      <c r="D41" s="13">
        <v>91744.04</v>
      </c>
      <c r="E41" s="14">
        <v>25564.410000000003</v>
      </c>
      <c r="G41" s="3">
        <v>50557.58</v>
      </c>
      <c r="H41" s="13">
        <v>15686.529999999999</v>
      </c>
      <c r="I41" s="13">
        <v>47722.080000000002</v>
      </c>
      <c r="J41" s="14">
        <v>14101.02</v>
      </c>
      <c r="K41" s="3">
        <v>41295.550000000003</v>
      </c>
      <c r="L41" s="13">
        <v>12616.01</v>
      </c>
      <c r="M41" s="13">
        <v>44021.96</v>
      </c>
      <c r="N41" s="14">
        <v>11463.39</v>
      </c>
      <c r="P41" s="3">
        <f t="shared" si="0"/>
        <v>54260.630000000005</v>
      </c>
      <c r="Q41" s="13">
        <f t="shared" si="1"/>
        <v>50785.86</v>
      </c>
      <c r="R41" s="13">
        <f t="shared" si="2"/>
        <v>44445.19</v>
      </c>
      <c r="S41" s="14">
        <f t="shared" si="3"/>
        <v>45242.899999999994</v>
      </c>
      <c r="U41" s="3">
        <v>38779.5</v>
      </c>
      <c r="V41" s="13">
        <v>15481.130000000001</v>
      </c>
      <c r="W41" s="13">
        <v>37019.769999999997</v>
      </c>
      <c r="X41" s="13">
        <v>13766.09</v>
      </c>
      <c r="Y41" s="3">
        <v>36339.68</v>
      </c>
      <c r="Z41" s="13">
        <v>8105.5099999999993</v>
      </c>
      <c r="AA41" s="13">
        <v>37672.31</v>
      </c>
      <c r="AB41" s="14">
        <v>7570.59</v>
      </c>
    </row>
    <row r="42" spans="1:28" x14ac:dyDescent="0.25">
      <c r="A42" s="3">
        <v>16</v>
      </c>
      <c r="B42" s="13">
        <v>88242.71</v>
      </c>
      <c r="C42" s="13">
        <v>28615.46</v>
      </c>
      <c r="D42" s="13">
        <v>89633.01999999999</v>
      </c>
      <c r="E42" s="14">
        <v>25772.079999999998</v>
      </c>
      <c r="G42" s="3">
        <v>40999.710000000006</v>
      </c>
      <c r="H42" s="13">
        <v>14149.79</v>
      </c>
      <c r="I42" s="13">
        <v>39198.68</v>
      </c>
      <c r="J42" s="14">
        <v>12806.67</v>
      </c>
      <c r="K42" s="3">
        <v>47243</v>
      </c>
      <c r="L42" s="13">
        <v>14465.669999999998</v>
      </c>
      <c r="M42" s="13">
        <v>50434.340000000004</v>
      </c>
      <c r="N42" s="14">
        <v>12965.41</v>
      </c>
      <c r="P42" s="3">
        <f t="shared" si="0"/>
        <v>58730.240000000005</v>
      </c>
      <c r="Q42" s="13">
        <f t="shared" si="1"/>
        <v>52668.65</v>
      </c>
      <c r="R42" s="13">
        <f t="shared" si="2"/>
        <v>44919.63</v>
      </c>
      <c r="S42" s="14">
        <f t="shared" si="3"/>
        <v>48239.75</v>
      </c>
      <c r="U42" s="3">
        <v>41913.130000000005</v>
      </c>
      <c r="V42" s="13">
        <v>16817.11</v>
      </c>
      <c r="W42" s="13">
        <v>38123.82</v>
      </c>
      <c r="X42" s="13">
        <v>14544.83</v>
      </c>
      <c r="Y42" s="3">
        <v>36286.31</v>
      </c>
      <c r="Z42" s="13">
        <v>8633.32</v>
      </c>
      <c r="AA42" s="13">
        <v>40207.380000000005</v>
      </c>
      <c r="AB42" s="14">
        <v>8032.369999999999</v>
      </c>
    </row>
    <row r="43" spans="1:28" x14ac:dyDescent="0.25">
      <c r="A43" s="3">
        <v>17</v>
      </c>
      <c r="B43" s="13">
        <v>89315.24</v>
      </c>
      <c r="C43" s="13">
        <v>30247.629999999997</v>
      </c>
      <c r="D43" s="13">
        <v>90739.689999999988</v>
      </c>
      <c r="E43" s="14">
        <v>27366.059999999998</v>
      </c>
      <c r="G43" s="3">
        <v>57594.559999999998</v>
      </c>
      <c r="H43" s="13">
        <v>21683.760000000002</v>
      </c>
      <c r="I43" s="13">
        <v>55939.46</v>
      </c>
      <c r="J43" s="14">
        <v>19359.14</v>
      </c>
      <c r="K43" s="3">
        <v>31720.68</v>
      </c>
      <c r="L43" s="13">
        <v>8563.8700000000008</v>
      </c>
      <c r="M43" s="13">
        <v>34800.229999999996</v>
      </c>
      <c r="N43" s="14">
        <v>8006.92</v>
      </c>
      <c r="P43" s="3">
        <f t="shared" si="0"/>
        <v>65943.289999999994</v>
      </c>
      <c r="Q43" s="13">
        <f t="shared" si="1"/>
        <v>62529.98</v>
      </c>
      <c r="R43" s="13">
        <f t="shared" si="2"/>
        <v>47085.08</v>
      </c>
      <c r="S43" s="14">
        <f t="shared" si="3"/>
        <v>46775.67</v>
      </c>
      <c r="U43" s="3">
        <v>50162.03</v>
      </c>
      <c r="V43" s="13">
        <v>15781.26</v>
      </c>
      <c r="W43" s="13">
        <v>48914.9</v>
      </c>
      <c r="X43" s="13">
        <v>13615.08</v>
      </c>
      <c r="Y43" s="3">
        <v>34502.54</v>
      </c>
      <c r="Z43" s="13">
        <v>12582.539999999999</v>
      </c>
      <c r="AA43" s="13">
        <v>35497.07</v>
      </c>
      <c r="AB43" s="14">
        <v>11278.599999999999</v>
      </c>
    </row>
    <row r="44" spans="1:28" x14ac:dyDescent="0.25">
      <c r="A44" s="3">
        <v>18</v>
      </c>
      <c r="B44" s="13">
        <v>93707.310000000012</v>
      </c>
      <c r="C44" s="13">
        <v>31665.329999999998</v>
      </c>
      <c r="D44" s="13">
        <v>95287.22</v>
      </c>
      <c r="E44" s="14">
        <v>28697.590000000004</v>
      </c>
      <c r="G44" s="3">
        <v>53916.63</v>
      </c>
      <c r="H44" s="13">
        <v>17802.400000000001</v>
      </c>
      <c r="I44" s="13">
        <v>53881.33</v>
      </c>
      <c r="J44" s="14">
        <v>15944.72</v>
      </c>
      <c r="K44" s="3">
        <v>39790.68</v>
      </c>
      <c r="L44" s="13">
        <v>13862.93</v>
      </c>
      <c r="M44" s="13">
        <v>41405.89</v>
      </c>
      <c r="N44" s="14">
        <v>12752.869999999999</v>
      </c>
      <c r="P44" s="3">
        <f t="shared" si="0"/>
        <v>83234.73000000001</v>
      </c>
      <c r="Q44" s="13">
        <f t="shared" si="1"/>
        <v>80375.8</v>
      </c>
      <c r="R44" s="13">
        <f t="shared" si="2"/>
        <v>36278.03</v>
      </c>
      <c r="S44" s="14">
        <f t="shared" si="3"/>
        <v>34800.840000000004</v>
      </c>
      <c r="U44" s="3">
        <v>63524.94</v>
      </c>
      <c r="V44" s="13">
        <v>19709.79</v>
      </c>
      <c r="W44" s="13">
        <v>62775</v>
      </c>
      <c r="X44" s="13">
        <v>17600.8</v>
      </c>
      <c r="Y44" s="3">
        <v>26177.359999999997</v>
      </c>
      <c r="Z44" s="13">
        <v>10100.67</v>
      </c>
      <c r="AA44" s="13">
        <v>26497.700000000004</v>
      </c>
      <c r="AB44" s="14">
        <v>8303.14</v>
      </c>
    </row>
    <row r="45" spans="1:28" x14ac:dyDescent="0.25">
      <c r="A45" s="3">
        <v>19</v>
      </c>
      <c r="B45" s="13">
        <v>148813.50200000004</v>
      </c>
      <c r="C45" s="13">
        <v>45494.35</v>
      </c>
      <c r="D45" s="13">
        <v>148415.432</v>
      </c>
      <c r="E45" s="14">
        <v>40727.14</v>
      </c>
      <c r="G45" s="3">
        <v>95808.330999999991</v>
      </c>
      <c r="H45" s="13">
        <v>32405.3</v>
      </c>
      <c r="I45" s="13">
        <v>93659.581000000006</v>
      </c>
      <c r="J45" s="14">
        <v>28185.85</v>
      </c>
      <c r="K45" s="3">
        <v>53005.171000000002</v>
      </c>
      <c r="L45" s="13">
        <v>13089.05</v>
      </c>
      <c r="M45" s="13">
        <v>54755.850999999995</v>
      </c>
      <c r="N45" s="14">
        <v>12541.289999999999</v>
      </c>
      <c r="P45" s="3">
        <f t="shared" si="0"/>
        <v>105151.48</v>
      </c>
      <c r="Q45" s="13">
        <f t="shared" si="1"/>
        <v>101354.93</v>
      </c>
      <c r="R45" s="13">
        <f t="shared" si="2"/>
        <v>84975.389999999985</v>
      </c>
      <c r="S45" s="14">
        <f t="shared" si="3"/>
        <v>78484.13</v>
      </c>
      <c r="U45" s="3">
        <v>82317.929999999993</v>
      </c>
      <c r="V45" s="13">
        <v>22833.550000000003</v>
      </c>
      <c r="W45" s="13">
        <v>80696.639999999985</v>
      </c>
      <c r="X45" s="13">
        <v>20658.29</v>
      </c>
      <c r="Y45" s="3">
        <v>64513.329999999987</v>
      </c>
      <c r="Z45" s="13">
        <v>20462.059999999998</v>
      </c>
      <c r="AA45" s="13">
        <v>62138.28</v>
      </c>
      <c r="AB45" s="14">
        <v>16345.85</v>
      </c>
    </row>
    <row r="46" spans="1:28" x14ac:dyDescent="0.25">
      <c r="A46" s="3">
        <v>20</v>
      </c>
      <c r="B46" s="13">
        <v>163670.671</v>
      </c>
      <c r="C46" s="13">
        <v>50025.439999999995</v>
      </c>
      <c r="D46" s="13">
        <v>164139.25</v>
      </c>
      <c r="E46" s="14">
        <v>43727.53</v>
      </c>
      <c r="G46" s="3">
        <v>89736.281000000017</v>
      </c>
      <c r="H46" s="13">
        <v>25653.599999999999</v>
      </c>
      <c r="I46" s="13">
        <v>90384.59</v>
      </c>
      <c r="J46" s="14">
        <v>23549.72</v>
      </c>
      <c r="K46" s="3">
        <v>73934.39</v>
      </c>
      <c r="L46" s="13">
        <v>24371.84</v>
      </c>
      <c r="M46" s="13">
        <v>73754.66</v>
      </c>
      <c r="N46" s="14">
        <v>20177.810000000001</v>
      </c>
      <c r="P46" s="3">
        <f t="shared" si="0"/>
        <v>100726.08899999999</v>
      </c>
      <c r="Q46" s="13">
        <f t="shared" si="1"/>
        <v>91793.11</v>
      </c>
      <c r="R46" s="13">
        <f t="shared" si="2"/>
        <v>88649.668999999994</v>
      </c>
      <c r="S46" s="14">
        <f t="shared" si="3"/>
        <v>88489.289999999979</v>
      </c>
      <c r="U46" s="3">
        <v>76927.668999999994</v>
      </c>
      <c r="V46" s="13">
        <v>23798.420000000002</v>
      </c>
      <c r="W46" s="13">
        <v>71704.81</v>
      </c>
      <c r="X46" s="13">
        <v>20088.300000000003</v>
      </c>
      <c r="Y46" s="3">
        <v>68522.019</v>
      </c>
      <c r="Z46" s="13">
        <v>20127.650000000001</v>
      </c>
      <c r="AA46" s="13">
        <v>71564.889999999985</v>
      </c>
      <c r="AB46" s="14">
        <v>16924.399999999998</v>
      </c>
    </row>
    <row r="47" spans="1:28" x14ac:dyDescent="0.25">
      <c r="A47" s="3">
        <v>21</v>
      </c>
      <c r="B47" s="13">
        <v>162732.83999999997</v>
      </c>
      <c r="C47" s="13">
        <v>48802.990000000005</v>
      </c>
      <c r="D47" s="13">
        <v>162322.10999999999</v>
      </c>
      <c r="E47" s="14">
        <v>42774.61</v>
      </c>
      <c r="G47" s="3">
        <v>84285.42</v>
      </c>
      <c r="H47" s="13">
        <v>28050.390000000003</v>
      </c>
      <c r="I47" s="13">
        <v>85958.72099999999</v>
      </c>
      <c r="J47" s="14">
        <v>23495.639999999996</v>
      </c>
      <c r="K47" s="3">
        <v>78447.420000000013</v>
      </c>
      <c r="L47" s="13">
        <v>20752.599999999999</v>
      </c>
      <c r="M47" s="13">
        <v>76363.388999999996</v>
      </c>
      <c r="N47" s="14">
        <v>19278.97</v>
      </c>
      <c r="P47" s="3">
        <f t="shared" si="0"/>
        <v>100545.79000000001</v>
      </c>
      <c r="Q47" s="13">
        <f t="shared" si="1"/>
        <v>95103.399000000005</v>
      </c>
      <c r="R47" s="13">
        <f t="shared" si="2"/>
        <v>70968.149999999994</v>
      </c>
      <c r="S47" s="14">
        <f t="shared" si="3"/>
        <v>68214.05</v>
      </c>
      <c r="U47" s="3">
        <v>77635.490000000005</v>
      </c>
      <c r="V47" s="13">
        <v>22910.3</v>
      </c>
      <c r="W47" s="13">
        <v>76074.748999999996</v>
      </c>
      <c r="X47" s="13">
        <v>19028.650000000001</v>
      </c>
      <c r="Y47" s="3">
        <v>53689.43</v>
      </c>
      <c r="Z47" s="13">
        <v>17278.719999999998</v>
      </c>
      <c r="AA47" s="13">
        <v>53123.32</v>
      </c>
      <c r="AB47" s="14">
        <v>15090.73</v>
      </c>
    </row>
    <row r="48" spans="1:28" x14ac:dyDescent="0.25">
      <c r="A48" s="3">
        <v>22</v>
      </c>
      <c r="B48" s="13">
        <v>131702.62099999998</v>
      </c>
      <c r="C48" s="13">
        <v>40936.200000000004</v>
      </c>
      <c r="D48" s="13">
        <v>130855.34</v>
      </c>
      <c r="E48" s="14">
        <v>36358.479999999996</v>
      </c>
      <c r="G48" s="3">
        <v>67136.05</v>
      </c>
      <c r="H48" s="13">
        <v>23421.629999999997</v>
      </c>
      <c r="I48" s="13">
        <v>67948.929999999993</v>
      </c>
      <c r="J48" s="14">
        <v>19833.509999999998</v>
      </c>
      <c r="K48" s="3">
        <v>64566.570999999996</v>
      </c>
      <c r="L48" s="13">
        <v>17514.57</v>
      </c>
      <c r="M48" s="13">
        <v>62906.409999999996</v>
      </c>
      <c r="N48" s="14">
        <v>16524.97</v>
      </c>
      <c r="P48" s="3">
        <f t="shared" si="0"/>
        <v>68633.72</v>
      </c>
      <c r="Q48" s="13">
        <f t="shared" si="1"/>
        <v>64192.65</v>
      </c>
      <c r="R48" s="13">
        <f t="shared" si="2"/>
        <v>48591.23</v>
      </c>
      <c r="S48" s="14">
        <f t="shared" si="3"/>
        <v>48109.62</v>
      </c>
      <c r="U48" s="3">
        <v>50822.539999999994</v>
      </c>
      <c r="V48" s="13">
        <v>17811.18</v>
      </c>
      <c r="W48" s="13">
        <v>49105.75</v>
      </c>
      <c r="X48" s="13">
        <v>15086.9</v>
      </c>
      <c r="Y48" s="3">
        <v>36887.79</v>
      </c>
      <c r="Z48" s="13">
        <v>11703.44</v>
      </c>
      <c r="AA48" s="13">
        <v>37915.08</v>
      </c>
      <c r="AB48" s="14">
        <v>10194.540000000001</v>
      </c>
    </row>
    <row r="49" spans="1:28" x14ac:dyDescent="0.25">
      <c r="A49" s="15">
        <v>23</v>
      </c>
      <c r="B49" s="16">
        <v>77149.569999999992</v>
      </c>
      <c r="C49" s="16">
        <v>27024.180000000004</v>
      </c>
      <c r="D49" s="16">
        <v>76582.91</v>
      </c>
      <c r="E49" s="17">
        <v>24012.74</v>
      </c>
      <c r="G49" s="3">
        <v>42781.01</v>
      </c>
      <c r="H49" s="13">
        <v>13333.08</v>
      </c>
      <c r="I49" s="13">
        <v>43941.53</v>
      </c>
      <c r="J49" s="14">
        <v>11444.98</v>
      </c>
      <c r="K49" s="3">
        <v>34368.559999999998</v>
      </c>
      <c r="L49" s="13">
        <v>13691.099999999999</v>
      </c>
      <c r="M49" s="13">
        <v>32641.379999999997</v>
      </c>
      <c r="N49" s="14">
        <v>12567.76</v>
      </c>
      <c r="P49" s="3">
        <f t="shared" si="0"/>
        <v>39299.660000000003</v>
      </c>
      <c r="Q49" s="13">
        <f t="shared" si="1"/>
        <v>38101.93</v>
      </c>
      <c r="R49" s="13">
        <f t="shared" si="2"/>
        <v>22461.08</v>
      </c>
      <c r="S49" s="14">
        <f t="shared" si="3"/>
        <v>21216.350000000002</v>
      </c>
      <c r="U49" s="15">
        <v>29367.38</v>
      </c>
      <c r="V49" s="16">
        <v>9932.2799999999988</v>
      </c>
      <c r="W49" s="16">
        <v>29338.46</v>
      </c>
      <c r="X49" s="16">
        <v>8763.4700000000012</v>
      </c>
      <c r="Y49" s="15">
        <v>15213.42</v>
      </c>
      <c r="Z49" s="16">
        <v>7247.66</v>
      </c>
      <c r="AA49" s="16">
        <v>15131.54</v>
      </c>
      <c r="AB49" s="17">
        <v>6084.81</v>
      </c>
    </row>
    <row r="50" spans="1:28" x14ac:dyDescent="0.25">
      <c r="A50" s="21">
        <v>0</v>
      </c>
      <c r="B50" s="22">
        <v>39171.11</v>
      </c>
      <c r="C50" s="22">
        <v>16020.419999999998</v>
      </c>
      <c r="D50" s="22">
        <v>39313.599999999999</v>
      </c>
      <c r="E50" s="23">
        <v>14054.91</v>
      </c>
      <c r="G50" s="21">
        <v>22089.13</v>
      </c>
      <c r="H50" s="22">
        <v>7636.7200000000012</v>
      </c>
      <c r="I50" s="22">
        <v>22859.03</v>
      </c>
      <c r="J50" s="22">
        <v>6395.91</v>
      </c>
      <c r="K50" s="21">
        <v>17081.98</v>
      </c>
      <c r="L50" s="22">
        <v>8383.7000000000007</v>
      </c>
      <c r="M50" s="22">
        <v>16454.57</v>
      </c>
      <c r="N50" s="23">
        <v>7659</v>
      </c>
      <c r="P50" s="21">
        <f t="shared" si="0"/>
        <v>17264.940000000002</v>
      </c>
      <c r="Q50" s="22">
        <f t="shared" si="1"/>
        <v>17012.46</v>
      </c>
      <c r="R50" s="22">
        <f t="shared" si="2"/>
        <v>11144.460000000001</v>
      </c>
      <c r="S50" s="23">
        <f t="shared" si="3"/>
        <v>10760.890000000001</v>
      </c>
      <c r="U50" s="21">
        <v>12342.43</v>
      </c>
      <c r="V50" s="22">
        <v>4922.51</v>
      </c>
      <c r="W50" s="22">
        <v>12661.49</v>
      </c>
      <c r="X50" s="22">
        <v>4350.97</v>
      </c>
      <c r="Y50" s="21">
        <v>7379.7000000000007</v>
      </c>
      <c r="Z50" s="22">
        <v>3764.76</v>
      </c>
      <c r="AA50" s="22">
        <v>7575.8600000000006</v>
      </c>
      <c r="AB50" s="23">
        <v>3185.03</v>
      </c>
    </row>
    <row r="51" spans="1:28" x14ac:dyDescent="0.25">
      <c r="A51" s="3">
        <v>1</v>
      </c>
      <c r="B51" s="13">
        <v>19199.560000000001</v>
      </c>
      <c r="C51" s="13">
        <v>8290.6699999999983</v>
      </c>
      <c r="D51" s="13">
        <v>19354.41</v>
      </c>
      <c r="E51" s="14">
        <v>7195.88</v>
      </c>
      <c r="G51" s="3">
        <v>13235.429999999998</v>
      </c>
      <c r="H51" s="13">
        <v>5370.1299999999992</v>
      </c>
      <c r="I51" s="13">
        <v>12928.919999999998</v>
      </c>
      <c r="J51" s="13">
        <v>4939.3999999999996</v>
      </c>
      <c r="K51" s="3">
        <v>5964.13</v>
      </c>
      <c r="L51" s="13">
        <v>2920.54</v>
      </c>
      <c r="M51" s="13">
        <v>6425.49</v>
      </c>
      <c r="N51" s="14">
        <v>2256.48</v>
      </c>
      <c r="P51" s="3">
        <f t="shared" si="0"/>
        <v>6443.94</v>
      </c>
      <c r="Q51" s="13">
        <f t="shared" si="1"/>
        <v>6300.1299999999992</v>
      </c>
      <c r="R51" s="13">
        <f t="shared" si="2"/>
        <v>6991.15</v>
      </c>
      <c r="S51" s="14">
        <f t="shared" si="3"/>
        <v>6776.67</v>
      </c>
      <c r="U51" s="3">
        <v>4730.32</v>
      </c>
      <c r="V51" s="13">
        <v>1713.62</v>
      </c>
      <c r="W51" s="13">
        <v>4890.24</v>
      </c>
      <c r="X51" s="13">
        <v>1409.8899999999999</v>
      </c>
      <c r="Y51" s="3">
        <v>4458.09</v>
      </c>
      <c r="Z51" s="13">
        <v>2533.0599999999995</v>
      </c>
      <c r="AA51" s="13">
        <v>4676.41</v>
      </c>
      <c r="AB51" s="14">
        <v>2100.2599999999998</v>
      </c>
    </row>
    <row r="52" spans="1:28" x14ac:dyDescent="0.25">
      <c r="A52" s="3">
        <v>2</v>
      </c>
      <c r="B52" s="13">
        <v>9563.7199999999993</v>
      </c>
      <c r="C52" s="13">
        <v>4241.1099999999988</v>
      </c>
      <c r="D52" s="13">
        <v>9648.77</v>
      </c>
      <c r="E52" s="14">
        <v>3593.08</v>
      </c>
      <c r="G52" s="3">
        <v>5280.2100000000009</v>
      </c>
      <c r="H52" s="13">
        <v>2875.3999999999996</v>
      </c>
      <c r="I52" s="13">
        <v>5341.0599999999995</v>
      </c>
      <c r="J52" s="13">
        <v>2474</v>
      </c>
      <c r="K52" s="3">
        <v>4283.51</v>
      </c>
      <c r="L52" s="13">
        <v>1365.71</v>
      </c>
      <c r="M52" s="13">
        <v>4307.71</v>
      </c>
      <c r="N52" s="14">
        <v>1119.08</v>
      </c>
      <c r="P52" s="3">
        <f t="shared" si="0"/>
        <v>3107.1699999999996</v>
      </c>
      <c r="Q52" s="13">
        <f t="shared" si="1"/>
        <v>3082.2000000000003</v>
      </c>
      <c r="R52" s="13">
        <f t="shared" si="2"/>
        <v>3364.54</v>
      </c>
      <c r="S52" s="14">
        <f t="shared" si="3"/>
        <v>3274.05</v>
      </c>
      <c r="U52" s="3">
        <v>2209.5699999999997</v>
      </c>
      <c r="V52" s="13">
        <v>897.6</v>
      </c>
      <c r="W52" s="13">
        <v>2367.7200000000003</v>
      </c>
      <c r="X52" s="13">
        <v>714.48</v>
      </c>
      <c r="Y52" s="3">
        <v>2215.98</v>
      </c>
      <c r="Z52" s="13">
        <v>1148.56</v>
      </c>
      <c r="AA52" s="13">
        <v>2335.3000000000002</v>
      </c>
      <c r="AB52" s="14">
        <v>938.75</v>
      </c>
    </row>
    <row r="53" spans="1:28" x14ac:dyDescent="0.25">
      <c r="A53" s="3">
        <v>3</v>
      </c>
      <c r="B53" s="13">
        <v>5362.18</v>
      </c>
      <c r="C53" s="13">
        <v>2298.8999999999996</v>
      </c>
      <c r="D53" s="13">
        <v>5376.54</v>
      </c>
      <c r="E53" s="14">
        <v>1890.9899999999998</v>
      </c>
      <c r="G53" s="3">
        <v>2977.21</v>
      </c>
      <c r="H53" s="13">
        <v>1236.9499999999998</v>
      </c>
      <c r="I53" s="13">
        <v>2941.6</v>
      </c>
      <c r="J53" s="13">
        <v>1026.22</v>
      </c>
      <c r="K53" s="3">
        <v>2384.9700000000003</v>
      </c>
      <c r="L53" s="13">
        <v>1061.95</v>
      </c>
      <c r="M53" s="13">
        <v>2434.94</v>
      </c>
      <c r="N53" s="14">
        <v>864.77</v>
      </c>
      <c r="P53" s="3">
        <f t="shared" si="0"/>
        <v>2043.89</v>
      </c>
      <c r="Q53" s="13">
        <f t="shared" si="1"/>
        <v>2054.62</v>
      </c>
      <c r="R53" s="13">
        <f t="shared" si="2"/>
        <v>1587.6799999999998</v>
      </c>
      <c r="S53" s="14">
        <f t="shared" si="3"/>
        <v>1554.7399999999998</v>
      </c>
      <c r="U53" s="3">
        <v>1362.38</v>
      </c>
      <c r="V53" s="13">
        <v>681.51</v>
      </c>
      <c r="W53" s="13">
        <v>1493.6899999999998</v>
      </c>
      <c r="X53" s="13">
        <v>560.92999999999995</v>
      </c>
      <c r="Y53" s="3">
        <v>1160.51</v>
      </c>
      <c r="Z53" s="13">
        <v>427.16999999999996</v>
      </c>
      <c r="AA53" s="13">
        <v>1195.9499999999998</v>
      </c>
      <c r="AB53" s="14">
        <v>358.79</v>
      </c>
    </row>
    <row r="54" spans="1:28" x14ac:dyDescent="0.25">
      <c r="A54" s="3">
        <v>4</v>
      </c>
      <c r="B54" s="13">
        <v>4411.04</v>
      </c>
      <c r="C54" s="13">
        <v>1554</v>
      </c>
      <c r="D54" s="13">
        <v>4383.9800000000005</v>
      </c>
      <c r="E54" s="14">
        <v>1350.6499999999999</v>
      </c>
      <c r="G54" s="3">
        <v>2385.8000000000002</v>
      </c>
      <c r="H54" s="13">
        <v>835.9</v>
      </c>
      <c r="I54" s="13">
        <v>2314.5700000000002</v>
      </c>
      <c r="J54" s="13">
        <v>750.19</v>
      </c>
      <c r="K54" s="3">
        <v>2025.24</v>
      </c>
      <c r="L54" s="13">
        <v>718.09999999999991</v>
      </c>
      <c r="M54" s="13">
        <v>2069.41</v>
      </c>
      <c r="N54" s="14">
        <v>600.46</v>
      </c>
      <c r="P54" s="3">
        <f t="shared" si="0"/>
        <v>1529.6799999999998</v>
      </c>
      <c r="Q54" s="13">
        <f t="shared" si="1"/>
        <v>1527.17</v>
      </c>
      <c r="R54" s="13">
        <f t="shared" si="2"/>
        <v>1311.65</v>
      </c>
      <c r="S54" s="14">
        <f t="shared" si="3"/>
        <v>1282.24</v>
      </c>
      <c r="U54" s="3">
        <v>1121.79</v>
      </c>
      <c r="V54" s="13">
        <v>407.89</v>
      </c>
      <c r="W54" s="13">
        <v>1175.27</v>
      </c>
      <c r="X54" s="13">
        <v>351.9</v>
      </c>
      <c r="Y54" s="3">
        <v>986.14</v>
      </c>
      <c r="Z54" s="13">
        <v>325.51</v>
      </c>
      <c r="AA54" s="13">
        <v>990.67</v>
      </c>
      <c r="AB54" s="14">
        <v>291.57</v>
      </c>
    </row>
    <row r="55" spans="1:28" x14ac:dyDescent="0.25">
      <c r="A55" s="3">
        <v>5</v>
      </c>
      <c r="B55" s="13">
        <v>18579.95</v>
      </c>
      <c r="C55" s="13">
        <v>4555.7599999999993</v>
      </c>
      <c r="D55" s="13">
        <v>17849.599999999999</v>
      </c>
      <c r="E55" s="14">
        <v>3552.9300000000003</v>
      </c>
      <c r="G55" s="3">
        <v>8906.5299999999988</v>
      </c>
      <c r="H55" s="13">
        <v>2283.1</v>
      </c>
      <c r="I55" s="13">
        <v>8374.43</v>
      </c>
      <c r="J55" s="13">
        <v>1811.69</v>
      </c>
      <c r="K55" s="3">
        <v>9673.42</v>
      </c>
      <c r="L55" s="13">
        <v>2272.6600000000003</v>
      </c>
      <c r="M55" s="13">
        <v>9475.17</v>
      </c>
      <c r="N55" s="14">
        <v>1741.24</v>
      </c>
      <c r="P55" s="3">
        <f t="shared" si="0"/>
        <v>3782.95</v>
      </c>
      <c r="Q55" s="13">
        <f t="shared" si="1"/>
        <v>3488.88</v>
      </c>
      <c r="R55" s="13">
        <f t="shared" si="2"/>
        <v>2643.25</v>
      </c>
      <c r="S55" s="14">
        <f t="shared" si="3"/>
        <v>2656.9300000000003</v>
      </c>
      <c r="U55" s="3">
        <v>3051.39</v>
      </c>
      <c r="V55" s="13">
        <v>731.56</v>
      </c>
      <c r="W55" s="13">
        <v>2873.1200000000003</v>
      </c>
      <c r="X55" s="13">
        <v>615.76</v>
      </c>
      <c r="Y55" s="3">
        <v>2186.56</v>
      </c>
      <c r="Z55" s="13">
        <v>456.69000000000005</v>
      </c>
      <c r="AA55" s="13">
        <v>2253.9</v>
      </c>
      <c r="AB55" s="14">
        <v>403.03</v>
      </c>
    </row>
    <row r="56" spans="1:28" x14ac:dyDescent="0.25">
      <c r="A56" s="3">
        <v>6</v>
      </c>
      <c r="B56" s="13">
        <v>57023.69000000001</v>
      </c>
      <c r="C56" s="13">
        <v>13504.27</v>
      </c>
      <c r="D56" s="13">
        <v>53863.8</v>
      </c>
      <c r="E56" s="14">
        <v>10236.679999999998</v>
      </c>
      <c r="G56" s="3">
        <v>42205.67</v>
      </c>
      <c r="H56" s="13">
        <v>9288.98</v>
      </c>
      <c r="I56" s="13">
        <v>40821.160000000003</v>
      </c>
      <c r="J56" s="13">
        <v>7205.54</v>
      </c>
      <c r="K56" s="3">
        <v>14818.02</v>
      </c>
      <c r="L56" s="13">
        <v>4215.29</v>
      </c>
      <c r="M56" s="13">
        <v>13042.64</v>
      </c>
      <c r="N56" s="14">
        <v>3031.14</v>
      </c>
      <c r="P56" s="3">
        <f t="shared" si="0"/>
        <v>14854.339999999998</v>
      </c>
      <c r="Q56" s="13">
        <f t="shared" si="1"/>
        <v>13603.02</v>
      </c>
      <c r="R56" s="13">
        <f t="shared" si="2"/>
        <v>7352.96</v>
      </c>
      <c r="S56" s="14">
        <f t="shared" si="3"/>
        <v>6782.7500000000009</v>
      </c>
      <c r="U56" s="3">
        <v>12436.119999999999</v>
      </c>
      <c r="V56" s="13">
        <v>2418.2199999999998</v>
      </c>
      <c r="W56" s="13">
        <v>11626.51</v>
      </c>
      <c r="X56" s="13">
        <v>1976.51</v>
      </c>
      <c r="Y56" s="3">
        <v>6229.63</v>
      </c>
      <c r="Z56" s="13">
        <v>1123.33</v>
      </c>
      <c r="AA56" s="13">
        <v>5906.3600000000006</v>
      </c>
      <c r="AB56" s="14">
        <v>876.39</v>
      </c>
    </row>
    <row r="57" spans="1:28" x14ac:dyDescent="0.25">
      <c r="A57" s="3">
        <v>7</v>
      </c>
      <c r="B57" s="13">
        <v>72840</v>
      </c>
      <c r="C57" s="13">
        <v>18279.36</v>
      </c>
      <c r="D57" s="13">
        <v>69843.62000000001</v>
      </c>
      <c r="E57" s="14">
        <v>14116.970000000001</v>
      </c>
      <c r="G57" s="3">
        <v>39927.199999999997</v>
      </c>
      <c r="H57" s="13">
        <v>9910.0499999999993</v>
      </c>
      <c r="I57" s="13">
        <v>39531.1</v>
      </c>
      <c r="J57" s="13">
        <v>7816.26</v>
      </c>
      <c r="K57" s="3">
        <v>32912.800000000003</v>
      </c>
      <c r="L57" s="13">
        <v>8369.31</v>
      </c>
      <c r="M57" s="13">
        <v>30312.520000000004</v>
      </c>
      <c r="N57" s="14">
        <v>6300.71</v>
      </c>
      <c r="P57" s="3">
        <f t="shared" si="0"/>
        <v>27897.35</v>
      </c>
      <c r="Q57" s="13">
        <f t="shared" si="1"/>
        <v>25936.089999999997</v>
      </c>
      <c r="R57" s="13">
        <f t="shared" si="2"/>
        <v>21219.210000000003</v>
      </c>
      <c r="S57" s="14">
        <f t="shared" si="3"/>
        <v>19133.879999999997</v>
      </c>
      <c r="U57" s="3">
        <v>22777.579999999998</v>
      </c>
      <c r="V57" s="13">
        <v>5119.7700000000004</v>
      </c>
      <c r="W57" s="13">
        <v>21806.44</v>
      </c>
      <c r="X57" s="13">
        <v>4129.6499999999996</v>
      </c>
      <c r="Y57" s="3">
        <v>17915.170000000002</v>
      </c>
      <c r="Z57" s="13">
        <v>3304.04</v>
      </c>
      <c r="AA57" s="13">
        <v>16514.39</v>
      </c>
      <c r="AB57" s="14">
        <v>2619.4899999999998</v>
      </c>
    </row>
    <row r="58" spans="1:28" x14ac:dyDescent="0.25">
      <c r="A58" s="3">
        <v>8</v>
      </c>
      <c r="B58" s="13">
        <v>91684.940000000017</v>
      </c>
      <c r="C58" s="13">
        <v>26660.089999999997</v>
      </c>
      <c r="D58" s="13">
        <v>89405.239999999991</v>
      </c>
      <c r="E58" s="14">
        <v>20717.539999999997</v>
      </c>
      <c r="G58" s="3">
        <v>52022.560000000005</v>
      </c>
      <c r="H58" s="13">
        <v>15783.670000000002</v>
      </c>
      <c r="I58" s="13">
        <v>47427.979999999996</v>
      </c>
      <c r="J58" s="13">
        <v>11978.689999999999</v>
      </c>
      <c r="K58" s="3">
        <v>39662.379999999997</v>
      </c>
      <c r="L58" s="13">
        <v>10876.42</v>
      </c>
      <c r="M58" s="13">
        <v>41977.259999999995</v>
      </c>
      <c r="N58" s="14">
        <v>8738.8499999999985</v>
      </c>
      <c r="P58" s="3">
        <f t="shared" si="0"/>
        <v>40380.39</v>
      </c>
      <c r="Q58" s="13">
        <f t="shared" si="1"/>
        <v>33478.199999999997</v>
      </c>
      <c r="R58" s="13">
        <f t="shared" si="2"/>
        <v>38087.479999999996</v>
      </c>
      <c r="S58" s="14">
        <f t="shared" si="3"/>
        <v>39319.250000000007</v>
      </c>
      <c r="U58" s="3">
        <v>31329.629999999997</v>
      </c>
      <c r="V58" s="13">
        <v>9050.76</v>
      </c>
      <c r="W58" s="13">
        <v>26347.899999999998</v>
      </c>
      <c r="X58" s="13">
        <v>7130.3</v>
      </c>
      <c r="Y58" s="3">
        <v>32192.14</v>
      </c>
      <c r="Z58" s="13">
        <v>5895.34</v>
      </c>
      <c r="AA58" s="13">
        <v>34023.850000000006</v>
      </c>
      <c r="AB58" s="14">
        <v>5295.4</v>
      </c>
    </row>
    <row r="59" spans="1:28" x14ac:dyDescent="0.25">
      <c r="A59" s="3">
        <v>9</v>
      </c>
      <c r="B59" s="13">
        <v>118512.15100000001</v>
      </c>
      <c r="C59" s="13">
        <v>34832.410000000003</v>
      </c>
      <c r="D59" s="13">
        <v>115721.79999999999</v>
      </c>
      <c r="E59" s="14">
        <v>28488.739999999998</v>
      </c>
      <c r="G59" s="3">
        <v>52473.021000000001</v>
      </c>
      <c r="H59" s="13">
        <v>20203.75</v>
      </c>
      <c r="I59" s="13">
        <v>43132.630000000005</v>
      </c>
      <c r="J59" s="13">
        <v>15768.35</v>
      </c>
      <c r="K59" s="3">
        <v>66039.13</v>
      </c>
      <c r="L59" s="13">
        <v>14628.66</v>
      </c>
      <c r="M59" s="13">
        <v>72589.17</v>
      </c>
      <c r="N59" s="14">
        <v>12720.39</v>
      </c>
      <c r="P59" s="3">
        <f t="shared" si="0"/>
        <v>54395.000000000007</v>
      </c>
      <c r="Q59" s="13">
        <f t="shared" si="1"/>
        <v>47468.18</v>
      </c>
      <c r="R59" s="13">
        <f t="shared" si="2"/>
        <v>50891.430000000008</v>
      </c>
      <c r="S59" s="14">
        <f t="shared" si="3"/>
        <v>52118.23</v>
      </c>
      <c r="U59" s="3">
        <v>41699.180000000008</v>
      </c>
      <c r="V59" s="13">
        <v>12695.82</v>
      </c>
      <c r="W59" s="13">
        <v>37122.9</v>
      </c>
      <c r="X59" s="13">
        <v>10345.280000000001</v>
      </c>
      <c r="Y59" s="3">
        <v>40867.200000000004</v>
      </c>
      <c r="Z59" s="13">
        <v>10024.23</v>
      </c>
      <c r="AA59" s="13">
        <v>42988.990000000005</v>
      </c>
      <c r="AB59" s="14">
        <v>9129.24</v>
      </c>
    </row>
    <row r="60" spans="1:28" x14ac:dyDescent="0.25">
      <c r="A60" s="3">
        <v>10</v>
      </c>
      <c r="B60" s="13">
        <v>113387.25099999999</v>
      </c>
      <c r="C60" s="13">
        <v>33221.049999999996</v>
      </c>
      <c r="D60" s="13">
        <v>112210.689</v>
      </c>
      <c r="E60" s="14">
        <v>28220.280000000002</v>
      </c>
      <c r="G60" s="3">
        <v>57402.559999999998</v>
      </c>
      <c r="H60" s="13">
        <v>16896.439999999999</v>
      </c>
      <c r="I60" s="13">
        <v>53415.990000000005</v>
      </c>
      <c r="J60" s="13">
        <v>14237.82</v>
      </c>
      <c r="K60" s="3">
        <v>55984.691000000006</v>
      </c>
      <c r="L60" s="13">
        <v>16324.61</v>
      </c>
      <c r="M60" s="13">
        <v>58794.698999999993</v>
      </c>
      <c r="N60" s="14">
        <v>13982.460000000001</v>
      </c>
      <c r="P60" s="3">
        <f t="shared" si="0"/>
        <v>68479.42</v>
      </c>
      <c r="Q60" s="13">
        <f t="shared" si="1"/>
        <v>70127.51999999999</v>
      </c>
      <c r="R60" s="13">
        <f t="shared" si="2"/>
        <v>53910.640000000007</v>
      </c>
      <c r="S60" s="14">
        <f t="shared" si="3"/>
        <v>47163.899999999994</v>
      </c>
      <c r="U60" s="3">
        <v>55097.08</v>
      </c>
      <c r="V60" s="13">
        <v>13382.34</v>
      </c>
      <c r="W60" s="13">
        <v>58100.27</v>
      </c>
      <c r="X60" s="13">
        <v>12027.25</v>
      </c>
      <c r="Y60" s="3">
        <v>37904.100000000006</v>
      </c>
      <c r="Z60" s="13">
        <v>16006.54</v>
      </c>
      <c r="AA60" s="13">
        <v>33391.06</v>
      </c>
      <c r="AB60" s="14">
        <v>13772.84</v>
      </c>
    </row>
    <row r="61" spans="1:28" x14ac:dyDescent="0.25">
      <c r="A61" s="3">
        <v>11</v>
      </c>
      <c r="B61" s="13">
        <v>96536.16</v>
      </c>
      <c r="C61" s="13">
        <v>29084.789999999997</v>
      </c>
      <c r="D61" s="13">
        <v>96391.060999999987</v>
      </c>
      <c r="E61" s="14">
        <v>24962.429999999997</v>
      </c>
      <c r="G61" s="3">
        <v>56128.93</v>
      </c>
      <c r="H61" s="13">
        <v>20171.849999999999</v>
      </c>
      <c r="I61" s="13">
        <v>52878.720000000001</v>
      </c>
      <c r="J61" s="13">
        <v>17054.71</v>
      </c>
      <c r="K61" s="3">
        <v>40407.229999999996</v>
      </c>
      <c r="L61" s="13">
        <v>8912.94</v>
      </c>
      <c r="M61" s="13">
        <v>43512.341</v>
      </c>
      <c r="N61" s="14">
        <v>7907.7200000000012</v>
      </c>
      <c r="P61" s="3">
        <f t="shared" si="0"/>
        <v>75028.750000000015</v>
      </c>
      <c r="Q61" s="13">
        <f t="shared" si="1"/>
        <v>74969.2</v>
      </c>
      <c r="R61" s="13">
        <f t="shared" si="2"/>
        <v>48633</v>
      </c>
      <c r="S61" s="14">
        <f t="shared" si="3"/>
        <v>44531.01</v>
      </c>
      <c r="U61" s="3">
        <v>59526.87000000001</v>
      </c>
      <c r="V61" s="13">
        <v>15501.88</v>
      </c>
      <c r="W61" s="13">
        <v>60478.279999999992</v>
      </c>
      <c r="X61" s="13">
        <v>14490.92</v>
      </c>
      <c r="Y61" s="3">
        <v>32812</v>
      </c>
      <c r="Z61" s="13">
        <v>15821</v>
      </c>
      <c r="AA61" s="13">
        <v>31081.620000000003</v>
      </c>
      <c r="AB61" s="14">
        <v>13449.39</v>
      </c>
    </row>
    <row r="62" spans="1:28" x14ac:dyDescent="0.25">
      <c r="A62" s="3">
        <v>12</v>
      </c>
      <c r="B62" s="13">
        <v>86215.39</v>
      </c>
      <c r="C62" s="13">
        <v>26369.24</v>
      </c>
      <c r="D62" s="13">
        <v>86834.35</v>
      </c>
      <c r="E62" s="14">
        <v>22769.030000000002</v>
      </c>
      <c r="G62" s="3">
        <v>54394.66</v>
      </c>
      <c r="H62" s="13">
        <v>12977.949999999999</v>
      </c>
      <c r="I62" s="13">
        <v>55880.549999999996</v>
      </c>
      <c r="J62" s="13">
        <v>11615.69</v>
      </c>
      <c r="K62" s="3">
        <v>31820.730000000003</v>
      </c>
      <c r="L62" s="13">
        <v>13391.29</v>
      </c>
      <c r="M62" s="13">
        <v>30953.8</v>
      </c>
      <c r="N62" s="14">
        <v>11153.34</v>
      </c>
      <c r="P62" s="3">
        <f t="shared" si="0"/>
        <v>74844.209999999992</v>
      </c>
      <c r="Q62" s="13">
        <f t="shared" si="1"/>
        <v>72469.320000000007</v>
      </c>
      <c r="R62" s="13">
        <f t="shared" si="2"/>
        <v>39170.300000000003</v>
      </c>
      <c r="S62" s="14">
        <f t="shared" si="3"/>
        <v>37674.07</v>
      </c>
      <c r="U62" s="3">
        <v>54210.32</v>
      </c>
      <c r="V62" s="13">
        <v>20633.89</v>
      </c>
      <c r="W62" s="13">
        <v>53651.29</v>
      </c>
      <c r="X62" s="13">
        <v>18818.03</v>
      </c>
      <c r="Y62" s="3">
        <v>30411.29</v>
      </c>
      <c r="Z62" s="13">
        <v>8759.01</v>
      </c>
      <c r="AA62" s="13">
        <v>30187.18</v>
      </c>
      <c r="AB62" s="14">
        <v>7486.8899999999994</v>
      </c>
    </row>
    <row r="63" spans="1:28" x14ac:dyDescent="0.25">
      <c r="A63" s="3">
        <v>13</v>
      </c>
      <c r="B63" s="13">
        <v>78859.939999999988</v>
      </c>
      <c r="C63" s="13">
        <v>23605.27</v>
      </c>
      <c r="D63" s="13">
        <v>79265.010000000009</v>
      </c>
      <c r="E63" s="14">
        <v>20653.539999999997</v>
      </c>
      <c r="G63" s="3">
        <v>40574.03</v>
      </c>
      <c r="H63" s="13">
        <v>12276.81</v>
      </c>
      <c r="I63" s="13">
        <v>38642.740000000005</v>
      </c>
      <c r="J63" s="13">
        <v>10677.94</v>
      </c>
      <c r="K63" s="3">
        <v>38285.909999999996</v>
      </c>
      <c r="L63" s="13">
        <v>11328.46</v>
      </c>
      <c r="M63" s="13">
        <v>40622.269999999997</v>
      </c>
      <c r="N63" s="14">
        <v>9975.5999999999985</v>
      </c>
      <c r="P63" s="3" t="e">
        <f t="shared" si="0"/>
        <v>#N/A</v>
      </c>
      <c r="Q63" s="13" t="e">
        <f t="shared" si="1"/>
        <v>#N/A</v>
      </c>
      <c r="R63" s="13" t="e">
        <f t="shared" si="2"/>
        <v>#N/A</v>
      </c>
      <c r="S63" s="14" t="e">
        <f t="shared" si="3"/>
        <v>#N/A</v>
      </c>
      <c r="U63" s="3"/>
      <c r="V63" s="13"/>
      <c r="W63" s="13"/>
      <c r="X63" s="13"/>
      <c r="Y63" s="3"/>
      <c r="Z63" s="13"/>
      <c r="AA63" s="13"/>
      <c r="AB63" s="14"/>
    </row>
    <row r="64" spans="1:28" x14ac:dyDescent="0.25">
      <c r="A64" s="3">
        <v>14</v>
      </c>
      <c r="B64" s="13">
        <v>88585.400000000009</v>
      </c>
      <c r="C64" s="13">
        <v>25577.78</v>
      </c>
      <c r="D64" s="13">
        <v>87859.8</v>
      </c>
      <c r="E64" s="14">
        <v>22463.5</v>
      </c>
      <c r="G64" s="3">
        <v>46998.070000000007</v>
      </c>
      <c r="H64" s="13">
        <v>15296.400000000001</v>
      </c>
      <c r="I64" s="13">
        <v>42880.17</v>
      </c>
      <c r="J64" s="13">
        <v>13029.99</v>
      </c>
      <c r="K64" s="3">
        <v>41587.33</v>
      </c>
      <c r="L64" s="13">
        <v>10281.380000000001</v>
      </c>
      <c r="M64" s="13">
        <v>44979.630000000005</v>
      </c>
      <c r="N64" s="14">
        <v>9433.51</v>
      </c>
      <c r="P64" s="3" t="e">
        <f t="shared" si="0"/>
        <v>#N/A</v>
      </c>
      <c r="Q64" s="13" t="e">
        <f t="shared" si="1"/>
        <v>#N/A</v>
      </c>
      <c r="R64" s="13" t="e">
        <f t="shared" si="2"/>
        <v>#N/A</v>
      </c>
      <c r="S64" s="14" t="e">
        <f t="shared" si="3"/>
        <v>#N/A</v>
      </c>
      <c r="U64" s="3"/>
      <c r="V64" s="13"/>
      <c r="W64" s="13"/>
      <c r="X64" s="13"/>
      <c r="Y64" s="3"/>
      <c r="Z64" s="13"/>
      <c r="AA64" s="13"/>
      <c r="AB64" s="14"/>
    </row>
    <row r="65" spans="1:28" x14ac:dyDescent="0.25">
      <c r="A65" s="3">
        <v>15</v>
      </c>
      <c r="B65" s="13">
        <v>98419.760000000009</v>
      </c>
      <c r="C65" s="13">
        <v>28567.03</v>
      </c>
      <c r="D65" s="13">
        <v>97143.44</v>
      </c>
      <c r="E65" s="14">
        <v>25048.07</v>
      </c>
      <c r="G65" s="3">
        <v>50230.01</v>
      </c>
      <c r="H65" s="13">
        <v>14859.560000000001</v>
      </c>
      <c r="I65" s="13">
        <v>48748.25</v>
      </c>
      <c r="J65" s="13">
        <v>12778.28</v>
      </c>
      <c r="K65" s="3">
        <v>48189.749999999993</v>
      </c>
      <c r="L65" s="13">
        <v>13707.47</v>
      </c>
      <c r="M65" s="13">
        <v>48395.19</v>
      </c>
      <c r="N65" s="14">
        <v>12269.789999999999</v>
      </c>
      <c r="P65" s="3" t="e">
        <f t="shared" si="0"/>
        <v>#N/A</v>
      </c>
      <c r="Q65" s="13" t="e">
        <f t="shared" si="1"/>
        <v>#N/A</v>
      </c>
      <c r="R65" s="13" t="e">
        <f t="shared" si="2"/>
        <v>#N/A</v>
      </c>
      <c r="S65" s="14" t="e">
        <f t="shared" si="3"/>
        <v>#N/A</v>
      </c>
      <c r="U65" s="3"/>
      <c r="V65" s="13"/>
      <c r="W65" s="13"/>
      <c r="X65" s="13"/>
      <c r="Y65" s="3"/>
      <c r="Z65" s="13"/>
      <c r="AA65" s="13"/>
      <c r="AB65" s="14"/>
    </row>
    <row r="66" spans="1:28" x14ac:dyDescent="0.25">
      <c r="A66" s="3">
        <v>16</v>
      </c>
      <c r="B66" s="13">
        <v>105444.41</v>
      </c>
      <c r="C66" s="13">
        <v>31378.629999999997</v>
      </c>
      <c r="D66" s="13">
        <v>104464.55099999999</v>
      </c>
      <c r="E66" s="14">
        <v>27445.010000000002</v>
      </c>
      <c r="G66" s="3">
        <v>54164.160000000003</v>
      </c>
      <c r="H66" s="13">
        <v>17761.169999999998</v>
      </c>
      <c r="I66" s="13">
        <v>54928.66</v>
      </c>
      <c r="J66" s="13">
        <v>14918.630000000001</v>
      </c>
      <c r="K66" s="3">
        <v>51280.25</v>
      </c>
      <c r="L66" s="13">
        <v>13617.46</v>
      </c>
      <c r="M66" s="13">
        <v>49535.891000000003</v>
      </c>
      <c r="N66" s="14">
        <v>12526.380000000001</v>
      </c>
      <c r="P66" s="3" t="e">
        <f t="shared" si="0"/>
        <v>#N/A</v>
      </c>
      <c r="Q66" s="13" t="e">
        <f t="shared" si="1"/>
        <v>#N/A</v>
      </c>
      <c r="R66" s="13" t="e">
        <f t="shared" si="2"/>
        <v>#N/A</v>
      </c>
      <c r="S66" s="14" t="e">
        <f t="shared" si="3"/>
        <v>#N/A</v>
      </c>
      <c r="U66" s="3"/>
      <c r="V66" s="13"/>
      <c r="W66" s="13"/>
      <c r="X66" s="13"/>
      <c r="Y66" s="3"/>
      <c r="Z66" s="13"/>
      <c r="AA66" s="13"/>
      <c r="AB66" s="14"/>
    </row>
    <row r="67" spans="1:28" x14ac:dyDescent="0.25">
      <c r="A67" s="3">
        <v>17</v>
      </c>
      <c r="B67" s="13">
        <v>110056.78</v>
      </c>
      <c r="C67" s="13">
        <v>34256.81</v>
      </c>
      <c r="D67" s="13">
        <v>109371.53099999999</v>
      </c>
      <c r="E67" s="14">
        <v>29905.190000000002</v>
      </c>
      <c r="G67" s="3">
        <v>73241.8</v>
      </c>
      <c r="H67" s="13">
        <v>22275.739999999998</v>
      </c>
      <c r="I67" s="13">
        <v>76198.960999999996</v>
      </c>
      <c r="J67" s="13">
        <v>20127.32</v>
      </c>
      <c r="K67" s="3">
        <v>36814.980000000003</v>
      </c>
      <c r="L67" s="13">
        <v>11981.07</v>
      </c>
      <c r="M67" s="13">
        <v>33172.57</v>
      </c>
      <c r="N67" s="14">
        <v>9777.869999999999</v>
      </c>
      <c r="P67" s="3" t="e">
        <f t="shared" ref="P67:P73" si="4">IF(U67="",ERROR.TYPE(7),U67+V67)</f>
        <v>#N/A</v>
      </c>
      <c r="Q67" s="13" t="e">
        <f t="shared" ref="Q67:Q73" si="5">IF(W67="",ERROR.TYPE(7),W67+X67)</f>
        <v>#N/A</v>
      </c>
      <c r="R67" s="13" t="e">
        <f t="shared" ref="R67:R73" si="6">IF(Y67="",ERROR.TYPE(7),Y67+Z67)</f>
        <v>#N/A</v>
      </c>
      <c r="S67" s="14" t="e">
        <f t="shared" ref="S67:S73" si="7">IF(AA67="",ERROR.TYPE(7),AA67+AB67)</f>
        <v>#N/A</v>
      </c>
      <c r="U67" s="3"/>
      <c r="V67" s="13"/>
      <c r="W67" s="13"/>
      <c r="X67" s="13"/>
      <c r="Y67" s="3"/>
      <c r="Z67" s="13"/>
      <c r="AA67" s="13"/>
      <c r="AB67" s="14"/>
    </row>
    <row r="68" spans="1:28" x14ac:dyDescent="0.25">
      <c r="A68" s="3">
        <v>18</v>
      </c>
      <c r="B68" s="13">
        <v>115075.97099999998</v>
      </c>
      <c r="C68" s="13">
        <v>36556.11</v>
      </c>
      <c r="D68" s="13">
        <v>114670.189</v>
      </c>
      <c r="E68" s="14">
        <v>32290.200000000004</v>
      </c>
      <c r="G68" s="3">
        <v>70970.600999999995</v>
      </c>
      <c r="H68" s="13">
        <v>23069.19</v>
      </c>
      <c r="I68" s="13">
        <v>71819.348999999987</v>
      </c>
      <c r="J68" s="13">
        <v>20691.060000000001</v>
      </c>
      <c r="K68" s="3">
        <v>44105.37</v>
      </c>
      <c r="L68" s="13">
        <v>13486.92</v>
      </c>
      <c r="M68" s="13">
        <v>42850.84</v>
      </c>
      <c r="N68" s="14">
        <v>11599.14</v>
      </c>
      <c r="P68" s="3" t="e">
        <f t="shared" si="4"/>
        <v>#N/A</v>
      </c>
      <c r="Q68" s="13" t="e">
        <f t="shared" si="5"/>
        <v>#N/A</v>
      </c>
      <c r="R68" s="13" t="e">
        <f t="shared" si="6"/>
        <v>#N/A</v>
      </c>
      <c r="S68" s="14" t="e">
        <f t="shared" si="7"/>
        <v>#N/A</v>
      </c>
      <c r="U68" s="3"/>
      <c r="V68" s="13"/>
      <c r="W68" s="13"/>
      <c r="X68" s="13"/>
      <c r="Y68" s="3"/>
      <c r="Z68" s="13"/>
      <c r="AA68" s="13"/>
      <c r="AB68" s="14"/>
    </row>
    <row r="69" spans="1:28" x14ac:dyDescent="0.25">
      <c r="A69" s="3">
        <v>19</v>
      </c>
      <c r="B69" s="13">
        <v>173419.24799999999</v>
      </c>
      <c r="C69" s="13">
        <v>49879.17</v>
      </c>
      <c r="D69" s="13">
        <v>170530.79799999998</v>
      </c>
      <c r="E69" s="14">
        <v>43512.43</v>
      </c>
      <c r="G69" s="3">
        <v>104963.159</v>
      </c>
      <c r="H69" s="13">
        <v>29475.130000000005</v>
      </c>
      <c r="I69" s="13">
        <v>105261.91899999999</v>
      </c>
      <c r="J69" s="13">
        <v>26569.23</v>
      </c>
      <c r="K69" s="3">
        <v>68456.088999999993</v>
      </c>
      <c r="L69" s="13">
        <v>20404.04</v>
      </c>
      <c r="M69" s="13">
        <v>65268.879000000001</v>
      </c>
      <c r="N69" s="14">
        <v>16943.2</v>
      </c>
      <c r="P69" s="3" t="e">
        <f t="shared" si="4"/>
        <v>#N/A</v>
      </c>
      <c r="Q69" s="13" t="e">
        <f t="shared" si="5"/>
        <v>#N/A</v>
      </c>
      <c r="R69" s="13" t="e">
        <f t="shared" si="6"/>
        <v>#N/A</v>
      </c>
      <c r="S69" s="14" t="e">
        <f t="shared" si="7"/>
        <v>#N/A</v>
      </c>
      <c r="U69" s="3"/>
      <c r="V69" s="13"/>
      <c r="W69" s="13"/>
      <c r="X69" s="13"/>
      <c r="Y69" s="3"/>
      <c r="Z69" s="13"/>
      <c r="AA69" s="13"/>
      <c r="AB69" s="14"/>
    </row>
    <row r="70" spans="1:28" x14ac:dyDescent="0.25">
      <c r="A70" s="3">
        <v>20</v>
      </c>
      <c r="B70" s="13">
        <v>178465.26300000001</v>
      </c>
      <c r="C70" s="13">
        <v>51900.73</v>
      </c>
      <c r="D70" s="13">
        <v>177079.97199999998</v>
      </c>
      <c r="E70" s="14">
        <v>44469.340000000004</v>
      </c>
      <c r="G70" s="3">
        <v>113683.762</v>
      </c>
      <c r="H70" s="13">
        <v>36640.71</v>
      </c>
      <c r="I70" s="13">
        <v>107727.18200000002</v>
      </c>
      <c r="J70" s="13">
        <v>30904.739999999998</v>
      </c>
      <c r="K70" s="3">
        <v>64781.500999999997</v>
      </c>
      <c r="L70" s="13">
        <v>15260.02</v>
      </c>
      <c r="M70" s="13">
        <v>69352.789999999994</v>
      </c>
      <c r="N70" s="14">
        <v>13564.599999999999</v>
      </c>
      <c r="P70" s="3" t="e">
        <f t="shared" si="4"/>
        <v>#N/A</v>
      </c>
      <c r="Q70" s="13" t="e">
        <f t="shared" si="5"/>
        <v>#N/A</v>
      </c>
      <c r="R70" s="13" t="e">
        <f t="shared" si="6"/>
        <v>#N/A</v>
      </c>
      <c r="S70" s="14" t="e">
        <f t="shared" si="7"/>
        <v>#N/A</v>
      </c>
      <c r="U70" s="3"/>
      <c r="V70" s="13"/>
      <c r="W70" s="13"/>
      <c r="X70" s="13"/>
      <c r="Y70" s="3"/>
      <c r="Z70" s="13"/>
      <c r="AA70" s="13"/>
      <c r="AB70" s="14"/>
    </row>
    <row r="71" spans="1:28" x14ac:dyDescent="0.25">
      <c r="A71" s="3">
        <v>21</v>
      </c>
      <c r="B71" s="13">
        <v>155722.49</v>
      </c>
      <c r="C71" s="13">
        <v>45612.35</v>
      </c>
      <c r="D71" s="13">
        <v>155051.13999999998</v>
      </c>
      <c r="E71" s="14">
        <v>39382.699999999997</v>
      </c>
      <c r="G71" s="3">
        <v>85172.121000000014</v>
      </c>
      <c r="H71" s="13">
        <v>21685.72</v>
      </c>
      <c r="I71" s="13">
        <v>85252.06</v>
      </c>
      <c r="J71" s="13">
        <v>18207.41</v>
      </c>
      <c r="K71" s="3">
        <v>70550.368999999992</v>
      </c>
      <c r="L71" s="13">
        <v>23926.629999999997</v>
      </c>
      <c r="M71" s="13">
        <v>69799.08</v>
      </c>
      <c r="N71" s="14">
        <v>21175.29</v>
      </c>
      <c r="P71" s="3" t="e">
        <f t="shared" si="4"/>
        <v>#N/A</v>
      </c>
      <c r="Q71" s="13" t="e">
        <f t="shared" si="5"/>
        <v>#N/A</v>
      </c>
      <c r="R71" s="13" t="e">
        <f t="shared" si="6"/>
        <v>#N/A</v>
      </c>
      <c r="S71" s="14" t="e">
        <f t="shared" si="7"/>
        <v>#N/A</v>
      </c>
      <c r="U71" s="3"/>
      <c r="V71" s="13"/>
      <c r="W71" s="13"/>
      <c r="X71" s="13"/>
      <c r="Y71" s="3"/>
      <c r="Z71" s="13"/>
      <c r="AA71" s="13"/>
      <c r="AB71" s="14"/>
    </row>
    <row r="72" spans="1:28" x14ac:dyDescent="0.25">
      <c r="A72" s="3">
        <v>22</v>
      </c>
      <c r="B72" s="13">
        <v>102381.23000000001</v>
      </c>
      <c r="C72" s="13">
        <v>32477.19</v>
      </c>
      <c r="D72" s="13">
        <v>102680.1</v>
      </c>
      <c r="E72" s="14">
        <v>28131.68</v>
      </c>
      <c r="G72" s="3">
        <v>61764.009999999995</v>
      </c>
      <c r="H72" s="13">
        <v>20802.539999999997</v>
      </c>
      <c r="I72" s="13">
        <v>60929.819999999992</v>
      </c>
      <c r="J72" s="13">
        <v>17920.63</v>
      </c>
      <c r="K72" s="3">
        <v>40617.22</v>
      </c>
      <c r="L72" s="13">
        <v>11674.65</v>
      </c>
      <c r="M72" s="13">
        <v>41750.28</v>
      </c>
      <c r="N72" s="14">
        <v>10211.049999999999</v>
      </c>
      <c r="P72" s="3" t="e">
        <f t="shared" si="4"/>
        <v>#N/A</v>
      </c>
      <c r="Q72" s="13" t="e">
        <f t="shared" si="5"/>
        <v>#N/A</v>
      </c>
      <c r="R72" s="13" t="e">
        <f t="shared" si="6"/>
        <v>#N/A</v>
      </c>
      <c r="S72" s="14" t="e">
        <f t="shared" si="7"/>
        <v>#N/A</v>
      </c>
      <c r="U72" s="3"/>
      <c r="V72" s="13"/>
      <c r="W72" s="13"/>
      <c r="X72" s="13"/>
      <c r="Y72" s="3"/>
      <c r="Z72" s="13"/>
      <c r="AA72" s="13"/>
      <c r="AB72" s="14"/>
    </row>
    <row r="73" spans="1:28" x14ac:dyDescent="0.25">
      <c r="A73" s="15">
        <v>23</v>
      </c>
      <c r="B73" s="16">
        <v>46266.770000000004</v>
      </c>
      <c r="C73" s="16">
        <v>17486.97</v>
      </c>
      <c r="D73" s="16">
        <v>46836.570000000007</v>
      </c>
      <c r="E73" s="17">
        <v>15137.09</v>
      </c>
      <c r="G73" s="15">
        <v>31847.089999999997</v>
      </c>
      <c r="H73" s="16">
        <v>11024.930000000002</v>
      </c>
      <c r="I73" s="16">
        <v>32290.829999999998</v>
      </c>
      <c r="J73" s="16">
        <v>9495.85</v>
      </c>
      <c r="K73" s="15">
        <v>14419.68</v>
      </c>
      <c r="L73" s="16">
        <v>6462.04</v>
      </c>
      <c r="M73" s="16">
        <v>14545.74</v>
      </c>
      <c r="N73" s="17">
        <v>5641.24</v>
      </c>
      <c r="P73" s="15" t="e">
        <f t="shared" si="4"/>
        <v>#N/A</v>
      </c>
      <c r="Q73" s="16" t="e">
        <f t="shared" si="5"/>
        <v>#N/A</v>
      </c>
      <c r="R73" s="16" t="e">
        <f t="shared" si="6"/>
        <v>#N/A</v>
      </c>
      <c r="S73" s="17" t="e">
        <f t="shared" si="7"/>
        <v>#N/A</v>
      </c>
      <c r="U73" s="15"/>
      <c r="V73" s="16"/>
      <c r="W73" s="16"/>
      <c r="X73" s="16"/>
      <c r="Y73" s="15"/>
      <c r="Z73" s="16"/>
      <c r="AA73" s="16"/>
      <c r="AB73" s="17"/>
    </row>
    <row r="74" spans="1:28" x14ac:dyDescent="0.25">
      <c r="A74" s="21">
        <v>0</v>
      </c>
      <c r="B74" s="22">
        <v>18330.34</v>
      </c>
      <c r="C74" s="22">
        <v>8170.7999999999984</v>
      </c>
      <c r="D74" s="22">
        <v>19114.759999999998</v>
      </c>
      <c r="E74" s="23">
        <v>7024.49</v>
      </c>
      <c r="G74" s="21">
        <v>9904.4700000000012</v>
      </c>
      <c r="H74" s="22">
        <v>4477.12</v>
      </c>
      <c r="I74" s="22">
        <v>10169.18</v>
      </c>
      <c r="J74" s="22">
        <v>3796.1899999999996</v>
      </c>
      <c r="K74" s="21">
        <v>8425.8700000000008</v>
      </c>
      <c r="L74" s="22">
        <v>3693.68</v>
      </c>
      <c r="M74" s="22">
        <v>8945.58</v>
      </c>
      <c r="N74" s="23">
        <v>3228.3</v>
      </c>
    </row>
    <row r="75" spans="1:28" x14ac:dyDescent="0.25">
      <c r="A75" s="3">
        <v>1</v>
      </c>
      <c r="B75" s="13">
        <v>7846.9699999999984</v>
      </c>
      <c r="C75" s="13">
        <v>3683.62</v>
      </c>
      <c r="D75" s="13">
        <v>8282.19</v>
      </c>
      <c r="E75" s="14">
        <v>3236.5499999999993</v>
      </c>
      <c r="G75" s="3">
        <v>3862.8199999999997</v>
      </c>
      <c r="H75" s="13">
        <v>1548.6399999999999</v>
      </c>
      <c r="I75" s="13">
        <v>4134.4800000000005</v>
      </c>
      <c r="J75" s="13">
        <v>1289.24</v>
      </c>
      <c r="K75" s="3">
        <v>3984.15</v>
      </c>
      <c r="L75" s="13">
        <v>2134.98</v>
      </c>
      <c r="M75" s="13">
        <v>4147.71</v>
      </c>
      <c r="N75" s="14">
        <v>1947.31</v>
      </c>
    </row>
    <row r="76" spans="1:28" x14ac:dyDescent="0.25">
      <c r="A76" s="3">
        <v>2</v>
      </c>
      <c r="B76" s="13">
        <v>3756.7200000000003</v>
      </c>
      <c r="C76" s="13">
        <v>1790.3300000000002</v>
      </c>
      <c r="D76" s="13">
        <v>4000.8500000000004</v>
      </c>
      <c r="E76" s="14">
        <v>1524.1100000000001</v>
      </c>
      <c r="G76" s="3">
        <v>2089.0700000000002</v>
      </c>
      <c r="H76" s="13">
        <v>980.29</v>
      </c>
      <c r="I76" s="13">
        <v>2174.75</v>
      </c>
      <c r="J76" s="13">
        <v>829.09</v>
      </c>
      <c r="K76" s="3">
        <v>1667.6499999999999</v>
      </c>
      <c r="L76" s="13">
        <v>810.04</v>
      </c>
      <c r="M76" s="13">
        <v>1826.1</v>
      </c>
      <c r="N76" s="14">
        <v>695.02</v>
      </c>
    </row>
    <row r="77" spans="1:28" x14ac:dyDescent="0.25">
      <c r="A77" s="3">
        <v>3</v>
      </c>
      <c r="B77" s="13">
        <v>2159.25</v>
      </c>
      <c r="C77" s="13">
        <v>939.84999999999991</v>
      </c>
      <c r="D77" s="13">
        <v>2264.31</v>
      </c>
      <c r="E77" s="14">
        <v>820.5100000000001</v>
      </c>
      <c r="G77" s="3">
        <v>1203.6699999999998</v>
      </c>
      <c r="H77" s="13">
        <v>518.23</v>
      </c>
      <c r="I77" s="13">
        <v>1235.8499999999999</v>
      </c>
      <c r="J77" s="13">
        <v>462.96999999999997</v>
      </c>
      <c r="K77" s="3">
        <v>955.58</v>
      </c>
      <c r="L77" s="13">
        <v>421.62</v>
      </c>
      <c r="M77" s="13">
        <v>1028.46</v>
      </c>
      <c r="N77" s="14">
        <v>357.53999999999996</v>
      </c>
    </row>
    <row r="78" spans="1:28" x14ac:dyDescent="0.25">
      <c r="A78" s="3">
        <v>4</v>
      </c>
      <c r="B78" s="13">
        <v>1808.7499999999998</v>
      </c>
      <c r="C78" s="13">
        <v>636.58999999999992</v>
      </c>
      <c r="D78" s="13">
        <v>1893.7800000000002</v>
      </c>
      <c r="E78" s="14">
        <v>551.1</v>
      </c>
      <c r="G78" s="3">
        <v>1121.9299999999998</v>
      </c>
      <c r="H78" s="13">
        <v>384.13</v>
      </c>
      <c r="I78" s="13">
        <v>1188.28</v>
      </c>
      <c r="J78" s="13">
        <v>328.94</v>
      </c>
      <c r="K78" s="3">
        <v>686.82</v>
      </c>
      <c r="L78" s="13">
        <v>252.46</v>
      </c>
      <c r="M78" s="13">
        <v>705.5</v>
      </c>
      <c r="N78" s="14">
        <v>222.16</v>
      </c>
    </row>
    <row r="79" spans="1:28" x14ac:dyDescent="0.25">
      <c r="A79" s="3">
        <v>5</v>
      </c>
      <c r="B79" s="13">
        <v>5811.1</v>
      </c>
      <c r="C79" s="13">
        <v>1234.77</v>
      </c>
      <c r="D79" s="13">
        <v>5673.93</v>
      </c>
      <c r="E79" s="14">
        <v>1052.5500000000002</v>
      </c>
      <c r="G79" s="3">
        <v>3388.51</v>
      </c>
      <c r="H79" s="13">
        <v>823.4899999999999</v>
      </c>
      <c r="I79" s="13">
        <v>3286.44</v>
      </c>
      <c r="J79" s="13">
        <v>723.91</v>
      </c>
      <c r="K79" s="3">
        <v>2422.5899999999997</v>
      </c>
      <c r="L79" s="13">
        <v>411.28</v>
      </c>
      <c r="M79" s="13">
        <v>2387.4899999999998</v>
      </c>
      <c r="N79" s="14">
        <v>328.64</v>
      </c>
    </row>
    <row r="80" spans="1:28" x14ac:dyDescent="0.25">
      <c r="A80" s="3">
        <v>6</v>
      </c>
      <c r="B80" s="13">
        <v>21973.879999999997</v>
      </c>
      <c r="C80" s="13">
        <v>3853.08</v>
      </c>
      <c r="D80" s="13">
        <v>20746.52</v>
      </c>
      <c r="E80" s="14">
        <v>3092.15</v>
      </c>
      <c r="G80" s="3">
        <v>13074.04</v>
      </c>
      <c r="H80" s="13">
        <v>2105.52</v>
      </c>
      <c r="I80" s="13">
        <v>12182.56</v>
      </c>
      <c r="J80" s="13">
        <v>1642.19</v>
      </c>
      <c r="K80" s="3">
        <v>8899.84</v>
      </c>
      <c r="L80" s="13">
        <v>1747.56</v>
      </c>
      <c r="M80" s="13">
        <v>8563.9599999999991</v>
      </c>
      <c r="N80" s="14">
        <v>1449.9599999999998</v>
      </c>
    </row>
    <row r="81" spans="1:14" x14ac:dyDescent="0.25">
      <c r="A81" s="3">
        <v>7</v>
      </c>
      <c r="B81" s="13">
        <v>47339.8</v>
      </c>
      <c r="C81" s="13">
        <v>8643.19</v>
      </c>
      <c r="D81" s="13">
        <v>44258.489999999991</v>
      </c>
      <c r="E81" s="14">
        <v>7107.5</v>
      </c>
      <c r="G81" s="3">
        <v>20877.02</v>
      </c>
      <c r="H81" s="13">
        <v>4570.1000000000004</v>
      </c>
      <c r="I81" s="13">
        <v>17418.900000000001</v>
      </c>
      <c r="J81" s="13">
        <v>3579.86</v>
      </c>
      <c r="K81" s="3">
        <v>26462.78</v>
      </c>
      <c r="L81" s="13">
        <v>4073.09</v>
      </c>
      <c r="M81" s="13">
        <v>26839.59</v>
      </c>
      <c r="N81" s="14">
        <v>3527.6400000000003</v>
      </c>
    </row>
    <row r="82" spans="1:14" x14ac:dyDescent="0.25">
      <c r="A82" s="3">
        <v>8</v>
      </c>
      <c r="B82" s="13">
        <v>74867.89</v>
      </c>
      <c r="C82" s="13">
        <v>15523.029999999999</v>
      </c>
      <c r="D82" s="13">
        <v>70196.989999999991</v>
      </c>
      <c r="E82" s="14">
        <v>13159.510000000002</v>
      </c>
      <c r="G82" s="3">
        <v>27465.439999999999</v>
      </c>
      <c r="H82" s="13">
        <v>6604.54</v>
      </c>
      <c r="I82" s="13">
        <v>23198.809999999998</v>
      </c>
      <c r="J82" s="13">
        <v>5327.36</v>
      </c>
      <c r="K82" s="3">
        <v>47402.45</v>
      </c>
      <c r="L82" s="13">
        <v>8918.49</v>
      </c>
      <c r="M82" s="13">
        <v>46998.18</v>
      </c>
      <c r="N82" s="14">
        <v>7832.15</v>
      </c>
    </row>
    <row r="83" spans="1:14" x14ac:dyDescent="0.25">
      <c r="A83" s="3">
        <v>9</v>
      </c>
      <c r="B83" s="13">
        <v>96968.040000000008</v>
      </c>
      <c r="C83" s="13">
        <v>23301.23</v>
      </c>
      <c r="D83" s="13">
        <v>92485.759999999995</v>
      </c>
      <c r="E83" s="14">
        <v>20091.47</v>
      </c>
      <c r="G83" s="3">
        <v>58831.88</v>
      </c>
      <c r="H83" s="13">
        <v>13758.380000000001</v>
      </c>
      <c r="I83" s="13">
        <v>55007.12</v>
      </c>
      <c r="J83" s="13">
        <v>11565.83</v>
      </c>
      <c r="K83" s="3">
        <v>38136.160000000003</v>
      </c>
      <c r="L83" s="13">
        <v>9542.8500000000022</v>
      </c>
      <c r="M83" s="13">
        <v>37478.640000000007</v>
      </c>
      <c r="N83" s="14">
        <v>8525.64</v>
      </c>
    </row>
    <row r="84" spans="1:14" x14ac:dyDescent="0.25">
      <c r="A84" s="3">
        <v>10</v>
      </c>
      <c r="B84" s="13">
        <v>107000.51</v>
      </c>
      <c r="C84" s="13">
        <v>29507.06</v>
      </c>
      <c r="D84" s="13">
        <v>103598.76999999999</v>
      </c>
      <c r="E84" s="14">
        <v>25915.14</v>
      </c>
      <c r="G84" s="3">
        <v>68344.759999999995</v>
      </c>
      <c r="H84" s="13">
        <v>16812.870000000003</v>
      </c>
      <c r="I84" s="13">
        <v>70292.53</v>
      </c>
      <c r="J84" s="13">
        <v>14837.83</v>
      </c>
      <c r="K84" s="3">
        <v>38655.75</v>
      </c>
      <c r="L84" s="13">
        <v>12694.189999999999</v>
      </c>
      <c r="M84" s="13">
        <v>33306.239999999998</v>
      </c>
      <c r="N84" s="14">
        <v>11077.31</v>
      </c>
    </row>
    <row r="85" spans="1:14" x14ac:dyDescent="0.25">
      <c r="A85" s="3">
        <v>11</v>
      </c>
      <c r="B85" s="13">
        <v>104053.68999999999</v>
      </c>
      <c r="C85" s="13">
        <v>31241.630000000005</v>
      </c>
      <c r="D85" s="13">
        <v>101831.34</v>
      </c>
      <c r="E85" s="14">
        <v>27545.200000000001</v>
      </c>
      <c r="G85" s="3">
        <v>72491.75</v>
      </c>
      <c r="H85" s="13">
        <v>18506.010000000002</v>
      </c>
      <c r="I85" s="13">
        <v>71688.05</v>
      </c>
      <c r="J85" s="13">
        <v>16864.920000000002</v>
      </c>
      <c r="K85" s="3">
        <v>31561.94</v>
      </c>
      <c r="L85" s="13">
        <v>12735.62</v>
      </c>
      <c r="M85" s="13">
        <v>30143.290000000005</v>
      </c>
      <c r="N85" s="14">
        <v>10680.28</v>
      </c>
    </row>
    <row r="86" spans="1:14" x14ac:dyDescent="0.25">
      <c r="A86" s="3">
        <v>12</v>
      </c>
      <c r="B86" s="13">
        <v>93661.74</v>
      </c>
      <c r="C86" s="13">
        <v>29046.679999999997</v>
      </c>
      <c r="D86" s="13">
        <v>92299.11</v>
      </c>
      <c r="E86" s="14">
        <v>25909.09</v>
      </c>
      <c r="G86" s="3">
        <v>50996.569999999992</v>
      </c>
      <c r="H86" s="13">
        <v>15831.25</v>
      </c>
      <c r="I86" s="13">
        <v>47646.83</v>
      </c>
      <c r="J86" s="13">
        <v>14161.75</v>
      </c>
      <c r="K86" s="3">
        <v>42665.17</v>
      </c>
      <c r="L86" s="13">
        <v>13215.43</v>
      </c>
      <c r="M86" s="13">
        <v>44652.28</v>
      </c>
      <c r="N86" s="14">
        <v>11747.339999999998</v>
      </c>
    </row>
    <row r="87" spans="1:14" x14ac:dyDescent="0.25">
      <c r="A87" s="3">
        <v>13</v>
      </c>
      <c r="B87" s="13">
        <v>75282.5</v>
      </c>
      <c r="C87" s="13">
        <v>22954.54</v>
      </c>
      <c r="D87" s="13">
        <v>75067.240000000005</v>
      </c>
      <c r="E87" s="14">
        <v>20783.989999999998</v>
      </c>
      <c r="G87" s="3">
        <v>44645.359999999993</v>
      </c>
      <c r="H87" s="13">
        <v>13121.339999999998</v>
      </c>
      <c r="I87" s="13">
        <v>43952.86</v>
      </c>
      <c r="J87" s="13">
        <v>11604.81</v>
      </c>
      <c r="K87" s="3">
        <v>30637.140000000003</v>
      </c>
      <c r="L87" s="13">
        <v>9833.1999999999989</v>
      </c>
      <c r="M87" s="13">
        <v>31114.379999999997</v>
      </c>
      <c r="N87" s="14">
        <v>9179.18</v>
      </c>
    </row>
    <row r="88" spans="1:14" x14ac:dyDescent="0.25">
      <c r="A88" s="3">
        <v>14</v>
      </c>
      <c r="B88" s="13">
        <v>73968.33</v>
      </c>
      <c r="C88" s="13">
        <v>21181.34</v>
      </c>
      <c r="D88" s="13">
        <v>73437.02</v>
      </c>
      <c r="E88" s="14">
        <v>19360.390000000003</v>
      </c>
      <c r="G88" s="3">
        <v>47539.270000000004</v>
      </c>
      <c r="H88" s="13">
        <v>15277</v>
      </c>
      <c r="I88" s="13">
        <v>44752.07</v>
      </c>
      <c r="J88" s="13">
        <v>13677.619999999999</v>
      </c>
      <c r="K88" s="3">
        <v>26429.059999999998</v>
      </c>
      <c r="L88" s="13">
        <v>5904.34</v>
      </c>
      <c r="M88" s="13">
        <v>28684.95</v>
      </c>
      <c r="N88" s="14">
        <v>5682.7699999999995</v>
      </c>
    </row>
    <row r="89" spans="1:14" x14ac:dyDescent="0.25">
      <c r="A89" s="3">
        <v>15</v>
      </c>
      <c r="B89" s="13">
        <v>78026.22</v>
      </c>
      <c r="C89" s="13">
        <v>22172.79</v>
      </c>
      <c r="D89" s="13">
        <v>77290.81</v>
      </c>
      <c r="E89" s="14">
        <v>20106.890000000003</v>
      </c>
      <c r="G89" s="3">
        <v>48182.31</v>
      </c>
      <c r="H89" s="13">
        <v>12997.51</v>
      </c>
      <c r="I89" s="13">
        <v>46947.07</v>
      </c>
      <c r="J89" s="13">
        <v>11947.91</v>
      </c>
      <c r="K89" s="3">
        <v>29843.910000000003</v>
      </c>
      <c r="L89" s="13">
        <v>9175.2800000000007</v>
      </c>
      <c r="M89" s="13">
        <v>30343.739999999998</v>
      </c>
      <c r="N89" s="14">
        <v>8158.98</v>
      </c>
    </row>
    <row r="90" spans="1:14" x14ac:dyDescent="0.25">
      <c r="A90" s="3">
        <v>16</v>
      </c>
      <c r="B90" s="13">
        <v>81916.76999999999</v>
      </c>
      <c r="C90" s="13">
        <v>24289.42</v>
      </c>
      <c r="D90" s="13">
        <v>81528.95</v>
      </c>
      <c r="E90" s="14">
        <v>21863.899999999998</v>
      </c>
      <c r="G90" s="3">
        <v>50888.789999999994</v>
      </c>
      <c r="H90" s="13">
        <v>15118.210000000001</v>
      </c>
      <c r="I90" s="13">
        <v>50972.7</v>
      </c>
      <c r="J90" s="13">
        <v>13749.43</v>
      </c>
      <c r="K90" s="3">
        <v>31027.98</v>
      </c>
      <c r="L90" s="13">
        <v>9171.2100000000009</v>
      </c>
      <c r="M90" s="13">
        <v>30556.25</v>
      </c>
      <c r="N90" s="14">
        <v>8114.47</v>
      </c>
    </row>
    <row r="91" spans="1:14" x14ac:dyDescent="0.25">
      <c r="A91" s="3">
        <v>17</v>
      </c>
      <c r="B91" s="13">
        <v>86483.14</v>
      </c>
      <c r="C91" s="13">
        <v>27335.850000000002</v>
      </c>
      <c r="D91" s="13">
        <v>86361.83</v>
      </c>
      <c r="E91" s="14">
        <v>24278.78</v>
      </c>
      <c r="G91" s="3">
        <v>56879.240000000005</v>
      </c>
      <c r="H91" s="13">
        <v>16898.37</v>
      </c>
      <c r="I91" s="13">
        <v>54601.780000000006</v>
      </c>
      <c r="J91" s="13">
        <v>15298.869999999999</v>
      </c>
      <c r="K91" s="3">
        <v>29603.9</v>
      </c>
      <c r="L91" s="13">
        <v>10437.48</v>
      </c>
      <c r="M91" s="13">
        <v>31760.050000000003</v>
      </c>
      <c r="N91" s="14">
        <v>8979.91</v>
      </c>
    </row>
    <row r="92" spans="1:14" x14ac:dyDescent="0.25">
      <c r="A92" s="3">
        <v>18</v>
      </c>
      <c r="B92" s="13">
        <v>91918.49</v>
      </c>
      <c r="C92" s="13">
        <v>29445.25</v>
      </c>
      <c r="D92" s="13">
        <v>91185.409999999989</v>
      </c>
      <c r="E92" s="14">
        <v>26162.82</v>
      </c>
      <c r="G92" s="3">
        <v>47283.75</v>
      </c>
      <c r="H92" s="13">
        <v>16857.13</v>
      </c>
      <c r="I92" s="13">
        <v>47765.54</v>
      </c>
      <c r="J92" s="13">
        <v>14300.59</v>
      </c>
      <c r="K92" s="3">
        <v>44634.740000000005</v>
      </c>
      <c r="L92" s="13">
        <v>12588.119999999999</v>
      </c>
      <c r="M92" s="13">
        <v>43419.87</v>
      </c>
      <c r="N92" s="14">
        <v>11862.23</v>
      </c>
    </row>
    <row r="93" spans="1:14" x14ac:dyDescent="0.25">
      <c r="A93" s="3">
        <v>19</v>
      </c>
      <c r="B93" s="13">
        <v>143673.32</v>
      </c>
      <c r="C93" s="13">
        <v>41507.53</v>
      </c>
      <c r="D93" s="13">
        <v>140356.94099999999</v>
      </c>
      <c r="E93" s="14">
        <v>36567.58</v>
      </c>
      <c r="G93" s="3">
        <v>67394.050999999992</v>
      </c>
      <c r="H93" s="13">
        <v>17996.500000000004</v>
      </c>
      <c r="I93" s="13">
        <v>66036.429999999993</v>
      </c>
      <c r="J93" s="13">
        <v>15523.75</v>
      </c>
      <c r="K93" s="3">
        <v>76279.269</v>
      </c>
      <c r="L93" s="13">
        <v>23511.03</v>
      </c>
      <c r="M93" s="13">
        <v>74320.510999999999</v>
      </c>
      <c r="N93" s="14">
        <v>21043.829999999998</v>
      </c>
    </row>
    <row r="94" spans="1:14" x14ac:dyDescent="0.25">
      <c r="A94" s="3">
        <v>20</v>
      </c>
      <c r="B94" s="13">
        <v>149278.76899999997</v>
      </c>
      <c r="C94" s="13">
        <v>43439.979999999996</v>
      </c>
      <c r="D94" s="13">
        <v>146856.40899999999</v>
      </c>
      <c r="E94" s="14">
        <v>37434.929999999993</v>
      </c>
      <c r="G94" s="3">
        <v>79008.259999999995</v>
      </c>
      <c r="H94" s="13">
        <v>23148.809999999998</v>
      </c>
      <c r="I94" s="13">
        <v>73689.61</v>
      </c>
      <c r="J94" s="13">
        <v>20139.48</v>
      </c>
      <c r="K94" s="3">
        <v>70270.508999999991</v>
      </c>
      <c r="L94" s="13">
        <v>20291.170000000002</v>
      </c>
      <c r="M94" s="13">
        <v>73166.798999999999</v>
      </c>
      <c r="N94" s="14">
        <v>17295.449999999997</v>
      </c>
    </row>
    <row r="95" spans="1:14" x14ac:dyDescent="0.25">
      <c r="A95" s="3">
        <v>21</v>
      </c>
      <c r="B95" s="13">
        <v>133757.671</v>
      </c>
      <c r="C95" s="13">
        <v>39144.629999999997</v>
      </c>
      <c r="D95" s="13">
        <v>131156.78</v>
      </c>
      <c r="E95" s="14">
        <v>33904.090000000004</v>
      </c>
      <c r="G95" s="3">
        <v>85574.73000000001</v>
      </c>
      <c r="H95" s="13">
        <v>23789.02</v>
      </c>
      <c r="I95" s="13">
        <v>80881.078999999998</v>
      </c>
      <c r="J95" s="13">
        <v>21137.379999999997</v>
      </c>
      <c r="K95" s="3">
        <v>48182.941000000006</v>
      </c>
      <c r="L95" s="13">
        <v>15355.61</v>
      </c>
      <c r="M95" s="13">
        <v>50275.701000000001</v>
      </c>
      <c r="N95" s="14">
        <v>12766.71</v>
      </c>
    </row>
    <row r="96" spans="1:14" x14ac:dyDescent="0.25">
      <c r="A96" s="3">
        <v>22</v>
      </c>
      <c r="B96" s="13">
        <v>93021.74</v>
      </c>
      <c r="C96" s="13">
        <v>28968.579999999998</v>
      </c>
      <c r="D96" s="13">
        <v>91914.75</v>
      </c>
      <c r="E96" s="14">
        <v>25311.24</v>
      </c>
      <c r="G96" s="3">
        <v>56489.48</v>
      </c>
      <c r="H96" s="13">
        <v>16316.589999999998</v>
      </c>
      <c r="I96" s="13">
        <v>56497.45</v>
      </c>
      <c r="J96" s="13">
        <v>14336.91</v>
      </c>
      <c r="K96" s="3">
        <v>36532.26</v>
      </c>
      <c r="L96" s="13">
        <v>12651.99</v>
      </c>
      <c r="M96" s="13">
        <v>35417.300000000003</v>
      </c>
      <c r="N96" s="14">
        <v>10974.330000000002</v>
      </c>
    </row>
    <row r="97" spans="1:14" x14ac:dyDescent="0.25">
      <c r="A97" s="15">
        <v>23</v>
      </c>
      <c r="B97" s="16">
        <v>47900.17</v>
      </c>
      <c r="C97" s="16">
        <v>17335.320000000003</v>
      </c>
      <c r="D97" s="16">
        <v>47754.859999999993</v>
      </c>
      <c r="E97" s="17">
        <v>14974.010000000002</v>
      </c>
      <c r="G97" s="15">
        <v>28378.25</v>
      </c>
      <c r="H97" s="16">
        <v>8862.7199999999993</v>
      </c>
      <c r="I97" s="16">
        <v>28025.3</v>
      </c>
      <c r="J97" s="16">
        <v>7554.8</v>
      </c>
      <c r="K97" s="15">
        <v>19521.919999999998</v>
      </c>
      <c r="L97" s="16">
        <v>8472.6</v>
      </c>
      <c r="M97" s="16">
        <v>19729.559999999998</v>
      </c>
      <c r="N97" s="17">
        <v>7419.21</v>
      </c>
    </row>
    <row r="98" spans="1:14" x14ac:dyDescent="0.25">
      <c r="A98" s="21">
        <v>0</v>
      </c>
      <c r="B98" s="22">
        <v>21533.850000000002</v>
      </c>
      <c r="C98" s="22">
        <v>9019.44</v>
      </c>
      <c r="D98" s="22">
        <v>21858.839999999997</v>
      </c>
      <c r="E98" s="23">
        <v>7779.6200000000008</v>
      </c>
      <c r="G98" s="21">
        <v>11552.82</v>
      </c>
      <c r="H98" s="22">
        <v>5606.91</v>
      </c>
      <c r="I98" s="22">
        <v>11912.91</v>
      </c>
      <c r="J98" s="22">
        <v>4640.08</v>
      </c>
      <c r="K98" s="21">
        <v>9981.0300000000007</v>
      </c>
      <c r="L98" s="22">
        <v>3412.5299999999997</v>
      </c>
      <c r="M98" s="22">
        <v>9945.93</v>
      </c>
      <c r="N98" s="23">
        <v>3139.54</v>
      </c>
    </row>
    <row r="99" spans="1:14" x14ac:dyDescent="0.25">
      <c r="A99" s="3">
        <v>1</v>
      </c>
      <c r="B99" s="13">
        <v>9932.1200000000026</v>
      </c>
      <c r="C99" s="13">
        <v>4582.2199999999993</v>
      </c>
      <c r="D99" s="13">
        <v>10194.85</v>
      </c>
      <c r="E99" s="14">
        <v>3857.7599999999998</v>
      </c>
      <c r="G99" s="3">
        <v>5107.43</v>
      </c>
      <c r="H99" s="13">
        <v>2854.6499999999996</v>
      </c>
      <c r="I99" s="13">
        <v>5287.1100000000006</v>
      </c>
      <c r="J99" s="13">
        <v>2506.7399999999998</v>
      </c>
      <c r="K99" s="3">
        <v>4824.6900000000005</v>
      </c>
      <c r="L99" s="13">
        <v>1727.57</v>
      </c>
      <c r="M99" s="13">
        <v>4907.74</v>
      </c>
      <c r="N99" s="14">
        <v>1351.02</v>
      </c>
    </row>
    <row r="100" spans="1:14" x14ac:dyDescent="0.25">
      <c r="A100" s="3">
        <v>2</v>
      </c>
      <c r="B100" s="13">
        <v>4770.68</v>
      </c>
      <c r="C100" s="13">
        <v>2289.04</v>
      </c>
      <c r="D100" s="13">
        <v>5015.670000000001</v>
      </c>
      <c r="E100" s="14">
        <v>1907.95</v>
      </c>
      <c r="G100" s="3">
        <v>2408.0600000000004</v>
      </c>
      <c r="H100" s="13">
        <v>1148.9499999999998</v>
      </c>
      <c r="I100" s="13">
        <v>2567.1200000000003</v>
      </c>
      <c r="J100" s="13">
        <v>963.94</v>
      </c>
      <c r="K100" s="3">
        <v>2362.62</v>
      </c>
      <c r="L100" s="13">
        <v>1140.0900000000001</v>
      </c>
      <c r="M100" s="13">
        <v>2448.5499999999997</v>
      </c>
      <c r="N100" s="14">
        <v>944.01</v>
      </c>
    </row>
    <row r="101" spans="1:14" x14ac:dyDescent="0.25">
      <c r="A101" s="3">
        <v>3</v>
      </c>
      <c r="B101" s="13">
        <v>2652.9800000000005</v>
      </c>
      <c r="C101" s="13">
        <v>1156.6499999999999</v>
      </c>
      <c r="D101" s="13">
        <v>2750.71</v>
      </c>
      <c r="E101" s="14">
        <v>1008.33</v>
      </c>
      <c r="G101" s="3">
        <v>1782.75</v>
      </c>
      <c r="H101" s="13">
        <v>784.29</v>
      </c>
      <c r="I101" s="13">
        <v>1825.8000000000002</v>
      </c>
      <c r="J101" s="13">
        <v>705.23</v>
      </c>
      <c r="K101" s="3">
        <v>870.23</v>
      </c>
      <c r="L101" s="13">
        <v>372.36</v>
      </c>
      <c r="M101" s="13">
        <v>924.90999999999985</v>
      </c>
      <c r="N101" s="14">
        <v>303.10000000000002</v>
      </c>
    </row>
    <row r="102" spans="1:14" x14ac:dyDescent="0.25">
      <c r="A102" s="3">
        <v>4</v>
      </c>
      <c r="B102" s="13">
        <v>2060.3000000000002</v>
      </c>
      <c r="C102" s="13">
        <v>741.6</v>
      </c>
      <c r="D102" s="13">
        <v>2099.08</v>
      </c>
      <c r="E102" s="14">
        <v>653</v>
      </c>
      <c r="G102" s="3">
        <v>1315.6</v>
      </c>
      <c r="H102" s="13">
        <v>340.84000000000003</v>
      </c>
      <c r="I102" s="13">
        <v>1333.6599999999999</v>
      </c>
      <c r="J102" s="13">
        <v>316.65000000000003</v>
      </c>
      <c r="K102" s="3">
        <v>744.7</v>
      </c>
      <c r="L102" s="13">
        <v>400.76</v>
      </c>
      <c r="M102" s="13">
        <v>765.42</v>
      </c>
      <c r="N102" s="14">
        <v>336.35</v>
      </c>
    </row>
    <row r="103" spans="1:14" x14ac:dyDescent="0.25">
      <c r="A103" s="3">
        <v>5</v>
      </c>
      <c r="B103" s="13">
        <v>6009.4900000000007</v>
      </c>
      <c r="C103" s="13">
        <v>1357.77</v>
      </c>
      <c r="D103" s="13">
        <v>5784.5700000000015</v>
      </c>
      <c r="E103" s="14">
        <v>1148.1399999999999</v>
      </c>
      <c r="G103" s="3">
        <v>2952.83</v>
      </c>
      <c r="H103" s="13">
        <v>735.69</v>
      </c>
      <c r="I103" s="13">
        <v>2724.9799999999996</v>
      </c>
      <c r="J103" s="13">
        <v>611.41999999999996</v>
      </c>
      <c r="K103" s="3">
        <v>3056.66</v>
      </c>
      <c r="L103" s="13">
        <v>622.08000000000004</v>
      </c>
      <c r="M103" s="13">
        <v>3059.5899999999997</v>
      </c>
      <c r="N103" s="14">
        <v>536.72</v>
      </c>
    </row>
    <row r="104" spans="1:14" x14ac:dyDescent="0.25">
      <c r="A104" s="3">
        <v>6</v>
      </c>
      <c r="B104" s="13">
        <v>20615.149999999998</v>
      </c>
      <c r="C104" s="13">
        <v>3827.65</v>
      </c>
      <c r="D104" s="13">
        <v>19357.059999999998</v>
      </c>
      <c r="E104" s="14">
        <v>3107.02</v>
      </c>
      <c r="G104" s="3">
        <v>9905.23</v>
      </c>
      <c r="H104" s="13">
        <v>1959.87</v>
      </c>
      <c r="I104" s="13">
        <v>8711.15</v>
      </c>
      <c r="J104" s="13">
        <v>1581.03</v>
      </c>
      <c r="K104" s="3">
        <v>10709.92</v>
      </c>
      <c r="L104" s="13">
        <v>1867.78</v>
      </c>
      <c r="M104" s="13">
        <v>10645.91</v>
      </c>
      <c r="N104" s="14">
        <v>1525.9900000000002</v>
      </c>
    </row>
    <row r="105" spans="1:14" x14ac:dyDescent="0.25">
      <c r="A105" s="3">
        <v>7</v>
      </c>
      <c r="B105" s="13">
        <v>43268.19</v>
      </c>
      <c r="C105" s="13">
        <v>8506.39</v>
      </c>
      <c r="D105" s="13">
        <v>40318.720000000008</v>
      </c>
      <c r="E105" s="14">
        <v>6972.66</v>
      </c>
      <c r="G105" s="3">
        <v>27051.83</v>
      </c>
      <c r="H105" s="13">
        <v>5201.57</v>
      </c>
      <c r="I105" s="13">
        <v>24571.550000000003</v>
      </c>
      <c r="J105" s="13">
        <v>4116.21</v>
      </c>
      <c r="K105" s="3">
        <v>16216.36</v>
      </c>
      <c r="L105" s="13">
        <v>3304.82</v>
      </c>
      <c r="M105" s="13">
        <v>15747.17</v>
      </c>
      <c r="N105" s="14">
        <v>2856.45</v>
      </c>
    </row>
    <row r="106" spans="1:14" x14ac:dyDescent="0.25">
      <c r="A106" s="3">
        <v>8</v>
      </c>
      <c r="B106" s="13">
        <v>67655.179999999993</v>
      </c>
      <c r="C106" s="13">
        <v>14913.48</v>
      </c>
      <c r="D106" s="13">
        <v>63413.38</v>
      </c>
      <c r="E106" s="14">
        <v>12648.04</v>
      </c>
      <c r="G106" s="3">
        <v>47783.1</v>
      </c>
      <c r="H106" s="13">
        <v>10474.959999999999</v>
      </c>
      <c r="I106" s="13">
        <v>46558.63</v>
      </c>
      <c r="J106" s="13">
        <v>9192.0499999999993</v>
      </c>
      <c r="K106" s="3">
        <v>19872.079999999998</v>
      </c>
      <c r="L106" s="13">
        <v>4438.5200000000004</v>
      </c>
      <c r="M106" s="13">
        <v>16854.75</v>
      </c>
      <c r="N106" s="14">
        <v>3455.99</v>
      </c>
    </row>
    <row r="107" spans="1:14" x14ac:dyDescent="0.25">
      <c r="A107" s="3">
        <v>9</v>
      </c>
      <c r="B107" s="13">
        <v>87937.920000000013</v>
      </c>
      <c r="C107" s="13">
        <v>22364.23</v>
      </c>
      <c r="D107" s="13">
        <v>83849.48</v>
      </c>
      <c r="E107" s="14">
        <v>19404.219999999998</v>
      </c>
      <c r="G107" s="3">
        <v>57000.12</v>
      </c>
      <c r="H107" s="13">
        <v>12496.109999999999</v>
      </c>
      <c r="I107" s="13">
        <v>54528.75</v>
      </c>
      <c r="J107" s="13">
        <v>10933.09</v>
      </c>
      <c r="K107" s="3">
        <v>30937.8</v>
      </c>
      <c r="L107" s="13">
        <v>9868.1200000000008</v>
      </c>
      <c r="M107" s="13">
        <v>29320.73</v>
      </c>
      <c r="N107" s="14">
        <v>8471.1299999999992</v>
      </c>
    </row>
    <row r="108" spans="1:14" x14ac:dyDescent="0.25">
      <c r="A108" s="3">
        <v>10</v>
      </c>
      <c r="B108" s="13">
        <v>98125.889999999985</v>
      </c>
      <c r="C108" s="13">
        <v>28539.210000000003</v>
      </c>
      <c r="D108" s="13">
        <v>95566.548999999999</v>
      </c>
      <c r="E108" s="14">
        <v>25163.08</v>
      </c>
      <c r="G108" s="3">
        <v>65407.97</v>
      </c>
      <c r="H108" s="13">
        <v>16843.730000000003</v>
      </c>
      <c r="I108" s="13">
        <v>62580.769</v>
      </c>
      <c r="J108" s="13">
        <v>15621.509999999998</v>
      </c>
      <c r="K108" s="3">
        <v>32717.919999999998</v>
      </c>
      <c r="L108" s="13">
        <v>11695.48</v>
      </c>
      <c r="M108" s="13">
        <v>32985.78</v>
      </c>
      <c r="N108" s="14">
        <v>9541.57</v>
      </c>
    </row>
    <row r="109" spans="1:14" x14ac:dyDescent="0.25">
      <c r="A109" s="3">
        <v>11</v>
      </c>
      <c r="B109" s="13">
        <v>96005.63</v>
      </c>
      <c r="C109" s="13">
        <v>30224.620000000003</v>
      </c>
      <c r="D109" s="13">
        <v>93941.930000000008</v>
      </c>
      <c r="E109" s="14">
        <v>26946.409999999996</v>
      </c>
      <c r="G109" s="3">
        <v>54127.839999999997</v>
      </c>
      <c r="H109" s="13">
        <v>17316.86</v>
      </c>
      <c r="I109" s="13">
        <v>51743.369999999995</v>
      </c>
      <c r="J109" s="13">
        <v>15529.82</v>
      </c>
      <c r="K109" s="3">
        <v>41877.79</v>
      </c>
      <c r="L109" s="13">
        <v>12907.76</v>
      </c>
      <c r="M109" s="13">
        <v>42198.560000000005</v>
      </c>
      <c r="N109" s="14">
        <v>11416.589999999998</v>
      </c>
    </row>
    <row r="110" spans="1:14" x14ac:dyDescent="0.25">
      <c r="A110" s="3">
        <v>12</v>
      </c>
      <c r="B110" s="13">
        <v>86479.450000000012</v>
      </c>
      <c r="C110" s="13">
        <v>27810.43</v>
      </c>
      <c r="D110" s="13">
        <v>85244.82</v>
      </c>
      <c r="E110" s="14">
        <v>24903</v>
      </c>
      <c r="G110" s="3">
        <v>43186.42</v>
      </c>
      <c r="H110" s="13">
        <v>14221.230000000001</v>
      </c>
      <c r="I110" s="13">
        <v>42104.109999999993</v>
      </c>
      <c r="J110" s="13">
        <v>12482.939999999999</v>
      </c>
      <c r="K110" s="3">
        <v>43293.03</v>
      </c>
      <c r="L110" s="13">
        <v>13589.2</v>
      </c>
      <c r="M110" s="13">
        <v>43140.71</v>
      </c>
      <c r="N110" s="14">
        <v>12420.06</v>
      </c>
    </row>
    <row r="111" spans="1:14" x14ac:dyDescent="0.25">
      <c r="A111" s="3">
        <v>13</v>
      </c>
      <c r="B111" s="13">
        <v>70055.16</v>
      </c>
      <c r="C111" s="13">
        <v>22018.75</v>
      </c>
      <c r="D111" s="13">
        <v>69380.41</v>
      </c>
      <c r="E111" s="14">
        <v>20066.849999999999</v>
      </c>
      <c r="G111" s="3">
        <v>37570.99</v>
      </c>
      <c r="H111" s="13">
        <v>13062.63</v>
      </c>
      <c r="I111" s="13">
        <v>37988.22</v>
      </c>
      <c r="J111" s="13">
        <v>11815.36</v>
      </c>
      <c r="K111" s="3">
        <v>32484.17</v>
      </c>
      <c r="L111" s="13">
        <v>8956.1200000000008</v>
      </c>
      <c r="M111" s="13">
        <v>31392.190000000002</v>
      </c>
      <c r="N111" s="14">
        <v>8251.49</v>
      </c>
    </row>
    <row r="112" spans="1:14" x14ac:dyDescent="0.25">
      <c r="A112" s="3">
        <v>14</v>
      </c>
      <c r="B112" s="13">
        <v>68827.47</v>
      </c>
      <c r="C112" s="13">
        <v>20352.04</v>
      </c>
      <c r="D112" s="13">
        <v>67713.819999999992</v>
      </c>
      <c r="E112" s="14">
        <v>18587.150000000001</v>
      </c>
      <c r="G112" s="3">
        <v>46580.62</v>
      </c>
      <c r="H112" s="13">
        <v>14400.51</v>
      </c>
      <c r="I112" s="13">
        <v>43586.46</v>
      </c>
      <c r="J112" s="13">
        <v>13300</v>
      </c>
      <c r="K112" s="3">
        <v>22246.850000000002</v>
      </c>
      <c r="L112" s="13">
        <v>5951.53</v>
      </c>
      <c r="M112" s="13">
        <v>24127.359999999997</v>
      </c>
      <c r="N112" s="14">
        <v>5287.15</v>
      </c>
    </row>
    <row r="113" spans="1:14" x14ac:dyDescent="0.25">
      <c r="A113" s="3">
        <v>15</v>
      </c>
      <c r="B113" s="13">
        <v>71322.45</v>
      </c>
      <c r="C113" s="13">
        <v>20931.740000000002</v>
      </c>
      <c r="D113" s="13">
        <v>70468.009999999995</v>
      </c>
      <c r="E113" s="14">
        <v>18968.019999999997</v>
      </c>
      <c r="G113" s="3">
        <v>42643.31</v>
      </c>
      <c r="H113" s="13">
        <v>12472.96</v>
      </c>
      <c r="I113" s="13">
        <v>41685.859999999993</v>
      </c>
      <c r="J113" s="13">
        <v>11444.92</v>
      </c>
      <c r="K113" s="3">
        <v>28679.14</v>
      </c>
      <c r="L113" s="13">
        <v>8458.7800000000007</v>
      </c>
      <c r="M113" s="13">
        <v>28782.149999999998</v>
      </c>
      <c r="N113" s="14">
        <v>7523.1</v>
      </c>
    </row>
    <row r="114" spans="1:14" x14ac:dyDescent="0.25">
      <c r="A114" s="3">
        <v>16</v>
      </c>
      <c r="B114" s="13">
        <v>74018.45</v>
      </c>
      <c r="C114" s="13">
        <v>22518.12</v>
      </c>
      <c r="D114" s="13">
        <v>73382.09</v>
      </c>
      <c r="E114" s="14">
        <v>20310.539999999997</v>
      </c>
      <c r="G114" s="3">
        <v>41073.130000000005</v>
      </c>
      <c r="H114" s="13">
        <v>12459.45</v>
      </c>
      <c r="I114" s="13">
        <v>40823.539999999994</v>
      </c>
      <c r="J114" s="13">
        <v>11276.17</v>
      </c>
      <c r="K114" s="3">
        <v>32945.32</v>
      </c>
      <c r="L114" s="13">
        <v>10058.67</v>
      </c>
      <c r="M114" s="13">
        <v>32558.55</v>
      </c>
      <c r="N114" s="14">
        <v>9034.3700000000008</v>
      </c>
    </row>
    <row r="115" spans="1:14" x14ac:dyDescent="0.25">
      <c r="A115" s="3">
        <v>17</v>
      </c>
      <c r="B115" s="13">
        <v>79541.279999999999</v>
      </c>
      <c r="C115" s="13">
        <v>25495.08</v>
      </c>
      <c r="D115" s="13">
        <v>79025.53</v>
      </c>
      <c r="E115" s="14">
        <v>22766.519999999997</v>
      </c>
      <c r="G115" s="3">
        <v>43647.75</v>
      </c>
      <c r="H115" s="13">
        <v>15224.869999999999</v>
      </c>
      <c r="I115" s="13">
        <v>41827.29</v>
      </c>
      <c r="J115" s="13">
        <v>13449.390000000001</v>
      </c>
      <c r="K115" s="3">
        <v>35893.53</v>
      </c>
      <c r="L115" s="13">
        <v>10270.209999999999</v>
      </c>
      <c r="M115" s="13">
        <v>37198.240000000005</v>
      </c>
      <c r="N115" s="14">
        <v>9317.130000000001</v>
      </c>
    </row>
    <row r="116" spans="1:14" x14ac:dyDescent="0.25">
      <c r="A116" s="3">
        <v>18</v>
      </c>
      <c r="B116" s="13">
        <v>86143.840000000011</v>
      </c>
      <c r="C116" s="13">
        <v>28326.49</v>
      </c>
      <c r="D116" s="13">
        <v>85024.09</v>
      </c>
      <c r="E116" s="14">
        <v>25015.109999999997</v>
      </c>
      <c r="G116" s="3">
        <v>37169.72</v>
      </c>
      <c r="H116" s="13">
        <v>15448.57</v>
      </c>
      <c r="I116" s="13">
        <v>33120.04</v>
      </c>
      <c r="J116" s="13">
        <v>13436.65</v>
      </c>
      <c r="K116" s="3">
        <v>48974.12000000001</v>
      </c>
      <c r="L116" s="13">
        <v>12877.920000000002</v>
      </c>
      <c r="M116" s="13">
        <v>51904.05</v>
      </c>
      <c r="N116" s="14">
        <v>11578.460000000001</v>
      </c>
    </row>
    <row r="117" spans="1:14" x14ac:dyDescent="0.25">
      <c r="A117" s="3">
        <v>19</v>
      </c>
      <c r="B117" s="13">
        <v>136898.152</v>
      </c>
      <c r="C117" s="13">
        <v>40518.369999999995</v>
      </c>
      <c r="D117" s="13">
        <v>132901.69099999999</v>
      </c>
      <c r="E117" s="14">
        <v>35363.810000000005</v>
      </c>
      <c r="G117" s="3">
        <v>69693.960999999996</v>
      </c>
      <c r="H117" s="13">
        <v>22448.66</v>
      </c>
      <c r="I117" s="13">
        <v>62566.34</v>
      </c>
      <c r="J117" s="13">
        <v>18860.43</v>
      </c>
      <c r="K117" s="3">
        <v>67204.190999999992</v>
      </c>
      <c r="L117" s="13">
        <v>18069.71</v>
      </c>
      <c r="M117" s="13">
        <v>70335.350999999995</v>
      </c>
      <c r="N117" s="14">
        <v>16503.38</v>
      </c>
    </row>
    <row r="118" spans="1:14" x14ac:dyDescent="0.25">
      <c r="A118" s="3">
        <v>20</v>
      </c>
      <c r="B118" s="13">
        <v>141206.49100000001</v>
      </c>
      <c r="C118" s="13">
        <v>42325.48</v>
      </c>
      <c r="D118" s="13">
        <v>138991.24000000002</v>
      </c>
      <c r="E118" s="14">
        <v>36041.120000000003</v>
      </c>
      <c r="G118" s="3">
        <v>95316.751000000004</v>
      </c>
      <c r="H118" s="13">
        <v>25670.36</v>
      </c>
      <c r="I118" s="13">
        <v>98975.750000000015</v>
      </c>
      <c r="J118" s="13">
        <v>22337.94</v>
      </c>
      <c r="K118" s="3">
        <v>45889.74</v>
      </c>
      <c r="L118" s="13">
        <v>16655.12</v>
      </c>
      <c r="M118" s="13">
        <v>40015.49</v>
      </c>
      <c r="N118" s="14">
        <v>13703.18</v>
      </c>
    </row>
    <row r="119" spans="1:14" x14ac:dyDescent="0.25">
      <c r="A119" s="3">
        <v>21</v>
      </c>
      <c r="B119" s="13">
        <v>124618.59099999999</v>
      </c>
      <c r="C119" s="13">
        <v>37615.100000000006</v>
      </c>
      <c r="D119" s="13">
        <v>122905.489</v>
      </c>
      <c r="E119" s="14">
        <v>32383.45</v>
      </c>
      <c r="G119" s="3">
        <v>84194.591</v>
      </c>
      <c r="H119" s="13">
        <v>19696.519999999997</v>
      </c>
      <c r="I119" s="13">
        <v>84785.479000000007</v>
      </c>
      <c r="J119" s="13">
        <v>17545.240000000002</v>
      </c>
      <c r="K119" s="3">
        <v>40424</v>
      </c>
      <c r="L119" s="13">
        <v>17918.579999999998</v>
      </c>
      <c r="M119" s="13">
        <v>38120.01</v>
      </c>
      <c r="N119" s="14">
        <v>14838.21</v>
      </c>
    </row>
    <row r="120" spans="1:14" x14ac:dyDescent="0.25">
      <c r="A120" s="3">
        <v>22</v>
      </c>
      <c r="B120" s="13">
        <v>85020.479999999996</v>
      </c>
      <c r="C120" s="13">
        <v>27604.359999999997</v>
      </c>
      <c r="D120" s="13">
        <v>84156.349999999991</v>
      </c>
      <c r="E120" s="14">
        <v>24086.9</v>
      </c>
      <c r="G120" s="3">
        <v>52557.72</v>
      </c>
      <c r="H120" s="13">
        <v>16141.23</v>
      </c>
      <c r="I120" s="13">
        <v>51026.720000000001</v>
      </c>
      <c r="J120" s="13">
        <v>14188.75</v>
      </c>
      <c r="K120" s="3">
        <v>32462.760000000002</v>
      </c>
      <c r="L120" s="13">
        <v>11463.130000000001</v>
      </c>
      <c r="M120" s="13">
        <v>33129.630000000005</v>
      </c>
      <c r="N120" s="14">
        <v>9898.15</v>
      </c>
    </row>
    <row r="121" spans="1:14" x14ac:dyDescent="0.25">
      <c r="A121" s="15">
        <v>23</v>
      </c>
      <c r="B121" s="16">
        <v>43305.840000000004</v>
      </c>
      <c r="C121" s="16">
        <v>16201.289999999999</v>
      </c>
      <c r="D121" s="16">
        <v>43182.38</v>
      </c>
      <c r="E121" s="17">
        <v>14017.81</v>
      </c>
      <c r="G121" s="15">
        <v>23806.43</v>
      </c>
      <c r="H121" s="16">
        <v>10332.220000000001</v>
      </c>
      <c r="I121" s="16">
        <v>22969.75</v>
      </c>
      <c r="J121" s="16">
        <v>9136.2800000000007</v>
      </c>
      <c r="K121" s="15">
        <v>19499.41</v>
      </c>
      <c r="L121" s="16">
        <v>5869.07</v>
      </c>
      <c r="M121" s="16">
        <v>20212.63</v>
      </c>
      <c r="N121" s="17">
        <v>4881.53</v>
      </c>
    </row>
    <row r="122" spans="1:14" x14ac:dyDescent="0.25">
      <c r="A122" s="21">
        <v>0</v>
      </c>
      <c r="B122" s="22">
        <v>19334.78</v>
      </c>
      <c r="C122" s="22">
        <v>8253.07</v>
      </c>
      <c r="D122" s="22">
        <v>19591.28</v>
      </c>
      <c r="E122" s="23">
        <v>7138.43</v>
      </c>
      <c r="G122" s="21">
        <v>10572.369999999999</v>
      </c>
      <c r="H122" s="22">
        <v>4835.1000000000004</v>
      </c>
      <c r="I122" s="22">
        <v>10672.56</v>
      </c>
      <c r="J122" s="22">
        <v>4365.7</v>
      </c>
      <c r="K122" s="21">
        <v>8762.41</v>
      </c>
      <c r="L122" s="22">
        <v>3417.9699999999993</v>
      </c>
      <c r="M122" s="22">
        <v>8918.7199999999993</v>
      </c>
      <c r="N122" s="23">
        <v>2772.73</v>
      </c>
    </row>
    <row r="123" spans="1:14" x14ac:dyDescent="0.25">
      <c r="A123" s="3">
        <v>1</v>
      </c>
      <c r="B123" s="13">
        <v>8901.9800000000014</v>
      </c>
      <c r="C123" s="13">
        <v>4100.72</v>
      </c>
      <c r="D123" s="13">
        <v>9122.9500000000007</v>
      </c>
      <c r="E123" s="14">
        <v>3492.71</v>
      </c>
      <c r="G123" s="3">
        <v>4351.32</v>
      </c>
      <c r="H123" s="13">
        <v>2292.62</v>
      </c>
      <c r="I123" s="13">
        <v>4562.8600000000006</v>
      </c>
      <c r="J123" s="13">
        <v>1921.9399999999996</v>
      </c>
      <c r="K123" s="3">
        <v>4550.66</v>
      </c>
      <c r="L123" s="13">
        <v>1808.1</v>
      </c>
      <c r="M123" s="13">
        <v>4560.09</v>
      </c>
      <c r="N123" s="14">
        <v>1570.77</v>
      </c>
    </row>
    <row r="124" spans="1:14" x14ac:dyDescent="0.25">
      <c r="A124" s="3">
        <v>2</v>
      </c>
      <c r="B124" s="13">
        <v>4402.91</v>
      </c>
      <c r="C124" s="13">
        <v>2054.2200000000003</v>
      </c>
      <c r="D124" s="13">
        <v>4607.5200000000004</v>
      </c>
      <c r="E124" s="14">
        <v>1722.4900000000002</v>
      </c>
      <c r="G124" s="3">
        <v>2969.8599999999997</v>
      </c>
      <c r="H124" s="13">
        <v>1323.1100000000001</v>
      </c>
      <c r="I124" s="13">
        <v>3034.34</v>
      </c>
      <c r="J124" s="13">
        <v>1115.8499999999999</v>
      </c>
      <c r="K124" s="3">
        <v>1433.05</v>
      </c>
      <c r="L124" s="13">
        <v>731.11</v>
      </c>
      <c r="M124" s="13">
        <v>1573.1799999999998</v>
      </c>
      <c r="N124" s="14">
        <v>606.64</v>
      </c>
    </row>
    <row r="125" spans="1:14" x14ac:dyDescent="0.25">
      <c r="A125" s="3">
        <v>3</v>
      </c>
      <c r="B125" s="13">
        <v>2601.3200000000006</v>
      </c>
      <c r="C125" s="13">
        <v>1099.6099999999999</v>
      </c>
      <c r="D125" s="13">
        <v>2644.1100000000006</v>
      </c>
      <c r="E125" s="14">
        <v>958.02</v>
      </c>
      <c r="G125" s="3">
        <v>1489.59</v>
      </c>
      <c r="H125" s="13">
        <v>570.37</v>
      </c>
      <c r="I125" s="13">
        <v>1489.14</v>
      </c>
      <c r="J125" s="13">
        <v>503.27</v>
      </c>
      <c r="K125" s="3">
        <v>1111.73</v>
      </c>
      <c r="L125" s="13">
        <v>529.24</v>
      </c>
      <c r="M125" s="13">
        <v>1154.97</v>
      </c>
      <c r="N125" s="14">
        <v>454.75</v>
      </c>
    </row>
    <row r="126" spans="1:14" x14ac:dyDescent="0.25">
      <c r="A126" s="3">
        <v>4</v>
      </c>
      <c r="B126" s="13">
        <v>2058.3200000000002</v>
      </c>
      <c r="C126" s="13">
        <v>725.61</v>
      </c>
      <c r="D126" s="13">
        <v>2078.2399999999998</v>
      </c>
      <c r="E126" s="14">
        <v>625.86</v>
      </c>
      <c r="G126" s="3">
        <v>1173.53</v>
      </c>
      <c r="H126" s="13">
        <v>448.65999999999997</v>
      </c>
      <c r="I126" s="13">
        <v>1135.9000000000001</v>
      </c>
      <c r="J126" s="13">
        <v>395.86</v>
      </c>
      <c r="K126" s="3">
        <v>884.79</v>
      </c>
      <c r="L126" s="13">
        <v>276.95</v>
      </c>
      <c r="M126" s="13">
        <v>942.34000000000015</v>
      </c>
      <c r="N126" s="14">
        <v>230</v>
      </c>
    </row>
    <row r="127" spans="1:14" x14ac:dyDescent="0.25">
      <c r="A127" s="3">
        <v>5</v>
      </c>
      <c r="B127" s="13">
        <v>4911.25</v>
      </c>
      <c r="C127" s="13">
        <v>1137.55</v>
      </c>
      <c r="D127" s="13">
        <v>4787.1500000000005</v>
      </c>
      <c r="E127" s="14">
        <v>990.78</v>
      </c>
      <c r="G127" s="3">
        <v>3193.13</v>
      </c>
      <c r="H127" s="13">
        <v>811.03</v>
      </c>
      <c r="I127" s="13">
        <v>2984.7699999999995</v>
      </c>
      <c r="J127" s="13">
        <v>693.56999999999994</v>
      </c>
      <c r="K127" s="3">
        <v>1718.12</v>
      </c>
      <c r="L127" s="13">
        <v>326.52</v>
      </c>
      <c r="M127" s="13">
        <v>1802.3799999999999</v>
      </c>
      <c r="N127" s="14">
        <v>297.20999999999998</v>
      </c>
    </row>
    <row r="128" spans="1:14" x14ac:dyDescent="0.25">
      <c r="A128" s="3">
        <v>6</v>
      </c>
      <c r="B128" s="13">
        <v>17150.54</v>
      </c>
      <c r="C128" s="13">
        <v>3242.54</v>
      </c>
      <c r="D128" s="13">
        <v>16055.85</v>
      </c>
      <c r="E128" s="14">
        <v>2618.9000000000005</v>
      </c>
      <c r="G128" s="3">
        <v>10006.539999999999</v>
      </c>
      <c r="H128" s="13">
        <v>1787.0699999999997</v>
      </c>
      <c r="I128" s="13">
        <v>9317.61</v>
      </c>
      <c r="J128" s="13">
        <v>1400.1100000000001</v>
      </c>
      <c r="K128" s="3">
        <v>7144</v>
      </c>
      <c r="L128" s="13">
        <v>1455.4700000000003</v>
      </c>
      <c r="M128" s="13">
        <v>6738.24</v>
      </c>
      <c r="N128" s="14">
        <v>1218.79</v>
      </c>
    </row>
    <row r="129" spans="1:14" x14ac:dyDescent="0.25">
      <c r="A129" s="3">
        <v>7</v>
      </c>
      <c r="B129" s="13">
        <v>36919.64</v>
      </c>
      <c r="C129" s="13">
        <v>7248.92</v>
      </c>
      <c r="D129" s="13">
        <v>34315.39</v>
      </c>
      <c r="E129" s="14">
        <v>6017.42</v>
      </c>
      <c r="G129" s="3">
        <v>26906.109999999997</v>
      </c>
      <c r="H129" s="13">
        <v>5183.2800000000007</v>
      </c>
      <c r="I129" s="13">
        <v>24367.469999999998</v>
      </c>
      <c r="J129" s="13">
        <v>4217.99</v>
      </c>
      <c r="K129" s="3">
        <v>10013.530000000001</v>
      </c>
      <c r="L129" s="13">
        <v>2065.64</v>
      </c>
      <c r="M129" s="13">
        <v>9947.92</v>
      </c>
      <c r="N129" s="14">
        <v>1799.43</v>
      </c>
    </row>
    <row r="130" spans="1:14" x14ac:dyDescent="0.25">
      <c r="A130" s="3">
        <v>8</v>
      </c>
      <c r="B130" s="13">
        <v>60027.98</v>
      </c>
      <c r="C130" s="13">
        <v>13292.170000000002</v>
      </c>
      <c r="D130" s="13">
        <v>56583.410000000011</v>
      </c>
      <c r="E130" s="14">
        <v>11167.210000000001</v>
      </c>
      <c r="G130" s="3">
        <v>38924.36</v>
      </c>
      <c r="H130" s="13">
        <v>8123.74</v>
      </c>
      <c r="I130" s="13">
        <v>35185.39</v>
      </c>
      <c r="J130" s="13">
        <v>6836.55</v>
      </c>
      <c r="K130" s="3">
        <v>21103.62</v>
      </c>
      <c r="L130" s="13">
        <v>5168.43</v>
      </c>
      <c r="M130" s="13">
        <v>21398.019999999997</v>
      </c>
      <c r="N130" s="14">
        <v>4330.66</v>
      </c>
    </row>
    <row r="131" spans="1:14" x14ac:dyDescent="0.25">
      <c r="A131" s="3">
        <v>9</v>
      </c>
      <c r="B131" s="13">
        <v>80574.38</v>
      </c>
      <c r="C131" s="13">
        <v>20755.72</v>
      </c>
      <c r="D131" s="13">
        <v>77336.350000000006</v>
      </c>
      <c r="E131" s="14">
        <v>17772.559999999998</v>
      </c>
      <c r="G131" s="3">
        <v>48164.7</v>
      </c>
      <c r="H131" s="13">
        <v>12836.47</v>
      </c>
      <c r="I131" s="13">
        <v>45957.930000000008</v>
      </c>
      <c r="J131" s="13">
        <v>10902.44</v>
      </c>
      <c r="K131" s="3">
        <v>32409.68</v>
      </c>
      <c r="L131" s="13">
        <v>7919.25</v>
      </c>
      <c r="M131" s="13">
        <v>31378.420000000002</v>
      </c>
      <c r="N131" s="14">
        <v>6870.1200000000008</v>
      </c>
    </row>
    <row r="132" spans="1:14" x14ac:dyDescent="0.25">
      <c r="A132" s="3">
        <v>10</v>
      </c>
      <c r="B132" s="13">
        <v>93008.46</v>
      </c>
      <c r="C132" s="13">
        <v>27654.809999999998</v>
      </c>
      <c r="D132" s="13">
        <v>90668.72</v>
      </c>
      <c r="E132" s="14">
        <v>24162.620000000003</v>
      </c>
      <c r="G132" s="3">
        <v>44437.13</v>
      </c>
      <c r="H132" s="13">
        <v>14025.1</v>
      </c>
      <c r="I132" s="13">
        <v>43434.36</v>
      </c>
      <c r="J132" s="13">
        <v>11933.440000000002</v>
      </c>
      <c r="K132" s="3">
        <v>48571.33</v>
      </c>
      <c r="L132" s="13">
        <v>13629.710000000001</v>
      </c>
      <c r="M132" s="13">
        <v>47234.36</v>
      </c>
      <c r="N132" s="14">
        <v>12229.18</v>
      </c>
    </row>
    <row r="133" spans="1:14" x14ac:dyDescent="0.25">
      <c r="A133" s="3">
        <v>11</v>
      </c>
      <c r="B133" s="13">
        <v>92365.799999999988</v>
      </c>
      <c r="C133" s="13">
        <v>29379.939999999995</v>
      </c>
      <c r="D133" s="13">
        <v>90761.81</v>
      </c>
      <c r="E133" s="14">
        <v>26132.519999999997</v>
      </c>
      <c r="G133" s="3">
        <v>43847.37</v>
      </c>
      <c r="H133" s="13">
        <v>16326.509999999998</v>
      </c>
      <c r="I133" s="13">
        <v>43905.59</v>
      </c>
      <c r="J133" s="13">
        <v>14413.48</v>
      </c>
      <c r="K133" s="3">
        <v>48518.43</v>
      </c>
      <c r="L133" s="13">
        <v>13053.43</v>
      </c>
      <c r="M133" s="13">
        <v>46856.22</v>
      </c>
      <c r="N133" s="14">
        <v>11719.04</v>
      </c>
    </row>
    <row r="134" spans="1:14" x14ac:dyDescent="0.25">
      <c r="A134" s="3">
        <v>12</v>
      </c>
      <c r="B134" s="13">
        <v>84894.739999999991</v>
      </c>
      <c r="C134" s="13">
        <v>27459.51</v>
      </c>
      <c r="D134" s="13">
        <v>83299.429999999993</v>
      </c>
      <c r="E134" s="14">
        <v>24724</v>
      </c>
      <c r="G134" s="3">
        <v>45182.560000000005</v>
      </c>
      <c r="H134" s="13">
        <v>17984.11</v>
      </c>
      <c r="I134" s="13">
        <v>40635.46</v>
      </c>
      <c r="J134" s="13">
        <v>15869.640000000001</v>
      </c>
      <c r="K134" s="3">
        <v>39712.180000000008</v>
      </c>
      <c r="L134" s="13">
        <v>9475.4</v>
      </c>
      <c r="M134" s="13">
        <v>42663.97</v>
      </c>
      <c r="N134" s="14">
        <v>8854.36</v>
      </c>
    </row>
    <row r="135" spans="1:14" x14ac:dyDescent="0.25">
      <c r="A135" s="3">
        <v>13</v>
      </c>
      <c r="B135" s="13">
        <v>69921.37</v>
      </c>
      <c r="C135" s="13">
        <v>22574.36</v>
      </c>
      <c r="D135" s="13">
        <v>69253.989999999991</v>
      </c>
      <c r="E135" s="14">
        <v>20379.080000000002</v>
      </c>
      <c r="G135" s="3">
        <v>40811.730000000003</v>
      </c>
      <c r="H135" s="13">
        <v>14484.04</v>
      </c>
      <c r="I135" s="13">
        <v>41095.79</v>
      </c>
      <c r="J135" s="13">
        <v>12846.490000000002</v>
      </c>
      <c r="K135" s="3">
        <v>29109.64</v>
      </c>
      <c r="L135" s="13">
        <v>8090.32</v>
      </c>
      <c r="M135" s="13">
        <v>28158.2</v>
      </c>
      <c r="N135" s="14">
        <v>7532.59</v>
      </c>
    </row>
    <row r="136" spans="1:14" x14ac:dyDescent="0.25">
      <c r="A136" s="3">
        <v>14</v>
      </c>
      <c r="B136" s="13">
        <v>70554.359999999986</v>
      </c>
      <c r="C136" s="13">
        <v>21341.829999999998</v>
      </c>
      <c r="D136" s="13">
        <v>69436.440000000017</v>
      </c>
      <c r="E136" s="14">
        <v>19489.61</v>
      </c>
      <c r="G136" s="3">
        <v>44104.78</v>
      </c>
      <c r="H136" s="13">
        <v>11866.2</v>
      </c>
      <c r="I136" s="13">
        <v>44974.48</v>
      </c>
      <c r="J136" s="13">
        <v>11084.6</v>
      </c>
      <c r="K136" s="3">
        <v>26449.58</v>
      </c>
      <c r="L136" s="13">
        <v>9475.6299999999992</v>
      </c>
      <c r="M136" s="13">
        <v>24461.96</v>
      </c>
      <c r="N136" s="14">
        <v>8405.01</v>
      </c>
    </row>
    <row r="137" spans="1:14" x14ac:dyDescent="0.25">
      <c r="A137" s="3">
        <v>15</v>
      </c>
      <c r="B137" s="13">
        <v>75045.02</v>
      </c>
      <c r="C137" s="13">
        <v>22418.39</v>
      </c>
      <c r="D137" s="13">
        <v>74501.430000000008</v>
      </c>
      <c r="E137" s="14">
        <v>20342.919999999998</v>
      </c>
      <c r="G137" s="3">
        <v>41079.96</v>
      </c>
      <c r="H137" s="13">
        <v>10530.02</v>
      </c>
      <c r="I137" s="13">
        <v>40910.769999999997</v>
      </c>
      <c r="J137" s="13">
        <v>9440.77</v>
      </c>
      <c r="K137" s="3">
        <v>33965.060000000005</v>
      </c>
      <c r="L137" s="13">
        <v>11888.37</v>
      </c>
      <c r="M137" s="13">
        <v>33590.659999999996</v>
      </c>
      <c r="N137" s="14">
        <v>10902.150000000001</v>
      </c>
    </row>
    <row r="138" spans="1:14" x14ac:dyDescent="0.25">
      <c r="A138" s="3">
        <v>16</v>
      </c>
      <c r="B138" s="13">
        <v>78287.72</v>
      </c>
      <c r="C138" s="13">
        <v>24368.36</v>
      </c>
      <c r="D138" s="13">
        <v>78254.23</v>
      </c>
      <c r="E138" s="14">
        <v>21660.97</v>
      </c>
      <c r="G138" s="3">
        <v>39307.480000000003</v>
      </c>
      <c r="H138" s="13">
        <v>12310.03</v>
      </c>
      <c r="I138" s="13">
        <v>37065</v>
      </c>
      <c r="J138" s="13">
        <v>10679.000000000002</v>
      </c>
      <c r="K138" s="3">
        <v>38980.240000000005</v>
      </c>
      <c r="L138" s="13">
        <v>12058.33</v>
      </c>
      <c r="M138" s="13">
        <v>41189.229999999996</v>
      </c>
      <c r="N138" s="14">
        <v>10981.97</v>
      </c>
    </row>
    <row r="139" spans="1:14" x14ac:dyDescent="0.25">
      <c r="A139" s="3">
        <v>17</v>
      </c>
      <c r="B139" s="13">
        <v>83284.920000000013</v>
      </c>
      <c r="C139" s="13">
        <v>27189.5</v>
      </c>
      <c r="D139" s="13">
        <v>82897.990000000005</v>
      </c>
      <c r="E139" s="14">
        <v>23971.96</v>
      </c>
      <c r="G139" s="3">
        <v>36581.31</v>
      </c>
      <c r="H139" s="13">
        <v>13056.789999999999</v>
      </c>
      <c r="I139" s="13">
        <v>34560.619999999995</v>
      </c>
      <c r="J139" s="13">
        <v>11648.710000000001</v>
      </c>
      <c r="K139" s="3">
        <v>46703.61</v>
      </c>
      <c r="L139" s="13">
        <v>14132.710000000001</v>
      </c>
      <c r="M139" s="13">
        <v>48337.37</v>
      </c>
      <c r="N139" s="14">
        <v>12323.25</v>
      </c>
    </row>
    <row r="140" spans="1:14" x14ac:dyDescent="0.25">
      <c r="A140" s="3">
        <v>18</v>
      </c>
      <c r="B140" s="13">
        <v>88198.21</v>
      </c>
      <c r="C140" s="13">
        <v>29240.760000000006</v>
      </c>
      <c r="D140" s="13">
        <v>87174.830000000016</v>
      </c>
      <c r="E140" s="14">
        <v>25411.579999999998</v>
      </c>
      <c r="G140" s="3">
        <v>51560.51</v>
      </c>
      <c r="H140" s="13">
        <v>13557.609999999999</v>
      </c>
      <c r="I140" s="13">
        <v>50411.090000000004</v>
      </c>
      <c r="J140" s="13">
        <v>12200.4</v>
      </c>
      <c r="K140" s="3">
        <v>36637.699999999997</v>
      </c>
      <c r="L140" s="13">
        <v>15683.150000000001</v>
      </c>
      <c r="M140" s="13">
        <v>36763.74</v>
      </c>
      <c r="N140" s="14">
        <v>13211.18</v>
      </c>
    </row>
    <row r="141" spans="1:14" x14ac:dyDescent="0.25">
      <c r="A141" s="3">
        <v>19</v>
      </c>
      <c r="B141" s="13">
        <v>141803.96</v>
      </c>
      <c r="C141" s="13">
        <v>41756.75</v>
      </c>
      <c r="D141" s="13">
        <v>137793.579</v>
      </c>
      <c r="E141" s="14">
        <v>35996.32</v>
      </c>
      <c r="G141" s="3">
        <v>96020.408999999985</v>
      </c>
      <c r="H141" s="13">
        <v>27176.170000000006</v>
      </c>
      <c r="I141" s="13">
        <v>92245.948999999993</v>
      </c>
      <c r="J141" s="13">
        <v>24358.07</v>
      </c>
      <c r="K141" s="3">
        <v>45783.550999999999</v>
      </c>
      <c r="L141" s="13">
        <v>14580.579999999998</v>
      </c>
      <c r="M141" s="13">
        <v>45547.63</v>
      </c>
      <c r="N141" s="14">
        <v>11638.25</v>
      </c>
    </row>
    <row r="142" spans="1:14" x14ac:dyDescent="0.25">
      <c r="A142" s="3">
        <v>20</v>
      </c>
      <c r="B142" s="13">
        <v>142036.28</v>
      </c>
      <c r="C142" s="13">
        <v>42573.270000000004</v>
      </c>
      <c r="D142" s="13">
        <v>139343.91899999999</v>
      </c>
      <c r="E142" s="14">
        <v>36008.980000000003</v>
      </c>
      <c r="G142" s="3">
        <v>95749.02900000001</v>
      </c>
      <c r="H142" s="13">
        <v>27299.55</v>
      </c>
      <c r="I142" s="13">
        <v>92683.4</v>
      </c>
      <c r="J142" s="13">
        <v>23972.5</v>
      </c>
      <c r="K142" s="3">
        <v>46287.251000000004</v>
      </c>
      <c r="L142" s="13">
        <v>15273.720000000001</v>
      </c>
      <c r="M142" s="13">
        <v>46660.518999999993</v>
      </c>
      <c r="N142" s="14">
        <v>12036.48</v>
      </c>
    </row>
    <row r="143" spans="1:14" x14ac:dyDescent="0.25">
      <c r="A143" s="3">
        <v>21</v>
      </c>
      <c r="B143" s="13">
        <v>126164.33899999999</v>
      </c>
      <c r="C143" s="13">
        <v>38106.719999999994</v>
      </c>
      <c r="D143" s="13">
        <v>124035.09099999999</v>
      </c>
      <c r="E143" s="14">
        <v>32641.18</v>
      </c>
      <c r="G143" s="3">
        <v>63556.65</v>
      </c>
      <c r="H143" s="13">
        <v>24226.01</v>
      </c>
      <c r="I143" s="13">
        <v>60093.98</v>
      </c>
      <c r="J143" s="13">
        <v>20431</v>
      </c>
      <c r="K143" s="3">
        <v>62607.689000000006</v>
      </c>
      <c r="L143" s="13">
        <v>13880.710000000001</v>
      </c>
      <c r="M143" s="13">
        <v>63941.111000000004</v>
      </c>
      <c r="N143" s="14">
        <v>12210.18</v>
      </c>
    </row>
    <row r="144" spans="1:14" x14ac:dyDescent="0.25">
      <c r="A144" s="3">
        <v>22</v>
      </c>
      <c r="B144" s="13">
        <v>84798.8</v>
      </c>
      <c r="C144" s="13">
        <v>27941.29</v>
      </c>
      <c r="D144" s="13">
        <v>84022.67</v>
      </c>
      <c r="E144" s="14">
        <v>24092.639999999999</v>
      </c>
      <c r="G144" s="3">
        <v>44535.479999999996</v>
      </c>
      <c r="H144" s="13">
        <v>16339.970000000001</v>
      </c>
      <c r="I144" s="13">
        <v>41744.619999999995</v>
      </c>
      <c r="J144" s="13">
        <v>13892.7</v>
      </c>
      <c r="K144" s="3">
        <v>40263.320000000007</v>
      </c>
      <c r="L144" s="13">
        <v>11601.32</v>
      </c>
      <c r="M144" s="13">
        <v>42278.05</v>
      </c>
      <c r="N144" s="14">
        <v>10199.94</v>
      </c>
    </row>
    <row r="145" spans="1:14" x14ac:dyDescent="0.25">
      <c r="A145" s="15">
        <v>23</v>
      </c>
      <c r="B145" s="16">
        <v>42770.549999999988</v>
      </c>
      <c r="C145" s="16">
        <v>16402.25</v>
      </c>
      <c r="D145" s="16">
        <v>42799.549999999996</v>
      </c>
      <c r="E145" s="17">
        <v>14122.820000000002</v>
      </c>
      <c r="G145" s="15">
        <v>24193.59</v>
      </c>
      <c r="H145" s="16">
        <v>8995.1</v>
      </c>
      <c r="I145" s="16">
        <v>24344.52</v>
      </c>
      <c r="J145" s="16">
        <v>7658.93</v>
      </c>
      <c r="K145" s="15">
        <v>18576.96</v>
      </c>
      <c r="L145" s="16">
        <v>7407.15</v>
      </c>
      <c r="M145" s="16">
        <v>18455.03</v>
      </c>
      <c r="N145" s="17">
        <v>6463.89</v>
      </c>
    </row>
    <row r="146" spans="1:14" x14ac:dyDescent="0.25">
      <c r="A146" s="21">
        <v>0</v>
      </c>
      <c r="B146" s="22">
        <v>19282.05</v>
      </c>
      <c r="C146" s="22">
        <v>8377.5999999999985</v>
      </c>
      <c r="D146" s="22">
        <v>19653.8</v>
      </c>
      <c r="E146" s="23">
        <v>7182.9899999999989</v>
      </c>
      <c r="G146" s="21">
        <v>11094.41</v>
      </c>
      <c r="H146" s="22">
        <v>3931.71</v>
      </c>
      <c r="I146" s="22">
        <v>11024.75</v>
      </c>
      <c r="J146" s="22">
        <v>3305.95</v>
      </c>
      <c r="K146" s="21">
        <v>8187.6400000000012</v>
      </c>
      <c r="L146" s="22">
        <v>4445.8899999999994</v>
      </c>
      <c r="M146" s="22">
        <v>8629.0499999999993</v>
      </c>
      <c r="N146" s="23">
        <v>3877.04</v>
      </c>
    </row>
    <row r="147" spans="1:14" x14ac:dyDescent="0.25">
      <c r="A147" s="3">
        <v>1</v>
      </c>
      <c r="B147" s="13">
        <v>8876.4499999999989</v>
      </c>
      <c r="C147" s="13">
        <v>4051.62</v>
      </c>
      <c r="D147" s="13">
        <v>9250.1999999999989</v>
      </c>
      <c r="E147" s="14">
        <v>3527.15</v>
      </c>
      <c r="G147" s="3">
        <v>5559.0599999999995</v>
      </c>
      <c r="H147" s="13">
        <v>2574.04</v>
      </c>
      <c r="I147" s="13">
        <v>5746.62</v>
      </c>
      <c r="J147" s="13">
        <v>2268.98</v>
      </c>
      <c r="K147" s="3">
        <v>3317.3900000000003</v>
      </c>
      <c r="L147" s="13">
        <v>1477.58</v>
      </c>
      <c r="M147" s="13">
        <v>3503.58</v>
      </c>
      <c r="N147" s="14">
        <v>1258.17</v>
      </c>
    </row>
    <row r="148" spans="1:14" x14ac:dyDescent="0.25">
      <c r="A148" s="3">
        <v>2</v>
      </c>
      <c r="B148" s="13">
        <v>4358.4699999999993</v>
      </c>
      <c r="C148" s="13">
        <v>2056.08</v>
      </c>
      <c r="D148" s="13">
        <v>4637.87</v>
      </c>
      <c r="E148" s="14">
        <v>1726.92</v>
      </c>
      <c r="G148" s="3">
        <v>2822.5899999999997</v>
      </c>
      <c r="H148" s="13">
        <v>1183.42</v>
      </c>
      <c r="I148" s="13">
        <v>2929.9700000000003</v>
      </c>
      <c r="J148" s="13">
        <v>1037.51</v>
      </c>
      <c r="K148" s="3">
        <v>1535.88</v>
      </c>
      <c r="L148" s="13">
        <v>872.66000000000008</v>
      </c>
      <c r="M148" s="13">
        <v>1707.9</v>
      </c>
      <c r="N148" s="14">
        <v>689.41</v>
      </c>
    </row>
    <row r="149" spans="1:14" x14ac:dyDescent="0.25">
      <c r="A149" s="3">
        <v>3</v>
      </c>
      <c r="B149" s="13">
        <v>2433.9</v>
      </c>
      <c r="C149" s="13">
        <v>1091.8699999999999</v>
      </c>
      <c r="D149" s="13">
        <v>2610.23</v>
      </c>
      <c r="E149" s="14">
        <v>904.00000000000011</v>
      </c>
      <c r="G149" s="3">
        <v>1325.68</v>
      </c>
      <c r="H149" s="13">
        <v>739.39</v>
      </c>
      <c r="I149" s="13">
        <v>1446.9499999999998</v>
      </c>
      <c r="J149" s="13">
        <v>624.33000000000004</v>
      </c>
      <c r="K149" s="3">
        <v>1108.22</v>
      </c>
      <c r="L149" s="13">
        <v>352.48</v>
      </c>
      <c r="M149" s="13">
        <v>1163.28</v>
      </c>
      <c r="N149" s="14">
        <v>279.67</v>
      </c>
    </row>
    <row r="150" spans="1:14" x14ac:dyDescent="0.25">
      <c r="A150" s="3">
        <v>4</v>
      </c>
      <c r="B150" s="13">
        <v>1955.3100000000002</v>
      </c>
      <c r="C150" s="13">
        <v>712.47</v>
      </c>
      <c r="D150" s="13">
        <v>2044.62</v>
      </c>
      <c r="E150" s="14">
        <v>574.7600000000001</v>
      </c>
      <c r="G150" s="3">
        <v>1029.7399999999998</v>
      </c>
      <c r="H150" s="13">
        <v>407.49</v>
      </c>
      <c r="I150" s="13">
        <v>1094.0899999999999</v>
      </c>
      <c r="J150" s="13">
        <v>339.13000000000005</v>
      </c>
      <c r="K150" s="3">
        <v>925.56999999999994</v>
      </c>
      <c r="L150" s="13">
        <v>304.98</v>
      </c>
      <c r="M150" s="13">
        <v>950.53</v>
      </c>
      <c r="N150" s="14">
        <v>235.63</v>
      </c>
    </row>
    <row r="151" spans="1:14" x14ac:dyDescent="0.25">
      <c r="A151" s="3">
        <v>5</v>
      </c>
      <c r="B151" s="13">
        <v>5396.83</v>
      </c>
      <c r="C151" s="13">
        <v>1188.8900000000001</v>
      </c>
      <c r="D151" s="13">
        <v>5261.5999999999995</v>
      </c>
      <c r="E151" s="14">
        <v>1020.25</v>
      </c>
      <c r="G151" s="3">
        <v>3316.5</v>
      </c>
      <c r="H151" s="13">
        <v>748.63</v>
      </c>
      <c r="I151" s="13">
        <v>3241.4400000000005</v>
      </c>
      <c r="J151" s="13">
        <v>644.59</v>
      </c>
      <c r="K151" s="3">
        <v>2080.33</v>
      </c>
      <c r="L151" s="13">
        <v>440.26</v>
      </c>
      <c r="M151" s="13">
        <v>2020.1599999999999</v>
      </c>
      <c r="N151" s="14">
        <v>375.66</v>
      </c>
    </row>
    <row r="152" spans="1:14" x14ac:dyDescent="0.25">
      <c r="A152" s="3">
        <v>6</v>
      </c>
      <c r="B152" s="13">
        <v>19775.810000000001</v>
      </c>
      <c r="C152" s="13">
        <v>3673.4100000000008</v>
      </c>
      <c r="D152" s="13">
        <v>18728.030000000002</v>
      </c>
      <c r="E152" s="14">
        <v>2961.4</v>
      </c>
      <c r="G152" s="3">
        <v>14888.179999999998</v>
      </c>
      <c r="H152" s="13">
        <v>2425.1999999999998</v>
      </c>
      <c r="I152" s="13">
        <v>14615.57</v>
      </c>
      <c r="J152" s="13">
        <v>2005.4399999999998</v>
      </c>
      <c r="K152" s="3">
        <v>4887.63</v>
      </c>
      <c r="L152" s="13">
        <v>1248.21</v>
      </c>
      <c r="M152" s="13">
        <v>4112.46</v>
      </c>
      <c r="N152" s="14">
        <v>955.96</v>
      </c>
    </row>
    <row r="153" spans="1:14" x14ac:dyDescent="0.25">
      <c r="A153" s="3">
        <v>7</v>
      </c>
      <c r="B153" s="13">
        <v>41552.120000000003</v>
      </c>
      <c r="C153" s="13">
        <v>8345.75</v>
      </c>
      <c r="D153" s="13">
        <v>39079.24</v>
      </c>
      <c r="E153" s="14">
        <v>6845.8799999999992</v>
      </c>
      <c r="G153" s="3">
        <v>25805.699999999997</v>
      </c>
      <c r="H153" s="13">
        <v>4787.76</v>
      </c>
      <c r="I153" s="13">
        <v>23248.719999999998</v>
      </c>
      <c r="J153" s="13">
        <v>3927.9100000000003</v>
      </c>
      <c r="K153" s="3">
        <v>15746.42</v>
      </c>
      <c r="L153" s="13">
        <v>3557.99</v>
      </c>
      <c r="M153" s="13">
        <v>15830.52</v>
      </c>
      <c r="N153" s="14">
        <v>2917.97</v>
      </c>
    </row>
    <row r="154" spans="1:14" x14ac:dyDescent="0.25">
      <c r="A154" s="3">
        <v>8</v>
      </c>
      <c r="B154" s="13">
        <v>63764.75</v>
      </c>
      <c r="C154" s="13">
        <v>14852.73</v>
      </c>
      <c r="D154" s="13">
        <v>60556.679999999993</v>
      </c>
      <c r="E154" s="14">
        <v>12391.22</v>
      </c>
      <c r="G154" s="3">
        <v>37753.929999999993</v>
      </c>
      <c r="H154" s="13">
        <v>8500.44</v>
      </c>
      <c r="I154" s="13">
        <v>36359.96</v>
      </c>
      <c r="J154" s="13">
        <v>7144.5599999999995</v>
      </c>
      <c r="K154" s="3">
        <v>26010.82</v>
      </c>
      <c r="L154" s="13">
        <v>6352.29</v>
      </c>
      <c r="M154" s="13">
        <v>24196.720000000001</v>
      </c>
      <c r="N154" s="14">
        <v>5246.66</v>
      </c>
    </row>
    <row r="155" spans="1:14" x14ac:dyDescent="0.25">
      <c r="A155" s="3">
        <v>9</v>
      </c>
      <c r="B155" s="13">
        <v>82893.460000000006</v>
      </c>
      <c r="C155" s="13">
        <v>22503.040000000001</v>
      </c>
      <c r="D155" s="13">
        <v>79904.87999999999</v>
      </c>
      <c r="E155" s="14">
        <v>19386.29</v>
      </c>
      <c r="G155" s="3">
        <v>45538.400000000001</v>
      </c>
      <c r="H155" s="13">
        <v>13724.79</v>
      </c>
      <c r="I155" s="13">
        <v>44706.720000000001</v>
      </c>
      <c r="J155" s="13">
        <v>11710.41</v>
      </c>
      <c r="K155" s="3">
        <v>37355.06</v>
      </c>
      <c r="L155" s="13">
        <v>8778.25</v>
      </c>
      <c r="M155" s="13">
        <v>35198.159999999996</v>
      </c>
      <c r="N155" s="14">
        <v>7675.88</v>
      </c>
    </row>
    <row r="156" spans="1:14" x14ac:dyDescent="0.25">
      <c r="A156" s="3">
        <v>10</v>
      </c>
      <c r="B156" s="13">
        <v>92773.68</v>
      </c>
      <c r="C156" s="13">
        <v>28694.770000000004</v>
      </c>
      <c r="D156" s="13">
        <v>91186.35</v>
      </c>
      <c r="E156" s="14">
        <v>25403.09</v>
      </c>
      <c r="G156" s="3">
        <v>46439.26999999999</v>
      </c>
      <c r="H156" s="13">
        <v>14650.62</v>
      </c>
      <c r="I156" s="13">
        <v>43124.46</v>
      </c>
      <c r="J156" s="13">
        <v>12581.87</v>
      </c>
      <c r="K156" s="3">
        <v>46334.41</v>
      </c>
      <c r="L156" s="13">
        <v>14044.15</v>
      </c>
      <c r="M156" s="13">
        <v>48061.89</v>
      </c>
      <c r="N156" s="14">
        <v>12821.220000000001</v>
      </c>
    </row>
    <row r="157" spans="1:14" x14ac:dyDescent="0.25">
      <c r="A157" s="3">
        <v>11</v>
      </c>
      <c r="B157" s="13">
        <v>90953.53</v>
      </c>
      <c r="C157" s="13">
        <v>30679.49</v>
      </c>
      <c r="D157" s="13">
        <v>90571.38</v>
      </c>
      <c r="E157" s="14">
        <v>27198.460000000003</v>
      </c>
      <c r="G157" s="3">
        <v>47356</v>
      </c>
      <c r="H157" s="13">
        <v>18314.560000000001</v>
      </c>
      <c r="I157" s="13">
        <v>46592.14</v>
      </c>
      <c r="J157" s="13">
        <v>15701.47</v>
      </c>
      <c r="K157" s="3">
        <v>43597.53</v>
      </c>
      <c r="L157" s="13">
        <v>12364.93</v>
      </c>
      <c r="M157" s="13">
        <v>43979.24</v>
      </c>
      <c r="N157" s="14">
        <v>11496.99</v>
      </c>
    </row>
    <row r="158" spans="1:14" x14ac:dyDescent="0.25">
      <c r="A158" s="3">
        <v>12</v>
      </c>
      <c r="B158" s="13">
        <v>82978.2</v>
      </c>
      <c r="C158" s="13">
        <v>28760.959999999995</v>
      </c>
      <c r="D158" s="13">
        <v>82608.12</v>
      </c>
      <c r="E158" s="14">
        <v>25851.909999999996</v>
      </c>
      <c r="G158" s="3">
        <v>52670.92</v>
      </c>
      <c r="H158" s="13">
        <v>15796.36</v>
      </c>
      <c r="I158" s="13">
        <v>52560.35</v>
      </c>
      <c r="J158" s="13">
        <v>14234.08</v>
      </c>
      <c r="K158" s="3">
        <v>30307.279999999999</v>
      </c>
      <c r="L158" s="13">
        <v>12964.6</v>
      </c>
      <c r="M158" s="13">
        <v>30047.77</v>
      </c>
      <c r="N158" s="14">
        <v>11617.83</v>
      </c>
    </row>
    <row r="159" spans="1:14" x14ac:dyDescent="0.25">
      <c r="A159" s="3">
        <v>13</v>
      </c>
      <c r="B159" s="13">
        <v>71360.930000000008</v>
      </c>
      <c r="C159" s="13">
        <v>24037.29</v>
      </c>
      <c r="D159" s="13">
        <v>70890.489999999991</v>
      </c>
      <c r="E159" s="14">
        <v>21697.29</v>
      </c>
      <c r="G159" s="3">
        <v>50600.34</v>
      </c>
      <c r="H159" s="13">
        <v>15649.18</v>
      </c>
      <c r="I159" s="13">
        <v>50147.86</v>
      </c>
      <c r="J159" s="13">
        <v>14405.69</v>
      </c>
      <c r="K159" s="3">
        <v>20760.59</v>
      </c>
      <c r="L159" s="13">
        <v>8388.11</v>
      </c>
      <c r="M159" s="13">
        <v>20742.629999999997</v>
      </c>
      <c r="N159" s="14">
        <v>7291.6</v>
      </c>
    </row>
    <row r="160" spans="1:14" x14ac:dyDescent="0.25">
      <c r="A160" s="3">
        <v>14</v>
      </c>
      <c r="B160" s="13">
        <v>71576.55</v>
      </c>
      <c r="C160" s="13">
        <v>22733.38</v>
      </c>
      <c r="D160" s="13">
        <v>70705.899999999994</v>
      </c>
      <c r="E160" s="14">
        <v>20640.93</v>
      </c>
      <c r="G160" s="3">
        <v>38917.550000000003</v>
      </c>
      <c r="H160" s="13">
        <v>15241.580000000002</v>
      </c>
      <c r="I160" s="13">
        <v>34605.01</v>
      </c>
      <c r="J160" s="13">
        <v>13438.939999999999</v>
      </c>
      <c r="K160" s="3">
        <v>32659</v>
      </c>
      <c r="L160" s="13">
        <v>7491.8000000000011</v>
      </c>
      <c r="M160" s="13">
        <v>36100.890000000007</v>
      </c>
      <c r="N160" s="14">
        <v>7201.99</v>
      </c>
    </row>
    <row r="161" spans="1:14" x14ac:dyDescent="0.25">
      <c r="A161" s="3">
        <v>15</v>
      </c>
      <c r="B161" s="13">
        <v>75119.179999999993</v>
      </c>
      <c r="C161" s="13">
        <v>23586.639999999999</v>
      </c>
      <c r="D161" s="13">
        <v>74692.08</v>
      </c>
      <c r="E161" s="14">
        <v>21336.68</v>
      </c>
      <c r="G161" s="3">
        <v>38779.5</v>
      </c>
      <c r="H161" s="13">
        <v>15481.130000000001</v>
      </c>
      <c r="I161" s="13">
        <v>37019.769999999997</v>
      </c>
      <c r="J161" s="13">
        <v>13766.09</v>
      </c>
      <c r="K161" s="3">
        <v>36339.68</v>
      </c>
      <c r="L161" s="13">
        <v>8105.5099999999993</v>
      </c>
      <c r="M161" s="13">
        <v>37672.31</v>
      </c>
      <c r="N161" s="14">
        <v>7570.59</v>
      </c>
    </row>
    <row r="162" spans="1:14" x14ac:dyDescent="0.25">
      <c r="A162" s="3">
        <v>16</v>
      </c>
      <c r="B162" s="13">
        <v>78199.44</v>
      </c>
      <c r="C162" s="13">
        <v>25450.43</v>
      </c>
      <c r="D162" s="13">
        <v>78331.199999999997</v>
      </c>
      <c r="E162" s="14">
        <v>22577.200000000001</v>
      </c>
      <c r="G162" s="3">
        <v>41913.130000000005</v>
      </c>
      <c r="H162" s="13">
        <v>16817.11</v>
      </c>
      <c r="I162" s="13">
        <v>38123.82</v>
      </c>
      <c r="J162" s="13">
        <v>14544.83</v>
      </c>
      <c r="K162" s="3">
        <v>36286.31</v>
      </c>
      <c r="L162" s="13">
        <v>8633.32</v>
      </c>
      <c r="M162" s="13">
        <v>40207.380000000005</v>
      </c>
      <c r="N162" s="14">
        <v>8032.369999999999</v>
      </c>
    </row>
    <row r="163" spans="1:14" x14ac:dyDescent="0.25">
      <c r="A163" s="3">
        <v>17</v>
      </c>
      <c r="B163" s="13">
        <v>84664.57</v>
      </c>
      <c r="C163" s="13">
        <v>28363.8</v>
      </c>
      <c r="D163" s="13">
        <v>84411.97</v>
      </c>
      <c r="E163" s="14">
        <v>24893.68</v>
      </c>
      <c r="G163" s="3">
        <v>50162.03</v>
      </c>
      <c r="H163" s="13">
        <v>15781.26</v>
      </c>
      <c r="I163" s="13">
        <v>48914.9</v>
      </c>
      <c r="J163" s="13">
        <v>13615.08</v>
      </c>
      <c r="K163" s="3">
        <v>34502.54</v>
      </c>
      <c r="L163" s="13">
        <v>12582.539999999999</v>
      </c>
      <c r="M163" s="13">
        <v>35497.07</v>
      </c>
      <c r="N163" s="14">
        <v>11278.599999999999</v>
      </c>
    </row>
    <row r="164" spans="1:14" x14ac:dyDescent="0.25">
      <c r="A164" s="3">
        <v>18</v>
      </c>
      <c r="B164" s="13">
        <v>89702.3</v>
      </c>
      <c r="C164" s="13">
        <v>29810.46</v>
      </c>
      <c r="D164" s="13">
        <v>89272.699999999983</v>
      </c>
      <c r="E164" s="14">
        <v>25903.94</v>
      </c>
      <c r="G164" s="3">
        <v>63524.94</v>
      </c>
      <c r="H164" s="13">
        <v>19709.79</v>
      </c>
      <c r="I164" s="13">
        <v>62775</v>
      </c>
      <c r="J164" s="13">
        <v>17600.8</v>
      </c>
      <c r="K164" s="3">
        <v>26177.359999999997</v>
      </c>
      <c r="L164" s="13">
        <v>10100.67</v>
      </c>
      <c r="M164" s="13">
        <v>26497.700000000004</v>
      </c>
      <c r="N164" s="14">
        <v>8303.14</v>
      </c>
    </row>
    <row r="165" spans="1:14" x14ac:dyDescent="0.25">
      <c r="A165" s="3">
        <v>19</v>
      </c>
      <c r="B165" s="13">
        <v>146831.26</v>
      </c>
      <c r="C165" s="13">
        <v>43295.61</v>
      </c>
      <c r="D165" s="13">
        <v>142834.92000000001</v>
      </c>
      <c r="E165" s="14">
        <v>37004.14</v>
      </c>
      <c r="G165" s="3">
        <v>82317.929999999993</v>
      </c>
      <c r="H165" s="13">
        <v>22833.550000000003</v>
      </c>
      <c r="I165" s="13">
        <v>80696.639999999985</v>
      </c>
      <c r="J165" s="13">
        <v>20658.29</v>
      </c>
      <c r="K165" s="3">
        <v>64513.329999999987</v>
      </c>
      <c r="L165" s="13">
        <v>20462.059999999998</v>
      </c>
      <c r="M165" s="13">
        <v>62138.28</v>
      </c>
      <c r="N165" s="14">
        <v>16345.85</v>
      </c>
    </row>
    <row r="166" spans="1:14" x14ac:dyDescent="0.25">
      <c r="A166" s="3">
        <v>20</v>
      </c>
      <c r="B166" s="13">
        <v>145449.68800000002</v>
      </c>
      <c r="C166" s="13">
        <v>43926.07</v>
      </c>
      <c r="D166" s="13">
        <v>143269.70000000001</v>
      </c>
      <c r="E166" s="14">
        <v>37012.699999999997</v>
      </c>
      <c r="G166" s="3">
        <v>76927.668999999994</v>
      </c>
      <c r="H166" s="13">
        <v>23798.420000000002</v>
      </c>
      <c r="I166" s="13">
        <v>71704.81</v>
      </c>
      <c r="J166" s="13">
        <v>20088.300000000003</v>
      </c>
      <c r="K166" s="3">
        <v>68522.019</v>
      </c>
      <c r="L166" s="13">
        <v>20127.650000000001</v>
      </c>
      <c r="M166" s="13">
        <v>71564.889999999985</v>
      </c>
      <c r="N166" s="14">
        <v>16924.399999999998</v>
      </c>
    </row>
    <row r="167" spans="1:14" x14ac:dyDescent="0.25">
      <c r="A167" s="3">
        <v>21</v>
      </c>
      <c r="B167" s="13">
        <v>131324.92000000001</v>
      </c>
      <c r="C167" s="13">
        <v>40189.019999999997</v>
      </c>
      <c r="D167" s="13">
        <v>129198.069</v>
      </c>
      <c r="E167" s="14">
        <v>34119.379999999997</v>
      </c>
      <c r="G167" s="3">
        <v>77635.490000000005</v>
      </c>
      <c r="H167" s="13">
        <v>22910.3</v>
      </c>
      <c r="I167" s="13">
        <v>76074.748999999996</v>
      </c>
      <c r="J167" s="13">
        <v>19028.650000000001</v>
      </c>
      <c r="K167" s="3">
        <v>53689.43</v>
      </c>
      <c r="L167" s="13">
        <v>17278.719999999998</v>
      </c>
      <c r="M167" s="13">
        <v>53123.32</v>
      </c>
      <c r="N167" s="14">
        <v>15090.73</v>
      </c>
    </row>
    <row r="168" spans="1:14" x14ac:dyDescent="0.25">
      <c r="A168" s="3">
        <v>22</v>
      </c>
      <c r="B168" s="13">
        <v>87710.33</v>
      </c>
      <c r="C168" s="13">
        <v>29514.62</v>
      </c>
      <c r="D168" s="13">
        <v>87020.83</v>
      </c>
      <c r="E168" s="14">
        <v>25281.440000000002</v>
      </c>
      <c r="G168" s="3">
        <v>50822.539999999994</v>
      </c>
      <c r="H168" s="13">
        <v>17811.18</v>
      </c>
      <c r="I168" s="13">
        <v>49105.75</v>
      </c>
      <c r="J168" s="13">
        <v>15086.9</v>
      </c>
      <c r="K168" s="3">
        <v>36887.79</v>
      </c>
      <c r="L168" s="13">
        <v>11703.44</v>
      </c>
      <c r="M168" s="13">
        <v>37915.08</v>
      </c>
      <c r="N168" s="14">
        <v>10194.540000000001</v>
      </c>
    </row>
    <row r="169" spans="1:14" x14ac:dyDescent="0.25">
      <c r="A169" s="15">
        <v>23</v>
      </c>
      <c r="B169" s="16">
        <v>44580.799999999996</v>
      </c>
      <c r="C169" s="16">
        <v>17179.939999999999</v>
      </c>
      <c r="D169" s="16">
        <v>44470</v>
      </c>
      <c r="E169" s="17">
        <v>14848.280000000002</v>
      </c>
      <c r="G169" s="15">
        <v>29367.38</v>
      </c>
      <c r="H169" s="16">
        <v>9932.2799999999988</v>
      </c>
      <c r="I169" s="16">
        <v>29338.46</v>
      </c>
      <c r="J169" s="16">
        <v>8763.4700000000012</v>
      </c>
      <c r="K169" s="15">
        <v>15213.42</v>
      </c>
      <c r="L169" s="16">
        <v>7247.66</v>
      </c>
      <c r="M169" s="16">
        <v>15131.54</v>
      </c>
      <c r="N169" s="17">
        <v>6084.81</v>
      </c>
    </row>
    <row r="170" spans="1:14" x14ac:dyDescent="0.25">
      <c r="A170" s="21">
        <v>0</v>
      </c>
      <c r="B170" s="22">
        <v>19722.13</v>
      </c>
      <c r="C170" s="22">
        <v>8687.27</v>
      </c>
      <c r="D170" s="22">
        <v>20237.350000000002</v>
      </c>
      <c r="E170" s="23">
        <v>7536.0000000000009</v>
      </c>
      <c r="G170" s="21">
        <v>12342.43</v>
      </c>
      <c r="H170" s="22">
        <v>4922.51</v>
      </c>
      <c r="I170" s="22">
        <v>12661.49</v>
      </c>
      <c r="J170" s="22">
        <v>4350.97</v>
      </c>
      <c r="K170" s="21">
        <v>7379.7000000000007</v>
      </c>
      <c r="L170" s="22">
        <v>3764.76</v>
      </c>
      <c r="M170" s="22">
        <v>7575.8600000000006</v>
      </c>
      <c r="N170" s="23">
        <v>3185.03</v>
      </c>
    </row>
    <row r="171" spans="1:14" x14ac:dyDescent="0.25">
      <c r="A171" s="3">
        <v>1</v>
      </c>
      <c r="B171" s="13">
        <v>9188.41</v>
      </c>
      <c r="C171" s="13">
        <v>4246.68</v>
      </c>
      <c r="D171" s="13">
        <v>9566.6500000000015</v>
      </c>
      <c r="E171" s="14">
        <v>3510.1499999999996</v>
      </c>
      <c r="G171" s="3">
        <v>4730.32</v>
      </c>
      <c r="H171" s="13">
        <v>1713.62</v>
      </c>
      <c r="I171" s="13">
        <v>4890.24</v>
      </c>
      <c r="J171" s="13">
        <v>1409.8899999999999</v>
      </c>
      <c r="K171" s="3">
        <v>4458.09</v>
      </c>
      <c r="L171" s="13">
        <v>2533.0599999999995</v>
      </c>
      <c r="M171" s="13">
        <v>4676.41</v>
      </c>
      <c r="N171" s="14">
        <v>2100.2599999999998</v>
      </c>
    </row>
    <row r="172" spans="1:14" x14ac:dyDescent="0.25">
      <c r="A172" s="3">
        <v>2</v>
      </c>
      <c r="B172" s="13">
        <v>4425.5499999999993</v>
      </c>
      <c r="C172" s="13">
        <v>2046.1599999999996</v>
      </c>
      <c r="D172" s="13">
        <v>4703.0200000000004</v>
      </c>
      <c r="E172" s="14">
        <v>1653.23</v>
      </c>
      <c r="G172" s="3">
        <v>2209.5699999999997</v>
      </c>
      <c r="H172" s="13">
        <v>897.6</v>
      </c>
      <c r="I172" s="13">
        <v>2367.7200000000003</v>
      </c>
      <c r="J172" s="13">
        <v>714.48</v>
      </c>
      <c r="K172" s="3">
        <v>2215.98</v>
      </c>
      <c r="L172" s="13">
        <v>1148.56</v>
      </c>
      <c r="M172" s="13">
        <v>2335.3000000000002</v>
      </c>
      <c r="N172" s="14">
        <v>938.75</v>
      </c>
    </row>
    <row r="173" spans="1:14" x14ac:dyDescent="0.25">
      <c r="A173" s="3">
        <v>3</v>
      </c>
      <c r="B173" s="13">
        <v>2522.89</v>
      </c>
      <c r="C173" s="13">
        <v>1108.6799999999998</v>
      </c>
      <c r="D173" s="13">
        <v>2689.6400000000003</v>
      </c>
      <c r="E173" s="14">
        <v>919.72</v>
      </c>
      <c r="G173" s="3">
        <v>1362.38</v>
      </c>
      <c r="H173" s="13">
        <v>681.51</v>
      </c>
      <c r="I173" s="13">
        <v>1493.6899999999998</v>
      </c>
      <c r="J173" s="13">
        <v>560.92999999999995</v>
      </c>
      <c r="K173" s="3">
        <v>1160.51</v>
      </c>
      <c r="L173" s="13">
        <v>427.16999999999996</v>
      </c>
      <c r="M173" s="13">
        <v>1195.9499999999998</v>
      </c>
      <c r="N173" s="14">
        <v>358.79</v>
      </c>
    </row>
    <row r="174" spans="1:14" x14ac:dyDescent="0.25">
      <c r="A174" s="3">
        <v>4</v>
      </c>
      <c r="B174" s="13">
        <v>2107.9299999999998</v>
      </c>
      <c r="C174" s="13">
        <v>733.39999999999986</v>
      </c>
      <c r="D174" s="13">
        <v>2165.94</v>
      </c>
      <c r="E174" s="14">
        <v>643.47</v>
      </c>
      <c r="G174" s="3">
        <v>1121.79</v>
      </c>
      <c r="H174" s="13">
        <v>407.89</v>
      </c>
      <c r="I174" s="13">
        <v>1175.27</v>
      </c>
      <c r="J174" s="13">
        <v>351.9</v>
      </c>
      <c r="K174" s="3">
        <v>986.14</v>
      </c>
      <c r="L174" s="13">
        <v>325.51</v>
      </c>
      <c r="M174" s="13">
        <v>990.67</v>
      </c>
      <c r="N174" s="14">
        <v>291.57</v>
      </c>
    </row>
    <row r="175" spans="1:14" x14ac:dyDescent="0.25">
      <c r="A175" s="3">
        <v>5</v>
      </c>
      <c r="B175" s="13">
        <v>5237.9499999999989</v>
      </c>
      <c r="C175" s="13">
        <v>1188.25</v>
      </c>
      <c r="D175" s="13">
        <v>5127.0199999999995</v>
      </c>
      <c r="E175" s="14">
        <v>1018.7900000000001</v>
      </c>
      <c r="G175" s="3">
        <v>3051.39</v>
      </c>
      <c r="H175" s="13">
        <v>731.56</v>
      </c>
      <c r="I175" s="13">
        <v>2873.1200000000003</v>
      </c>
      <c r="J175" s="13">
        <v>615.76</v>
      </c>
      <c r="K175" s="3">
        <v>2186.56</v>
      </c>
      <c r="L175" s="13">
        <v>456.69000000000005</v>
      </c>
      <c r="M175" s="13">
        <v>2253.9</v>
      </c>
      <c r="N175" s="14">
        <v>403.03</v>
      </c>
    </row>
    <row r="176" spans="1:14" x14ac:dyDescent="0.25">
      <c r="A176" s="3">
        <v>6</v>
      </c>
      <c r="B176" s="13">
        <v>18665.750000000004</v>
      </c>
      <c r="C176" s="13">
        <v>3541.5499999999997</v>
      </c>
      <c r="D176" s="13">
        <v>17532.870000000003</v>
      </c>
      <c r="E176" s="14">
        <v>2852.8999999999996</v>
      </c>
      <c r="G176" s="3">
        <v>12436.119999999999</v>
      </c>
      <c r="H176" s="13">
        <v>2418.2199999999998</v>
      </c>
      <c r="I176" s="13">
        <v>11626.51</v>
      </c>
      <c r="J176" s="13">
        <v>1976.51</v>
      </c>
      <c r="K176" s="3">
        <v>6229.63</v>
      </c>
      <c r="L176" s="13">
        <v>1123.33</v>
      </c>
      <c r="M176" s="13">
        <v>5906.3600000000006</v>
      </c>
      <c r="N176" s="14">
        <v>876.39</v>
      </c>
    </row>
    <row r="177" spans="1:14" x14ac:dyDescent="0.25">
      <c r="A177" s="3">
        <v>7</v>
      </c>
      <c r="B177" s="13">
        <v>40692.75</v>
      </c>
      <c r="C177" s="13">
        <v>8423.81</v>
      </c>
      <c r="D177" s="13">
        <v>38320.829999999994</v>
      </c>
      <c r="E177" s="14">
        <v>6749.14</v>
      </c>
      <c r="G177" s="3">
        <v>22777.579999999998</v>
      </c>
      <c r="H177" s="13">
        <v>5119.7700000000004</v>
      </c>
      <c r="I177" s="13">
        <v>21806.44</v>
      </c>
      <c r="J177" s="13">
        <v>4129.6499999999996</v>
      </c>
      <c r="K177" s="3">
        <v>17915.170000000002</v>
      </c>
      <c r="L177" s="13">
        <v>3304.04</v>
      </c>
      <c r="M177" s="13">
        <v>16514.39</v>
      </c>
      <c r="N177" s="14">
        <v>2619.4899999999998</v>
      </c>
    </row>
    <row r="178" spans="1:14" x14ac:dyDescent="0.25">
      <c r="A178" s="3">
        <v>8</v>
      </c>
      <c r="B178" s="13">
        <v>63521.76999999999</v>
      </c>
      <c r="C178" s="13">
        <v>14946.1</v>
      </c>
      <c r="D178" s="13">
        <v>60371.75</v>
      </c>
      <c r="E178" s="14">
        <v>12425.7</v>
      </c>
      <c r="G178" s="3">
        <v>31329.629999999997</v>
      </c>
      <c r="H178" s="13">
        <v>9050.76</v>
      </c>
      <c r="I178" s="13">
        <v>26347.899999999998</v>
      </c>
      <c r="J178" s="13">
        <v>7130.3</v>
      </c>
      <c r="K178" s="3">
        <v>32192.14</v>
      </c>
      <c r="L178" s="13">
        <v>5895.34</v>
      </c>
      <c r="M178" s="13">
        <v>34023.850000000006</v>
      </c>
      <c r="N178" s="14">
        <v>5295.4</v>
      </c>
    </row>
    <row r="179" spans="1:14" x14ac:dyDescent="0.25">
      <c r="A179" s="3">
        <v>9</v>
      </c>
      <c r="B179" s="13">
        <v>82566.380000000019</v>
      </c>
      <c r="C179" s="13">
        <v>22720.050000000003</v>
      </c>
      <c r="D179" s="13">
        <v>80111.890000000014</v>
      </c>
      <c r="E179" s="14">
        <v>19474.52</v>
      </c>
      <c r="G179" s="3">
        <v>41699.180000000008</v>
      </c>
      <c r="H179" s="13">
        <v>12695.82</v>
      </c>
      <c r="I179" s="13">
        <v>37122.9</v>
      </c>
      <c r="J179" s="13">
        <v>10345.280000000001</v>
      </c>
      <c r="K179" s="3">
        <v>40867.200000000004</v>
      </c>
      <c r="L179" s="13">
        <v>10024.23</v>
      </c>
      <c r="M179" s="13">
        <v>42988.990000000005</v>
      </c>
      <c r="N179" s="14">
        <v>9129.24</v>
      </c>
    </row>
    <row r="180" spans="1:14" x14ac:dyDescent="0.25">
      <c r="A180" s="3">
        <v>10</v>
      </c>
      <c r="B180" s="13">
        <v>93001.18</v>
      </c>
      <c r="C180" s="13">
        <v>29388.879999999997</v>
      </c>
      <c r="D180" s="13">
        <v>91491.33</v>
      </c>
      <c r="E180" s="14">
        <v>25800.09</v>
      </c>
      <c r="G180" s="3">
        <v>55097.08</v>
      </c>
      <c r="H180" s="13">
        <v>13382.34</v>
      </c>
      <c r="I180" s="13">
        <v>58100.27</v>
      </c>
      <c r="J180" s="13">
        <v>12027.25</v>
      </c>
      <c r="K180" s="3">
        <v>37904.100000000006</v>
      </c>
      <c r="L180" s="13">
        <v>16006.54</v>
      </c>
      <c r="M180" s="13">
        <v>33391.06</v>
      </c>
      <c r="N180" s="14">
        <v>13772.84</v>
      </c>
    </row>
    <row r="181" spans="1:14" x14ac:dyDescent="0.25">
      <c r="A181" s="3">
        <v>11</v>
      </c>
      <c r="B181" s="13">
        <v>92338.87000000001</v>
      </c>
      <c r="C181" s="13">
        <v>31322.879999999997</v>
      </c>
      <c r="D181" s="13">
        <v>91559.9</v>
      </c>
      <c r="E181" s="14">
        <v>27940.310000000005</v>
      </c>
      <c r="G181" s="3">
        <v>59526.87000000001</v>
      </c>
      <c r="H181" s="13">
        <v>15501.88</v>
      </c>
      <c r="I181" s="13">
        <v>60478.279999999992</v>
      </c>
      <c r="J181" s="13">
        <v>14490.92</v>
      </c>
      <c r="K181" s="3">
        <v>32812</v>
      </c>
      <c r="L181" s="13">
        <v>15821</v>
      </c>
      <c r="M181" s="13">
        <v>31081.620000000003</v>
      </c>
      <c r="N181" s="14">
        <v>13449.39</v>
      </c>
    </row>
    <row r="182" spans="1:14" x14ac:dyDescent="0.25">
      <c r="A182" s="3">
        <v>12</v>
      </c>
      <c r="B182" s="13">
        <v>84621.610000000015</v>
      </c>
      <c r="C182" s="13">
        <v>29392.9</v>
      </c>
      <c r="D182" s="13">
        <v>83838.47</v>
      </c>
      <c r="E182" s="14">
        <v>26304.92</v>
      </c>
      <c r="G182" s="3">
        <v>54210.32</v>
      </c>
      <c r="H182" s="13">
        <v>20633.89</v>
      </c>
      <c r="I182" s="13">
        <v>53651.29</v>
      </c>
      <c r="J182" s="13">
        <v>18818.03</v>
      </c>
      <c r="K182" s="3">
        <v>30411.29</v>
      </c>
      <c r="L182" s="13">
        <v>8759.01</v>
      </c>
      <c r="M182" s="13">
        <v>30187.18</v>
      </c>
      <c r="N182" s="14">
        <v>7486.8899999999994</v>
      </c>
    </row>
    <row r="183" spans="1:14" x14ac:dyDescent="0.25">
      <c r="A183" s="3">
        <v>13</v>
      </c>
      <c r="B183" s="13"/>
      <c r="C183" s="13"/>
      <c r="D183" s="13"/>
      <c r="E183" s="14"/>
      <c r="G183" s="3"/>
      <c r="H183" s="13"/>
      <c r="I183" s="13"/>
      <c r="J183" s="13"/>
      <c r="K183" s="3"/>
      <c r="L183" s="13"/>
      <c r="M183" s="13"/>
      <c r="N183" s="14"/>
    </row>
    <row r="184" spans="1:14" x14ac:dyDescent="0.25">
      <c r="A184" s="3">
        <v>14</v>
      </c>
      <c r="B184" s="13"/>
      <c r="C184" s="13"/>
      <c r="D184" s="13"/>
      <c r="E184" s="14"/>
      <c r="G184" s="3"/>
      <c r="H184" s="13"/>
      <c r="I184" s="13"/>
      <c r="J184" s="13"/>
      <c r="K184" s="3"/>
      <c r="L184" s="13"/>
      <c r="M184" s="13"/>
      <c r="N184" s="14"/>
    </row>
    <row r="185" spans="1:14" x14ac:dyDescent="0.25">
      <c r="A185" s="3">
        <v>15</v>
      </c>
      <c r="B185" s="13"/>
      <c r="C185" s="13"/>
      <c r="D185" s="13"/>
      <c r="E185" s="14"/>
      <c r="G185" s="3"/>
      <c r="H185" s="13"/>
      <c r="I185" s="13"/>
      <c r="J185" s="13"/>
      <c r="K185" s="3"/>
      <c r="L185" s="13"/>
      <c r="M185" s="13"/>
      <c r="N185" s="14"/>
    </row>
    <row r="186" spans="1:14" x14ac:dyDescent="0.25">
      <c r="A186" s="3">
        <v>16</v>
      </c>
      <c r="B186" s="13"/>
      <c r="C186" s="13"/>
      <c r="D186" s="13"/>
      <c r="E186" s="14"/>
      <c r="G186" s="3"/>
      <c r="H186" s="13"/>
      <c r="I186" s="13"/>
      <c r="J186" s="13"/>
      <c r="K186" s="3"/>
      <c r="L186" s="13"/>
      <c r="M186" s="13"/>
      <c r="N186" s="14"/>
    </row>
    <row r="187" spans="1:14" x14ac:dyDescent="0.25">
      <c r="A187" s="3">
        <v>17</v>
      </c>
      <c r="B187" s="13"/>
      <c r="C187" s="13"/>
      <c r="D187" s="13"/>
      <c r="E187" s="14"/>
      <c r="G187" s="3"/>
      <c r="H187" s="13"/>
      <c r="I187" s="13"/>
      <c r="J187" s="13"/>
      <c r="K187" s="3"/>
      <c r="L187" s="13"/>
      <c r="M187" s="13"/>
      <c r="N187" s="14"/>
    </row>
    <row r="188" spans="1:14" x14ac:dyDescent="0.25">
      <c r="A188" s="3">
        <v>18</v>
      </c>
      <c r="B188" s="13"/>
      <c r="C188" s="13"/>
      <c r="D188" s="13"/>
      <c r="E188" s="14"/>
      <c r="G188" s="3"/>
      <c r="H188" s="13"/>
      <c r="I188" s="13"/>
      <c r="J188" s="13"/>
      <c r="K188" s="3"/>
      <c r="L188" s="13"/>
      <c r="M188" s="13"/>
      <c r="N188" s="14"/>
    </row>
    <row r="189" spans="1:14" x14ac:dyDescent="0.25">
      <c r="A189" s="3">
        <v>19</v>
      </c>
      <c r="B189" s="13"/>
      <c r="C189" s="13"/>
      <c r="D189" s="13"/>
      <c r="E189" s="14"/>
      <c r="G189" s="3"/>
      <c r="H189" s="13"/>
      <c r="I189" s="13"/>
      <c r="J189" s="13"/>
      <c r="K189" s="3"/>
      <c r="L189" s="13"/>
      <c r="M189" s="13"/>
      <c r="N189" s="14"/>
    </row>
    <row r="190" spans="1:14" x14ac:dyDescent="0.25">
      <c r="A190" s="3">
        <v>20</v>
      </c>
      <c r="B190" s="13"/>
      <c r="C190" s="13"/>
      <c r="D190" s="13"/>
      <c r="E190" s="14"/>
      <c r="G190" s="3"/>
      <c r="H190" s="13"/>
      <c r="I190" s="13"/>
      <c r="J190" s="13"/>
      <c r="K190" s="3"/>
      <c r="L190" s="13"/>
      <c r="M190" s="13"/>
      <c r="N190" s="14"/>
    </row>
    <row r="191" spans="1:14" x14ac:dyDescent="0.25">
      <c r="A191" s="3">
        <v>21</v>
      </c>
      <c r="B191" s="13"/>
      <c r="C191" s="13"/>
      <c r="D191" s="13"/>
      <c r="E191" s="14"/>
      <c r="G191" s="3"/>
      <c r="H191" s="13"/>
      <c r="I191" s="13"/>
      <c r="J191" s="13"/>
      <c r="K191" s="3"/>
      <c r="L191" s="13"/>
      <c r="M191" s="13"/>
      <c r="N191" s="14"/>
    </row>
    <row r="192" spans="1:14" x14ac:dyDescent="0.25">
      <c r="A192" s="3">
        <v>22</v>
      </c>
      <c r="B192" s="13"/>
      <c r="C192" s="13"/>
      <c r="D192" s="13"/>
      <c r="E192" s="14"/>
      <c r="G192" s="3"/>
      <c r="H192" s="13"/>
      <c r="I192" s="13"/>
      <c r="J192" s="13"/>
      <c r="K192" s="3"/>
      <c r="L192" s="13"/>
      <c r="M192" s="13"/>
      <c r="N192" s="14"/>
    </row>
    <row r="193" spans="1:14" x14ac:dyDescent="0.25">
      <c r="A193" s="15">
        <v>23</v>
      </c>
      <c r="B193" s="16"/>
      <c r="C193" s="16"/>
      <c r="D193" s="16"/>
      <c r="E193" s="17"/>
      <c r="G193" s="15"/>
      <c r="H193" s="16"/>
      <c r="I193" s="16"/>
      <c r="J193" s="16"/>
      <c r="K193" s="15"/>
      <c r="L193" s="16"/>
      <c r="M193" s="16"/>
      <c r="N193" s="17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225"/>
  <sheetViews>
    <sheetView topLeftCell="A166" workbookViewId="0">
      <selection activeCell="A2" sqref="A2:C182"/>
    </sheetView>
  </sheetViews>
  <sheetFormatPr defaultRowHeight="15" x14ac:dyDescent="0.25"/>
  <cols>
    <col min="1" max="1" width="15.7109375" customWidth="1"/>
  </cols>
  <sheetData>
    <row r="1" spans="1:4" x14ac:dyDescent="0.25">
      <c r="A1" t="s">
        <v>0</v>
      </c>
      <c r="B1" t="s">
        <v>35</v>
      </c>
      <c r="C1" t="s">
        <v>31</v>
      </c>
      <c r="D1" t="s">
        <v>38</v>
      </c>
    </row>
    <row r="2" spans="1:4" x14ac:dyDescent="0.25">
      <c r="A2" s="7">
        <v>44042</v>
      </c>
      <c r="B2" s="1">
        <v>10204</v>
      </c>
      <c r="C2" s="1">
        <v>19173563972953</v>
      </c>
      <c r="D2">
        <v>19173.563972953001</v>
      </c>
    </row>
    <row r="3" spans="1:4" x14ac:dyDescent="0.25">
      <c r="A3" s="7">
        <v>44042.041666666664</v>
      </c>
      <c r="B3" s="1">
        <v>6724</v>
      </c>
      <c r="C3" s="1">
        <v>13025864573522</v>
      </c>
      <c r="D3">
        <v>13025.864573522</v>
      </c>
    </row>
    <row r="4" spans="1:4" x14ac:dyDescent="0.25">
      <c r="A4" s="7">
        <v>44042.083333333336</v>
      </c>
      <c r="B4" s="1">
        <v>3917</v>
      </c>
      <c r="C4" s="1">
        <v>7891564834103</v>
      </c>
      <c r="D4">
        <v>7891.5648341030001</v>
      </c>
    </row>
    <row r="5" spans="1:4" x14ac:dyDescent="0.25">
      <c r="A5" s="7">
        <v>44042.125</v>
      </c>
      <c r="B5" s="1">
        <v>2282</v>
      </c>
      <c r="C5" s="1">
        <v>4611499017692</v>
      </c>
      <c r="D5">
        <v>4611.4990176920001</v>
      </c>
    </row>
    <row r="6" spans="1:4" x14ac:dyDescent="0.25">
      <c r="A6" s="7">
        <v>44042.166666666664</v>
      </c>
      <c r="B6" s="1">
        <v>1548</v>
      </c>
      <c r="C6" s="1">
        <v>2882059476005</v>
      </c>
      <c r="D6">
        <v>2882.0594760049999</v>
      </c>
    </row>
    <row r="7" spans="1:4" x14ac:dyDescent="0.25">
      <c r="A7" s="7">
        <v>44042.208333333336</v>
      </c>
      <c r="B7" s="1">
        <v>1997</v>
      </c>
      <c r="C7" s="1">
        <v>3298679246506</v>
      </c>
      <c r="D7">
        <v>3298.6792465059998</v>
      </c>
    </row>
    <row r="8" spans="1:4" x14ac:dyDescent="0.25">
      <c r="A8" s="7">
        <v>44042.25</v>
      </c>
      <c r="B8" s="1">
        <v>3860</v>
      </c>
      <c r="C8" s="1">
        <v>5895527894882</v>
      </c>
      <c r="D8">
        <v>5895.5278948819996</v>
      </c>
    </row>
    <row r="9" spans="1:4" x14ac:dyDescent="0.25">
      <c r="A9" s="7">
        <v>44042.291666666664</v>
      </c>
      <c r="B9" s="1">
        <v>6013</v>
      </c>
      <c r="C9" s="1">
        <v>9416273165305</v>
      </c>
      <c r="D9">
        <v>9416.2731653049996</v>
      </c>
    </row>
    <row r="10" spans="1:4" x14ac:dyDescent="0.25">
      <c r="A10" s="7">
        <v>44042.333333333336</v>
      </c>
      <c r="B10" s="1">
        <v>7705</v>
      </c>
      <c r="C10" s="1">
        <v>12562866971124</v>
      </c>
      <c r="D10">
        <v>12562.866971124</v>
      </c>
    </row>
    <row r="11" spans="1:4" x14ac:dyDescent="0.25">
      <c r="A11" s="7">
        <v>44042.375</v>
      </c>
      <c r="B11" s="1">
        <v>8719</v>
      </c>
      <c r="C11" s="1">
        <v>14977823206111</v>
      </c>
      <c r="D11">
        <v>14977.823206110999</v>
      </c>
    </row>
    <row r="12" spans="1:4" x14ac:dyDescent="0.25">
      <c r="A12" s="7">
        <v>44042.416666666664</v>
      </c>
      <c r="B12" s="1">
        <v>9142</v>
      </c>
      <c r="C12" s="1">
        <v>16147872056486</v>
      </c>
      <c r="D12">
        <v>16147.872056486</v>
      </c>
    </row>
    <row r="13" spans="1:4" x14ac:dyDescent="0.25">
      <c r="A13" s="7">
        <v>44042.458333333336</v>
      </c>
      <c r="B13" s="1">
        <v>9336</v>
      </c>
      <c r="C13" s="1">
        <v>17098447800100</v>
      </c>
      <c r="D13">
        <v>17098.447800099999</v>
      </c>
    </row>
    <row r="14" spans="1:4" x14ac:dyDescent="0.25">
      <c r="A14" s="7">
        <v>44042.5</v>
      </c>
      <c r="B14" s="1">
        <v>9359</v>
      </c>
      <c r="C14" s="1">
        <v>17190569809357</v>
      </c>
      <c r="D14">
        <v>17190.569809356999</v>
      </c>
    </row>
    <row r="15" spans="1:4" x14ac:dyDescent="0.25">
      <c r="A15" s="7">
        <v>44042.541666666664</v>
      </c>
      <c r="B15" s="1">
        <v>8762</v>
      </c>
      <c r="C15" s="1">
        <v>15907037957126</v>
      </c>
      <c r="D15">
        <v>15907.037957126</v>
      </c>
    </row>
    <row r="16" spans="1:4" x14ac:dyDescent="0.25">
      <c r="A16" s="7">
        <v>44042.583333333336</v>
      </c>
      <c r="B16" s="1">
        <v>9647</v>
      </c>
      <c r="C16" s="1">
        <v>17445155600002</v>
      </c>
      <c r="D16">
        <v>17445.155600001999</v>
      </c>
    </row>
    <row r="17" spans="1:4" x14ac:dyDescent="0.25">
      <c r="A17" s="7">
        <v>44042.625</v>
      </c>
      <c r="B17" s="1">
        <v>10335</v>
      </c>
      <c r="C17" s="1">
        <v>18588105594327</v>
      </c>
      <c r="D17">
        <v>18588.105594327</v>
      </c>
    </row>
    <row r="18" spans="1:4" x14ac:dyDescent="0.25">
      <c r="A18" s="7">
        <v>44042.666666666664</v>
      </c>
      <c r="B18" s="1">
        <v>9837</v>
      </c>
      <c r="C18" s="1">
        <v>18071245251969</v>
      </c>
      <c r="D18">
        <v>18071.245251969001</v>
      </c>
    </row>
    <row r="19" spans="1:4" x14ac:dyDescent="0.25">
      <c r="A19" s="7">
        <v>44042.708333333336</v>
      </c>
      <c r="B19" s="1">
        <v>8496</v>
      </c>
      <c r="C19" s="1">
        <v>16255265917256</v>
      </c>
      <c r="D19">
        <v>16255.265917256</v>
      </c>
    </row>
    <row r="20" spans="1:4" x14ac:dyDescent="0.25">
      <c r="A20" s="7">
        <v>44042.75</v>
      </c>
      <c r="B20" s="1">
        <v>8502</v>
      </c>
      <c r="C20" s="1">
        <v>16848081246802</v>
      </c>
      <c r="D20">
        <v>16848.081246802001</v>
      </c>
    </row>
    <row r="21" spans="1:4" x14ac:dyDescent="0.25">
      <c r="A21" s="7">
        <v>44042.791666666664</v>
      </c>
      <c r="B21" s="1">
        <v>9553</v>
      </c>
      <c r="C21" s="1">
        <v>18681742999788</v>
      </c>
      <c r="D21">
        <v>18681.742999787999</v>
      </c>
    </row>
    <row r="22" spans="1:4" x14ac:dyDescent="0.25">
      <c r="A22" s="7">
        <v>44042.833333333336</v>
      </c>
      <c r="B22" s="1">
        <v>10859</v>
      </c>
      <c r="C22" s="1">
        <v>20788510834571</v>
      </c>
      <c r="D22">
        <v>20788.510834571</v>
      </c>
    </row>
    <row r="23" spans="1:4" x14ac:dyDescent="0.25">
      <c r="A23" s="7">
        <v>44042.875</v>
      </c>
      <c r="B23" s="1">
        <v>11574</v>
      </c>
      <c r="C23" s="1">
        <v>22176577457314</v>
      </c>
      <c r="D23">
        <v>22176.577457314001</v>
      </c>
    </row>
    <row r="24" spans="1:4" x14ac:dyDescent="0.25">
      <c r="A24" s="7">
        <v>44042.916666666664</v>
      </c>
      <c r="B24" s="1">
        <v>12268</v>
      </c>
      <c r="C24" s="1">
        <v>22901018216969</v>
      </c>
      <c r="D24">
        <v>22901.018216969002</v>
      </c>
    </row>
    <row r="25" spans="1:4" x14ac:dyDescent="0.25">
      <c r="A25" s="7">
        <v>44042.958333333336</v>
      </c>
      <c r="B25" s="1">
        <v>12287</v>
      </c>
      <c r="C25" s="1">
        <v>22404202162889</v>
      </c>
      <c r="D25">
        <v>22404.202162889</v>
      </c>
    </row>
    <row r="26" spans="1:4" x14ac:dyDescent="0.25">
      <c r="A26" s="7">
        <v>44043</v>
      </c>
      <c r="B26" s="1">
        <v>10096</v>
      </c>
      <c r="C26" s="1">
        <v>18415243951519</v>
      </c>
      <c r="D26">
        <v>18415.243951519002</v>
      </c>
    </row>
    <row r="27" spans="1:4" x14ac:dyDescent="0.25">
      <c r="A27" s="7">
        <v>44043.041666666664</v>
      </c>
      <c r="B27" s="1">
        <v>6841</v>
      </c>
      <c r="C27" s="1">
        <v>13052837242579</v>
      </c>
      <c r="D27">
        <v>13052.837242579</v>
      </c>
    </row>
    <row r="28" spans="1:4" x14ac:dyDescent="0.25">
      <c r="A28" s="7">
        <v>44043.083333333336</v>
      </c>
      <c r="B28" s="1">
        <v>4102</v>
      </c>
      <c r="C28" s="1">
        <v>8271723987281</v>
      </c>
      <c r="D28">
        <v>8271.7239872810005</v>
      </c>
    </row>
    <row r="29" spans="1:4" x14ac:dyDescent="0.25">
      <c r="A29" s="7">
        <v>44043.125</v>
      </c>
      <c r="B29" s="1">
        <v>2400</v>
      </c>
      <c r="C29" s="1">
        <v>4838177387023</v>
      </c>
      <c r="D29">
        <v>4838.1773870229999</v>
      </c>
    </row>
    <row r="30" spans="1:4" x14ac:dyDescent="0.25">
      <c r="A30" s="7">
        <v>44043.166666666664</v>
      </c>
      <c r="B30" s="1">
        <v>1622</v>
      </c>
      <c r="C30" s="1">
        <v>3057397239581</v>
      </c>
      <c r="D30">
        <v>3057.3972395810001</v>
      </c>
    </row>
    <row r="31" spans="1:4" x14ac:dyDescent="0.25">
      <c r="A31" s="7">
        <v>44043.208333333336</v>
      </c>
      <c r="B31" s="1">
        <v>2199</v>
      </c>
      <c r="C31" s="1">
        <v>3543374172050</v>
      </c>
      <c r="D31">
        <v>3543.3741720500002</v>
      </c>
    </row>
    <row r="32" spans="1:4" x14ac:dyDescent="0.25">
      <c r="A32" s="7">
        <v>44043.25</v>
      </c>
      <c r="B32" s="1">
        <v>4061</v>
      </c>
      <c r="C32" s="1">
        <v>6060755070453</v>
      </c>
      <c r="D32">
        <v>6060.7550704530004</v>
      </c>
    </row>
    <row r="33" spans="1:4" x14ac:dyDescent="0.25">
      <c r="A33" s="7">
        <v>44043.291666666664</v>
      </c>
      <c r="B33" s="1">
        <v>5440</v>
      </c>
      <c r="C33" s="1">
        <v>8960697943372</v>
      </c>
      <c r="D33">
        <v>8960.6979433720007</v>
      </c>
    </row>
    <row r="34" spans="1:4" x14ac:dyDescent="0.25">
      <c r="A34" s="7">
        <v>44043.333333333336</v>
      </c>
      <c r="B34" s="1">
        <v>4934</v>
      </c>
      <c r="C34" s="1">
        <v>11349128724787</v>
      </c>
      <c r="D34">
        <v>11349.128724787</v>
      </c>
    </row>
    <row r="35" spans="1:4" x14ac:dyDescent="0.25">
      <c r="A35" s="7">
        <v>44043.375</v>
      </c>
      <c r="B35" s="1">
        <v>5064</v>
      </c>
      <c r="C35" s="1">
        <v>13380701010904</v>
      </c>
      <c r="D35">
        <v>13380.701010904</v>
      </c>
    </row>
    <row r="36" spans="1:4" x14ac:dyDescent="0.25">
      <c r="A36" s="7">
        <v>44043.416666666664</v>
      </c>
      <c r="B36" s="1">
        <v>5133</v>
      </c>
      <c r="C36" s="1">
        <v>14630190027737</v>
      </c>
      <c r="D36">
        <v>14630.190027737</v>
      </c>
    </row>
    <row r="37" spans="1:4" x14ac:dyDescent="0.25">
      <c r="A37" s="7">
        <v>44043.458333333336</v>
      </c>
      <c r="B37" s="1">
        <v>9695</v>
      </c>
      <c r="C37" s="1">
        <v>17685702063200</v>
      </c>
      <c r="D37">
        <v>17685.702063199999</v>
      </c>
    </row>
    <row r="38" spans="1:4" x14ac:dyDescent="0.25">
      <c r="A38" s="7">
        <v>44043.5</v>
      </c>
      <c r="B38" s="1">
        <v>9076</v>
      </c>
      <c r="C38" s="1">
        <v>15778165469053</v>
      </c>
      <c r="D38">
        <v>15778.165469052999</v>
      </c>
    </row>
    <row r="39" spans="1:4" x14ac:dyDescent="0.25">
      <c r="A39" s="7">
        <v>44043.541666666664</v>
      </c>
      <c r="B39" s="1">
        <v>7758</v>
      </c>
      <c r="C39" s="1">
        <v>13499630882752</v>
      </c>
      <c r="D39">
        <v>13499.630882752001</v>
      </c>
    </row>
    <row r="40" spans="1:4" x14ac:dyDescent="0.25">
      <c r="A40" s="7">
        <v>44043.583333333336</v>
      </c>
      <c r="B40" s="1">
        <v>10738</v>
      </c>
      <c r="C40" s="1">
        <v>19211278438543</v>
      </c>
      <c r="D40">
        <v>19211.278438542999</v>
      </c>
    </row>
    <row r="41" spans="1:4" x14ac:dyDescent="0.25">
      <c r="A41" s="7">
        <v>44043.625</v>
      </c>
      <c r="B41" s="1">
        <v>11379</v>
      </c>
      <c r="C41" s="1">
        <v>20503489683308</v>
      </c>
      <c r="D41">
        <v>20503.489683307998</v>
      </c>
    </row>
    <row r="42" spans="1:4" x14ac:dyDescent="0.25">
      <c r="A42" s="7">
        <v>44043.666666666664</v>
      </c>
      <c r="B42" s="1">
        <v>10205</v>
      </c>
      <c r="C42" s="1">
        <v>18717168929070</v>
      </c>
      <c r="D42">
        <v>18717.168929070001</v>
      </c>
    </row>
    <row r="43" spans="1:4" x14ac:dyDescent="0.25">
      <c r="A43" s="7">
        <v>44043.708333333336</v>
      </c>
      <c r="B43" s="1">
        <v>8846</v>
      </c>
      <c r="C43" s="1">
        <v>16632516870039</v>
      </c>
      <c r="D43">
        <v>16632.516870038999</v>
      </c>
    </row>
    <row r="44" spans="1:4" x14ac:dyDescent="0.25">
      <c r="A44" s="7">
        <v>44043.75</v>
      </c>
      <c r="B44" s="1">
        <v>8646</v>
      </c>
      <c r="C44" s="1">
        <v>16617390169935</v>
      </c>
      <c r="D44">
        <v>16617.390169934999</v>
      </c>
    </row>
    <row r="45" spans="1:4" x14ac:dyDescent="0.25">
      <c r="A45" s="7">
        <v>44043.791666666664</v>
      </c>
      <c r="B45" s="1">
        <v>9570</v>
      </c>
      <c r="C45" s="1">
        <v>18289525732943</v>
      </c>
      <c r="D45">
        <v>18289.525732942999</v>
      </c>
    </row>
    <row r="46" spans="1:4" x14ac:dyDescent="0.25">
      <c r="A46" s="7">
        <v>44043.833333333336</v>
      </c>
      <c r="B46" s="1">
        <v>10835</v>
      </c>
      <c r="C46" s="1">
        <v>20546979911805</v>
      </c>
      <c r="D46">
        <v>20546.979911805</v>
      </c>
    </row>
    <row r="47" spans="1:4" x14ac:dyDescent="0.25">
      <c r="A47" s="7">
        <v>44043.875</v>
      </c>
      <c r="B47" s="1">
        <v>11472</v>
      </c>
      <c r="C47" s="1">
        <v>22276064047135</v>
      </c>
      <c r="D47">
        <v>22276.064047135002</v>
      </c>
    </row>
    <row r="48" spans="1:4" x14ac:dyDescent="0.25">
      <c r="A48" s="7">
        <v>44043.916666666664</v>
      </c>
      <c r="B48" s="1">
        <v>12327</v>
      </c>
      <c r="C48" s="1">
        <v>23736017943399</v>
      </c>
      <c r="D48">
        <v>23736.017943399002</v>
      </c>
    </row>
    <row r="49" spans="1:4" x14ac:dyDescent="0.25">
      <c r="A49" s="7">
        <v>44043.958333333336</v>
      </c>
      <c r="B49" s="1">
        <v>12638</v>
      </c>
      <c r="C49" s="1">
        <v>23666130340771</v>
      </c>
      <c r="D49">
        <v>23666.130340771</v>
      </c>
    </row>
    <row r="50" spans="1:4" x14ac:dyDescent="0.25">
      <c r="A50" s="7">
        <v>44044</v>
      </c>
      <c r="B50" s="1">
        <v>10813</v>
      </c>
      <c r="C50" s="1">
        <v>19673770548334</v>
      </c>
      <c r="D50">
        <v>19673.770548334</v>
      </c>
    </row>
    <row r="51" spans="1:4" x14ac:dyDescent="0.25">
      <c r="A51" s="7">
        <v>44044.041666666664</v>
      </c>
      <c r="B51" s="1">
        <v>7868</v>
      </c>
      <c r="C51" s="1">
        <v>14362581115346</v>
      </c>
      <c r="D51">
        <v>14362.581115346</v>
      </c>
    </row>
    <row r="52" spans="1:4" x14ac:dyDescent="0.25">
      <c r="A52" s="7">
        <v>44044.083333333336</v>
      </c>
      <c r="B52" s="1">
        <v>4904</v>
      </c>
      <c r="C52" s="1">
        <v>9101600607509</v>
      </c>
      <c r="D52">
        <v>9101.6006075090008</v>
      </c>
    </row>
    <row r="53" spans="1:4" x14ac:dyDescent="0.25">
      <c r="A53" s="7">
        <v>44044.125</v>
      </c>
      <c r="B53" s="1">
        <v>3035</v>
      </c>
      <c r="C53" s="1">
        <v>5648812209608</v>
      </c>
      <c r="D53">
        <v>5648.8122096079996</v>
      </c>
    </row>
    <row r="54" spans="1:4" x14ac:dyDescent="0.25">
      <c r="A54" s="7">
        <v>44044.166666666664</v>
      </c>
      <c r="B54" s="1">
        <v>1918</v>
      </c>
      <c r="C54" s="1">
        <v>3385422941220</v>
      </c>
      <c r="D54">
        <v>3385.4229412200002</v>
      </c>
    </row>
    <row r="55" spans="1:4" x14ac:dyDescent="0.25">
      <c r="A55" s="7">
        <v>44044.208333333336</v>
      </c>
      <c r="B55" s="1">
        <v>2917</v>
      </c>
      <c r="C55" s="1">
        <v>4441198328354</v>
      </c>
      <c r="D55">
        <v>4441.1983283540003</v>
      </c>
    </row>
    <row r="56" spans="1:4" x14ac:dyDescent="0.25">
      <c r="A56" s="7">
        <v>44044.25</v>
      </c>
      <c r="B56" s="1">
        <v>4978</v>
      </c>
      <c r="C56" s="1">
        <v>7423478913715</v>
      </c>
      <c r="D56">
        <v>7423.4789137150001</v>
      </c>
    </row>
    <row r="57" spans="1:4" x14ac:dyDescent="0.25">
      <c r="A57" s="7">
        <v>44044.291666666664</v>
      </c>
      <c r="B57" s="1">
        <v>5229</v>
      </c>
      <c r="C57" s="1">
        <v>7852606590631</v>
      </c>
      <c r="D57">
        <v>7852.6065906309996</v>
      </c>
    </row>
    <row r="58" spans="1:4" x14ac:dyDescent="0.25">
      <c r="A58" s="7">
        <v>44044.333333333336</v>
      </c>
      <c r="B58" s="1">
        <v>7032</v>
      </c>
      <c r="C58" s="1">
        <v>11179599064146</v>
      </c>
      <c r="D58">
        <v>11179.599064145999</v>
      </c>
    </row>
    <row r="59" spans="1:4" x14ac:dyDescent="0.25">
      <c r="A59" s="7">
        <v>44044.375</v>
      </c>
      <c r="B59" s="1">
        <v>9703</v>
      </c>
      <c r="C59" s="1">
        <v>16479891200052</v>
      </c>
      <c r="D59">
        <v>16479.891200051999</v>
      </c>
    </row>
    <row r="60" spans="1:4" x14ac:dyDescent="0.25">
      <c r="A60" s="7">
        <v>44044.416666666664</v>
      </c>
      <c r="B60" s="1">
        <v>10595</v>
      </c>
      <c r="C60" s="1">
        <v>18786557384054</v>
      </c>
      <c r="D60">
        <v>18786.557384053998</v>
      </c>
    </row>
    <row r="61" spans="1:4" x14ac:dyDescent="0.25">
      <c r="A61" s="7">
        <v>44044.458333333336</v>
      </c>
      <c r="B61" s="1">
        <v>10748</v>
      </c>
      <c r="C61" s="1">
        <v>19315387013194</v>
      </c>
      <c r="D61">
        <v>19315.387013193998</v>
      </c>
    </row>
    <row r="62" spans="1:4" x14ac:dyDescent="0.25">
      <c r="A62" s="7">
        <v>44044.5</v>
      </c>
      <c r="B62" s="1">
        <v>10675</v>
      </c>
      <c r="C62" s="1">
        <v>19154591426147</v>
      </c>
      <c r="D62">
        <v>19154.591426146999</v>
      </c>
    </row>
    <row r="63" spans="1:4" x14ac:dyDescent="0.25">
      <c r="A63" s="7">
        <v>44044.541666666664</v>
      </c>
      <c r="B63" s="1">
        <v>10058</v>
      </c>
      <c r="C63" s="1">
        <v>18007293863355</v>
      </c>
      <c r="D63">
        <v>18007.293863355</v>
      </c>
    </row>
    <row r="64" spans="1:4" x14ac:dyDescent="0.25">
      <c r="A64" s="7">
        <v>44044.583333333336</v>
      </c>
      <c r="B64" s="1">
        <v>10347</v>
      </c>
      <c r="C64" s="1">
        <v>18818944928091</v>
      </c>
      <c r="D64">
        <v>18818.944928091001</v>
      </c>
    </row>
    <row r="65" spans="1:4" x14ac:dyDescent="0.25">
      <c r="A65" s="7">
        <v>44044.625</v>
      </c>
      <c r="B65" s="1">
        <v>10615</v>
      </c>
      <c r="C65" s="1">
        <v>19392830986877</v>
      </c>
      <c r="D65">
        <v>19392.830986877001</v>
      </c>
    </row>
    <row r="66" spans="1:4" x14ac:dyDescent="0.25">
      <c r="A66" s="7">
        <v>44044.666666666664</v>
      </c>
      <c r="B66" s="1">
        <v>10227</v>
      </c>
      <c r="C66" s="1">
        <v>19189268335742</v>
      </c>
      <c r="D66">
        <v>19189.268335741999</v>
      </c>
    </row>
    <row r="67" spans="1:4" x14ac:dyDescent="0.25">
      <c r="A67" s="7">
        <v>44044.708333333336</v>
      </c>
      <c r="B67" s="1">
        <v>9672</v>
      </c>
      <c r="C67" s="1">
        <v>18715504050705</v>
      </c>
      <c r="D67">
        <v>18715.504050705</v>
      </c>
    </row>
    <row r="68" spans="1:4" x14ac:dyDescent="0.25">
      <c r="A68" s="7">
        <v>44044.75</v>
      </c>
      <c r="B68" s="1">
        <v>9596</v>
      </c>
      <c r="C68" s="1">
        <v>19387106041615</v>
      </c>
      <c r="D68">
        <v>19387.106041614999</v>
      </c>
    </row>
    <row r="69" spans="1:4" x14ac:dyDescent="0.25">
      <c r="A69" s="7">
        <v>44044.791666666664</v>
      </c>
      <c r="B69" s="1">
        <v>10633</v>
      </c>
      <c r="C69" s="1">
        <v>21742154061764</v>
      </c>
      <c r="D69">
        <v>21742.154061763998</v>
      </c>
    </row>
    <row r="70" spans="1:4" x14ac:dyDescent="0.25">
      <c r="A70" s="7">
        <v>44044.833333333336</v>
      </c>
      <c r="B70" s="1">
        <v>11726</v>
      </c>
      <c r="C70" s="1">
        <v>23991708066255</v>
      </c>
      <c r="D70">
        <v>23991.708066255</v>
      </c>
    </row>
    <row r="71" spans="1:4" x14ac:dyDescent="0.25">
      <c r="A71" s="7">
        <v>44044.875</v>
      </c>
      <c r="B71" s="1">
        <v>12434</v>
      </c>
      <c r="C71" s="1">
        <v>25363615437225</v>
      </c>
      <c r="D71">
        <v>25363.615437224998</v>
      </c>
    </row>
    <row r="72" spans="1:4" x14ac:dyDescent="0.25">
      <c r="A72" s="7">
        <v>44044.916666666664</v>
      </c>
      <c r="B72" s="1">
        <v>13091</v>
      </c>
      <c r="C72" s="1">
        <v>25931539257381</v>
      </c>
      <c r="D72">
        <v>25931.539257380999</v>
      </c>
    </row>
    <row r="73" spans="1:4" x14ac:dyDescent="0.25">
      <c r="A73" s="7">
        <v>44044.958333333336</v>
      </c>
      <c r="B73" s="1">
        <v>12648</v>
      </c>
      <c r="C73" s="1">
        <v>23546391011719</v>
      </c>
      <c r="D73">
        <v>23546.391011718999</v>
      </c>
    </row>
    <row r="74" spans="1:4" x14ac:dyDescent="0.25">
      <c r="A74" s="7">
        <v>44045</v>
      </c>
      <c r="B74" s="1">
        <v>9411</v>
      </c>
      <c r="C74" s="1">
        <v>17110112704154</v>
      </c>
      <c r="D74">
        <v>17110.112704153998</v>
      </c>
    </row>
    <row r="75" spans="1:4" x14ac:dyDescent="0.25">
      <c r="A75" s="7">
        <v>44045.041666666664</v>
      </c>
      <c r="B75" s="1">
        <v>5852</v>
      </c>
      <c r="C75" s="1">
        <v>10768794982172</v>
      </c>
      <c r="D75">
        <v>10768.794982171999</v>
      </c>
    </row>
    <row r="76" spans="1:4" x14ac:dyDescent="0.25">
      <c r="A76" s="7">
        <v>44045.083333333336</v>
      </c>
      <c r="B76" s="1">
        <v>3303</v>
      </c>
      <c r="C76" s="1">
        <v>6129195618593</v>
      </c>
      <c r="D76">
        <v>6129.1956185930003</v>
      </c>
    </row>
    <row r="77" spans="1:4" x14ac:dyDescent="0.25">
      <c r="A77" s="7">
        <v>44045.125</v>
      </c>
      <c r="B77" s="1">
        <v>1924</v>
      </c>
      <c r="C77" s="1">
        <v>3541989570821</v>
      </c>
      <c r="D77">
        <v>3541.9895708210001</v>
      </c>
    </row>
    <row r="78" spans="1:4" x14ac:dyDescent="0.25">
      <c r="A78" s="7">
        <v>44045.166666666664</v>
      </c>
      <c r="B78" s="1">
        <v>1255</v>
      </c>
      <c r="C78" s="1">
        <v>2134917742884</v>
      </c>
      <c r="D78">
        <v>2134.9177428839998</v>
      </c>
    </row>
    <row r="79" spans="1:4" x14ac:dyDescent="0.25">
      <c r="A79" s="7">
        <v>44045.208333333336</v>
      </c>
      <c r="B79" s="1">
        <v>1817</v>
      </c>
      <c r="C79" s="1">
        <v>2627278688582</v>
      </c>
      <c r="D79">
        <v>2627.2786885820001</v>
      </c>
    </row>
    <row r="80" spans="1:4" x14ac:dyDescent="0.25">
      <c r="A80" s="7">
        <v>44045.25</v>
      </c>
      <c r="B80" s="1">
        <v>3820</v>
      </c>
      <c r="C80" s="1">
        <v>5209204155538</v>
      </c>
      <c r="D80">
        <v>5209.2041555380001</v>
      </c>
    </row>
    <row r="81" spans="1:4" x14ac:dyDescent="0.25">
      <c r="A81" s="7">
        <v>44045.291666666664</v>
      </c>
      <c r="B81" s="1">
        <v>6367</v>
      </c>
      <c r="C81" s="1">
        <v>9242720654819</v>
      </c>
      <c r="D81">
        <v>9242.7206548190006</v>
      </c>
    </row>
    <row r="82" spans="1:4" x14ac:dyDescent="0.25">
      <c r="A82" s="7">
        <v>44045.333333333336</v>
      </c>
      <c r="B82" s="1">
        <v>8778</v>
      </c>
      <c r="C82" s="1">
        <v>13883017464343</v>
      </c>
      <c r="D82">
        <v>13883.017464343</v>
      </c>
    </row>
    <row r="83" spans="1:4" x14ac:dyDescent="0.25">
      <c r="A83" s="7">
        <v>44045.375</v>
      </c>
      <c r="B83" s="1">
        <v>10229</v>
      </c>
      <c r="C83" s="1">
        <v>17607570667404</v>
      </c>
      <c r="D83">
        <v>17607.570667404001</v>
      </c>
    </row>
    <row r="84" spans="1:4" x14ac:dyDescent="0.25">
      <c r="A84" s="7">
        <v>44045.416666666664</v>
      </c>
      <c r="B84" s="1">
        <v>10958</v>
      </c>
      <c r="C84" s="1">
        <v>20119105786944</v>
      </c>
      <c r="D84">
        <v>20119.105786944001</v>
      </c>
    </row>
    <row r="85" spans="1:4" x14ac:dyDescent="0.25">
      <c r="A85" s="7">
        <v>44045.458333333336</v>
      </c>
      <c r="B85" s="1">
        <v>11465</v>
      </c>
      <c r="C85" s="1">
        <v>21643382339148</v>
      </c>
      <c r="D85">
        <v>21643.382339148</v>
      </c>
    </row>
    <row r="86" spans="1:4" x14ac:dyDescent="0.25">
      <c r="A86" s="7">
        <v>44045.5</v>
      </c>
      <c r="B86" s="1">
        <v>11601</v>
      </c>
      <c r="C86" s="1">
        <v>22139165577409</v>
      </c>
      <c r="D86">
        <v>22139.165577409</v>
      </c>
    </row>
    <row r="87" spans="1:4" x14ac:dyDescent="0.25">
      <c r="A87" s="7">
        <v>44045.541666666664</v>
      </c>
      <c r="B87" s="1">
        <v>10948</v>
      </c>
      <c r="C87" s="1">
        <v>20344496029373</v>
      </c>
      <c r="D87">
        <v>20344.496029373</v>
      </c>
    </row>
    <row r="88" spans="1:4" x14ac:dyDescent="0.25">
      <c r="A88" s="7">
        <v>44045.583333333336</v>
      </c>
      <c r="B88" s="1">
        <v>11353</v>
      </c>
      <c r="C88" s="1">
        <v>20710234404547</v>
      </c>
      <c r="D88">
        <v>20710.234404547002</v>
      </c>
    </row>
    <row r="89" spans="1:4" x14ac:dyDescent="0.25">
      <c r="A89" s="7">
        <v>44045.625</v>
      </c>
      <c r="B89" s="1">
        <v>11742</v>
      </c>
      <c r="C89" s="1">
        <v>21330405274518</v>
      </c>
      <c r="D89">
        <v>21330.405274518002</v>
      </c>
    </row>
    <row r="90" spans="1:4" x14ac:dyDescent="0.25">
      <c r="A90" s="7">
        <v>44045.666666666664</v>
      </c>
      <c r="B90" s="1">
        <v>11270</v>
      </c>
      <c r="C90" s="1">
        <v>21026716988316</v>
      </c>
      <c r="D90">
        <v>21026.716988315999</v>
      </c>
    </row>
    <row r="91" spans="1:4" x14ac:dyDescent="0.25">
      <c r="A91" s="7">
        <v>44045.708333333336</v>
      </c>
      <c r="B91" s="1">
        <v>10128</v>
      </c>
      <c r="C91" s="1">
        <v>19396080619350</v>
      </c>
      <c r="D91">
        <v>19396.080619349999</v>
      </c>
    </row>
    <row r="92" spans="1:4" x14ac:dyDescent="0.25">
      <c r="A92" s="7">
        <v>44045.75</v>
      </c>
      <c r="B92" s="1">
        <v>9974</v>
      </c>
      <c r="C92" s="1">
        <v>19802377529412</v>
      </c>
      <c r="D92">
        <v>19802.377529411999</v>
      </c>
    </row>
    <row r="93" spans="1:4" x14ac:dyDescent="0.25">
      <c r="A93" s="7">
        <v>44045.791666666664</v>
      </c>
      <c r="B93" s="1">
        <v>11066</v>
      </c>
      <c r="C93" s="1">
        <v>22213429608340</v>
      </c>
      <c r="D93">
        <v>22213.42960834</v>
      </c>
    </row>
    <row r="94" spans="1:4" x14ac:dyDescent="0.25">
      <c r="A94" s="7">
        <v>44045.833333333336</v>
      </c>
      <c r="B94" s="1">
        <v>12197</v>
      </c>
      <c r="C94" s="1">
        <v>24553039282159</v>
      </c>
      <c r="D94">
        <v>24553.039282158999</v>
      </c>
    </row>
    <row r="95" spans="1:4" x14ac:dyDescent="0.25">
      <c r="A95" s="7">
        <v>44045.875</v>
      </c>
      <c r="B95" s="1">
        <v>12715</v>
      </c>
      <c r="C95" s="1">
        <v>25645074720819</v>
      </c>
      <c r="D95">
        <v>25645.074720819001</v>
      </c>
    </row>
    <row r="96" spans="1:4" x14ac:dyDescent="0.25">
      <c r="A96" s="7">
        <v>44045.916666666664</v>
      </c>
      <c r="B96" s="1">
        <v>13369</v>
      </c>
      <c r="C96" s="1">
        <v>26058280127205</v>
      </c>
      <c r="D96">
        <v>26058.280127204998</v>
      </c>
    </row>
    <row r="97" spans="1:4" x14ac:dyDescent="0.25">
      <c r="A97" s="7">
        <v>44045.958333333336</v>
      </c>
      <c r="B97" s="1">
        <v>13361</v>
      </c>
      <c r="C97" s="1">
        <v>24869828603708</v>
      </c>
      <c r="D97">
        <v>24869.828603708</v>
      </c>
    </row>
    <row r="98" spans="1:4" x14ac:dyDescent="0.25">
      <c r="A98" s="7">
        <v>44046</v>
      </c>
      <c r="B98" s="1">
        <v>10767</v>
      </c>
      <c r="C98" s="1">
        <v>19424577475008</v>
      </c>
      <c r="D98">
        <v>19424.577475008002</v>
      </c>
    </row>
    <row r="99" spans="1:4" x14ac:dyDescent="0.25">
      <c r="A99" s="7">
        <v>44046.041666666664</v>
      </c>
      <c r="B99" s="1">
        <v>7017</v>
      </c>
      <c r="C99" s="1">
        <v>12940983897857</v>
      </c>
      <c r="D99">
        <v>12940.983897857001</v>
      </c>
    </row>
    <row r="100" spans="1:4" x14ac:dyDescent="0.25">
      <c r="A100" s="7">
        <v>44046.083333333336</v>
      </c>
      <c r="B100" s="1">
        <v>4080</v>
      </c>
      <c r="C100" s="1">
        <v>7683548693836</v>
      </c>
      <c r="D100">
        <v>7683.548693836</v>
      </c>
    </row>
    <row r="101" spans="1:4" x14ac:dyDescent="0.25">
      <c r="A101" s="7">
        <v>44046.125</v>
      </c>
      <c r="B101" s="1">
        <v>2313</v>
      </c>
      <c r="C101" s="1">
        <v>4339566912914</v>
      </c>
      <c r="D101">
        <v>4339.5669129139997</v>
      </c>
    </row>
    <row r="102" spans="1:4" x14ac:dyDescent="0.25">
      <c r="A102" s="7">
        <v>44046.166666666664</v>
      </c>
      <c r="B102" s="1">
        <v>1412</v>
      </c>
      <c r="C102" s="1">
        <v>2517656177401</v>
      </c>
      <c r="D102">
        <v>2517.6561774010001</v>
      </c>
    </row>
    <row r="103" spans="1:4" x14ac:dyDescent="0.25">
      <c r="A103" s="7">
        <v>44046.208333333336</v>
      </c>
      <c r="B103" s="1">
        <v>1864</v>
      </c>
      <c r="C103" s="1">
        <v>2944542429915</v>
      </c>
      <c r="D103">
        <v>2944.542429915</v>
      </c>
    </row>
    <row r="104" spans="1:4" x14ac:dyDescent="0.25">
      <c r="A104" s="7">
        <v>44046.25</v>
      </c>
      <c r="B104" s="1">
        <v>3851</v>
      </c>
      <c r="C104" s="1">
        <v>5502377958553</v>
      </c>
      <c r="D104">
        <v>5502.3779585530001</v>
      </c>
    </row>
    <row r="105" spans="1:4" x14ac:dyDescent="0.25">
      <c r="A105" s="7">
        <v>44046.291666666664</v>
      </c>
      <c r="B105" s="1">
        <v>6397</v>
      </c>
      <c r="C105" s="1">
        <v>9381857497714</v>
      </c>
      <c r="D105">
        <v>9381.8574977139997</v>
      </c>
    </row>
    <row r="106" spans="1:4" x14ac:dyDescent="0.25">
      <c r="A106" s="7">
        <v>44046.333333333336</v>
      </c>
      <c r="B106" s="1">
        <v>8775</v>
      </c>
      <c r="C106" s="1">
        <v>13913136531378</v>
      </c>
      <c r="D106">
        <v>13913.136531378001</v>
      </c>
    </row>
    <row r="107" spans="1:4" x14ac:dyDescent="0.25">
      <c r="A107" s="7">
        <v>44046.375</v>
      </c>
      <c r="B107" s="1">
        <v>10094</v>
      </c>
      <c r="C107" s="1">
        <v>17389916778139</v>
      </c>
      <c r="D107">
        <v>17389.916778138999</v>
      </c>
    </row>
    <row r="108" spans="1:4" x14ac:dyDescent="0.25">
      <c r="A108" s="7">
        <v>44046.416666666664</v>
      </c>
      <c r="B108" s="1">
        <v>10936</v>
      </c>
      <c r="C108" s="1">
        <v>19813072064616</v>
      </c>
      <c r="D108">
        <v>19813.072064616001</v>
      </c>
    </row>
    <row r="109" spans="1:4" x14ac:dyDescent="0.25">
      <c r="A109" s="7">
        <v>44046.458333333336</v>
      </c>
      <c r="B109" s="1">
        <v>11347</v>
      </c>
      <c r="C109" s="1">
        <v>21288493826438</v>
      </c>
      <c r="D109">
        <v>21288.493826438</v>
      </c>
    </row>
    <row r="110" spans="1:4" x14ac:dyDescent="0.25">
      <c r="A110" s="7">
        <v>44046.5</v>
      </c>
      <c r="B110" s="1">
        <v>11502</v>
      </c>
      <c r="C110" s="1">
        <v>21807550713319</v>
      </c>
      <c r="D110">
        <v>21807.550713319</v>
      </c>
    </row>
    <row r="111" spans="1:4" x14ac:dyDescent="0.25">
      <c r="A111" s="7">
        <v>44046.541666666664</v>
      </c>
      <c r="B111" s="1">
        <v>10840</v>
      </c>
      <c r="C111" s="1">
        <v>20035107978180</v>
      </c>
      <c r="D111">
        <v>20035.10797818</v>
      </c>
    </row>
    <row r="112" spans="1:4" x14ac:dyDescent="0.25">
      <c r="A112" s="7">
        <v>44046.583333333336</v>
      </c>
      <c r="B112" s="1">
        <v>11342</v>
      </c>
      <c r="C112" s="1">
        <v>20921187808996</v>
      </c>
      <c r="D112">
        <v>20921.187808996001</v>
      </c>
    </row>
    <row r="113" spans="1:4" x14ac:dyDescent="0.25">
      <c r="A113" s="7">
        <v>44046.625</v>
      </c>
      <c r="B113" s="1">
        <v>11743</v>
      </c>
      <c r="C113" s="1">
        <v>21742616370967</v>
      </c>
      <c r="D113">
        <v>21742.616370967</v>
      </c>
    </row>
    <row r="114" spans="1:4" x14ac:dyDescent="0.25">
      <c r="A114" s="7">
        <v>44046.666666666664</v>
      </c>
      <c r="B114" s="1">
        <v>11250</v>
      </c>
      <c r="C114" s="1">
        <v>21130320451310</v>
      </c>
      <c r="D114">
        <v>21130.320451309999</v>
      </c>
    </row>
    <row r="115" spans="1:4" x14ac:dyDescent="0.25">
      <c r="A115" s="7">
        <v>44046.708333333336</v>
      </c>
      <c r="B115" s="1">
        <v>10058</v>
      </c>
      <c r="C115" s="1">
        <v>19256523905127</v>
      </c>
      <c r="D115">
        <v>19256.523905127</v>
      </c>
    </row>
    <row r="116" spans="1:4" x14ac:dyDescent="0.25">
      <c r="A116" s="7">
        <v>44046.75</v>
      </c>
      <c r="B116" s="1">
        <v>9622</v>
      </c>
      <c r="C116" s="1">
        <v>18999195876028</v>
      </c>
      <c r="D116">
        <v>18999.195876027999</v>
      </c>
    </row>
    <row r="117" spans="1:4" x14ac:dyDescent="0.25">
      <c r="A117" s="7">
        <v>44046.791666666664</v>
      </c>
      <c r="B117" s="1">
        <v>10650</v>
      </c>
      <c r="C117" s="1">
        <v>21374716696587</v>
      </c>
      <c r="D117">
        <v>21374.716696586998</v>
      </c>
    </row>
    <row r="118" spans="1:4" x14ac:dyDescent="0.25">
      <c r="A118" s="7">
        <v>44046.833333333336</v>
      </c>
      <c r="B118" s="1">
        <v>11879</v>
      </c>
      <c r="C118" s="1">
        <v>23906334778842</v>
      </c>
      <c r="D118">
        <v>23906.334778842</v>
      </c>
    </row>
    <row r="119" spans="1:4" x14ac:dyDescent="0.25">
      <c r="A119" s="7">
        <v>44046.875</v>
      </c>
      <c r="B119" s="1">
        <v>12370</v>
      </c>
      <c r="C119" s="1">
        <v>24928390626498</v>
      </c>
      <c r="D119">
        <v>24928.390626498</v>
      </c>
    </row>
    <row r="120" spans="1:4" x14ac:dyDescent="0.25">
      <c r="A120" s="7">
        <v>44046.916666666664</v>
      </c>
      <c r="B120" s="1">
        <v>13099</v>
      </c>
      <c r="C120" s="1">
        <v>25422487747336</v>
      </c>
      <c r="D120">
        <v>25422.487747335999</v>
      </c>
    </row>
    <row r="121" spans="1:4" x14ac:dyDescent="0.25">
      <c r="A121" s="7">
        <v>44046.958333333336</v>
      </c>
      <c r="B121" s="1">
        <v>12858</v>
      </c>
      <c r="C121" s="1">
        <v>24035233007332</v>
      </c>
      <c r="D121">
        <v>24035.233007332001</v>
      </c>
    </row>
    <row r="122" spans="1:4" x14ac:dyDescent="0.25">
      <c r="A122" s="7">
        <v>44047</v>
      </c>
      <c r="B122" s="1">
        <v>9804</v>
      </c>
      <c r="C122" s="1">
        <v>17962565457890</v>
      </c>
      <c r="D122">
        <v>17962.565457889999</v>
      </c>
    </row>
    <row r="123" spans="1:4" x14ac:dyDescent="0.25">
      <c r="A123" s="7">
        <v>44047.041666666664</v>
      </c>
      <c r="B123" s="1">
        <v>6278</v>
      </c>
      <c r="C123" s="1">
        <v>11560559098862</v>
      </c>
      <c r="D123">
        <v>11560.559098862001</v>
      </c>
    </row>
    <row r="124" spans="1:4" x14ac:dyDescent="0.25">
      <c r="A124" s="7">
        <v>44047.083333333336</v>
      </c>
      <c r="B124" s="1">
        <v>3565</v>
      </c>
      <c r="C124" s="1">
        <v>6706321694723</v>
      </c>
      <c r="D124">
        <v>6706.3216947230003</v>
      </c>
    </row>
    <row r="125" spans="1:4" x14ac:dyDescent="0.25">
      <c r="A125" s="7">
        <v>44047.125</v>
      </c>
      <c r="B125" s="1">
        <v>2038</v>
      </c>
      <c r="C125" s="1">
        <v>3859766386568</v>
      </c>
      <c r="D125">
        <v>3859.7663865680001</v>
      </c>
    </row>
    <row r="126" spans="1:4" x14ac:dyDescent="0.25">
      <c r="A126" s="7">
        <v>44047.166666666664</v>
      </c>
      <c r="B126" s="1">
        <v>1238</v>
      </c>
      <c r="C126" s="1">
        <v>2295436679083</v>
      </c>
      <c r="D126">
        <v>2295.4366790829999</v>
      </c>
    </row>
    <row r="127" spans="1:4" x14ac:dyDescent="0.25">
      <c r="A127" s="7">
        <v>44047.208333333336</v>
      </c>
      <c r="B127" s="1">
        <v>1619</v>
      </c>
      <c r="C127" s="1">
        <v>2552506470127</v>
      </c>
      <c r="D127">
        <v>2552.5064701269998</v>
      </c>
    </row>
    <row r="128" spans="1:4" x14ac:dyDescent="0.25">
      <c r="A128" s="7">
        <v>44047.25</v>
      </c>
      <c r="B128" s="1">
        <v>3161</v>
      </c>
      <c r="C128" s="1">
        <v>4768937913895</v>
      </c>
      <c r="D128">
        <v>4768.9379138949998</v>
      </c>
    </row>
    <row r="129" spans="1:4" x14ac:dyDescent="0.25">
      <c r="A129" s="7">
        <v>44047.291666666664</v>
      </c>
      <c r="B129" s="1">
        <v>5427</v>
      </c>
      <c r="C129" s="1">
        <v>8500826073600</v>
      </c>
      <c r="D129">
        <v>8500.8260735999993</v>
      </c>
    </row>
    <row r="130" spans="1:4" x14ac:dyDescent="0.25">
      <c r="A130" s="7">
        <v>44047.333333333336</v>
      </c>
      <c r="B130" s="1">
        <v>6388</v>
      </c>
      <c r="C130" s="1">
        <v>12478561583675</v>
      </c>
      <c r="D130">
        <v>12478.561583675</v>
      </c>
    </row>
    <row r="131" spans="1:4" x14ac:dyDescent="0.25">
      <c r="A131" s="7">
        <v>44047.375</v>
      </c>
      <c r="B131" s="1">
        <v>5304</v>
      </c>
      <c r="C131" s="1">
        <v>15726144727796</v>
      </c>
      <c r="D131">
        <v>15726.144727796</v>
      </c>
    </row>
    <row r="132" spans="1:4" x14ac:dyDescent="0.25">
      <c r="A132" s="7">
        <v>44047.416666666664</v>
      </c>
      <c r="B132" s="1">
        <v>5817</v>
      </c>
      <c r="C132" s="1">
        <v>17784409756198</v>
      </c>
      <c r="D132">
        <v>17784.409756198002</v>
      </c>
    </row>
    <row r="133" spans="1:4" x14ac:dyDescent="0.25">
      <c r="A133" s="7">
        <v>44047.458333333336</v>
      </c>
      <c r="B133" s="1">
        <v>9632</v>
      </c>
      <c r="C133" s="1">
        <v>20398372547139</v>
      </c>
      <c r="D133">
        <v>20398.372547138999</v>
      </c>
    </row>
    <row r="134" spans="1:4" x14ac:dyDescent="0.25">
      <c r="A134" s="7">
        <v>44047.5</v>
      </c>
      <c r="B134" s="1">
        <v>11450</v>
      </c>
      <c r="C134" s="1">
        <v>21567514568648</v>
      </c>
      <c r="D134">
        <v>21567.514568647999</v>
      </c>
    </row>
    <row r="135" spans="1:4" x14ac:dyDescent="0.25">
      <c r="A135" s="7">
        <v>44047.541666666664</v>
      </c>
      <c r="B135" s="1">
        <v>10692</v>
      </c>
      <c r="C135" s="1">
        <v>19967309713756</v>
      </c>
      <c r="D135">
        <v>19967.309713756</v>
      </c>
    </row>
    <row r="136" spans="1:4" x14ac:dyDescent="0.25">
      <c r="A136" s="7">
        <v>44047.583333333336</v>
      </c>
      <c r="B136" s="1">
        <v>11093</v>
      </c>
      <c r="C136" s="1">
        <v>20490113679700</v>
      </c>
      <c r="D136">
        <v>20490.1136797</v>
      </c>
    </row>
    <row r="137" spans="1:4" x14ac:dyDescent="0.25">
      <c r="A137" s="7">
        <v>44047.625</v>
      </c>
      <c r="B137" s="1">
        <v>11518</v>
      </c>
      <c r="C137" s="1">
        <v>21370351916362</v>
      </c>
      <c r="D137">
        <v>21370.351916362</v>
      </c>
    </row>
    <row r="138" spans="1:4" x14ac:dyDescent="0.25">
      <c r="A138" s="7">
        <v>44047.666666666664</v>
      </c>
      <c r="B138" s="1">
        <v>11160</v>
      </c>
      <c r="C138" s="1">
        <v>21005862064148</v>
      </c>
      <c r="D138">
        <v>21005.862064148001</v>
      </c>
    </row>
    <row r="139" spans="1:4" x14ac:dyDescent="0.25">
      <c r="A139" s="7">
        <v>44047.708333333336</v>
      </c>
      <c r="B139" s="1">
        <v>10182</v>
      </c>
      <c r="C139" s="1">
        <v>19770776693600</v>
      </c>
      <c r="D139">
        <v>19770.776693600001</v>
      </c>
    </row>
    <row r="140" spans="1:4" x14ac:dyDescent="0.25">
      <c r="A140" s="7">
        <v>44047.75</v>
      </c>
      <c r="B140" s="1">
        <v>10045</v>
      </c>
      <c r="C140" s="1">
        <v>19790121369795</v>
      </c>
      <c r="D140">
        <v>19790.121369795001</v>
      </c>
    </row>
    <row r="141" spans="1:4" x14ac:dyDescent="0.25">
      <c r="A141" s="7">
        <v>44047.791666666664</v>
      </c>
      <c r="B141" s="1">
        <v>11127</v>
      </c>
      <c r="C141" s="1">
        <v>22159207055713</v>
      </c>
      <c r="D141">
        <v>22159.207055712999</v>
      </c>
    </row>
    <row r="142" spans="1:4" x14ac:dyDescent="0.25">
      <c r="A142" s="7">
        <v>44047.833333333336</v>
      </c>
      <c r="B142" s="1">
        <v>12234</v>
      </c>
      <c r="C142" s="1">
        <v>24290139400258</v>
      </c>
      <c r="D142">
        <v>24290.139400257998</v>
      </c>
    </row>
    <row r="143" spans="1:4" x14ac:dyDescent="0.25">
      <c r="A143" s="7">
        <v>44047.875</v>
      </c>
      <c r="B143" s="1">
        <v>12902</v>
      </c>
      <c r="C143" s="1">
        <v>25339585238912</v>
      </c>
      <c r="D143">
        <v>25339.585238912001</v>
      </c>
    </row>
    <row r="144" spans="1:4" x14ac:dyDescent="0.25">
      <c r="A144" s="7">
        <v>44047.916666666664</v>
      </c>
      <c r="B144" s="1">
        <v>13508</v>
      </c>
      <c r="C144" s="1">
        <v>25826666342483</v>
      </c>
      <c r="D144">
        <v>25826.666342483</v>
      </c>
    </row>
    <row r="145" spans="1:4" x14ac:dyDescent="0.25">
      <c r="A145" s="7">
        <v>44047.958333333336</v>
      </c>
      <c r="B145" s="1">
        <v>13061</v>
      </c>
      <c r="C145" s="1">
        <v>24205216952710</v>
      </c>
      <c r="D145">
        <v>24205.216952710001</v>
      </c>
    </row>
    <row r="146" spans="1:4" x14ac:dyDescent="0.25">
      <c r="A146" s="7">
        <v>44048</v>
      </c>
      <c r="B146" s="1">
        <v>10063</v>
      </c>
      <c r="C146" s="1">
        <v>18181772242139</v>
      </c>
      <c r="D146">
        <v>18181.772242138999</v>
      </c>
    </row>
    <row r="147" spans="1:4" x14ac:dyDescent="0.25">
      <c r="A147" s="7">
        <v>44048.041666666664</v>
      </c>
      <c r="B147" s="1">
        <v>6400</v>
      </c>
      <c r="C147" s="1">
        <v>11718186626924</v>
      </c>
      <c r="D147">
        <v>11718.186626924</v>
      </c>
    </row>
    <row r="148" spans="1:4" x14ac:dyDescent="0.25">
      <c r="A148" s="7">
        <v>44048.083333333336</v>
      </c>
      <c r="B148" s="1">
        <v>3690</v>
      </c>
      <c r="C148" s="1">
        <v>6869736811537</v>
      </c>
      <c r="D148">
        <v>6869.736811537</v>
      </c>
    </row>
    <row r="149" spans="1:4" x14ac:dyDescent="0.25">
      <c r="A149" s="7">
        <v>44048.125</v>
      </c>
      <c r="B149" s="1">
        <v>2087</v>
      </c>
      <c r="C149" s="1">
        <v>3917789568989</v>
      </c>
      <c r="D149">
        <v>3917.7895689890001</v>
      </c>
    </row>
    <row r="150" spans="1:4" x14ac:dyDescent="0.25">
      <c r="A150" s="7">
        <v>44048.166666666664</v>
      </c>
      <c r="B150" s="1">
        <v>1303</v>
      </c>
      <c r="C150" s="1">
        <v>2295191753489</v>
      </c>
      <c r="D150">
        <v>2295.1917534889999</v>
      </c>
    </row>
    <row r="151" spans="1:4" x14ac:dyDescent="0.25">
      <c r="A151" s="7">
        <v>44048.208333333336</v>
      </c>
      <c r="B151" s="1">
        <v>1716</v>
      </c>
      <c r="C151" s="1">
        <v>2574590800478</v>
      </c>
      <c r="D151">
        <v>2574.5908004779999</v>
      </c>
    </row>
    <row r="152" spans="1:4" x14ac:dyDescent="0.25">
      <c r="A152" s="7">
        <v>44048.25</v>
      </c>
      <c r="B152" s="1">
        <v>3577</v>
      </c>
      <c r="C152" s="1">
        <v>5036188496887</v>
      </c>
      <c r="D152">
        <v>5036.1884968869999</v>
      </c>
    </row>
    <row r="153" spans="1:4" x14ac:dyDescent="0.25">
      <c r="A153" s="7">
        <v>44048.291666666664</v>
      </c>
      <c r="B153" s="1">
        <v>6039</v>
      </c>
      <c r="C153" s="1">
        <v>8902006283624</v>
      </c>
      <c r="D153">
        <v>8902.0062836239995</v>
      </c>
    </row>
    <row r="154" spans="1:4" x14ac:dyDescent="0.25">
      <c r="A154" s="7">
        <v>44048.333333333336</v>
      </c>
      <c r="B154" s="1">
        <v>8205</v>
      </c>
      <c r="C154" s="1">
        <v>13170387320575</v>
      </c>
      <c r="D154">
        <v>13170.387320575001</v>
      </c>
    </row>
    <row r="155" spans="1:4" x14ac:dyDescent="0.25">
      <c r="A155" s="7">
        <v>44048.375</v>
      </c>
      <c r="B155" s="1">
        <v>9474</v>
      </c>
      <c r="C155" s="1">
        <v>16593769341529</v>
      </c>
      <c r="D155">
        <v>16593.769341529001</v>
      </c>
    </row>
    <row r="156" spans="1:4" x14ac:dyDescent="0.25">
      <c r="A156" s="7">
        <v>44048.416666666664</v>
      </c>
      <c r="B156" s="1">
        <v>10225</v>
      </c>
      <c r="C156" s="1">
        <v>19008110180748</v>
      </c>
      <c r="D156">
        <v>19008.110180748001</v>
      </c>
    </row>
    <row r="157" spans="1:4" x14ac:dyDescent="0.25">
      <c r="A157" s="7">
        <v>44048.458333333336</v>
      </c>
      <c r="B157" s="1">
        <v>10511</v>
      </c>
      <c r="C157" s="1">
        <v>20150303410589</v>
      </c>
      <c r="D157">
        <v>20150.303410589</v>
      </c>
    </row>
    <row r="158" spans="1:4" x14ac:dyDescent="0.25">
      <c r="A158" s="7">
        <v>44048.5</v>
      </c>
      <c r="B158" s="1">
        <v>10544</v>
      </c>
      <c r="C158" s="1">
        <v>20593565295411</v>
      </c>
      <c r="D158">
        <v>20593.565295411001</v>
      </c>
    </row>
    <row r="159" spans="1:4" x14ac:dyDescent="0.25">
      <c r="A159" s="7">
        <v>44048.541666666664</v>
      </c>
      <c r="B159" s="1">
        <v>9774</v>
      </c>
      <c r="C159" s="1">
        <v>18853094852941</v>
      </c>
      <c r="D159">
        <v>18853.094852941002</v>
      </c>
    </row>
    <row r="160" spans="1:4" x14ac:dyDescent="0.25">
      <c r="A160" s="7">
        <v>44048.583333333336</v>
      </c>
      <c r="B160" s="1">
        <v>10289</v>
      </c>
      <c r="C160" s="1">
        <v>19628706419883</v>
      </c>
      <c r="D160">
        <v>19628.706419883001</v>
      </c>
    </row>
    <row r="161" spans="1:4" x14ac:dyDescent="0.25">
      <c r="A161" s="7">
        <v>44048.625</v>
      </c>
      <c r="B161" s="1">
        <v>10791</v>
      </c>
      <c r="C161" s="1">
        <v>20813365599065</v>
      </c>
      <c r="D161">
        <v>20813.365599065</v>
      </c>
    </row>
    <row r="162" spans="1:4" x14ac:dyDescent="0.25">
      <c r="A162" s="7">
        <v>44048.666666666664</v>
      </c>
      <c r="B162" s="1">
        <v>10239</v>
      </c>
      <c r="C162" s="1">
        <v>20093631577881</v>
      </c>
      <c r="D162">
        <v>20093.631577880999</v>
      </c>
    </row>
    <row r="163" spans="1:4" x14ac:dyDescent="0.25">
      <c r="A163" s="7">
        <v>44048.708333333336</v>
      </c>
      <c r="B163" s="1">
        <v>9171</v>
      </c>
      <c r="C163" s="1">
        <v>18617352614971</v>
      </c>
      <c r="D163">
        <v>18617.352614971001</v>
      </c>
    </row>
    <row r="164" spans="1:4" x14ac:dyDescent="0.25">
      <c r="A164" s="7">
        <v>44048.75</v>
      </c>
      <c r="B164" s="1">
        <v>7048</v>
      </c>
      <c r="C164" s="1">
        <v>18018380788020</v>
      </c>
      <c r="D164">
        <v>18018.38078802</v>
      </c>
    </row>
    <row r="165" spans="1:4" x14ac:dyDescent="0.25">
      <c r="A165" s="7">
        <v>44048.791666666664</v>
      </c>
      <c r="B165" s="1">
        <v>10524</v>
      </c>
      <c r="C165" s="1">
        <v>21760561287185</v>
      </c>
      <c r="D165">
        <v>21760.561287184999</v>
      </c>
    </row>
    <row r="166" spans="1:4" x14ac:dyDescent="0.25">
      <c r="A166" s="7">
        <v>44048.833333333336</v>
      </c>
      <c r="B166" s="1">
        <v>11600</v>
      </c>
      <c r="C166" s="1">
        <v>23821835778843</v>
      </c>
      <c r="D166">
        <v>23821.835778843</v>
      </c>
    </row>
    <row r="167" spans="1:4" x14ac:dyDescent="0.25">
      <c r="A167" s="7">
        <v>44048.875</v>
      </c>
      <c r="B167" s="1">
        <v>12438</v>
      </c>
      <c r="C167" s="1">
        <v>25182787915183</v>
      </c>
      <c r="D167">
        <v>25182.787915182998</v>
      </c>
    </row>
    <row r="168" spans="1:4" x14ac:dyDescent="0.25">
      <c r="A168" s="7">
        <v>44048.916666666664</v>
      </c>
      <c r="B168" s="1">
        <v>13141</v>
      </c>
      <c r="C168" s="1">
        <v>25593401084797</v>
      </c>
      <c r="D168">
        <v>25593.401084796998</v>
      </c>
    </row>
    <row r="169" spans="1:4" x14ac:dyDescent="0.25">
      <c r="A169" s="7">
        <v>44048.958333333336</v>
      </c>
      <c r="B169" s="1">
        <v>12784</v>
      </c>
      <c r="C169" s="1">
        <v>24095711246373</v>
      </c>
      <c r="D169">
        <v>24095.711246373001</v>
      </c>
    </row>
    <row r="170" spans="1:4" x14ac:dyDescent="0.25">
      <c r="A170" s="7">
        <v>44049</v>
      </c>
      <c r="B170" s="1">
        <v>9831</v>
      </c>
      <c r="C170" s="1">
        <v>17970935505348</v>
      </c>
      <c r="D170">
        <v>17970.935505347999</v>
      </c>
    </row>
    <row r="171" spans="1:4" x14ac:dyDescent="0.25">
      <c r="A171" s="7">
        <v>44049.041666666664</v>
      </c>
      <c r="B171" s="1">
        <v>6280</v>
      </c>
      <c r="C171" s="1">
        <v>11645306578575</v>
      </c>
      <c r="D171">
        <v>11645.306578575</v>
      </c>
    </row>
    <row r="172" spans="1:4" x14ac:dyDescent="0.25">
      <c r="A172" s="7">
        <v>44049.083333333336</v>
      </c>
      <c r="B172" s="1">
        <v>3569</v>
      </c>
      <c r="C172" s="1">
        <v>6705161600173</v>
      </c>
      <c r="D172">
        <v>6705.1616001729999</v>
      </c>
    </row>
    <row r="173" spans="1:4" x14ac:dyDescent="0.25">
      <c r="A173" s="7">
        <v>44049.125</v>
      </c>
      <c r="B173" s="1">
        <v>2010</v>
      </c>
      <c r="C173" s="1">
        <v>3765994750081</v>
      </c>
      <c r="D173">
        <v>3765.9947500809999</v>
      </c>
    </row>
    <row r="174" spans="1:4" x14ac:dyDescent="0.25">
      <c r="A174" s="7">
        <v>44049.166666666664</v>
      </c>
      <c r="B174" s="1">
        <v>1276</v>
      </c>
      <c r="C174" s="1">
        <v>2246157048253</v>
      </c>
      <c r="D174">
        <v>2246.1570482530001</v>
      </c>
    </row>
    <row r="175" spans="1:4" x14ac:dyDescent="0.25">
      <c r="A175" s="7">
        <v>44049.208333333336</v>
      </c>
      <c r="B175" s="1">
        <v>1612</v>
      </c>
      <c r="C175" s="1">
        <v>2513626325217</v>
      </c>
      <c r="D175">
        <v>2513.6263252170002</v>
      </c>
    </row>
    <row r="176" spans="1:4" x14ac:dyDescent="0.25">
      <c r="A176" s="7">
        <v>44049.25</v>
      </c>
      <c r="B176" s="1">
        <v>3276</v>
      </c>
      <c r="C176" s="1">
        <v>4788710138989</v>
      </c>
      <c r="D176">
        <v>4788.7101389890004</v>
      </c>
    </row>
    <row r="177" spans="1:4" x14ac:dyDescent="0.25">
      <c r="A177" s="7">
        <v>44049.291666666664</v>
      </c>
      <c r="B177" s="1">
        <v>5689</v>
      </c>
      <c r="C177" s="1">
        <v>8555533327810</v>
      </c>
      <c r="D177">
        <v>8555.5333278100006</v>
      </c>
    </row>
    <row r="178" spans="1:4" x14ac:dyDescent="0.25">
      <c r="A178" s="7">
        <v>44049.333333333336</v>
      </c>
      <c r="B178" s="1">
        <v>7923</v>
      </c>
      <c r="C178" s="1">
        <v>12889161944631</v>
      </c>
      <c r="D178">
        <v>12889.161944631</v>
      </c>
    </row>
    <row r="179" spans="1:4" x14ac:dyDescent="0.25">
      <c r="A179" s="7">
        <v>44049.375</v>
      </c>
      <c r="B179" s="1">
        <v>9247</v>
      </c>
      <c r="C179" s="1">
        <v>16233645580851</v>
      </c>
      <c r="D179">
        <v>16233.645580851</v>
      </c>
    </row>
    <row r="180" spans="1:4" x14ac:dyDescent="0.25">
      <c r="A180" s="7">
        <v>44049.416666666664</v>
      </c>
      <c r="B180" s="1">
        <v>10036</v>
      </c>
      <c r="C180" s="1">
        <v>18725518976861</v>
      </c>
      <c r="D180">
        <v>18725.518976861</v>
      </c>
    </row>
    <row r="181" spans="1:4" x14ac:dyDescent="0.25">
      <c r="A181" s="7">
        <v>44049.458333333336</v>
      </c>
      <c r="B181" s="1">
        <v>10498</v>
      </c>
      <c r="C181" s="1">
        <v>20000208546611</v>
      </c>
      <c r="D181">
        <v>20000.208546611</v>
      </c>
    </row>
    <row r="182" spans="1:4" x14ac:dyDescent="0.25">
      <c r="A182" s="7">
        <v>44049.5</v>
      </c>
      <c r="B182" s="1">
        <v>10609</v>
      </c>
      <c r="C182" s="1">
        <v>20325912503309</v>
      </c>
      <c r="D182">
        <v>20325.912503308999</v>
      </c>
    </row>
    <row r="183" spans="1:4" x14ac:dyDescent="0.25">
      <c r="A183" s="7"/>
      <c r="B183" s="1"/>
      <c r="C183" s="1"/>
    </row>
    <row r="184" spans="1:4" x14ac:dyDescent="0.25">
      <c r="A184" s="7"/>
      <c r="B184" s="1"/>
      <c r="C184" s="1"/>
    </row>
    <row r="185" spans="1:4" x14ac:dyDescent="0.25">
      <c r="A185" s="7"/>
      <c r="B185" s="1"/>
      <c r="C185" s="1"/>
    </row>
    <row r="186" spans="1:4" x14ac:dyDescent="0.25">
      <c r="A186" s="7"/>
      <c r="B186" s="1"/>
      <c r="C186" s="1"/>
    </row>
    <row r="187" spans="1:4" x14ac:dyDescent="0.25">
      <c r="A187" s="7"/>
      <c r="B187" s="1"/>
      <c r="C187" s="1"/>
    </row>
    <row r="188" spans="1:4" x14ac:dyDescent="0.25">
      <c r="A188" s="7"/>
      <c r="B188" s="1"/>
      <c r="C188" s="1"/>
    </row>
    <row r="189" spans="1:4" x14ac:dyDescent="0.25">
      <c r="A189" s="7"/>
      <c r="B189" s="1"/>
      <c r="C189" s="1"/>
    </row>
    <row r="190" spans="1:4" x14ac:dyDescent="0.25">
      <c r="A190" s="7"/>
      <c r="B190" s="1"/>
      <c r="C190" s="1"/>
    </row>
    <row r="191" spans="1:4" x14ac:dyDescent="0.25">
      <c r="A191" s="7"/>
      <c r="B191" s="1"/>
      <c r="C191" s="1"/>
    </row>
    <row r="192" spans="1:4" x14ac:dyDescent="0.25">
      <c r="A192" s="7"/>
      <c r="B192" s="1"/>
      <c r="C192" s="63"/>
    </row>
    <row r="193" spans="1:3" x14ac:dyDescent="0.25">
      <c r="A193" s="7"/>
      <c r="B193" s="1"/>
      <c r="C193" s="63"/>
    </row>
    <row r="194" spans="1:3" x14ac:dyDescent="0.25">
      <c r="A194" s="7"/>
      <c r="B194" s="1"/>
      <c r="C194" s="63"/>
    </row>
    <row r="195" spans="1:3" x14ac:dyDescent="0.25">
      <c r="A195" s="7"/>
      <c r="B195" s="1"/>
      <c r="C195" s="63"/>
    </row>
    <row r="196" spans="1:3" x14ac:dyDescent="0.25">
      <c r="A196" s="7"/>
      <c r="B196" s="1"/>
      <c r="C196" s="63"/>
    </row>
    <row r="197" spans="1:3" x14ac:dyDescent="0.25">
      <c r="A197" s="7"/>
      <c r="B197" s="1"/>
      <c r="C197" s="63"/>
    </row>
    <row r="198" spans="1:3" x14ac:dyDescent="0.25">
      <c r="A198" s="7"/>
      <c r="B198" s="1"/>
      <c r="C198" s="63"/>
    </row>
    <row r="199" spans="1:3" x14ac:dyDescent="0.25">
      <c r="A199" s="7"/>
      <c r="B199" s="1"/>
      <c r="C199" s="63"/>
    </row>
    <row r="200" spans="1:3" x14ac:dyDescent="0.25">
      <c r="A200" s="7"/>
      <c r="B200" s="1"/>
      <c r="C200" s="63"/>
    </row>
    <row r="201" spans="1:3" x14ac:dyDescent="0.25">
      <c r="A201" s="7"/>
      <c r="B201" s="1"/>
      <c r="C201" s="63"/>
    </row>
    <row r="202" spans="1:3" x14ac:dyDescent="0.25">
      <c r="A202" s="7"/>
      <c r="B202" s="1"/>
      <c r="C202" s="63"/>
    </row>
    <row r="203" spans="1:3" x14ac:dyDescent="0.25">
      <c r="A203" s="7"/>
      <c r="B203" s="1"/>
      <c r="C203" s="63"/>
    </row>
    <row r="204" spans="1:3" x14ac:dyDescent="0.25">
      <c r="A204" s="7"/>
      <c r="B204" s="1"/>
      <c r="C204" s="63"/>
    </row>
    <row r="205" spans="1:3" x14ac:dyDescent="0.25">
      <c r="A205" s="7"/>
      <c r="B205" s="1"/>
      <c r="C205" s="63"/>
    </row>
    <row r="206" spans="1:3" x14ac:dyDescent="0.25">
      <c r="A206" s="7"/>
      <c r="B206" s="1"/>
      <c r="C206" s="63"/>
    </row>
    <row r="207" spans="1:3" x14ac:dyDescent="0.25">
      <c r="A207" s="7"/>
      <c r="B207" s="1"/>
      <c r="C207" s="63"/>
    </row>
    <row r="208" spans="1:3" x14ac:dyDescent="0.25">
      <c r="A208" s="7"/>
      <c r="B208" s="1"/>
      <c r="C208" s="63"/>
    </row>
    <row r="209" spans="1:3" x14ac:dyDescent="0.25">
      <c r="A209" s="7"/>
      <c r="B209" s="1"/>
      <c r="C209" s="63"/>
    </row>
    <row r="210" spans="1:3" x14ac:dyDescent="0.25">
      <c r="A210" s="7"/>
      <c r="B210" s="1"/>
      <c r="C210" s="63"/>
    </row>
    <row r="211" spans="1:3" x14ac:dyDescent="0.25">
      <c r="A211" s="7"/>
      <c r="B211" s="1"/>
      <c r="C211" s="63"/>
    </row>
    <row r="212" spans="1:3" x14ac:dyDescent="0.25">
      <c r="A212" s="7"/>
      <c r="B212" s="1"/>
      <c r="C212" s="63"/>
    </row>
    <row r="213" spans="1:3" x14ac:dyDescent="0.25">
      <c r="A213" s="7"/>
      <c r="B213" s="1"/>
      <c r="C213" s="63"/>
    </row>
    <row r="214" spans="1:3" x14ac:dyDescent="0.25">
      <c r="A214" s="7"/>
      <c r="B214" s="1"/>
      <c r="C214" s="63"/>
    </row>
    <row r="215" spans="1:3" x14ac:dyDescent="0.25">
      <c r="A215" s="7"/>
      <c r="B215" s="1"/>
      <c r="C215" s="63"/>
    </row>
    <row r="216" spans="1:3" x14ac:dyDescent="0.25">
      <c r="A216" s="7"/>
      <c r="B216" s="1"/>
      <c r="C216" s="63"/>
    </row>
    <row r="217" spans="1:3" x14ac:dyDescent="0.25">
      <c r="A217" s="7"/>
      <c r="B217" s="1"/>
      <c r="C217" s="63"/>
    </row>
    <row r="218" spans="1:3" x14ac:dyDescent="0.25">
      <c r="A218" s="7"/>
      <c r="B218" s="1"/>
      <c r="C218" s="63"/>
    </row>
    <row r="219" spans="1:3" x14ac:dyDescent="0.25">
      <c r="A219" s="7"/>
      <c r="B219" s="1"/>
      <c r="C219" s="63"/>
    </row>
    <row r="220" spans="1:3" x14ac:dyDescent="0.25">
      <c r="A220" s="7"/>
      <c r="B220" s="1"/>
      <c r="C220" s="63"/>
    </row>
    <row r="221" spans="1:3" x14ac:dyDescent="0.25">
      <c r="A221" s="7"/>
      <c r="B221" s="1"/>
      <c r="C221" s="63"/>
    </row>
    <row r="222" spans="1:3" x14ac:dyDescent="0.25">
      <c r="A222" s="7"/>
      <c r="B222" s="1"/>
      <c r="C222" s="63"/>
    </row>
    <row r="223" spans="1:3" x14ac:dyDescent="0.25">
      <c r="A223" s="7"/>
      <c r="B223" s="1"/>
      <c r="C223" s="63"/>
    </row>
    <row r="224" spans="1:3" x14ac:dyDescent="0.25">
      <c r="A224" s="7"/>
      <c r="B224" s="1"/>
      <c r="C224" s="63"/>
    </row>
    <row r="225" spans="1:3" x14ac:dyDescent="0.25">
      <c r="A225" s="7"/>
      <c r="B225" s="1"/>
      <c r="C225" s="6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226"/>
  <sheetViews>
    <sheetView workbookViewId="0">
      <selection activeCell="A2" sqref="A2:C182"/>
    </sheetView>
  </sheetViews>
  <sheetFormatPr defaultRowHeight="15" x14ac:dyDescent="0.25"/>
  <cols>
    <col min="1" max="1" width="14.85546875" customWidth="1"/>
  </cols>
  <sheetData>
    <row r="1" spans="1:4" x14ac:dyDescent="0.25">
      <c r="A1" t="s">
        <v>0</v>
      </c>
      <c r="B1" t="s">
        <v>35</v>
      </c>
      <c r="C1" t="s">
        <v>31</v>
      </c>
      <c r="D1" t="s">
        <v>38</v>
      </c>
    </row>
    <row r="2" spans="1:4" x14ac:dyDescent="0.25">
      <c r="A2" s="7">
        <v>44042</v>
      </c>
      <c r="B2" s="1">
        <v>12677</v>
      </c>
      <c r="C2" s="1">
        <v>22326090477908</v>
      </c>
      <c r="D2">
        <v>22326.090477908001</v>
      </c>
    </row>
    <row r="3" spans="1:4" x14ac:dyDescent="0.25">
      <c r="A3" s="7">
        <v>44042.041666666664</v>
      </c>
      <c r="B3" s="1">
        <v>8320</v>
      </c>
      <c r="C3" s="1">
        <v>15100813084397</v>
      </c>
      <c r="D3">
        <v>15100.813084396999</v>
      </c>
    </row>
    <row r="4" spans="1:4" x14ac:dyDescent="0.25">
      <c r="A4" s="7">
        <v>44042.083333333336</v>
      </c>
      <c r="B4" s="1">
        <v>4857</v>
      </c>
      <c r="C4" s="1">
        <v>9110433492276</v>
      </c>
      <c r="D4">
        <v>9110.4334922760008</v>
      </c>
    </row>
    <row r="5" spans="1:4" x14ac:dyDescent="0.25">
      <c r="A5" s="7">
        <v>44042.125</v>
      </c>
      <c r="B5" s="1">
        <v>2889</v>
      </c>
      <c r="C5" s="1">
        <v>5450060955755</v>
      </c>
      <c r="D5">
        <v>5450.0609557549997</v>
      </c>
    </row>
    <row r="6" spans="1:4" x14ac:dyDescent="0.25">
      <c r="A6" s="7">
        <v>44042.166666666664</v>
      </c>
      <c r="B6" s="1">
        <v>1939</v>
      </c>
      <c r="C6" s="1">
        <v>3473308681654</v>
      </c>
      <c r="D6">
        <v>3473.3086816539999</v>
      </c>
    </row>
    <row r="7" spans="1:4" x14ac:dyDescent="0.25">
      <c r="A7" s="7">
        <v>44042.208333333336</v>
      </c>
      <c r="B7" s="1">
        <v>2468</v>
      </c>
      <c r="C7" s="1">
        <v>3870142901190</v>
      </c>
      <c r="D7">
        <v>3870.14290119</v>
      </c>
    </row>
    <row r="8" spans="1:4" x14ac:dyDescent="0.25">
      <c r="A8" s="7">
        <v>44042.25</v>
      </c>
      <c r="B8" s="1">
        <v>4790</v>
      </c>
      <c r="C8" s="1">
        <v>7029380509323</v>
      </c>
      <c r="D8">
        <v>7029.3805093230003</v>
      </c>
    </row>
    <row r="9" spans="1:4" x14ac:dyDescent="0.25">
      <c r="A9" s="7">
        <v>44042.291666666664</v>
      </c>
      <c r="B9" s="1">
        <v>7518</v>
      </c>
      <c r="C9" s="1">
        <v>11086503300218</v>
      </c>
      <c r="D9">
        <v>11086.503300218001</v>
      </c>
    </row>
    <row r="10" spans="1:4" x14ac:dyDescent="0.25">
      <c r="A10" s="7">
        <v>44042.333333333336</v>
      </c>
      <c r="B10" s="1">
        <v>9568</v>
      </c>
      <c r="C10" s="1">
        <v>14671669270365</v>
      </c>
      <c r="D10">
        <v>14671.669270365001</v>
      </c>
    </row>
    <row r="11" spans="1:4" x14ac:dyDescent="0.25">
      <c r="A11" s="7">
        <v>44042.375</v>
      </c>
      <c r="B11" s="1">
        <v>10688</v>
      </c>
      <c r="C11" s="1">
        <v>17275535521545</v>
      </c>
      <c r="D11">
        <v>17275.535521545</v>
      </c>
    </row>
    <row r="12" spans="1:4" x14ac:dyDescent="0.25">
      <c r="A12" s="7">
        <v>44042.416666666664</v>
      </c>
      <c r="B12" s="1">
        <v>11298</v>
      </c>
      <c r="C12" s="1">
        <v>19016698445070</v>
      </c>
      <c r="D12">
        <v>19016.69844507</v>
      </c>
    </row>
    <row r="13" spans="1:4" x14ac:dyDescent="0.25">
      <c r="A13" s="7">
        <v>44042.458333333336</v>
      </c>
      <c r="B13" s="1">
        <v>11565</v>
      </c>
      <c r="C13" s="1">
        <v>19801804804348</v>
      </c>
      <c r="D13">
        <v>19801.804804348001</v>
      </c>
    </row>
    <row r="14" spans="1:4" x14ac:dyDescent="0.25">
      <c r="A14" s="7">
        <v>44042.5</v>
      </c>
      <c r="B14" s="1">
        <v>11620</v>
      </c>
      <c r="C14" s="1">
        <v>20003934816371</v>
      </c>
      <c r="D14">
        <v>20003.934816370998</v>
      </c>
    </row>
    <row r="15" spans="1:4" x14ac:dyDescent="0.25">
      <c r="A15" s="7">
        <v>44042.541666666664</v>
      </c>
      <c r="B15" s="1">
        <v>10878</v>
      </c>
      <c r="C15" s="1">
        <v>18525393244384</v>
      </c>
      <c r="D15">
        <v>18525.393244383999</v>
      </c>
    </row>
    <row r="16" spans="1:4" x14ac:dyDescent="0.25">
      <c r="A16" s="7">
        <v>44042.583333333336</v>
      </c>
      <c r="B16" s="1">
        <v>11972</v>
      </c>
      <c r="C16" s="1">
        <v>20102851911123</v>
      </c>
      <c r="D16">
        <v>20102.851911123002</v>
      </c>
    </row>
    <row r="17" spans="1:4" x14ac:dyDescent="0.25">
      <c r="A17" s="7">
        <v>44042.625</v>
      </c>
      <c r="B17" s="1">
        <v>12724</v>
      </c>
      <c r="C17" s="1">
        <v>21617998998789</v>
      </c>
      <c r="D17">
        <v>21617.998998789</v>
      </c>
    </row>
    <row r="18" spans="1:4" x14ac:dyDescent="0.25">
      <c r="A18" s="7">
        <v>44042.666666666664</v>
      </c>
      <c r="B18" s="1">
        <v>12049</v>
      </c>
      <c r="C18" s="1">
        <v>20927137242729</v>
      </c>
      <c r="D18">
        <v>20927.137242729001</v>
      </c>
    </row>
    <row r="19" spans="1:4" x14ac:dyDescent="0.25">
      <c r="A19" s="7">
        <v>44042.708333333336</v>
      </c>
      <c r="B19" s="1">
        <v>10517</v>
      </c>
      <c r="C19" s="1">
        <v>18909490048348</v>
      </c>
      <c r="D19">
        <v>18909.490048348001</v>
      </c>
    </row>
    <row r="20" spans="1:4" x14ac:dyDescent="0.25">
      <c r="A20" s="7">
        <v>44042.75</v>
      </c>
      <c r="B20" s="1">
        <v>10467</v>
      </c>
      <c r="C20" s="1">
        <v>19786348515547</v>
      </c>
      <c r="D20">
        <v>19786.348515547001</v>
      </c>
    </row>
    <row r="21" spans="1:4" x14ac:dyDescent="0.25">
      <c r="A21" s="7">
        <v>44042.791666666664</v>
      </c>
      <c r="B21" s="1">
        <v>11860</v>
      </c>
      <c r="C21" s="1">
        <v>21694843396198</v>
      </c>
      <c r="D21">
        <v>21694.843396198001</v>
      </c>
    </row>
    <row r="22" spans="1:4" x14ac:dyDescent="0.25">
      <c r="A22" s="7">
        <v>44042.833333333336</v>
      </c>
      <c r="B22" s="1">
        <v>13503</v>
      </c>
      <c r="C22" s="1">
        <v>24449123177122</v>
      </c>
      <c r="D22">
        <v>24449.123177122001</v>
      </c>
    </row>
    <row r="23" spans="1:4" x14ac:dyDescent="0.25">
      <c r="A23" s="7">
        <v>44042.875</v>
      </c>
      <c r="B23" s="1">
        <v>14329</v>
      </c>
      <c r="C23" s="1">
        <v>26250695934919</v>
      </c>
      <c r="D23">
        <v>26250.695934919</v>
      </c>
    </row>
    <row r="24" spans="1:4" x14ac:dyDescent="0.25">
      <c r="A24" s="7">
        <v>44042.916666666664</v>
      </c>
      <c r="B24" s="1">
        <v>15425</v>
      </c>
      <c r="C24" s="1">
        <v>27634318297516</v>
      </c>
      <c r="D24">
        <v>27634.318297516002</v>
      </c>
    </row>
    <row r="25" spans="1:4" x14ac:dyDescent="0.25">
      <c r="A25" s="7">
        <v>44042.958333333336</v>
      </c>
      <c r="B25" s="1">
        <v>15545</v>
      </c>
      <c r="C25" s="1">
        <v>26970678039272</v>
      </c>
      <c r="D25">
        <v>26970.678039271999</v>
      </c>
    </row>
    <row r="26" spans="1:4" x14ac:dyDescent="0.25">
      <c r="A26" s="7">
        <v>44043</v>
      </c>
      <c r="B26" s="1">
        <v>12669</v>
      </c>
      <c r="C26" s="1">
        <v>21893222339611</v>
      </c>
      <c r="D26">
        <v>21893.222339610998</v>
      </c>
    </row>
    <row r="27" spans="1:4" x14ac:dyDescent="0.25">
      <c r="A27" s="7">
        <v>44043.041666666664</v>
      </c>
      <c r="B27" s="1">
        <v>8531</v>
      </c>
      <c r="C27" s="1">
        <v>15270500267147</v>
      </c>
      <c r="D27">
        <v>15270.500267146999</v>
      </c>
    </row>
    <row r="28" spans="1:4" x14ac:dyDescent="0.25">
      <c r="A28" s="7">
        <v>44043.083333333336</v>
      </c>
      <c r="B28" s="1">
        <v>5077</v>
      </c>
      <c r="C28" s="1">
        <v>9530147479017</v>
      </c>
      <c r="D28">
        <v>9530.1474790169996</v>
      </c>
    </row>
    <row r="29" spans="1:4" x14ac:dyDescent="0.25">
      <c r="A29" s="7">
        <v>44043.125</v>
      </c>
      <c r="B29" s="1">
        <v>3031</v>
      </c>
      <c r="C29" s="1">
        <v>5788022650887</v>
      </c>
      <c r="D29">
        <v>5788.0226508870001</v>
      </c>
    </row>
    <row r="30" spans="1:4" x14ac:dyDescent="0.25">
      <c r="A30" s="7">
        <v>44043.166666666664</v>
      </c>
      <c r="B30" s="1">
        <v>2022</v>
      </c>
      <c r="C30" s="1">
        <v>3634169728603</v>
      </c>
      <c r="D30">
        <v>3634.1697286029998</v>
      </c>
    </row>
    <row r="31" spans="1:4" x14ac:dyDescent="0.25">
      <c r="A31" s="7">
        <v>44043.208333333336</v>
      </c>
      <c r="B31" s="1">
        <v>2717</v>
      </c>
      <c r="C31" s="1">
        <v>4191238681564</v>
      </c>
      <c r="D31">
        <v>4191.2386815640002</v>
      </c>
    </row>
    <row r="32" spans="1:4" x14ac:dyDescent="0.25">
      <c r="A32" s="7">
        <v>44043.25</v>
      </c>
      <c r="B32" s="1">
        <v>5086</v>
      </c>
      <c r="C32" s="1">
        <v>7098331509685</v>
      </c>
      <c r="D32">
        <v>7098.3315096850001</v>
      </c>
    </row>
    <row r="33" spans="1:4" x14ac:dyDescent="0.25">
      <c r="A33" s="7">
        <v>44043.291666666664</v>
      </c>
      <c r="B33" s="1">
        <v>6768</v>
      </c>
      <c r="C33" s="1">
        <v>10381562902741</v>
      </c>
      <c r="D33">
        <v>10381.562902741</v>
      </c>
    </row>
    <row r="34" spans="1:4" x14ac:dyDescent="0.25">
      <c r="A34" s="7">
        <v>44043.333333333336</v>
      </c>
      <c r="B34" s="1">
        <v>6189</v>
      </c>
      <c r="C34" s="1">
        <v>13168588066440</v>
      </c>
      <c r="D34">
        <v>13168.588066439999</v>
      </c>
    </row>
    <row r="35" spans="1:4" x14ac:dyDescent="0.25">
      <c r="A35" s="7">
        <v>44043.375</v>
      </c>
      <c r="B35" s="1">
        <v>6278</v>
      </c>
      <c r="C35" s="1">
        <v>15584128150036</v>
      </c>
      <c r="D35">
        <v>15584.128150036</v>
      </c>
    </row>
    <row r="36" spans="1:4" x14ac:dyDescent="0.25">
      <c r="A36" s="7">
        <v>44043.416666666664</v>
      </c>
      <c r="B36" s="1">
        <v>6417</v>
      </c>
      <c r="C36" s="1">
        <v>17014692517425</v>
      </c>
      <c r="D36">
        <v>17014.692517424999</v>
      </c>
    </row>
    <row r="37" spans="1:4" x14ac:dyDescent="0.25">
      <c r="A37" s="7">
        <v>44043.458333333336</v>
      </c>
      <c r="B37" s="1">
        <v>11936</v>
      </c>
      <c r="C37" s="1">
        <v>20792857084975</v>
      </c>
      <c r="D37">
        <v>20792.857084974999</v>
      </c>
    </row>
    <row r="38" spans="1:4" x14ac:dyDescent="0.25">
      <c r="A38" s="7">
        <v>44043.5</v>
      </c>
      <c r="B38" s="1">
        <v>11256</v>
      </c>
      <c r="C38" s="1">
        <v>18592731902588</v>
      </c>
      <c r="D38">
        <v>18592.731902587999</v>
      </c>
    </row>
    <row r="39" spans="1:4" x14ac:dyDescent="0.25">
      <c r="A39" s="7">
        <v>44043.541666666664</v>
      </c>
      <c r="B39" s="1">
        <v>9699</v>
      </c>
      <c r="C39" s="1">
        <v>15782275241235</v>
      </c>
      <c r="D39">
        <v>15782.275241235</v>
      </c>
    </row>
    <row r="40" spans="1:4" x14ac:dyDescent="0.25">
      <c r="A40" s="7">
        <v>44043.583333333336</v>
      </c>
      <c r="B40" s="1">
        <v>13288</v>
      </c>
      <c r="C40" s="1">
        <v>22389207623227</v>
      </c>
      <c r="D40">
        <v>22389.207623227001</v>
      </c>
    </row>
    <row r="41" spans="1:4" x14ac:dyDescent="0.25">
      <c r="A41" s="7">
        <v>44043.625</v>
      </c>
      <c r="B41" s="1">
        <v>14053</v>
      </c>
      <c r="C41" s="1">
        <v>24120715200154</v>
      </c>
      <c r="D41">
        <v>24120.715200154002</v>
      </c>
    </row>
    <row r="42" spans="1:4" x14ac:dyDescent="0.25">
      <c r="A42" s="7">
        <v>44043.666666666664</v>
      </c>
      <c r="B42" s="1">
        <v>12668</v>
      </c>
      <c r="C42" s="1">
        <v>22089002862209</v>
      </c>
      <c r="D42">
        <v>22089.002862208999</v>
      </c>
    </row>
    <row r="43" spans="1:4" x14ac:dyDescent="0.25">
      <c r="A43" s="7">
        <v>44043.708333333336</v>
      </c>
      <c r="B43" s="1">
        <v>10906</v>
      </c>
      <c r="C43" s="1">
        <v>19564943469287</v>
      </c>
      <c r="D43">
        <v>19564.943469287002</v>
      </c>
    </row>
    <row r="44" spans="1:4" x14ac:dyDescent="0.25">
      <c r="A44" s="7">
        <v>44043.75</v>
      </c>
      <c r="B44" s="1">
        <v>10724</v>
      </c>
      <c r="C44" s="1">
        <v>19607858184222</v>
      </c>
      <c r="D44">
        <v>19607.858184222001</v>
      </c>
    </row>
    <row r="45" spans="1:4" x14ac:dyDescent="0.25">
      <c r="A45" s="7">
        <v>44043.791666666664</v>
      </c>
      <c r="B45" s="1">
        <v>11866</v>
      </c>
      <c r="C45" s="1">
        <v>21422062333071</v>
      </c>
      <c r="D45">
        <v>21422.062333071</v>
      </c>
    </row>
    <row r="46" spans="1:4" x14ac:dyDescent="0.25">
      <c r="A46" s="7">
        <v>44043.833333333336</v>
      </c>
      <c r="B46" s="1">
        <v>13260</v>
      </c>
      <c r="C46" s="1">
        <v>23884413203438</v>
      </c>
      <c r="D46">
        <v>23884.413203438002</v>
      </c>
    </row>
    <row r="47" spans="1:4" x14ac:dyDescent="0.25">
      <c r="A47" s="7">
        <v>44043.875</v>
      </c>
      <c r="B47" s="1">
        <v>14220</v>
      </c>
      <c r="C47" s="1">
        <v>26020984178854</v>
      </c>
      <c r="D47">
        <v>26020.984178854</v>
      </c>
    </row>
    <row r="48" spans="1:4" x14ac:dyDescent="0.25">
      <c r="A48" s="7">
        <v>44043.916666666664</v>
      </c>
      <c r="B48" s="1">
        <v>15339</v>
      </c>
      <c r="C48" s="1">
        <v>27658041912950</v>
      </c>
      <c r="D48">
        <v>27658.041912950001</v>
      </c>
    </row>
    <row r="49" spans="1:4" x14ac:dyDescent="0.25">
      <c r="A49" s="7">
        <v>44043.958333333336</v>
      </c>
      <c r="B49" s="1">
        <v>15750</v>
      </c>
      <c r="C49" s="1">
        <v>27595779401776</v>
      </c>
      <c r="D49">
        <v>27595.779401775999</v>
      </c>
    </row>
    <row r="50" spans="1:4" x14ac:dyDescent="0.25">
      <c r="A50" s="7">
        <v>44044</v>
      </c>
      <c r="B50" s="1">
        <v>13411</v>
      </c>
      <c r="C50" s="1">
        <v>22979617074075</v>
      </c>
      <c r="D50">
        <v>22979.617074074999</v>
      </c>
    </row>
    <row r="51" spans="1:4" x14ac:dyDescent="0.25">
      <c r="A51" s="7">
        <v>44044.041666666664</v>
      </c>
      <c r="B51" s="1">
        <v>9764</v>
      </c>
      <c r="C51" s="1">
        <v>16670926652423</v>
      </c>
      <c r="D51">
        <v>16670.926652423001</v>
      </c>
    </row>
    <row r="52" spans="1:4" x14ac:dyDescent="0.25">
      <c r="A52" s="7">
        <v>44044.083333333336</v>
      </c>
      <c r="B52" s="1">
        <v>6128</v>
      </c>
      <c r="C52" s="1">
        <v>10752464321590</v>
      </c>
      <c r="D52">
        <v>10752.46432159</v>
      </c>
    </row>
    <row r="53" spans="1:4" x14ac:dyDescent="0.25">
      <c r="A53" s="7">
        <v>44044.125</v>
      </c>
      <c r="B53" s="1">
        <v>3715</v>
      </c>
      <c r="C53" s="1">
        <v>6630666617816</v>
      </c>
      <c r="D53">
        <v>6630.6666178160003</v>
      </c>
    </row>
    <row r="54" spans="1:4" x14ac:dyDescent="0.25">
      <c r="A54" s="7">
        <v>44044.166666666664</v>
      </c>
      <c r="B54" s="1">
        <v>2373</v>
      </c>
      <c r="C54" s="1">
        <v>4003875515779</v>
      </c>
      <c r="D54">
        <v>4003.8755157790001</v>
      </c>
    </row>
    <row r="55" spans="1:4" x14ac:dyDescent="0.25">
      <c r="A55" s="7">
        <v>44044.208333333336</v>
      </c>
      <c r="B55" s="1">
        <v>3587</v>
      </c>
      <c r="C55" s="1">
        <v>5185823557505</v>
      </c>
      <c r="D55">
        <v>5185.8235575050003</v>
      </c>
    </row>
    <row r="56" spans="1:4" x14ac:dyDescent="0.25">
      <c r="A56" s="7">
        <v>44044.25</v>
      </c>
      <c r="B56" s="1">
        <v>6174</v>
      </c>
      <c r="C56" s="1">
        <v>8617037645884</v>
      </c>
      <c r="D56">
        <v>8617.0376458840001</v>
      </c>
    </row>
    <row r="57" spans="1:4" x14ac:dyDescent="0.25">
      <c r="A57" s="7">
        <v>44044.291666666664</v>
      </c>
      <c r="B57" s="1">
        <v>6458</v>
      </c>
      <c r="C57" s="1">
        <v>9083443920679</v>
      </c>
      <c r="D57">
        <v>9083.4439206789993</v>
      </c>
    </row>
    <row r="58" spans="1:4" x14ac:dyDescent="0.25">
      <c r="A58" s="7">
        <v>44044.333333333336</v>
      </c>
      <c r="B58" s="1">
        <v>8760</v>
      </c>
      <c r="C58" s="1">
        <v>13019302437005</v>
      </c>
      <c r="D58">
        <v>13019.302437005001</v>
      </c>
    </row>
    <row r="59" spans="1:4" x14ac:dyDescent="0.25">
      <c r="A59" s="7">
        <v>44044.375</v>
      </c>
      <c r="B59" s="1">
        <v>12043</v>
      </c>
      <c r="C59" s="1">
        <v>19082231073149</v>
      </c>
      <c r="D59">
        <v>19082.231073149</v>
      </c>
    </row>
    <row r="60" spans="1:4" x14ac:dyDescent="0.25">
      <c r="A60" s="7">
        <v>44044.416666666664</v>
      </c>
      <c r="B60" s="1">
        <v>13122</v>
      </c>
      <c r="C60" s="1">
        <v>21694306502863</v>
      </c>
      <c r="D60">
        <v>21694.306502863001</v>
      </c>
    </row>
    <row r="61" spans="1:4" x14ac:dyDescent="0.25">
      <c r="A61" s="7">
        <v>44044.458333333336</v>
      </c>
      <c r="B61" s="1">
        <v>13215</v>
      </c>
      <c r="C61" s="1">
        <v>22148467220287</v>
      </c>
      <c r="D61">
        <v>22148.467220286999</v>
      </c>
    </row>
    <row r="62" spans="1:4" x14ac:dyDescent="0.25">
      <c r="A62" s="7">
        <v>44044.5</v>
      </c>
      <c r="B62" s="1">
        <v>13265</v>
      </c>
      <c r="C62" s="1">
        <v>22218830686835</v>
      </c>
      <c r="D62">
        <v>22218.830686835001</v>
      </c>
    </row>
    <row r="63" spans="1:4" x14ac:dyDescent="0.25">
      <c r="A63" s="7">
        <v>44044.541666666664</v>
      </c>
      <c r="B63" s="1">
        <v>12384</v>
      </c>
      <c r="C63" s="1">
        <v>20736221514385</v>
      </c>
      <c r="D63">
        <v>20736.221514385001</v>
      </c>
    </row>
    <row r="64" spans="1:4" x14ac:dyDescent="0.25">
      <c r="A64" s="7">
        <v>44044.583333333336</v>
      </c>
      <c r="B64" s="1">
        <v>12710</v>
      </c>
      <c r="C64" s="1">
        <v>21397028806662</v>
      </c>
      <c r="D64">
        <v>21397.028806662001</v>
      </c>
    </row>
    <row r="65" spans="1:4" x14ac:dyDescent="0.25">
      <c r="A65" s="7">
        <v>44044.625</v>
      </c>
      <c r="B65" s="1">
        <v>13006</v>
      </c>
      <c r="C65" s="1">
        <v>22198337514542</v>
      </c>
      <c r="D65">
        <v>22198.337514542</v>
      </c>
    </row>
    <row r="66" spans="1:4" x14ac:dyDescent="0.25">
      <c r="A66" s="7">
        <v>44044.666666666664</v>
      </c>
      <c r="B66" s="1">
        <v>12672</v>
      </c>
      <c r="C66" s="1">
        <v>22143017771423</v>
      </c>
      <c r="D66">
        <v>22143.017771423001</v>
      </c>
    </row>
    <row r="67" spans="1:4" x14ac:dyDescent="0.25">
      <c r="A67" s="7">
        <v>44044.708333333336</v>
      </c>
      <c r="B67" s="1">
        <v>12001</v>
      </c>
      <c r="C67" s="1">
        <v>21711057928037</v>
      </c>
      <c r="D67">
        <v>21711.057928037</v>
      </c>
    </row>
    <row r="68" spans="1:4" x14ac:dyDescent="0.25">
      <c r="A68" s="7">
        <v>44044.75</v>
      </c>
      <c r="B68" s="1">
        <v>11912</v>
      </c>
      <c r="C68" s="1">
        <v>22386597317905</v>
      </c>
      <c r="D68">
        <v>22386.597317905002</v>
      </c>
    </row>
    <row r="69" spans="1:4" x14ac:dyDescent="0.25">
      <c r="A69" s="7">
        <v>44044.791666666664</v>
      </c>
      <c r="B69" s="1">
        <v>13108</v>
      </c>
      <c r="C69" s="1">
        <v>25105187882677</v>
      </c>
      <c r="D69">
        <v>25105.187882677001</v>
      </c>
    </row>
    <row r="70" spans="1:4" x14ac:dyDescent="0.25">
      <c r="A70" s="7">
        <v>44044.833333333336</v>
      </c>
      <c r="B70" s="1">
        <v>14525</v>
      </c>
      <c r="C70" s="1">
        <v>27890228353423</v>
      </c>
      <c r="D70">
        <v>27890.228353423001</v>
      </c>
    </row>
    <row r="71" spans="1:4" x14ac:dyDescent="0.25">
      <c r="A71" s="7">
        <v>44044.875</v>
      </c>
      <c r="B71" s="1">
        <v>15354</v>
      </c>
      <c r="C71" s="1">
        <v>29541488360987</v>
      </c>
      <c r="D71">
        <v>29541.488360987001</v>
      </c>
    </row>
    <row r="72" spans="1:4" x14ac:dyDescent="0.25">
      <c r="A72" s="7">
        <v>44044.916666666664</v>
      </c>
      <c r="B72" s="1">
        <v>16275</v>
      </c>
      <c r="C72" s="1">
        <v>30210835711667</v>
      </c>
      <c r="D72">
        <v>30210.835711667001</v>
      </c>
    </row>
    <row r="73" spans="1:4" x14ac:dyDescent="0.25">
      <c r="A73" s="7">
        <v>44044.958333333336</v>
      </c>
      <c r="B73" s="1">
        <v>15753</v>
      </c>
      <c r="C73" s="1">
        <v>27725514229017</v>
      </c>
      <c r="D73">
        <v>27725.514229017001</v>
      </c>
    </row>
    <row r="74" spans="1:4" x14ac:dyDescent="0.25">
      <c r="A74" s="7">
        <v>44045</v>
      </c>
      <c r="B74" s="1">
        <v>11788</v>
      </c>
      <c r="C74" s="1">
        <v>20074602378230</v>
      </c>
      <c r="D74">
        <v>20074.60237823</v>
      </c>
    </row>
    <row r="75" spans="1:4" x14ac:dyDescent="0.25">
      <c r="A75" s="7">
        <v>44045.041666666664</v>
      </c>
      <c r="B75" s="1">
        <v>7262</v>
      </c>
      <c r="C75" s="1">
        <v>12461439296204</v>
      </c>
      <c r="D75">
        <v>12461.439296204</v>
      </c>
    </row>
    <row r="76" spans="1:4" x14ac:dyDescent="0.25">
      <c r="A76" s="7">
        <v>44045.083333333336</v>
      </c>
      <c r="B76" s="1">
        <v>4140</v>
      </c>
      <c r="C76" s="1">
        <v>7160532216655</v>
      </c>
      <c r="D76">
        <v>7160.5322166550004</v>
      </c>
    </row>
    <row r="77" spans="1:4" x14ac:dyDescent="0.25">
      <c r="A77" s="7">
        <v>44045.125</v>
      </c>
      <c r="B77" s="1">
        <v>2382</v>
      </c>
      <c r="C77" s="1">
        <v>4096562603412</v>
      </c>
      <c r="D77">
        <v>4096.5626034119996</v>
      </c>
    </row>
    <row r="78" spans="1:4" x14ac:dyDescent="0.25">
      <c r="A78" s="7">
        <v>44045.166666666664</v>
      </c>
      <c r="B78" s="1">
        <v>1557</v>
      </c>
      <c r="C78" s="1">
        <v>2489018139390</v>
      </c>
      <c r="D78">
        <v>2489.0181393900002</v>
      </c>
    </row>
    <row r="79" spans="1:4" x14ac:dyDescent="0.25">
      <c r="A79" s="7">
        <v>44045.208333333336</v>
      </c>
      <c r="B79" s="1">
        <v>2251</v>
      </c>
      <c r="C79" s="1">
        <v>3144864855727</v>
      </c>
      <c r="D79">
        <v>3144.8648557269998</v>
      </c>
    </row>
    <row r="80" spans="1:4" x14ac:dyDescent="0.25">
      <c r="A80" s="7">
        <v>44045.25</v>
      </c>
      <c r="B80" s="1">
        <v>4751</v>
      </c>
      <c r="C80" s="1">
        <v>6204264711167</v>
      </c>
      <c r="D80">
        <v>6204.2647111670003</v>
      </c>
    </row>
    <row r="81" spans="1:4" x14ac:dyDescent="0.25">
      <c r="A81" s="7">
        <v>44045.291666666664</v>
      </c>
      <c r="B81" s="1">
        <v>7859</v>
      </c>
      <c r="C81" s="1">
        <v>10888800455999</v>
      </c>
      <c r="D81">
        <v>10888.800455999</v>
      </c>
    </row>
    <row r="82" spans="1:4" x14ac:dyDescent="0.25">
      <c r="A82" s="7">
        <v>44045.333333333336</v>
      </c>
      <c r="B82" s="1">
        <v>10768</v>
      </c>
      <c r="C82" s="1">
        <v>16142255308672</v>
      </c>
      <c r="D82">
        <v>16142.255308672</v>
      </c>
    </row>
    <row r="83" spans="1:4" x14ac:dyDescent="0.25">
      <c r="A83" s="7">
        <v>44045.375</v>
      </c>
      <c r="B83" s="1">
        <v>12595</v>
      </c>
      <c r="C83" s="1">
        <v>20373389779042</v>
      </c>
      <c r="D83">
        <v>20373.389779042001</v>
      </c>
    </row>
    <row r="84" spans="1:4" x14ac:dyDescent="0.25">
      <c r="A84" s="7">
        <v>44045.416666666664</v>
      </c>
      <c r="B84" s="1">
        <v>13677</v>
      </c>
      <c r="C84" s="1">
        <v>23589863286910</v>
      </c>
      <c r="D84">
        <v>23589.86328691</v>
      </c>
    </row>
    <row r="85" spans="1:4" x14ac:dyDescent="0.25">
      <c r="A85" s="7">
        <v>44045.458333333336</v>
      </c>
      <c r="B85" s="1">
        <v>14219</v>
      </c>
      <c r="C85" s="1">
        <v>25363024522048</v>
      </c>
      <c r="D85">
        <v>25363.024522047999</v>
      </c>
    </row>
    <row r="86" spans="1:4" x14ac:dyDescent="0.25">
      <c r="A86" s="7">
        <v>44045.5</v>
      </c>
      <c r="B86" s="1">
        <v>14352</v>
      </c>
      <c r="C86" s="1">
        <v>25629066976804</v>
      </c>
      <c r="D86">
        <v>25629.066976803999</v>
      </c>
    </row>
    <row r="87" spans="1:4" x14ac:dyDescent="0.25">
      <c r="A87" s="7">
        <v>44045.541666666664</v>
      </c>
      <c r="B87" s="1">
        <v>13530</v>
      </c>
      <c r="C87" s="1">
        <v>23652098729000</v>
      </c>
      <c r="D87">
        <v>23652.098729000001</v>
      </c>
    </row>
    <row r="88" spans="1:4" x14ac:dyDescent="0.25">
      <c r="A88" s="7">
        <v>44045.583333333336</v>
      </c>
      <c r="B88" s="1">
        <v>13924</v>
      </c>
      <c r="C88" s="1">
        <v>23956722296948</v>
      </c>
      <c r="D88">
        <v>23956.722296947999</v>
      </c>
    </row>
    <row r="89" spans="1:4" x14ac:dyDescent="0.25">
      <c r="A89" s="7">
        <v>44045.625</v>
      </c>
      <c r="B89" s="1">
        <v>14488</v>
      </c>
      <c r="C89" s="1">
        <v>24928850626270</v>
      </c>
      <c r="D89">
        <v>24928.850626269999</v>
      </c>
    </row>
    <row r="90" spans="1:4" x14ac:dyDescent="0.25">
      <c r="A90" s="7">
        <v>44045.666666666664</v>
      </c>
      <c r="B90" s="1">
        <v>13923</v>
      </c>
      <c r="C90" s="1">
        <v>24296357976712</v>
      </c>
      <c r="D90">
        <v>24296.357976711999</v>
      </c>
    </row>
    <row r="91" spans="1:4" x14ac:dyDescent="0.25">
      <c r="A91" s="7">
        <v>44045.708333333336</v>
      </c>
      <c r="B91" s="1">
        <v>12560</v>
      </c>
      <c r="C91" s="1">
        <v>22464637508643</v>
      </c>
      <c r="D91">
        <v>22464.637508643002</v>
      </c>
    </row>
    <row r="92" spans="1:4" x14ac:dyDescent="0.25">
      <c r="A92" s="7">
        <v>44045.75</v>
      </c>
      <c r="B92" s="1">
        <v>12270</v>
      </c>
      <c r="C92" s="1">
        <v>22897055873941</v>
      </c>
      <c r="D92">
        <v>22897.055873941001</v>
      </c>
    </row>
    <row r="93" spans="1:4" x14ac:dyDescent="0.25">
      <c r="A93" s="7">
        <v>44045.791666666664</v>
      </c>
      <c r="B93" s="1">
        <v>13535</v>
      </c>
      <c r="C93" s="1">
        <v>25782543639688</v>
      </c>
      <c r="D93">
        <v>25782.543639688</v>
      </c>
    </row>
    <row r="94" spans="1:4" x14ac:dyDescent="0.25">
      <c r="A94" s="7">
        <v>44045.833333333336</v>
      </c>
      <c r="B94" s="1">
        <v>15113</v>
      </c>
      <c r="C94" s="1">
        <v>28587011431268</v>
      </c>
      <c r="D94">
        <v>28587.011431268002</v>
      </c>
    </row>
    <row r="95" spans="1:4" x14ac:dyDescent="0.25">
      <c r="A95" s="7">
        <v>44045.875</v>
      </c>
      <c r="B95" s="1">
        <v>15771</v>
      </c>
      <c r="C95" s="1">
        <v>29929609014640</v>
      </c>
      <c r="D95">
        <v>29929.609014639998</v>
      </c>
    </row>
    <row r="96" spans="1:4" x14ac:dyDescent="0.25">
      <c r="A96" s="7">
        <v>44045.916666666664</v>
      </c>
      <c r="B96" s="1">
        <v>16581</v>
      </c>
      <c r="C96" s="1">
        <v>30604316036575</v>
      </c>
      <c r="D96">
        <v>30604.316036575001</v>
      </c>
    </row>
    <row r="97" spans="1:4" x14ac:dyDescent="0.25">
      <c r="A97" s="7">
        <v>44045.958333333336</v>
      </c>
      <c r="B97" s="1">
        <v>16602</v>
      </c>
      <c r="C97" s="1">
        <v>29362529408332</v>
      </c>
      <c r="D97">
        <v>29362.529408332</v>
      </c>
    </row>
    <row r="98" spans="1:4" x14ac:dyDescent="0.25">
      <c r="A98" s="7">
        <v>44046</v>
      </c>
      <c r="B98" s="1">
        <v>13253</v>
      </c>
      <c r="C98" s="1">
        <v>22614268587920</v>
      </c>
      <c r="D98">
        <v>22614.26858792</v>
      </c>
    </row>
    <row r="99" spans="1:4" x14ac:dyDescent="0.25">
      <c r="A99" s="7">
        <v>44046.041666666664</v>
      </c>
      <c r="B99" s="1">
        <v>8756</v>
      </c>
      <c r="C99" s="1">
        <v>15062359930554</v>
      </c>
      <c r="D99">
        <v>15062.359930553999</v>
      </c>
    </row>
    <row r="100" spans="1:4" x14ac:dyDescent="0.25">
      <c r="A100" s="7">
        <v>44046.083333333336</v>
      </c>
      <c r="B100" s="1">
        <v>5077</v>
      </c>
      <c r="C100" s="1">
        <v>8923102149998</v>
      </c>
      <c r="D100">
        <v>8923.1021499979997</v>
      </c>
    </row>
    <row r="101" spans="1:4" x14ac:dyDescent="0.25">
      <c r="A101" s="7">
        <v>44046.125</v>
      </c>
      <c r="B101" s="1">
        <v>2898</v>
      </c>
      <c r="C101" s="1">
        <v>5044980488200</v>
      </c>
      <c r="D101">
        <v>5044.9804881999999</v>
      </c>
    </row>
    <row r="102" spans="1:4" x14ac:dyDescent="0.25">
      <c r="A102" s="7">
        <v>44046.166666666664</v>
      </c>
      <c r="B102" s="1">
        <v>1770</v>
      </c>
      <c r="C102" s="1">
        <v>2881281628602</v>
      </c>
      <c r="D102">
        <v>2881.2816286020002</v>
      </c>
    </row>
    <row r="103" spans="1:4" x14ac:dyDescent="0.25">
      <c r="A103" s="7">
        <v>44046.208333333336</v>
      </c>
      <c r="B103" s="1">
        <v>2334</v>
      </c>
      <c r="C103" s="1">
        <v>3334726615418</v>
      </c>
      <c r="D103">
        <v>3334.7266154180002</v>
      </c>
    </row>
    <row r="104" spans="1:4" x14ac:dyDescent="0.25">
      <c r="A104" s="7">
        <v>44046.25</v>
      </c>
      <c r="B104" s="1">
        <v>4819</v>
      </c>
      <c r="C104" s="1">
        <v>6301903002092</v>
      </c>
      <c r="D104">
        <v>6301.903002092</v>
      </c>
    </row>
    <row r="105" spans="1:4" x14ac:dyDescent="0.25">
      <c r="A105" s="7">
        <v>44046.291666666664</v>
      </c>
      <c r="B105" s="1">
        <v>8039</v>
      </c>
      <c r="C105" s="1">
        <v>10915773144445</v>
      </c>
      <c r="D105">
        <v>10915.773144445</v>
      </c>
    </row>
    <row r="106" spans="1:4" x14ac:dyDescent="0.25">
      <c r="A106" s="7">
        <v>44046.333333333336</v>
      </c>
      <c r="B106" s="1">
        <v>10844</v>
      </c>
      <c r="C106" s="1">
        <v>16041954094011</v>
      </c>
      <c r="D106">
        <v>16041.954094011</v>
      </c>
    </row>
    <row r="107" spans="1:4" x14ac:dyDescent="0.25">
      <c r="A107" s="7">
        <v>44046.375</v>
      </c>
      <c r="B107" s="1">
        <v>12488</v>
      </c>
      <c r="C107" s="1">
        <v>20226959574839</v>
      </c>
      <c r="D107">
        <v>20226.959574838998</v>
      </c>
    </row>
    <row r="108" spans="1:4" x14ac:dyDescent="0.25">
      <c r="A108" s="7">
        <v>44046.416666666664</v>
      </c>
      <c r="B108" s="1">
        <v>13375</v>
      </c>
      <c r="C108" s="1">
        <v>23064113089175</v>
      </c>
      <c r="D108">
        <v>23064.113089175</v>
      </c>
    </row>
    <row r="109" spans="1:4" x14ac:dyDescent="0.25">
      <c r="A109" s="7">
        <v>44046.458333333336</v>
      </c>
      <c r="B109" s="1">
        <v>14039</v>
      </c>
      <c r="C109" s="1">
        <v>24735978824264</v>
      </c>
      <c r="D109">
        <v>24735.978824263999</v>
      </c>
    </row>
    <row r="110" spans="1:4" x14ac:dyDescent="0.25">
      <c r="A110" s="7">
        <v>44046.5</v>
      </c>
      <c r="B110" s="1">
        <v>14160</v>
      </c>
      <c r="C110" s="1">
        <v>25076619238427</v>
      </c>
      <c r="D110">
        <v>25076.619238427</v>
      </c>
    </row>
    <row r="111" spans="1:4" x14ac:dyDescent="0.25">
      <c r="A111" s="7">
        <v>44046.541666666664</v>
      </c>
      <c r="B111" s="1">
        <v>13446</v>
      </c>
      <c r="C111" s="1">
        <v>23143914584271</v>
      </c>
      <c r="D111">
        <v>23143.914584270999</v>
      </c>
    </row>
    <row r="112" spans="1:4" x14ac:dyDescent="0.25">
      <c r="A112" s="7">
        <v>44046.583333333336</v>
      </c>
      <c r="B112" s="1">
        <v>13979</v>
      </c>
      <c r="C112" s="1">
        <v>23966164352887</v>
      </c>
      <c r="D112">
        <v>23966.164352887001</v>
      </c>
    </row>
    <row r="113" spans="1:4" x14ac:dyDescent="0.25">
      <c r="A113" s="7">
        <v>44046.625</v>
      </c>
      <c r="B113" s="1">
        <v>14499</v>
      </c>
      <c r="C113" s="1">
        <v>25121907882827</v>
      </c>
      <c r="D113">
        <v>25121.907882826999</v>
      </c>
    </row>
    <row r="114" spans="1:4" x14ac:dyDescent="0.25">
      <c r="A114" s="7">
        <v>44046.666666666664</v>
      </c>
      <c r="B114" s="1">
        <v>13885</v>
      </c>
      <c r="C114" s="1">
        <v>24263396486755</v>
      </c>
      <c r="D114">
        <v>24263.396486754998</v>
      </c>
    </row>
    <row r="115" spans="1:4" x14ac:dyDescent="0.25">
      <c r="A115" s="7">
        <v>44046.708333333336</v>
      </c>
      <c r="B115" s="1">
        <v>12377</v>
      </c>
      <c r="C115" s="1">
        <v>22313829383669</v>
      </c>
      <c r="D115">
        <v>22313.829383668999</v>
      </c>
    </row>
    <row r="116" spans="1:4" x14ac:dyDescent="0.25">
      <c r="A116" s="7">
        <v>44046.75</v>
      </c>
      <c r="B116" s="1">
        <v>11893</v>
      </c>
      <c r="C116" s="1">
        <v>21931436507290</v>
      </c>
      <c r="D116">
        <v>21931.43650729</v>
      </c>
    </row>
    <row r="117" spans="1:4" x14ac:dyDescent="0.25">
      <c r="A117" s="7">
        <v>44046.791666666664</v>
      </c>
      <c r="B117" s="1">
        <v>13112</v>
      </c>
      <c r="C117" s="1">
        <v>24738969674304</v>
      </c>
      <c r="D117">
        <v>24738.969674304</v>
      </c>
    </row>
    <row r="118" spans="1:4" x14ac:dyDescent="0.25">
      <c r="A118" s="7">
        <v>44046.833333333336</v>
      </c>
      <c r="B118" s="1">
        <v>14707</v>
      </c>
      <c r="C118" s="1">
        <v>27757978872026</v>
      </c>
      <c r="D118">
        <v>27757.978872026</v>
      </c>
    </row>
    <row r="119" spans="1:4" x14ac:dyDescent="0.25">
      <c r="A119" s="7">
        <v>44046.875</v>
      </c>
      <c r="B119" s="1">
        <v>15468</v>
      </c>
      <c r="C119" s="1">
        <v>29189444164455</v>
      </c>
      <c r="D119">
        <v>29189.444164454999</v>
      </c>
    </row>
    <row r="120" spans="1:4" x14ac:dyDescent="0.25">
      <c r="A120" s="7">
        <v>44046.916666666664</v>
      </c>
      <c r="B120" s="1">
        <v>16274</v>
      </c>
      <c r="C120" s="1">
        <v>29970433124907</v>
      </c>
      <c r="D120">
        <v>29970.433124906998</v>
      </c>
    </row>
    <row r="121" spans="1:4" x14ac:dyDescent="0.25">
      <c r="A121" s="7">
        <v>44046.958333333336</v>
      </c>
      <c r="B121" s="1">
        <v>15841</v>
      </c>
      <c r="C121" s="1">
        <v>27935645960017</v>
      </c>
      <c r="D121">
        <v>27935.645960016998</v>
      </c>
    </row>
    <row r="122" spans="1:4" x14ac:dyDescent="0.25">
      <c r="A122" s="7">
        <v>44047</v>
      </c>
      <c r="B122" s="1">
        <v>12158</v>
      </c>
      <c r="C122" s="1">
        <v>20756690064577</v>
      </c>
      <c r="D122">
        <v>20756.690064577</v>
      </c>
    </row>
    <row r="123" spans="1:4" x14ac:dyDescent="0.25">
      <c r="A123" s="7">
        <v>44047.041666666664</v>
      </c>
      <c r="B123" s="1">
        <v>7793</v>
      </c>
      <c r="C123" s="1">
        <v>13521821025649</v>
      </c>
      <c r="D123">
        <v>13521.821025649</v>
      </c>
    </row>
    <row r="124" spans="1:4" x14ac:dyDescent="0.25">
      <c r="A124" s="7">
        <v>44047.083333333336</v>
      </c>
      <c r="B124" s="1">
        <v>4387</v>
      </c>
      <c r="C124" s="1">
        <v>7935148899192</v>
      </c>
      <c r="D124">
        <v>7935.1488991919996</v>
      </c>
    </row>
    <row r="125" spans="1:4" x14ac:dyDescent="0.25">
      <c r="A125" s="7">
        <v>44047.125</v>
      </c>
      <c r="B125" s="1">
        <v>2489</v>
      </c>
      <c r="C125" s="1">
        <v>4515168873980</v>
      </c>
      <c r="D125">
        <v>4515.1688739800002</v>
      </c>
    </row>
    <row r="126" spans="1:4" x14ac:dyDescent="0.25">
      <c r="A126" s="7">
        <v>44047.166666666664</v>
      </c>
      <c r="B126" s="1">
        <v>1592</v>
      </c>
      <c r="C126" s="1">
        <v>2662602965673</v>
      </c>
      <c r="D126">
        <v>2662.6029656730002</v>
      </c>
    </row>
    <row r="127" spans="1:4" x14ac:dyDescent="0.25">
      <c r="A127" s="7">
        <v>44047.208333333336</v>
      </c>
      <c r="B127" s="1">
        <v>2010</v>
      </c>
      <c r="C127" s="1">
        <v>3047884594547</v>
      </c>
      <c r="D127">
        <v>3047.8845945469998</v>
      </c>
    </row>
    <row r="128" spans="1:4" x14ac:dyDescent="0.25">
      <c r="A128" s="7">
        <v>44047.25</v>
      </c>
      <c r="B128" s="1">
        <v>3936</v>
      </c>
      <c r="C128" s="1">
        <v>5491240352109</v>
      </c>
      <c r="D128">
        <v>5491.240352109</v>
      </c>
    </row>
    <row r="129" spans="1:4" x14ac:dyDescent="0.25">
      <c r="A129" s="7">
        <v>44047.291666666664</v>
      </c>
      <c r="B129" s="1">
        <v>6825</v>
      </c>
      <c r="C129" s="1">
        <v>9786097420178</v>
      </c>
      <c r="D129">
        <v>9786.0974201780009</v>
      </c>
    </row>
    <row r="130" spans="1:4" x14ac:dyDescent="0.25">
      <c r="A130" s="7">
        <v>44047.333333333336</v>
      </c>
      <c r="B130" s="1">
        <v>7988</v>
      </c>
      <c r="C130" s="1">
        <v>14338436836674</v>
      </c>
      <c r="D130">
        <v>14338.436836674</v>
      </c>
    </row>
    <row r="131" spans="1:4" x14ac:dyDescent="0.25">
      <c r="A131" s="7">
        <v>44047.375</v>
      </c>
      <c r="B131" s="1">
        <v>6656</v>
      </c>
      <c r="C131" s="1">
        <v>17922467913928</v>
      </c>
      <c r="D131">
        <v>17922.467913928002</v>
      </c>
    </row>
    <row r="132" spans="1:4" x14ac:dyDescent="0.25">
      <c r="A132" s="7">
        <v>44047.416666666664</v>
      </c>
      <c r="B132" s="1">
        <v>7270</v>
      </c>
      <c r="C132" s="1">
        <v>20420562372406</v>
      </c>
      <c r="D132">
        <v>20420.562372405999</v>
      </c>
    </row>
    <row r="133" spans="1:4" x14ac:dyDescent="0.25">
      <c r="A133" s="7">
        <v>44047.458333333336</v>
      </c>
      <c r="B133" s="1">
        <v>11994</v>
      </c>
      <c r="C133" s="1">
        <v>23751364239475</v>
      </c>
      <c r="D133">
        <v>23751.364239474999</v>
      </c>
    </row>
    <row r="134" spans="1:4" x14ac:dyDescent="0.25">
      <c r="A134" s="7">
        <v>44047.5</v>
      </c>
      <c r="B134" s="1">
        <v>14164</v>
      </c>
      <c r="C134" s="1">
        <v>24934171892996</v>
      </c>
      <c r="D134">
        <v>24934.171892996001</v>
      </c>
    </row>
    <row r="135" spans="1:4" x14ac:dyDescent="0.25">
      <c r="A135" s="7">
        <v>44047.541666666664</v>
      </c>
      <c r="B135" s="1">
        <v>13298</v>
      </c>
      <c r="C135" s="1">
        <v>22833605983073</v>
      </c>
      <c r="D135">
        <v>22833.605983073001</v>
      </c>
    </row>
    <row r="136" spans="1:4" x14ac:dyDescent="0.25">
      <c r="A136" s="7">
        <v>44047.583333333336</v>
      </c>
      <c r="B136" s="1">
        <v>13760</v>
      </c>
      <c r="C136" s="1">
        <v>23459772331513</v>
      </c>
      <c r="D136">
        <v>23459.772331512999</v>
      </c>
    </row>
    <row r="137" spans="1:4" x14ac:dyDescent="0.25">
      <c r="A137" s="7">
        <v>44047.625</v>
      </c>
      <c r="B137" s="1">
        <v>14318</v>
      </c>
      <c r="C137" s="1">
        <v>24782260693363</v>
      </c>
      <c r="D137">
        <v>24782.260693363001</v>
      </c>
    </row>
    <row r="138" spans="1:4" x14ac:dyDescent="0.25">
      <c r="A138" s="7">
        <v>44047.666666666664</v>
      </c>
      <c r="B138" s="1">
        <v>13681</v>
      </c>
      <c r="C138" s="1">
        <v>24201418234334</v>
      </c>
      <c r="D138">
        <v>24201.418234334</v>
      </c>
    </row>
    <row r="139" spans="1:4" x14ac:dyDescent="0.25">
      <c r="A139" s="7">
        <v>44047.708333333336</v>
      </c>
      <c r="B139" s="1">
        <v>12674</v>
      </c>
      <c r="C139" s="1">
        <v>22836282215547</v>
      </c>
      <c r="D139">
        <v>22836.282215546998</v>
      </c>
    </row>
    <row r="140" spans="1:4" x14ac:dyDescent="0.25">
      <c r="A140" s="7">
        <v>44047.75</v>
      </c>
      <c r="B140" s="1">
        <v>12394</v>
      </c>
      <c r="C140" s="1">
        <v>22895436118578</v>
      </c>
      <c r="D140">
        <v>22895.436118578</v>
      </c>
    </row>
    <row r="141" spans="1:4" x14ac:dyDescent="0.25">
      <c r="A141" s="7">
        <v>44047.791666666664</v>
      </c>
      <c r="B141" s="1">
        <v>13731</v>
      </c>
      <c r="C141" s="1">
        <v>25596415394140</v>
      </c>
      <c r="D141">
        <v>25596.41539414</v>
      </c>
    </row>
    <row r="142" spans="1:4" x14ac:dyDescent="0.25">
      <c r="A142" s="7">
        <v>44047.833333333336</v>
      </c>
      <c r="B142" s="1">
        <v>15050</v>
      </c>
      <c r="C142" s="1">
        <v>28083452412845</v>
      </c>
      <c r="D142">
        <v>28083.452412844999</v>
      </c>
    </row>
    <row r="143" spans="1:4" x14ac:dyDescent="0.25">
      <c r="A143" s="7">
        <v>44047.875</v>
      </c>
      <c r="B143" s="1">
        <v>15780</v>
      </c>
      <c r="C143" s="1">
        <v>29681298951635</v>
      </c>
      <c r="D143">
        <v>29681.298951634999</v>
      </c>
    </row>
    <row r="144" spans="1:4" x14ac:dyDescent="0.25">
      <c r="A144" s="7">
        <v>44047.916666666664</v>
      </c>
      <c r="B144" s="1">
        <v>16673</v>
      </c>
      <c r="C144" s="1">
        <v>30038342876164</v>
      </c>
      <c r="D144">
        <v>30038.342876163999</v>
      </c>
    </row>
    <row r="145" spans="1:4" x14ac:dyDescent="0.25">
      <c r="A145" s="7">
        <v>44047.958333333336</v>
      </c>
      <c r="B145" s="1">
        <v>16218</v>
      </c>
      <c r="C145" s="1">
        <v>28028514058379</v>
      </c>
      <c r="D145">
        <v>28028.514058379002</v>
      </c>
    </row>
    <row r="146" spans="1:4" x14ac:dyDescent="0.25">
      <c r="A146" s="7">
        <v>44048</v>
      </c>
      <c r="B146" s="1">
        <v>12311</v>
      </c>
      <c r="C146" s="1">
        <v>20903913644687</v>
      </c>
      <c r="D146">
        <v>20903.913644687</v>
      </c>
    </row>
    <row r="147" spans="1:4" x14ac:dyDescent="0.25">
      <c r="A147" s="7">
        <v>44048.041666666664</v>
      </c>
      <c r="B147" s="1">
        <v>7937</v>
      </c>
      <c r="C147" s="1">
        <v>13719070983116</v>
      </c>
      <c r="D147">
        <v>13719.070983116</v>
      </c>
    </row>
    <row r="148" spans="1:4" x14ac:dyDescent="0.25">
      <c r="A148" s="7">
        <v>44048.083333333336</v>
      </c>
      <c r="B148" s="1">
        <v>4605</v>
      </c>
      <c r="C148" s="1">
        <v>7996597333888</v>
      </c>
      <c r="D148">
        <v>7996.5973338880003</v>
      </c>
    </row>
    <row r="149" spans="1:4" x14ac:dyDescent="0.25">
      <c r="A149" s="7">
        <v>44048.125</v>
      </c>
      <c r="B149" s="1">
        <v>2686</v>
      </c>
      <c r="C149" s="1">
        <v>4637559309614</v>
      </c>
      <c r="D149">
        <v>4637.5593096140001</v>
      </c>
    </row>
    <row r="150" spans="1:4" x14ac:dyDescent="0.25">
      <c r="A150" s="7">
        <v>44048.166666666664</v>
      </c>
      <c r="B150" s="1">
        <v>1653</v>
      </c>
      <c r="C150" s="1">
        <v>2673318510209</v>
      </c>
      <c r="D150">
        <v>2673.3185102090001</v>
      </c>
    </row>
    <row r="151" spans="1:4" x14ac:dyDescent="0.25">
      <c r="A151" s="7">
        <v>44048.208333333336</v>
      </c>
      <c r="B151" s="1">
        <v>2128</v>
      </c>
      <c r="C151" s="1">
        <v>2981892473074</v>
      </c>
      <c r="D151">
        <v>2981.892473074</v>
      </c>
    </row>
    <row r="152" spans="1:4" x14ac:dyDescent="0.25">
      <c r="A152" s="7">
        <v>44048.25</v>
      </c>
      <c r="B152" s="1">
        <v>4394</v>
      </c>
      <c r="C152" s="1">
        <v>5780138702355</v>
      </c>
      <c r="D152">
        <v>5780.1387023549996</v>
      </c>
    </row>
    <row r="153" spans="1:4" x14ac:dyDescent="0.25">
      <c r="A153" s="7">
        <v>44048.291666666664</v>
      </c>
      <c r="B153" s="1">
        <v>7439</v>
      </c>
      <c r="C153" s="1">
        <v>10315399159978</v>
      </c>
      <c r="D153">
        <v>10315.399159978</v>
      </c>
    </row>
    <row r="154" spans="1:4" x14ac:dyDescent="0.25">
      <c r="A154" s="7">
        <v>44048.333333333336</v>
      </c>
      <c r="B154" s="1">
        <v>10054</v>
      </c>
      <c r="C154" s="1">
        <v>15212977147285</v>
      </c>
      <c r="D154">
        <v>15212.977147285001</v>
      </c>
    </row>
    <row r="155" spans="1:4" x14ac:dyDescent="0.25">
      <c r="A155" s="7">
        <v>44048.375</v>
      </c>
      <c r="B155" s="1">
        <v>11666</v>
      </c>
      <c r="C155" s="1">
        <v>19271503840856</v>
      </c>
      <c r="D155">
        <v>19271.503840855999</v>
      </c>
    </row>
    <row r="156" spans="1:4" x14ac:dyDescent="0.25">
      <c r="A156" s="7">
        <v>44048.416666666664</v>
      </c>
      <c r="B156" s="1">
        <v>12624</v>
      </c>
      <c r="C156" s="1">
        <v>22057029204453</v>
      </c>
      <c r="D156">
        <v>22057.029204453</v>
      </c>
    </row>
    <row r="157" spans="1:4" x14ac:dyDescent="0.25">
      <c r="A157" s="7">
        <v>44048.458333333336</v>
      </c>
      <c r="B157" s="1">
        <v>12906</v>
      </c>
      <c r="C157" s="1">
        <v>23280658692735</v>
      </c>
      <c r="D157">
        <v>23280.658692735</v>
      </c>
    </row>
    <row r="158" spans="1:4" x14ac:dyDescent="0.25">
      <c r="A158" s="7">
        <v>44048.5</v>
      </c>
      <c r="B158" s="1">
        <v>12992</v>
      </c>
      <c r="C158" s="1">
        <v>23612947493993</v>
      </c>
      <c r="D158">
        <v>23612.947493993001</v>
      </c>
    </row>
    <row r="159" spans="1:4" x14ac:dyDescent="0.25">
      <c r="A159" s="7">
        <v>44048.541666666664</v>
      </c>
      <c r="B159" s="1">
        <v>12180</v>
      </c>
      <c r="C159" s="1">
        <v>21685906085438</v>
      </c>
      <c r="D159">
        <v>21685.906085438</v>
      </c>
    </row>
    <row r="160" spans="1:4" x14ac:dyDescent="0.25">
      <c r="A160" s="7">
        <v>44048.583333333336</v>
      </c>
      <c r="B160" s="1">
        <v>12898</v>
      </c>
      <c r="C160" s="1">
        <v>22828169162032</v>
      </c>
      <c r="D160">
        <v>22828.169162032002</v>
      </c>
    </row>
    <row r="161" spans="1:4" x14ac:dyDescent="0.25">
      <c r="A161" s="7">
        <v>44048.625</v>
      </c>
      <c r="B161" s="1">
        <v>13396</v>
      </c>
      <c r="C161" s="1">
        <v>23836842510864</v>
      </c>
      <c r="D161">
        <v>23836.842510864</v>
      </c>
    </row>
    <row r="162" spans="1:4" x14ac:dyDescent="0.25">
      <c r="A162" s="7">
        <v>44048.666666666664</v>
      </c>
      <c r="B162" s="1">
        <v>12630</v>
      </c>
      <c r="C162" s="1">
        <v>23262021992476</v>
      </c>
      <c r="D162">
        <v>23262.021992475999</v>
      </c>
    </row>
    <row r="163" spans="1:4" x14ac:dyDescent="0.25">
      <c r="A163" s="7">
        <v>44048.708333333336</v>
      </c>
      <c r="B163" s="1">
        <v>11457</v>
      </c>
      <c r="C163" s="1">
        <v>21622767094129</v>
      </c>
      <c r="D163">
        <v>21622.767094129002</v>
      </c>
    </row>
    <row r="164" spans="1:4" x14ac:dyDescent="0.25">
      <c r="A164" s="7">
        <v>44048.75</v>
      </c>
      <c r="B164" s="1">
        <v>8618</v>
      </c>
      <c r="C164" s="1">
        <v>20818911778614</v>
      </c>
      <c r="D164">
        <v>20818.911778614001</v>
      </c>
    </row>
    <row r="165" spans="1:4" x14ac:dyDescent="0.25">
      <c r="A165" s="7">
        <v>44048.791666666664</v>
      </c>
      <c r="B165" s="1">
        <v>12884</v>
      </c>
      <c r="C165" s="1">
        <v>25145054944127</v>
      </c>
      <c r="D165">
        <v>25145.054944127001</v>
      </c>
    </row>
    <row r="166" spans="1:4" x14ac:dyDescent="0.25">
      <c r="A166" s="7">
        <v>44048.833333333336</v>
      </c>
      <c r="B166" s="1">
        <v>14278</v>
      </c>
      <c r="C166" s="1">
        <v>27224646251792</v>
      </c>
      <c r="D166">
        <v>27224.646251792001</v>
      </c>
    </row>
    <row r="167" spans="1:4" x14ac:dyDescent="0.25">
      <c r="A167" s="7">
        <v>44048.875</v>
      </c>
      <c r="B167" s="1">
        <v>15209</v>
      </c>
      <c r="C167" s="1">
        <v>29079381897848</v>
      </c>
      <c r="D167">
        <v>29079.381897848001</v>
      </c>
    </row>
    <row r="168" spans="1:4" x14ac:dyDescent="0.25">
      <c r="A168" s="7">
        <v>44048.916666666664</v>
      </c>
      <c r="B168" s="1">
        <v>16162</v>
      </c>
      <c r="C168" s="1">
        <v>29948806031268</v>
      </c>
      <c r="D168">
        <v>29948.806031267999</v>
      </c>
    </row>
    <row r="169" spans="1:4" x14ac:dyDescent="0.25">
      <c r="A169" s="7">
        <v>44048.958333333336</v>
      </c>
      <c r="B169" s="1">
        <v>15725</v>
      </c>
      <c r="C169" s="1">
        <v>27795128329880</v>
      </c>
      <c r="D169">
        <v>27795.128329880001</v>
      </c>
    </row>
    <row r="170" spans="1:4" x14ac:dyDescent="0.25">
      <c r="A170" s="7">
        <v>44049</v>
      </c>
      <c r="B170" s="1">
        <v>12047</v>
      </c>
      <c r="C170" s="1">
        <v>20694266278557</v>
      </c>
      <c r="D170">
        <v>20694.266278556999</v>
      </c>
    </row>
    <row r="171" spans="1:4" x14ac:dyDescent="0.25">
      <c r="A171" s="7">
        <v>44049.041666666664</v>
      </c>
      <c r="B171" s="1">
        <v>7785</v>
      </c>
      <c r="C171" s="1">
        <v>13496772047291</v>
      </c>
      <c r="D171">
        <v>13496.772047291</v>
      </c>
    </row>
    <row r="172" spans="1:4" x14ac:dyDescent="0.25">
      <c r="A172" s="7">
        <v>44049.083333333336</v>
      </c>
      <c r="B172" s="1">
        <v>4409</v>
      </c>
      <c r="C172" s="1">
        <v>7835690043678</v>
      </c>
      <c r="D172">
        <v>7835.6900436779997</v>
      </c>
    </row>
    <row r="173" spans="1:4" x14ac:dyDescent="0.25">
      <c r="A173" s="7">
        <v>44049.125</v>
      </c>
      <c r="B173" s="1">
        <v>2556</v>
      </c>
      <c r="C173" s="1">
        <v>4439714845710</v>
      </c>
      <c r="D173">
        <v>4439.7148457100002</v>
      </c>
    </row>
    <row r="174" spans="1:4" x14ac:dyDescent="0.25">
      <c r="A174" s="7">
        <v>44049.166666666664</v>
      </c>
      <c r="B174" s="1">
        <v>1597</v>
      </c>
      <c r="C174" s="1">
        <v>2621068480143</v>
      </c>
      <c r="D174">
        <v>2621.0684801430002</v>
      </c>
    </row>
    <row r="175" spans="1:4" x14ac:dyDescent="0.25">
      <c r="A175" s="7">
        <v>44049.208333333336</v>
      </c>
      <c r="B175" s="1">
        <v>1963</v>
      </c>
      <c r="C175" s="1">
        <v>2945285658784</v>
      </c>
      <c r="D175">
        <v>2945.2856587840001</v>
      </c>
    </row>
    <row r="176" spans="1:4" x14ac:dyDescent="0.25">
      <c r="A176" s="7">
        <v>44049.25</v>
      </c>
      <c r="B176" s="1">
        <v>4108</v>
      </c>
      <c r="C176" s="1">
        <v>5579089684166</v>
      </c>
      <c r="D176">
        <v>5579.0896841659996</v>
      </c>
    </row>
    <row r="177" spans="1:4" x14ac:dyDescent="0.25">
      <c r="A177" s="7">
        <v>44049.291666666664</v>
      </c>
      <c r="B177" s="1">
        <v>7055</v>
      </c>
      <c r="C177" s="1">
        <v>10036975491060</v>
      </c>
      <c r="D177">
        <v>10036.97549106</v>
      </c>
    </row>
    <row r="178" spans="1:4" x14ac:dyDescent="0.25">
      <c r="A178" s="7">
        <v>44049.333333333336</v>
      </c>
      <c r="B178" s="1">
        <v>9739</v>
      </c>
      <c r="C178" s="1">
        <v>14960802011700</v>
      </c>
      <c r="D178">
        <v>14960.8020117</v>
      </c>
    </row>
    <row r="179" spans="1:4" x14ac:dyDescent="0.25">
      <c r="A179" s="7">
        <v>44049.375</v>
      </c>
      <c r="B179" s="1">
        <v>11430</v>
      </c>
      <c r="C179" s="1">
        <v>18801482328205</v>
      </c>
      <c r="D179">
        <v>18801.482328204998</v>
      </c>
    </row>
    <row r="180" spans="1:4" x14ac:dyDescent="0.25">
      <c r="A180" s="7">
        <v>44049.416666666664</v>
      </c>
      <c r="B180" s="1">
        <v>12474</v>
      </c>
      <c r="C180" s="1">
        <v>21455674364399</v>
      </c>
      <c r="D180">
        <v>21455.674364399001</v>
      </c>
    </row>
    <row r="181" spans="1:4" x14ac:dyDescent="0.25">
      <c r="A181" s="7">
        <v>44049.458333333336</v>
      </c>
      <c r="B181" s="1">
        <v>13074</v>
      </c>
      <c r="C181" s="1">
        <v>23020216667975</v>
      </c>
      <c r="D181">
        <v>23020.216667975001</v>
      </c>
    </row>
    <row r="182" spans="1:4" x14ac:dyDescent="0.25">
      <c r="A182" s="7">
        <v>44049.5</v>
      </c>
      <c r="B182" s="1">
        <v>13252</v>
      </c>
      <c r="C182" s="1">
        <v>23338189951468</v>
      </c>
      <c r="D182">
        <v>23338.189951468001</v>
      </c>
    </row>
    <row r="183" spans="1:4" x14ac:dyDescent="0.25">
      <c r="A183" s="7"/>
      <c r="B183" s="1"/>
      <c r="C183" s="1"/>
    </row>
    <row r="184" spans="1:4" x14ac:dyDescent="0.25">
      <c r="A184" s="7"/>
      <c r="B184" s="1"/>
      <c r="C184" s="1"/>
    </row>
    <row r="185" spans="1:4" x14ac:dyDescent="0.25">
      <c r="A185" s="7"/>
      <c r="B185" s="1"/>
      <c r="C185" s="1"/>
    </row>
    <row r="186" spans="1:4" x14ac:dyDescent="0.25">
      <c r="A186" s="7"/>
      <c r="B186" s="1"/>
      <c r="C186" s="1"/>
    </row>
    <row r="187" spans="1:4" x14ac:dyDescent="0.25">
      <c r="A187" s="7"/>
      <c r="B187" s="1"/>
      <c r="C187" s="1"/>
    </row>
    <row r="188" spans="1:4" x14ac:dyDescent="0.25">
      <c r="A188" s="7"/>
      <c r="B188" s="1"/>
      <c r="C188" s="1"/>
    </row>
    <row r="189" spans="1:4" x14ac:dyDescent="0.25">
      <c r="A189" s="7"/>
      <c r="B189" s="1"/>
      <c r="C189" s="1"/>
    </row>
    <row r="190" spans="1:4" x14ac:dyDescent="0.25">
      <c r="A190" s="7"/>
      <c r="B190" s="1"/>
      <c r="C190" s="1"/>
    </row>
    <row r="191" spans="1:4" x14ac:dyDescent="0.25">
      <c r="A191" s="7"/>
      <c r="B191" s="1"/>
      <c r="C191" s="1"/>
    </row>
    <row r="192" spans="1:4" x14ac:dyDescent="0.25">
      <c r="A192" s="7"/>
      <c r="B192" s="1"/>
      <c r="C192" s="63"/>
    </row>
    <row r="193" spans="1:3" x14ac:dyDescent="0.25">
      <c r="A193" s="7"/>
      <c r="B193" s="1"/>
      <c r="C193" s="63"/>
    </row>
    <row r="194" spans="1:3" x14ac:dyDescent="0.25">
      <c r="A194" s="7"/>
      <c r="B194" s="1"/>
      <c r="C194" s="63"/>
    </row>
    <row r="195" spans="1:3" x14ac:dyDescent="0.25">
      <c r="A195" s="7"/>
      <c r="B195" s="1"/>
      <c r="C195" s="63"/>
    </row>
    <row r="196" spans="1:3" x14ac:dyDescent="0.25">
      <c r="A196" s="7"/>
      <c r="B196" s="1"/>
      <c r="C196" s="63"/>
    </row>
    <row r="197" spans="1:3" x14ac:dyDescent="0.25">
      <c r="A197" s="7"/>
      <c r="B197" s="1"/>
      <c r="C197" s="63"/>
    </row>
    <row r="198" spans="1:3" x14ac:dyDescent="0.25">
      <c r="A198" s="7"/>
      <c r="B198" s="1"/>
      <c r="C198" s="63"/>
    </row>
    <row r="199" spans="1:3" x14ac:dyDescent="0.25">
      <c r="A199" s="7"/>
      <c r="B199" s="1"/>
      <c r="C199" s="63"/>
    </row>
    <row r="200" spans="1:3" x14ac:dyDescent="0.25">
      <c r="A200" s="7"/>
      <c r="B200" s="1"/>
      <c r="C200" s="63"/>
    </row>
    <row r="201" spans="1:3" x14ac:dyDescent="0.25">
      <c r="A201" s="7"/>
      <c r="B201" s="1"/>
      <c r="C201" s="63"/>
    </row>
    <row r="202" spans="1:3" x14ac:dyDescent="0.25">
      <c r="A202" s="7"/>
      <c r="B202" s="1"/>
      <c r="C202" s="63"/>
    </row>
    <row r="203" spans="1:3" x14ac:dyDescent="0.25">
      <c r="A203" s="7"/>
      <c r="B203" s="1"/>
      <c r="C203" s="63"/>
    </row>
    <row r="204" spans="1:3" x14ac:dyDescent="0.25">
      <c r="A204" s="7"/>
      <c r="B204" s="1"/>
      <c r="C204" s="63"/>
    </row>
    <row r="205" spans="1:3" x14ac:dyDescent="0.25">
      <c r="A205" s="7"/>
      <c r="B205" s="1"/>
      <c r="C205" s="63"/>
    </row>
    <row r="206" spans="1:3" x14ac:dyDescent="0.25">
      <c r="A206" s="7"/>
      <c r="B206" s="1"/>
      <c r="C206" s="63"/>
    </row>
    <row r="207" spans="1:3" x14ac:dyDescent="0.25">
      <c r="A207" s="7"/>
      <c r="B207" s="1"/>
      <c r="C207" s="63"/>
    </row>
    <row r="208" spans="1:3" x14ac:dyDescent="0.25">
      <c r="A208" s="7"/>
      <c r="B208" s="1"/>
      <c r="C208" s="63"/>
    </row>
    <row r="209" spans="1:3" x14ac:dyDescent="0.25">
      <c r="A209" s="7"/>
      <c r="B209" s="1"/>
      <c r="C209" s="63"/>
    </row>
    <row r="210" spans="1:3" x14ac:dyDescent="0.25">
      <c r="A210" s="7"/>
      <c r="B210" s="1"/>
      <c r="C210" s="63"/>
    </row>
    <row r="211" spans="1:3" x14ac:dyDescent="0.25">
      <c r="A211" s="7"/>
      <c r="B211" s="1"/>
      <c r="C211" s="63"/>
    </row>
    <row r="212" spans="1:3" x14ac:dyDescent="0.25">
      <c r="A212" s="7"/>
      <c r="B212" s="1"/>
      <c r="C212" s="63"/>
    </row>
    <row r="213" spans="1:3" x14ac:dyDescent="0.25">
      <c r="A213" s="7"/>
      <c r="B213" s="1"/>
      <c r="C213" s="63"/>
    </row>
    <row r="214" spans="1:3" x14ac:dyDescent="0.25">
      <c r="A214" s="7"/>
      <c r="B214" s="1"/>
      <c r="C214" s="63"/>
    </row>
    <row r="215" spans="1:3" x14ac:dyDescent="0.25">
      <c r="A215" s="7"/>
      <c r="B215" s="1"/>
      <c r="C215" s="63"/>
    </row>
    <row r="216" spans="1:3" x14ac:dyDescent="0.25">
      <c r="A216" s="7"/>
      <c r="B216" s="1"/>
      <c r="C216" s="63"/>
    </row>
    <row r="217" spans="1:3" x14ac:dyDescent="0.25">
      <c r="A217" s="7"/>
      <c r="B217" s="1"/>
      <c r="C217" s="63"/>
    </row>
    <row r="218" spans="1:3" x14ac:dyDescent="0.25">
      <c r="A218" s="7"/>
      <c r="B218" s="1"/>
      <c r="C218" s="63"/>
    </row>
    <row r="219" spans="1:3" x14ac:dyDescent="0.25">
      <c r="A219" s="7"/>
      <c r="B219" s="1"/>
      <c r="C219" s="63"/>
    </row>
    <row r="220" spans="1:3" x14ac:dyDescent="0.25">
      <c r="A220" s="7"/>
      <c r="B220" s="1"/>
      <c r="C220" s="63"/>
    </row>
    <row r="221" spans="1:3" x14ac:dyDescent="0.25">
      <c r="A221" s="7"/>
      <c r="B221" s="1"/>
      <c r="C221" s="63"/>
    </row>
    <row r="222" spans="1:3" x14ac:dyDescent="0.25">
      <c r="A222" s="7"/>
      <c r="B222" s="1"/>
      <c r="C222" s="63"/>
    </row>
    <row r="223" spans="1:3" x14ac:dyDescent="0.25">
      <c r="A223" s="7"/>
      <c r="B223" s="1"/>
      <c r="C223" s="63"/>
    </row>
    <row r="224" spans="1:3" x14ac:dyDescent="0.25">
      <c r="A224" s="7"/>
      <c r="B224" s="1"/>
      <c r="C224" s="63"/>
    </row>
    <row r="225" spans="1:3" x14ac:dyDescent="0.25">
      <c r="A225" s="7"/>
      <c r="B225" s="1"/>
      <c r="C225" s="63"/>
    </row>
    <row r="226" spans="1:3" x14ac:dyDescent="0.25">
      <c r="A226" s="7"/>
      <c r="B226" s="1"/>
      <c r="C226" s="63"/>
    </row>
  </sheetData>
  <dataConsolidate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191"/>
  <sheetViews>
    <sheetView topLeftCell="A163" workbookViewId="0">
      <selection activeCell="A2" sqref="A2:E182"/>
    </sheetView>
  </sheetViews>
  <sheetFormatPr defaultRowHeight="15" x14ac:dyDescent="0.25"/>
  <cols>
    <col min="1" max="1" width="18.42578125" customWidth="1"/>
    <col min="8" max="9" width="10" bestFit="1" customWidth="1"/>
  </cols>
  <sheetData>
    <row r="1" spans="1:7" x14ac:dyDescent="0.25">
      <c r="A1" t="s">
        <v>0</v>
      </c>
      <c r="B1" t="s">
        <v>46</v>
      </c>
      <c r="C1" t="s">
        <v>32</v>
      </c>
      <c r="D1" t="s">
        <v>33</v>
      </c>
      <c r="E1" t="s">
        <v>34</v>
      </c>
      <c r="F1" t="s">
        <v>59</v>
      </c>
      <c r="G1" t="s">
        <v>60</v>
      </c>
    </row>
    <row r="2" spans="1:7" x14ac:dyDescent="0.25">
      <c r="A2" s="1" t="s">
        <v>130</v>
      </c>
      <c r="B2" s="1" t="s">
        <v>44</v>
      </c>
      <c r="C2" s="1">
        <v>6590482</v>
      </c>
      <c r="D2" s="1">
        <v>919524253</v>
      </c>
      <c r="E2" s="1">
        <v>60591147</v>
      </c>
      <c r="F2">
        <v>6590.482</v>
      </c>
      <c r="G2">
        <v>980.11540000000002</v>
      </c>
    </row>
    <row r="3" spans="1:7" x14ac:dyDescent="0.25">
      <c r="A3" s="1" t="s">
        <v>131</v>
      </c>
      <c r="B3" s="1" t="s">
        <v>44</v>
      </c>
      <c r="C3" s="1">
        <v>4619890</v>
      </c>
      <c r="D3" s="1">
        <v>653464187</v>
      </c>
      <c r="E3" s="1">
        <v>40489469</v>
      </c>
      <c r="F3">
        <v>4619.8900000000003</v>
      </c>
      <c r="G3">
        <v>693.95365600000002</v>
      </c>
    </row>
    <row r="4" spans="1:7" x14ac:dyDescent="0.25">
      <c r="A4" s="1" t="s">
        <v>132</v>
      </c>
      <c r="B4" s="1" t="s">
        <v>44</v>
      </c>
      <c r="C4" s="1">
        <v>2868588</v>
      </c>
      <c r="D4" s="1">
        <v>372671870</v>
      </c>
      <c r="E4" s="1">
        <v>23667386</v>
      </c>
      <c r="F4">
        <v>2868.5880000000002</v>
      </c>
      <c r="G4">
        <v>396.33925599999998</v>
      </c>
    </row>
    <row r="5" spans="1:7" x14ac:dyDescent="0.25">
      <c r="A5" s="1" t="s">
        <v>133</v>
      </c>
      <c r="B5" s="1" t="s">
        <v>44</v>
      </c>
      <c r="C5" s="1">
        <v>1776482</v>
      </c>
      <c r="D5" s="1">
        <v>234445907</v>
      </c>
      <c r="E5" s="1">
        <v>14295758</v>
      </c>
      <c r="F5">
        <v>1776.482</v>
      </c>
      <c r="G5">
        <v>248.74166500000001</v>
      </c>
    </row>
    <row r="6" spans="1:7" x14ac:dyDescent="0.25">
      <c r="A6" s="1" t="s">
        <v>134</v>
      </c>
      <c r="B6" s="1" t="s">
        <v>44</v>
      </c>
      <c r="C6" s="1">
        <v>1170150</v>
      </c>
      <c r="D6" s="1">
        <v>149141238</v>
      </c>
      <c r="E6" s="1">
        <v>9475636</v>
      </c>
      <c r="F6">
        <v>1170.1500000000001</v>
      </c>
      <c r="G6">
        <v>158.616874</v>
      </c>
    </row>
    <row r="7" spans="1:7" x14ac:dyDescent="0.25">
      <c r="A7" s="1" t="s">
        <v>135</v>
      </c>
      <c r="B7" s="1" t="s">
        <v>44</v>
      </c>
      <c r="C7" s="1">
        <v>1448456</v>
      </c>
      <c r="D7" s="1">
        <v>148261911</v>
      </c>
      <c r="E7" s="1">
        <v>11973490</v>
      </c>
      <c r="F7">
        <v>1448.4559999999999</v>
      </c>
      <c r="G7">
        <v>160.235401</v>
      </c>
    </row>
    <row r="8" spans="1:7" x14ac:dyDescent="0.25">
      <c r="A8" s="1" t="s">
        <v>136</v>
      </c>
      <c r="B8" s="1" t="s">
        <v>44</v>
      </c>
      <c r="C8" s="1">
        <v>2652118</v>
      </c>
      <c r="D8" s="1">
        <v>264317564</v>
      </c>
      <c r="E8" s="1">
        <v>18588994</v>
      </c>
      <c r="F8">
        <v>2652.1179999999999</v>
      </c>
      <c r="G8">
        <v>282.90655800000002</v>
      </c>
    </row>
    <row r="9" spans="1:7" x14ac:dyDescent="0.25">
      <c r="A9" s="1" t="s">
        <v>137</v>
      </c>
      <c r="B9" s="1" t="s">
        <v>44</v>
      </c>
      <c r="C9" s="1">
        <v>3978981</v>
      </c>
      <c r="D9" s="1">
        <v>418877836</v>
      </c>
      <c r="E9" s="1">
        <v>28945972</v>
      </c>
      <c r="F9">
        <v>3978.9810000000002</v>
      </c>
      <c r="G9">
        <v>447.82380799999999</v>
      </c>
    </row>
    <row r="10" spans="1:7" x14ac:dyDescent="0.25">
      <c r="A10" s="1" t="s">
        <v>138</v>
      </c>
      <c r="B10" s="1" t="s">
        <v>44</v>
      </c>
      <c r="C10" s="1">
        <v>4910267</v>
      </c>
      <c r="D10" s="1">
        <v>538462021</v>
      </c>
      <c r="E10" s="1">
        <v>43783619</v>
      </c>
      <c r="F10">
        <v>4910.2669999999998</v>
      </c>
      <c r="G10">
        <v>582.24563999999998</v>
      </c>
    </row>
    <row r="11" spans="1:7" x14ac:dyDescent="0.25">
      <c r="A11" s="1" t="s">
        <v>139</v>
      </c>
      <c r="B11" s="1" t="s">
        <v>44</v>
      </c>
      <c r="C11" s="1">
        <v>5516319</v>
      </c>
      <c r="D11" s="1">
        <v>662038714</v>
      </c>
      <c r="E11" s="1">
        <v>54265021</v>
      </c>
      <c r="F11">
        <v>5516.3190000000004</v>
      </c>
      <c r="G11">
        <v>716.30373499999996</v>
      </c>
    </row>
    <row r="12" spans="1:7" x14ac:dyDescent="0.25">
      <c r="A12" s="1" t="s">
        <v>140</v>
      </c>
      <c r="B12" s="1" t="s">
        <v>44</v>
      </c>
      <c r="C12" s="1">
        <v>5734927</v>
      </c>
      <c r="D12" s="1">
        <v>728917832</v>
      </c>
      <c r="E12" s="1">
        <v>65693225</v>
      </c>
      <c r="F12">
        <v>5734.9269999999997</v>
      </c>
      <c r="G12">
        <v>794.61105699999996</v>
      </c>
    </row>
    <row r="13" spans="1:7" x14ac:dyDescent="0.25">
      <c r="A13" s="1" t="s">
        <v>141</v>
      </c>
      <c r="B13" s="1" t="s">
        <v>44</v>
      </c>
      <c r="C13" s="1">
        <v>5870048</v>
      </c>
      <c r="D13" s="1">
        <v>780151354</v>
      </c>
      <c r="E13" s="1">
        <v>72980097</v>
      </c>
      <c r="F13">
        <v>5870.0479999999998</v>
      </c>
      <c r="G13">
        <v>853.13145099999997</v>
      </c>
    </row>
    <row r="14" spans="1:7" x14ac:dyDescent="0.25">
      <c r="A14" s="1" t="s">
        <v>142</v>
      </c>
      <c r="B14" s="1" t="s">
        <v>44</v>
      </c>
      <c r="C14" s="1">
        <v>5833702</v>
      </c>
      <c r="D14" s="1">
        <v>792142792</v>
      </c>
      <c r="E14" s="1">
        <v>72752160</v>
      </c>
      <c r="F14">
        <v>5833.7020000000002</v>
      </c>
      <c r="G14">
        <v>864.89495199999999</v>
      </c>
    </row>
    <row r="15" spans="1:7" x14ac:dyDescent="0.25">
      <c r="A15" s="1" t="s">
        <v>143</v>
      </c>
      <c r="B15" s="1" t="s">
        <v>44</v>
      </c>
      <c r="C15" s="1">
        <v>5436569</v>
      </c>
      <c r="D15" s="1">
        <v>735914273</v>
      </c>
      <c r="E15" s="1">
        <v>68298677</v>
      </c>
      <c r="F15">
        <v>5436.5690000000004</v>
      </c>
      <c r="G15">
        <v>804.21294999999998</v>
      </c>
    </row>
    <row r="16" spans="1:7" x14ac:dyDescent="0.25">
      <c r="A16" s="1" t="s">
        <v>144</v>
      </c>
      <c r="B16" s="1" t="s">
        <v>44</v>
      </c>
      <c r="C16" s="1">
        <v>5906746</v>
      </c>
      <c r="D16" s="1">
        <v>777774249</v>
      </c>
      <c r="E16" s="1">
        <v>71036946</v>
      </c>
      <c r="F16">
        <v>5906.7460000000001</v>
      </c>
      <c r="G16">
        <v>848.811195</v>
      </c>
    </row>
    <row r="17" spans="1:7" x14ac:dyDescent="0.25">
      <c r="A17" s="1" t="s">
        <v>145</v>
      </c>
      <c r="B17" s="1" t="s">
        <v>44</v>
      </c>
      <c r="C17" s="1">
        <v>6298800</v>
      </c>
      <c r="D17" s="1">
        <v>863147141</v>
      </c>
      <c r="E17" s="1">
        <v>75783547</v>
      </c>
      <c r="F17">
        <v>6298.8</v>
      </c>
      <c r="G17">
        <v>938.93068800000003</v>
      </c>
    </row>
    <row r="18" spans="1:7" x14ac:dyDescent="0.25">
      <c r="A18" s="1" t="s">
        <v>146</v>
      </c>
      <c r="B18" s="1" t="s">
        <v>44</v>
      </c>
      <c r="C18" s="1">
        <v>6129658</v>
      </c>
      <c r="D18" s="1">
        <v>846947280</v>
      </c>
      <c r="E18" s="1">
        <v>84197391</v>
      </c>
      <c r="F18">
        <v>6129.6580000000004</v>
      </c>
      <c r="G18">
        <v>931.14467100000002</v>
      </c>
    </row>
    <row r="19" spans="1:7" x14ac:dyDescent="0.25">
      <c r="A19" s="1" t="s">
        <v>147</v>
      </c>
      <c r="B19" s="1" t="s">
        <v>44</v>
      </c>
      <c r="C19" s="1">
        <v>5531202</v>
      </c>
      <c r="D19" s="1">
        <v>770819826</v>
      </c>
      <c r="E19" s="1">
        <v>80660668</v>
      </c>
      <c r="F19">
        <v>5531.2020000000002</v>
      </c>
      <c r="G19">
        <v>851.48049400000002</v>
      </c>
    </row>
    <row r="20" spans="1:7" x14ac:dyDescent="0.25">
      <c r="A20" s="1" t="s">
        <v>148</v>
      </c>
      <c r="B20" s="1" t="s">
        <v>44</v>
      </c>
      <c r="C20" s="1">
        <v>5511902</v>
      </c>
      <c r="D20" s="1">
        <v>817873259</v>
      </c>
      <c r="E20" s="1">
        <v>84218442</v>
      </c>
      <c r="F20">
        <v>5511.902</v>
      </c>
      <c r="G20">
        <v>902.09170099999994</v>
      </c>
    </row>
    <row r="21" spans="1:7" x14ac:dyDescent="0.25">
      <c r="A21" s="1" t="s">
        <v>149</v>
      </c>
      <c r="B21" s="1" t="s">
        <v>44</v>
      </c>
      <c r="C21" s="1">
        <v>6105144</v>
      </c>
      <c r="D21" s="1">
        <v>857765174</v>
      </c>
      <c r="E21" s="1">
        <v>76147954</v>
      </c>
      <c r="F21">
        <v>6105.1440000000002</v>
      </c>
      <c r="G21">
        <v>933.91312800000003</v>
      </c>
    </row>
    <row r="22" spans="1:7" x14ac:dyDescent="0.25">
      <c r="A22" s="1" t="s">
        <v>150</v>
      </c>
      <c r="B22" s="1" t="s">
        <v>44</v>
      </c>
      <c r="C22" s="1">
        <v>6826617</v>
      </c>
      <c r="D22" s="1">
        <v>1035550611</v>
      </c>
      <c r="E22" s="1">
        <v>92010171</v>
      </c>
      <c r="F22">
        <v>6826.6170000000002</v>
      </c>
      <c r="G22">
        <v>1127.560782</v>
      </c>
    </row>
    <row r="23" spans="1:7" x14ac:dyDescent="0.25">
      <c r="A23" s="1" t="s">
        <v>151</v>
      </c>
      <c r="B23" s="1" t="s">
        <v>44</v>
      </c>
      <c r="C23" s="1">
        <v>7212301</v>
      </c>
      <c r="D23" s="1">
        <v>1127855187</v>
      </c>
      <c r="E23" s="1">
        <v>93759382</v>
      </c>
      <c r="F23">
        <v>7212.3010000000004</v>
      </c>
      <c r="G23">
        <v>1221.6145690000001</v>
      </c>
    </row>
    <row r="24" spans="1:7" x14ac:dyDescent="0.25">
      <c r="A24" s="1" t="s">
        <v>152</v>
      </c>
      <c r="B24" s="1" t="s">
        <v>44</v>
      </c>
      <c r="C24" s="1">
        <v>7706580</v>
      </c>
      <c r="D24" s="1">
        <v>1143066907</v>
      </c>
      <c r="E24" s="1">
        <v>93708023</v>
      </c>
      <c r="F24">
        <v>7706.58</v>
      </c>
      <c r="G24">
        <v>1236.77493</v>
      </c>
    </row>
    <row r="25" spans="1:7" x14ac:dyDescent="0.25">
      <c r="A25" s="1" t="s">
        <v>153</v>
      </c>
      <c r="B25" s="1" t="s">
        <v>44</v>
      </c>
      <c r="C25" s="1">
        <v>7722778</v>
      </c>
      <c r="D25" s="1">
        <v>1120125283</v>
      </c>
      <c r="E25" s="1">
        <v>79957152</v>
      </c>
      <c r="F25">
        <v>7722.7780000000002</v>
      </c>
      <c r="G25">
        <v>1200.082435</v>
      </c>
    </row>
    <row r="26" spans="1:7" x14ac:dyDescent="0.25">
      <c r="A26" s="1" t="s">
        <v>154</v>
      </c>
      <c r="B26" s="1" t="s">
        <v>44</v>
      </c>
      <c r="C26" s="1">
        <v>6383096</v>
      </c>
      <c r="D26" s="1">
        <v>874838283</v>
      </c>
      <c r="E26" s="1">
        <v>57982346</v>
      </c>
      <c r="F26">
        <v>6383.0959999999995</v>
      </c>
      <c r="G26">
        <v>932.82062900000005</v>
      </c>
    </row>
    <row r="27" spans="1:7" x14ac:dyDescent="0.25">
      <c r="A27" s="1" t="s">
        <v>155</v>
      </c>
      <c r="B27" s="1" t="s">
        <v>44</v>
      </c>
      <c r="C27" s="1">
        <v>4614495</v>
      </c>
      <c r="D27" s="1">
        <v>626447516</v>
      </c>
      <c r="E27" s="1">
        <v>43270314</v>
      </c>
      <c r="F27">
        <v>4614.4949999999999</v>
      </c>
      <c r="G27">
        <v>669.71783000000005</v>
      </c>
    </row>
    <row r="28" spans="1:7" x14ac:dyDescent="0.25">
      <c r="A28" s="1" t="s">
        <v>156</v>
      </c>
      <c r="B28" s="1" t="s">
        <v>44</v>
      </c>
      <c r="C28" s="1">
        <v>2930866</v>
      </c>
      <c r="D28" s="1">
        <v>414780290</v>
      </c>
      <c r="E28" s="1">
        <v>28145173</v>
      </c>
      <c r="F28">
        <v>2930.866</v>
      </c>
      <c r="G28">
        <v>442.92546299999998</v>
      </c>
    </row>
    <row r="29" spans="1:7" x14ac:dyDescent="0.25">
      <c r="A29" s="1" t="s">
        <v>157</v>
      </c>
      <c r="B29" s="1" t="s">
        <v>44</v>
      </c>
      <c r="C29" s="1">
        <v>1812875</v>
      </c>
      <c r="D29" s="1">
        <v>250502125</v>
      </c>
      <c r="E29" s="1">
        <v>17457003</v>
      </c>
      <c r="F29">
        <v>1812.875</v>
      </c>
      <c r="G29">
        <v>267.95912800000002</v>
      </c>
    </row>
    <row r="30" spans="1:7" x14ac:dyDescent="0.25">
      <c r="A30" s="1" t="s">
        <v>158</v>
      </c>
      <c r="B30" s="1" t="s">
        <v>44</v>
      </c>
      <c r="C30" s="1">
        <v>1237719</v>
      </c>
      <c r="D30" s="1">
        <v>153984757</v>
      </c>
      <c r="E30" s="1">
        <v>11582719</v>
      </c>
      <c r="F30">
        <v>1237.7190000000001</v>
      </c>
      <c r="G30">
        <v>165.567476</v>
      </c>
    </row>
    <row r="31" spans="1:7" x14ac:dyDescent="0.25">
      <c r="A31" s="1" t="s">
        <v>159</v>
      </c>
      <c r="B31" s="1" t="s">
        <v>44</v>
      </c>
      <c r="C31" s="1">
        <v>1511106</v>
      </c>
      <c r="D31" s="1">
        <v>162500560</v>
      </c>
      <c r="E31" s="1">
        <v>12983106</v>
      </c>
      <c r="F31">
        <v>1511.106</v>
      </c>
      <c r="G31">
        <v>175.483666</v>
      </c>
    </row>
    <row r="32" spans="1:7" x14ac:dyDescent="0.25">
      <c r="A32" s="1" t="s">
        <v>160</v>
      </c>
      <c r="B32" s="1" t="s">
        <v>44</v>
      </c>
      <c r="C32" s="1">
        <v>2706056</v>
      </c>
      <c r="D32" s="1">
        <v>254681128</v>
      </c>
      <c r="E32" s="1">
        <v>19811349</v>
      </c>
      <c r="F32">
        <v>2706.056</v>
      </c>
      <c r="G32">
        <v>274.49247700000001</v>
      </c>
    </row>
    <row r="33" spans="1:7" x14ac:dyDescent="0.25">
      <c r="A33" s="1" t="s">
        <v>161</v>
      </c>
      <c r="B33" s="1" t="s">
        <v>44</v>
      </c>
      <c r="C33" s="1">
        <v>4057784</v>
      </c>
      <c r="D33" s="1">
        <v>421127793</v>
      </c>
      <c r="E33" s="1">
        <v>37843071</v>
      </c>
      <c r="F33">
        <v>4057.7840000000001</v>
      </c>
      <c r="G33">
        <v>458.97086400000001</v>
      </c>
    </row>
    <row r="34" spans="1:7" x14ac:dyDescent="0.25">
      <c r="A34" s="1" t="s">
        <v>162</v>
      </c>
      <c r="B34" s="1" t="s">
        <v>44</v>
      </c>
      <c r="C34" s="1">
        <v>5141821</v>
      </c>
      <c r="D34" s="1">
        <v>577210764</v>
      </c>
      <c r="E34" s="1">
        <v>56509461</v>
      </c>
      <c r="F34">
        <v>5141.8209999999999</v>
      </c>
      <c r="G34">
        <v>633.72022500000003</v>
      </c>
    </row>
    <row r="35" spans="1:7" x14ac:dyDescent="0.25">
      <c r="A35" s="1" t="s">
        <v>163</v>
      </c>
      <c r="B35" s="1" t="s">
        <v>44</v>
      </c>
      <c r="C35" s="1">
        <v>5758162</v>
      </c>
      <c r="D35" s="1">
        <v>740123383</v>
      </c>
      <c r="E35" s="1">
        <v>80430343</v>
      </c>
      <c r="F35">
        <v>5758.1620000000003</v>
      </c>
      <c r="G35">
        <v>820.55372599999998</v>
      </c>
    </row>
    <row r="36" spans="1:7" x14ac:dyDescent="0.25">
      <c r="A36" s="1" t="s">
        <v>164</v>
      </c>
      <c r="B36" s="1" t="s">
        <v>44</v>
      </c>
      <c r="C36" s="1">
        <v>5950615</v>
      </c>
      <c r="D36" s="1">
        <v>798241850</v>
      </c>
      <c r="E36" s="1">
        <v>90739898</v>
      </c>
      <c r="F36">
        <v>5950.6149999999998</v>
      </c>
      <c r="G36">
        <v>888.98174800000004</v>
      </c>
    </row>
    <row r="37" spans="1:7" x14ac:dyDescent="0.25">
      <c r="A37" s="1" t="s">
        <v>165</v>
      </c>
      <c r="B37" s="1" t="s">
        <v>44</v>
      </c>
      <c r="C37" s="1">
        <v>6123190</v>
      </c>
      <c r="D37" s="1">
        <v>833856033</v>
      </c>
      <c r="E37" s="1">
        <v>85697495</v>
      </c>
      <c r="F37">
        <v>6123.19</v>
      </c>
      <c r="G37">
        <v>919.55352800000003</v>
      </c>
    </row>
    <row r="38" spans="1:7" x14ac:dyDescent="0.25">
      <c r="A38" s="1" t="s">
        <v>166</v>
      </c>
      <c r="B38" s="1" t="s">
        <v>44</v>
      </c>
      <c r="C38" s="1">
        <v>5503093</v>
      </c>
      <c r="D38" s="1">
        <v>736108255</v>
      </c>
      <c r="E38" s="1">
        <v>73582513</v>
      </c>
      <c r="F38">
        <v>5503.0929999999998</v>
      </c>
      <c r="G38">
        <v>809.69076800000005</v>
      </c>
    </row>
    <row r="39" spans="1:7" x14ac:dyDescent="0.25">
      <c r="A39" s="1" t="s">
        <v>167</v>
      </c>
      <c r="B39" s="1" t="s">
        <v>44</v>
      </c>
      <c r="C39" s="1">
        <v>4800742</v>
      </c>
      <c r="D39" s="1">
        <v>583632833</v>
      </c>
      <c r="E39" s="1">
        <v>57672994</v>
      </c>
      <c r="F39">
        <v>4800.7420000000002</v>
      </c>
      <c r="G39">
        <v>641.30582700000002</v>
      </c>
    </row>
    <row r="40" spans="1:7" x14ac:dyDescent="0.25">
      <c r="A40" s="1" t="s">
        <v>168</v>
      </c>
      <c r="B40" s="1" t="s">
        <v>44</v>
      </c>
      <c r="C40" s="1">
        <v>6402821</v>
      </c>
      <c r="D40" s="1">
        <v>812220346</v>
      </c>
      <c r="E40" s="1">
        <v>77359633</v>
      </c>
      <c r="F40">
        <v>6402.8209999999999</v>
      </c>
      <c r="G40">
        <v>889.57997899999998</v>
      </c>
    </row>
    <row r="41" spans="1:7" x14ac:dyDescent="0.25">
      <c r="A41" s="1" t="s">
        <v>169</v>
      </c>
      <c r="B41" s="1" t="s">
        <v>44</v>
      </c>
      <c r="C41" s="1">
        <v>6837248</v>
      </c>
      <c r="D41" s="1">
        <v>924750922</v>
      </c>
      <c r="E41" s="1">
        <v>91878826</v>
      </c>
      <c r="F41">
        <v>6837.2479999999996</v>
      </c>
      <c r="G41">
        <v>1016.6297479999999</v>
      </c>
    </row>
    <row r="42" spans="1:7" x14ac:dyDescent="0.25">
      <c r="A42" s="1" t="s">
        <v>170</v>
      </c>
      <c r="B42" s="1" t="s">
        <v>44</v>
      </c>
      <c r="C42" s="1">
        <v>6384958</v>
      </c>
      <c r="D42" s="1">
        <v>921489161</v>
      </c>
      <c r="E42" s="1">
        <v>103821388</v>
      </c>
      <c r="F42">
        <v>6384.9579999999996</v>
      </c>
      <c r="G42">
        <v>1025.310549</v>
      </c>
    </row>
    <row r="43" spans="1:7" x14ac:dyDescent="0.25">
      <c r="A43" s="1" t="s">
        <v>171</v>
      </c>
      <c r="B43" s="1" t="s">
        <v>44</v>
      </c>
      <c r="C43" s="1">
        <v>5651396</v>
      </c>
      <c r="D43" s="1">
        <v>827026707</v>
      </c>
      <c r="E43" s="1">
        <v>98400340</v>
      </c>
      <c r="F43">
        <v>5651.3959999999997</v>
      </c>
      <c r="G43">
        <v>925.42704700000002</v>
      </c>
    </row>
    <row r="44" spans="1:7" x14ac:dyDescent="0.25">
      <c r="A44" s="1" t="s">
        <v>172</v>
      </c>
      <c r="B44" s="1" t="s">
        <v>44</v>
      </c>
      <c r="C44" s="1">
        <v>5482422</v>
      </c>
      <c r="D44" s="1">
        <v>820940564</v>
      </c>
      <c r="E44" s="1">
        <v>89321775</v>
      </c>
      <c r="F44">
        <v>5482.4219999999996</v>
      </c>
      <c r="G44">
        <v>910.262339</v>
      </c>
    </row>
    <row r="45" spans="1:7" x14ac:dyDescent="0.25">
      <c r="A45" s="1" t="s">
        <v>173</v>
      </c>
      <c r="B45" s="1" t="s">
        <v>44</v>
      </c>
      <c r="C45" s="1">
        <v>6016911</v>
      </c>
      <c r="D45" s="1">
        <v>895115390</v>
      </c>
      <c r="E45" s="1">
        <v>83131693</v>
      </c>
      <c r="F45">
        <v>6016.9110000000001</v>
      </c>
      <c r="G45">
        <v>978.24708299999998</v>
      </c>
    </row>
    <row r="46" spans="1:7" x14ac:dyDescent="0.25">
      <c r="A46" s="1" t="s">
        <v>174</v>
      </c>
      <c r="B46" s="1" t="s">
        <v>44</v>
      </c>
      <c r="C46" s="1">
        <v>6563750</v>
      </c>
      <c r="D46" s="1">
        <v>996585346</v>
      </c>
      <c r="E46" s="1">
        <v>97400835</v>
      </c>
      <c r="F46">
        <v>6563.75</v>
      </c>
      <c r="G46">
        <v>1093.986181</v>
      </c>
    </row>
    <row r="47" spans="1:7" x14ac:dyDescent="0.25">
      <c r="A47" s="1" t="s">
        <v>175</v>
      </c>
      <c r="B47" s="1" t="s">
        <v>44</v>
      </c>
      <c r="C47" s="1">
        <v>7046428</v>
      </c>
      <c r="D47" s="1">
        <v>1093259658</v>
      </c>
      <c r="E47" s="1">
        <v>100823021</v>
      </c>
      <c r="F47">
        <v>7046.4279999999999</v>
      </c>
      <c r="G47">
        <v>1194.0826790000001</v>
      </c>
    </row>
    <row r="48" spans="1:7" x14ac:dyDescent="0.25">
      <c r="A48" s="1" t="s">
        <v>176</v>
      </c>
      <c r="B48" s="1" t="s">
        <v>44</v>
      </c>
      <c r="C48" s="1">
        <v>7575749</v>
      </c>
      <c r="D48" s="1">
        <v>1219726120</v>
      </c>
      <c r="E48" s="1">
        <v>106981820</v>
      </c>
      <c r="F48">
        <v>7575.7489999999998</v>
      </c>
      <c r="G48">
        <v>1326.70794</v>
      </c>
    </row>
    <row r="49" spans="1:7" x14ac:dyDescent="0.25">
      <c r="A49" s="1" t="s">
        <v>177</v>
      </c>
      <c r="B49" s="1" t="s">
        <v>44</v>
      </c>
      <c r="C49" s="1">
        <v>7789725</v>
      </c>
      <c r="D49" s="1">
        <v>1188311350</v>
      </c>
      <c r="E49" s="1">
        <v>95203584</v>
      </c>
      <c r="F49">
        <v>7789.7250000000004</v>
      </c>
      <c r="G49">
        <v>1283.514934</v>
      </c>
    </row>
    <row r="50" spans="1:7" x14ac:dyDescent="0.25">
      <c r="A50" s="7">
        <v>43838</v>
      </c>
      <c r="B50" s="1" t="s">
        <v>44</v>
      </c>
      <c r="C50" s="1">
        <v>6801809</v>
      </c>
      <c r="D50" s="1">
        <v>997653199</v>
      </c>
      <c r="E50" s="1">
        <v>72765709</v>
      </c>
      <c r="F50">
        <v>6801.8090000000002</v>
      </c>
      <c r="G50">
        <v>1070.4189080000001</v>
      </c>
    </row>
    <row r="51" spans="1:7" x14ac:dyDescent="0.25">
      <c r="A51" s="7">
        <v>43838.041666666664</v>
      </c>
      <c r="B51" s="1" t="s">
        <v>44</v>
      </c>
      <c r="C51" s="1">
        <v>4992104</v>
      </c>
      <c r="D51" s="1">
        <v>700575871</v>
      </c>
      <c r="E51" s="1">
        <v>44528865</v>
      </c>
      <c r="F51">
        <v>4992.1040000000003</v>
      </c>
      <c r="G51">
        <v>745.104736</v>
      </c>
    </row>
    <row r="52" spans="1:7" x14ac:dyDescent="0.25">
      <c r="A52" s="7">
        <v>43838.083333333336</v>
      </c>
      <c r="B52" s="1" t="s">
        <v>44</v>
      </c>
      <c r="C52" s="1">
        <v>3217565</v>
      </c>
      <c r="D52" s="1">
        <v>419659055</v>
      </c>
      <c r="E52" s="1">
        <v>27200790</v>
      </c>
      <c r="F52">
        <v>3217.5650000000001</v>
      </c>
      <c r="G52">
        <v>446.85984500000001</v>
      </c>
    </row>
    <row r="53" spans="1:7" x14ac:dyDescent="0.25">
      <c r="A53" s="7">
        <v>43838.125</v>
      </c>
      <c r="B53" s="1" t="s">
        <v>44</v>
      </c>
      <c r="C53" s="1">
        <v>2041468</v>
      </c>
      <c r="D53" s="1">
        <v>256396122</v>
      </c>
      <c r="E53" s="1">
        <v>18676713</v>
      </c>
      <c r="F53">
        <v>2041.4680000000001</v>
      </c>
      <c r="G53">
        <v>275.072835</v>
      </c>
    </row>
    <row r="54" spans="1:7" x14ac:dyDescent="0.25">
      <c r="A54" s="7">
        <v>43838.166666666664</v>
      </c>
      <c r="B54" s="1" t="s">
        <v>44</v>
      </c>
      <c r="C54" s="1">
        <v>1324043</v>
      </c>
      <c r="D54" s="1">
        <v>161114632</v>
      </c>
      <c r="E54" s="1">
        <v>14738446</v>
      </c>
      <c r="F54">
        <v>1324.0429999999999</v>
      </c>
      <c r="G54">
        <v>175.85307800000001</v>
      </c>
    </row>
    <row r="55" spans="1:7" x14ac:dyDescent="0.25">
      <c r="A55" s="7">
        <v>43838.208333333336</v>
      </c>
      <c r="B55" s="1" t="s">
        <v>44</v>
      </c>
      <c r="C55" s="1">
        <v>2030029</v>
      </c>
      <c r="D55" s="1">
        <v>198719685</v>
      </c>
      <c r="E55" s="1">
        <v>18969306</v>
      </c>
      <c r="F55">
        <v>2030.029</v>
      </c>
      <c r="G55">
        <v>217.68899099999999</v>
      </c>
    </row>
    <row r="56" spans="1:7" x14ac:dyDescent="0.25">
      <c r="A56" s="7">
        <v>43838.25</v>
      </c>
      <c r="B56" s="1" t="s">
        <v>44</v>
      </c>
      <c r="C56" s="1">
        <v>3508868</v>
      </c>
      <c r="D56" s="1">
        <v>348845741</v>
      </c>
      <c r="E56" s="1">
        <v>33737385</v>
      </c>
      <c r="F56">
        <v>3508.8679999999999</v>
      </c>
      <c r="G56">
        <v>382.58312599999999</v>
      </c>
    </row>
    <row r="57" spans="1:7" x14ac:dyDescent="0.25">
      <c r="A57" s="7">
        <v>43838.291666666664</v>
      </c>
      <c r="B57" s="1" t="s">
        <v>44</v>
      </c>
      <c r="C57" s="1">
        <v>3760363</v>
      </c>
      <c r="D57" s="1">
        <v>372249820</v>
      </c>
      <c r="E57" s="1">
        <v>45737081</v>
      </c>
      <c r="F57">
        <v>3760.3629999999998</v>
      </c>
      <c r="G57">
        <v>417.98690099999999</v>
      </c>
    </row>
    <row r="58" spans="1:7" x14ac:dyDescent="0.25">
      <c r="A58" s="7">
        <v>43838.333333333336</v>
      </c>
      <c r="B58" s="1" t="s">
        <v>44</v>
      </c>
      <c r="C58" s="1">
        <v>4345158</v>
      </c>
      <c r="D58" s="1">
        <v>423237422</v>
      </c>
      <c r="E58" s="1">
        <v>70871309</v>
      </c>
      <c r="F58">
        <v>4345.1580000000004</v>
      </c>
      <c r="G58">
        <v>494.10873099999998</v>
      </c>
    </row>
    <row r="59" spans="1:7" x14ac:dyDescent="0.25">
      <c r="A59" s="7">
        <v>43838.375</v>
      </c>
      <c r="B59" s="1" t="s">
        <v>44</v>
      </c>
      <c r="C59" s="1">
        <v>5829784</v>
      </c>
      <c r="D59" s="1">
        <v>628732946</v>
      </c>
      <c r="E59" s="1">
        <v>110729725</v>
      </c>
      <c r="F59">
        <v>5829.7839999999997</v>
      </c>
      <c r="G59">
        <v>739.462671</v>
      </c>
    </row>
    <row r="60" spans="1:7" x14ac:dyDescent="0.25">
      <c r="A60" s="7">
        <v>43838.416666666664</v>
      </c>
      <c r="B60" s="1" t="s">
        <v>44</v>
      </c>
      <c r="C60" s="1">
        <v>6469049</v>
      </c>
      <c r="D60" s="1">
        <v>795227537</v>
      </c>
      <c r="E60" s="1">
        <v>122251892</v>
      </c>
      <c r="F60">
        <v>6469.049</v>
      </c>
      <c r="G60">
        <v>917.47942899999998</v>
      </c>
    </row>
    <row r="61" spans="1:7" x14ac:dyDescent="0.25">
      <c r="A61" s="7">
        <v>43838.458333333336</v>
      </c>
      <c r="B61" s="1" t="s">
        <v>44</v>
      </c>
      <c r="C61" s="1">
        <v>6555246</v>
      </c>
      <c r="D61" s="1">
        <v>891493898</v>
      </c>
      <c r="E61" s="1">
        <v>120666240</v>
      </c>
      <c r="F61">
        <v>6555.2460000000001</v>
      </c>
      <c r="G61">
        <v>1012.160138</v>
      </c>
    </row>
    <row r="62" spans="1:7" x14ac:dyDescent="0.25">
      <c r="A62" s="7">
        <v>43838.5</v>
      </c>
      <c r="B62" s="1" t="s">
        <v>44</v>
      </c>
      <c r="C62" s="1">
        <v>6467957</v>
      </c>
      <c r="D62" s="1">
        <v>873823874</v>
      </c>
      <c r="E62" s="1">
        <v>109483921</v>
      </c>
      <c r="F62">
        <v>6467.9570000000003</v>
      </c>
      <c r="G62">
        <v>983.30779500000006</v>
      </c>
    </row>
    <row r="63" spans="1:7" x14ac:dyDescent="0.25">
      <c r="A63" s="7">
        <v>43838.541666666664</v>
      </c>
      <c r="B63" s="1" t="s">
        <v>44</v>
      </c>
      <c r="C63" s="1">
        <v>6179669</v>
      </c>
      <c r="D63" s="1">
        <v>812543922</v>
      </c>
      <c r="E63" s="1">
        <v>95566055</v>
      </c>
      <c r="F63">
        <v>6179.6689999999999</v>
      </c>
      <c r="G63">
        <v>908.10997699999996</v>
      </c>
    </row>
    <row r="64" spans="1:7" x14ac:dyDescent="0.25">
      <c r="A64" s="7">
        <v>43838.583333333336</v>
      </c>
      <c r="B64" s="1" t="s">
        <v>44</v>
      </c>
      <c r="C64" s="1">
        <v>6377571</v>
      </c>
      <c r="D64" s="1">
        <v>844862021</v>
      </c>
      <c r="E64" s="1">
        <v>94713164</v>
      </c>
      <c r="F64">
        <v>6377.5709999999999</v>
      </c>
      <c r="G64">
        <v>939.57518500000003</v>
      </c>
    </row>
    <row r="65" spans="1:7" x14ac:dyDescent="0.25">
      <c r="A65" s="7">
        <v>43838.625</v>
      </c>
      <c r="B65" s="1" t="s">
        <v>44</v>
      </c>
      <c r="C65" s="1">
        <v>6563270</v>
      </c>
      <c r="D65" s="1">
        <v>897171730</v>
      </c>
      <c r="E65" s="1">
        <v>99276833</v>
      </c>
      <c r="F65">
        <v>6563.27</v>
      </c>
      <c r="G65">
        <v>996.44856300000004</v>
      </c>
    </row>
    <row r="66" spans="1:7" x14ac:dyDescent="0.25">
      <c r="A66" s="7">
        <v>43838.666666666664</v>
      </c>
      <c r="B66" s="1" t="s">
        <v>44</v>
      </c>
      <c r="C66" s="1">
        <v>6546821</v>
      </c>
      <c r="D66" s="1">
        <v>961880490</v>
      </c>
      <c r="E66" s="1">
        <v>109822485</v>
      </c>
      <c r="F66">
        <v>6546.8209999999999</v>
      </c>
      <c r="G66">
        <v>1071.7029749999999</v>
      </c>
    </row>
    <row r="67" spans="1:7" x14ac:dyDescent="0.25">
      <c r="A67" s="7">
        <v>43838.708333333336</v>
      </c>
      <c r="B67" s="1" t="s">
        <v>44</v>
      </c>
      <c r="C67" s="1">
        <v>6382102</v>
      </c>
      <c r="D67" s="1">
        <v>963959427</v>
      </c>
      <c r="E67" s="1">
        <v>117681334</v>
      </c>
      <c r="F67">
        <v>6382.1019999999999</v>
      </c>
      <c r="G67">
        <v>1081.6407610000001</v>
      </c>
    </row>
    <row r="68" spans="1:7" x14ac:dyDescent="0.25">
      <c r="A68" s="7">
        <v>43838.75</v>
      </c>
      <c r="B68" s="1" t="s">
        <v>44</v>
      </c>
      <c r="C68" s="1">
        <v>6365435</v>
      </c>
      <c r="D68" s="1">
        <v>983281300</v>
      </c>
      <c r="E68" s="1">
        <v>130532244</v>
      </c>
      <c r="F68">
        <v>6365.4350000000004</v>
      </c>
      <c r="G68">
        <v>1113.8135440000001</v>
      </c>
    </row>
    <row r="69" spans="1:7" x14ac:dyDescent="0.25">
      <c r="A69" s="7">
        <v>43838.791666666664</v>
      </c>
      <c r="B69" s="1" t="s">
        <v>44</v>
      </c>
      <c r="C69" s="1">
        <v>6790115</v>
      </c>
      <c r="D69" s="1">
        <v>1072873664</v>
      </c>
      <c r="E69" s="1">
        <v>107756714</v>
      </c>
      <c r="F69">
        <v>6790.1149999999998</v>
      </c>
      <c r="G69">
        <v>1180.6303780000001</v>
      </c>
    </row>
    <row r="70" spans="1:7" x14ac:dyDescent="0.25">
      <c r="A70" s="7">
        <v>43838.833333333336</v>
      </c>
      <c r="B70" s="1" t="s">
        <v>44</v>
      </c>
      <c r="C70" s="1">
        <v>7370812</v>
      </c>
      <c r="D70" s="1">
        <v>1276574391</v>
      </c>
      <c r="E70" s="1">
        <v>122307264</v>
      </c>
      <c r="F70">
        <v>7370.8119999999999</v>
      </c>
      <c r="G70">
        <v>1398.8816549999999</v>
      </c>
    </row>
    <row r="71" spans="1:7" x14ac:dyDescent="0.25">
      <c r="A71" s="7">
        <v>43838.875</v>
      </c>
      <c r="B71" s="1" t="s">
        <v>44</v>
      </c>
      <c r="C71" s="1">
        <v>7728240</v>
      </c>
      <c r="D71" s="1">
        <v>1373664505</v>
      </c>
      <c r="E71" s="1">
        <v>119991551</v>
      </c>
      <c r="F71">
        <v>7728.24</v>
      </c>
      <c r="G71">
        <v>1493.656056</v>
      </c>
    </row>
    <row r="72" spans="1:7" x14ac:dyDescent="0.25">
      <c r="A72" s="7">
        <v>43838.916666666664</v>
      </c>
      <c r="B72" s="1" t="s">
        <v>44</v>
      </c>
      <c r="C72" s="1">
        <v>8066018</v>
      </c>
      <c r="D72" s="1">
        <v>1397877295</v>
      </c>
      <c r="E72" s="1">
        <v>108737341</v>
      </c>
      <c r="F72">
        <v>8066.018</v>
      </c>
      <c r="G72">
        <v>1506.614636</v>
      </c>
    </row>
    <row r="73" spans="1:7" x14ac:dyDescent="0.25">
      <c r="A73" s="7">
        <v>43838.958333333336</v>
      </c>
      <c r="B73" s="1" t="s">
        <v>44</v>
      </c>
      <c r="C73" s="1">
        <v>7834918</v>
      </c>
      <c r="D73" s="1">
        <v>1289795066</v>
      </c>
      <c r="E73" s="1">
        <v>85647098</v>
      </c>
      <c r="F73">
        <v>7834.9179999999997</v>
      </c>
      <c r="G73">
        <v>1375.442164</v>
      </c>
    </row>
    <row r="74" spans="1:7" x14ac:dyDescent="0.25">
      <c r="A74" s="7">
        <v>43869</v>
      </c>
      <c r="B74" s="1" t="s">
        <v>44</v>
      </c>
      <c r="C74" s="1">
        <v>5958218</v>
      </c>
      <c r="D74" s="1">
        <v>918819474</v>
      </c>
      <c r="E74" s="1">
        <v>54757363</v>
      </c>
      <c r="F74">
        <v>5958.2179999999998</v>
      </c>
      <c r="G74">
        <v>973.57683699999995</v>
      </c>
    </row>
    <row r="75" spans="1:7" x14ac:dyDescent="0.25">
      <c r="A75" s="7">
        <v>43869.041666666664</v>
      </c>
      <c r="B75" s="1" t="s">
        <v>44</v>
      </c>
      <c r="C75" s="1">
        <v>3856959</v>
      </c>
      <c r="D75" s="1">
        <v>542005623</v>
      </c>
      <c r="E75" s="1">
        <v>31248576</v>
      </c>
      <c r="F75">
        <v>3856.9589999999998</v>
      </c>
      <c r="G75">
        <v>573.25419899999997</v>
      </c>
    </row>
    <row r="76" spans="1:7" x14ac:dyDescent="0.25">
      <c r="A76" s="7">
        <v>43869.083333333336</v>
      </c>
      <c r="B76" s="1" t="s">
        <v>44</v>
      </c>
      <c r="C76" s="1">
        <v>2279986</v>
      </c>
      <c r="D76" s="1">
        <v>327157201</v>
      </c>
      <c r="E76" s="1">
        <v>19241928</v>
      </c>
      <c r="F76">
        <v>2279.9859999999999</v>
      </c>
      <c r="G76">
        <v>346.39912900000002</v>
      </c>
    </row>
    <row r="77" spans="1:7" x14ac:dyDescent="0.25">
      <c r="A77" s="7">
        <v>43869.125</v>
      </c>
      <c r="B77" s="1" t="s">
        <v>44</v>
      </c>
      <c r="C77" s="1">
        <v>1338120</v>
      </c>
      <c r="D77" s="1">
        <v>180273095</v>
      </c>
      <c r="E77" s="1">
        <v>11156674</v>
      </c>
      <c r="F77">
        <v>1338.12</v>
      </c>
      <c r="G77">
        <v>191.42976899999999</v>
      </c>
    </row>
    <row r="78" spans="1:7" x14ac:dyDescent="0.25">
      <c r="A78" s="7">
        <v>43869.166666666664</v>
      </c>
      <c r="B78" s="1" t="s">
        <v>44</v>
      </c>
      <c r="C78" s="1">
        <v>888030</v>
      </c>
      <c r="D78" s="1">
        <v>102965864</v>
      </c>
      <c r="E78" s="1">
        <v>7822884</v>
      </c>
      <c r="F78">
        <v>888.03</v>
      </c>
      <c r="G78">
        <v>110.788748</v>
      </c>
    </row>
    <row r="79" spans="1:7" x14ac:dyDescent="0.25">
      <c r="A79" s="7">
        <v>43869.208333333336</v>
      </c>
      <c r="B79" s="1" t="s">
        <v>44</v>
      </c>
      <c r="C79" s="1">
        <v>1274333</v>
      </c>
      <c r="D79" s="1">
        <v>125446673</v>
      </c>
      <c r="E79" s="1">
        <v>8739291</v>
      </c>
      <c r="F79">
        <v>1274.3330000000001</v>
      </c>
      <c r="G79">
        <v>134.18596400000001</v>
      </c>
    </row>
    <row r="80" spans="1:7" x14ac:dyDescent="0.25">
      <c r="A80" s="7">
        <v>43869.25</v>
      </c>
      <c r="B80" s="1" t="s">
        <v>44</v>
      </c>
      <c r="C80" s="1">
        <v>2609163</v>
      </c>
      <c r="D80" s="1">
        <v>246670447</v>
      </c>
      <c r="E80" s="1">
        <v>16325215</v>
      </c>
      <c r="F80">
        <v>2609.163</v>
      </c>
      <c r="G80">
        <v>262.99566199999998</v>
      </c>
    </row>
    <row r="81" spans="1:7" x14ac:dyDescent="0.25">
      <c r="A81" s="7">
        <v>43869.291666666664</v>
      </c>
      <c r="B81" s="1" t="s">
        <v>44</v>
      </c>
      <c r="C81" s="1">
        <v>4171233</v>
      </c>
      <c r="D81" s="1">
        <v>452451860</v>
      </c>
      <c r="E81" s="1">
        <v>31155778</v>
      </c>
      <c r="F81">
        <v>4171.2330000000002</v>
      </c>
      <c r="G81">
        <v>483.60763800000001</v>
      </c>
    </row>
    <row r="82" spans="1:7" x14ac:dyDescent="0.25">
      <c r="A82" s="7">
        <v>43869.333333333336</v>
      </c>
      <c r="B82" s="1" t="s">
        <v>44</v>
      </c>
      <c r="C82" s="1">
        <v>5588673</v>
      </c>
      <c r="D82" s="1">
        <v>665559996</v>
      </c>
      <c r="E82" s="1">
        <v>48463946</v>
      </c>
      <c r="F82">
        <v>5588.6729999999998</v>
      </c>
      <c r="G82">
        <v>714.02394200000003</v>
      </c>
    </row>
    <row r="83" spans="1:7" x14ac:dyDescent="0.25">
      <c r="A83" s="7">
        <v>43869.375</v>
      </c>
      <c r="B83" s="1" t="s">
        <v>44</v>
      </c>
      <c r="C83" s="1">
        <v>6536761</v>
      </c>
      <c r="D83" s="1">
        <v>871319914</v>
      </c>
      <c r="E83" s="1">
        <v>70882843</v>
      </c>
      <c r="F83">
        <v>6536.7610000000004</v>
      </c>
      <c r="G83">
        <v>942.20275700000002</v>
      </c>
    </row>
    <row r="84" spans="1:7" x14ac:dyDescent="0.25">
      <c r="A84" s="7">
        <v>43869.416666666664</v>
      </c>
      <c r="B84" s="1" t="s">
        <v>44</v>
      </c>
      <c r="C84" s="1">
        <v>7027868</v>
      </c>
      <c r="D84" s="1">
        <v>1022369060</v>
      </c>
      <c r="E84" s="1">
        <v>93906082</v>
      </c>
      <c r="F84">
        <v>7027.8680000000004</v>
      </c>
      <c r="G84">
        <v>1116.275142</v>
      </c>
    </row>
    <row r="85" spans="1:7" x14ac:dyDescent="0.25">
      <c r="A85" s="7">
        <v>43869.458333333336</v>
      </c>
      <c r="B85" s="1" t="s">
        <v>44</v>
      </c>
      <c r="C85" s="1">
        <v>7328309</v>
      </c>
      <c r="D85" s="1">
        <v>1111677608</v>
      </c>
      <c r="E85" s="1">
        <v>107697397</v>
      </c>
      <c r="F85">
        <v>7328.3090000000002</v>
      </c>
      <c r="G85">
        <v>1219.3750050000001</v>
      </c>
    </row>
    <row r="86" spans="1:7" x14ac:dyDescent="0.25">
      <c r="A86" s="7">
        <v>43869.5</v>
      </c>
      <c r="B86" s="1" t="s">
        <v>44</v>
      </c>
      <c r="C86" s="1">
        <v>7378309</v>
      </c>
      <c r="D86" s="1">
        <v>1154290810</v>
      </c>
      <c r="E86" s="1">
        <v>105907309</v>
      </c>
      <c r="F86">
        <v>7378.3090000000002</v>
      </c>
      <c r="G86">
        <v>1260.1981189999999</v>
      </c>
    </row>
    <row r="87" spans="1:7" x14ac:dyDescent="0.25">
      <c r="A87" s="7">
        <v>43869.541666666664</v>
      </c>
      <c r="B87" s="1" t="s">
        <v>44</v>
      </c>
      <c r="C87" s="1">
        <v>6976827</v>
      </c>
      <c r="D87" s="1">
        <v>1044101313</v>
      </c>
      <c r="E87" s="1">
        <v>91463770</v>
      </c>
      <c r="F87">
        <v>6976.8270000000002</v>
      </c>
      <c r="G87">
        <v>1135.565083</v>
      </c>
    </row>
    <row r="88" spans="1:7" x14ac:dyDescent="0.25">
      <c r="A88" s="7">
        <v>43869.583333333336</v>
      </c>
      <c r="B88" s="1" t="s">
        <v>44</v>
      </c>
      <c r="C88" s="1">
        <v>7082613</v>
      </c>
      <c r="D88" s="1">
        <v>1056177142</v>
      </c>
      <c r="E88" s="1">
        <v>88800468</v>
      </c>
      <c r="F88">
        <v>7082.6130000000003</v>
      </c>
      <c r="G88">
        <v>1144.9776099999999</v>
      </c>
    </row>
    <row r="89" spans="1:7" x14ac:dyDescent="0.25">
      <c r="A89" s="7">
        <v>43869.625</v>
      </c>
      <c r="B89" s="1" t="s">
        <v>44</v>
      </c>
      <c r="C89" s="1">
        <v>7288515</v>
      </c>
      <c r="D89" s="1">
        <v>1079179080</v>
      </c>
      <c r="E89" s="1">
        <v>96983299</v>
      </c>
      <c r="F89">
        <v>7288.5150000000003</v>
      </c>
      <c r="G89">
        <v>1176.1623790000001</v>
      </c>
    </row>
    <row r="90" spans="1:7" x14ac:dyDescent="0.25">
      <c r="A90" s="7">
        <v>43869.666666666664</v>
      </c>
      <c r="B90" s="1" t="s">
        <v>44</v>
      </c>
      <c r="C90" s="1">
        <v>7122429</v>
      </c>
      <c r="D90" s="1">
        <v>1091851669</v>
      </c>
      <c r="E90" s="1">
        <v>107164973</v>
      </c>
      <c r="F90">
        <v>7122.4290000000001</v>
      </c>
      <c r="G90">
        <v>1199.016642</v>
      </c>
    </row>
    <row r="91" spans="1:7" x14ac:dyDescent="0.25">
      <c r="A91" s="7">
        <v>43869.708333333336</v>
      </c>
      <c r="B91" s="1" t="s">
        <v>44</v>
      </c>
      <c r="C91" s="1">
        <v>6627654</v>
      </c>
      <c r="D91" s="1">
        <v>1016042551</v>
      </c>
      <c r="E91" s="1">
        <v>112376853</v>
      </c>
      <c r="F91">
        <v>6627.6540000000005</v>
      </c>
      <c r="G91">
        <v>1128.419404</v>
      </c>
    </row>
    <row r="92" spans="1:7" x14ac:dyDescent="0.25">
      <c r="A92" s="7">
        <v>43869.75</v>
      </c>
      <c r="B92" s="1" t="s">
        <v>44</v>
      </c>
      <c r="C92" s="1">
        <v>6460691</v>
      </c>
      <c r="D92" s="1">
        <v>1052591513</v>
      </c>
      <c r="E92" s="1">
        <v>116400164</v>
      </c>
      <c r="F92">
        <v>6460.6909999999998</v>
      </c>
      <c r="G92">
        <v>1168.991677</v>
      </c>
    </row>
    <row r="93" spans="1:7" x14ac:dyDescent="0.25">
      <c r="A93" s="7">
        <v>43869.791666666664</v>
      </c>
      <c r="B93" s="1" t="s">
        <v>44</v>
      </c>
      <c r="C93" s="1">
        <v>7018893</v>
      </c>
      <c r="D93" s="1">
        <v>1157665275</v>
      </c>
      <c r="E93" s="1">
        <v>101208957</v>
      </c>
      <c r="F93">
        <v>7018.893</v>
      </c>
      <c r="G93">
        <v>1258.8742319999999</v>
      </c>
    </row>
    <row r="94" spans="1:7" x14ac:dyDescent="0.25">
      <c r="A94" s="7">
        <v>43869.833333333336</v>
      </c>
      <c r="B94" s="1" t="s">
        <v>44</v>
      </c>
      <c r="C94" s="1">
        <v>7566887</v>
      </c>
      <c r="D94" s="1">
        <v>1329912432</v>
      </c>
      <c r="E94" s="1">
        <v>119686230</v>
      </c>
      <c r="F94">
        <v>7566.8869999999997</v>
      </c>
      <c r="G94">
        <v>1449.5986620000001</v>
      </c>
    </row>
    <row r="95" spans="1:7" x14ac:dyDescent="0.25">
      <c r="A95" s="7">
        <v>43869.875</v>
      </c>
      <c r="B95" s="1" t="s">
        <v>44</v>
      </c>
      <c r="C95" s="1">
        <v>7894756</v>
      </c>
      <c r="D95" s="1">
        <v>1437323600</v>
      </c>
      <c r="E95" s="1">
        <v>116479442</v>
      </c>
      <c r="F95">
        <v>7894.7560000000003</v>
      </c>
      <c r="G95">
        <v>1553.803042</v>
      </c>
    </row>
    <row r="96" spans="1:7" x14ac:dyDescent="0.25">
      <c r="A96" s="7">
        <v>43869.916666666664</v>
      </c>
      <c r="B96" s="1" t="s">
        <v>44</v>
      </c>
      <c r="C96" s="1">
        <v>8299082</v>
      </c>
      <c r="D96" s="1">
        <v>1416121752</v>
      </c>
      <c r="E96" s="1">
        <v>106939193</v>
      </c>
      <c r="F96">
        <v>8299.0820000000003</v>
      </c>
      <c r="G96">
        <v>1523.0609449999999</v>
      </c>
    </row>
    <row r="97" spans="1:7" x14ac:dyDescent="0.25">
      <c r="A97" s="7">
        <v>43869.958333333336</v>
      </c>
      <c r="B97" s="1" t="s">
        <v>44</v>
      </c>
      <c r="C97" s="1">
        <v>8273815</v>
      </c>
      <c r="D97" s="1">
        <v>1357465189</v>
      </c>
      <c r="E97" s="1">
        <v>92244819</v>
      </c>
      <c r="F97">
        <v>8273.8150000000005</v>
      </c>
      <c r="G97">
        <v>1449.710008</v>
      </c>
    </row>
    <row r="98" spans="1:7" x14ac:dyDescent="0.25">
      <c r="A98" s="7">
        <v>43898</v>
      </c>
      <c r="B98" s="1" t="s">
        <v>44</v>
      </c>
      <c r="C98" s="1">
        <v>6722957</v>
      </c>
      <c r="D98" s="1">
        <v>1008518862</v>
      </c>
      <c r="E98" s="1">
        <v>67664075</v>
      </c>
      <c r="F98">
        <v>6722.9570000000003</v>
      </c>
      <c r="G98">
        <v>1076.182937</v>
      </c>
    </row>
    <row r="99" spans="1:7" x14ac:dyDescent="0.25">
      <c r="A99" s="7">
        <v>43898.041666666664</v>
      </c>
      <c r="B99" s="1" t="s">
        <v>44</v>
      </c>
      <c r="C99" s="1">
        <v>4653295</v>
      </c>
      <c r="D99" s="1">
        <v>646803808</v>
      </c>
      <c r="E99" s="1">
        <v>38039079</v>
      </c>
      <c r="F99">
        <v>4653.2950000000001</v>
      </c>
      <c r="G99">
        <v>684.84288700000002</v>
      </c>
    </row>
    <row r="100" spans="1:7" x14ac:dyDescent="0.25">
      <c r="A100" s="7">
        <v>43898.083333333336</v>
      </c>
      <c r="B100" s="1" t="s">
        <v>44</v>
      </c>
      <c r="C100" s="1">
        <v>2830172</v>
      </c>
      <c r="D100" s="1">
        <v>372082033</v>
      </c>
      <c r="E100" s="1">
        <v>23949306</v>
      </c>
      <c r="F100">
        <v>2830.172</v>
      </c>
      <c r="G100">
        <v>396.031339</v>
      </c>
    </row>
    <row r="101" spans="1:7" x14ac:dyDescent="0.25">
      <c r="A101" s="7">
        <v>43898.125</v>
      </c>
      <c r="B101" s="1" t="s">
        <v>44</v>
      </c>
      <c r="C101" s="1">
        <v>1663427</v>
      </c>
      <c r="D101" s="1">
        <v>206005615</v>
      </c>
      <c r="E101" s="1">
        <v>13613663</v>
      </c>
      <c r="F101">
        <v>1663.4269999999999</v>
      </c>
      <c r="G101">
        <v>219.61927800000001</v>
      </c>
    </row>
    <row r="102" spans="1:7" x14ac:dyDescent="0.25">
      <c r="A102" s="7">
        <v>43898.166666666664</v>
      </c>
      <c r="B102" s="1" t="s">
        <v>44</v>
      </c>
      <c r="C102" s="1">
        <v>1036719</v>
      </c>
      <c r="D102" s="1">
        <v>116861828</v>
      </c>
      <c r="E102" s="1">
        <v>7953918</v>
      </c>
      <c r="F102">
        <v>1036.7190000000001</v>
      </c>
      <c r="G102">
        <v>124.815746</v>
      </c>
    </row>
    <row r="103" spans="1:7" x14ac:dyDescent="0.25">
      <c r="A103" s="7">
        <v>43898.208333333336</v>
      </c>
      <c r="B103" s="1" t="s">
        <v>44</v>
      </c>
      <c r="C103" s="1">
        <v>1382425</v>
      </c>
      <c r="D103" s="1">
        <v>139241462</v>
      </c>
      <c r="E103" s="1">
        <v>9798811</v>
      </c>
      <c r="F103">
        <v>1382.425</v>
      </c>
      <c r="G103">
        <v>149.04027300000001</v>
      </c>
    </row>
    <row r="104" spans="1:7" x14ac:dyDescent="0.25">
      <c r="A104" s="7">
        <v>43898.25</v>
      </c>
      <c r="B104" s="1" t="s">
        <v>44</v>
      </c>
      <c r="C104" s="1">
        <v>2650163</v>
      </c>
      <c r="D104" s="1">
        <v>263996829</v>
      </c>
      <c r="E104" s="1">
        <v>17404020</v>
      </c>
      <c r="F104">
        <v>2650.163</v>
      </c>
      <c r="G104">
        <v>281.40084899999999</v>
      </c>
    </row>
    <row r="105" spans="1:7" x14ac:dyDescent="0.25">
      <c r="A105" s="7">
        <v>43898.291666666664</v>
      </c>
      <c r="B105" s="1" t="s">
        <v>44</v>
      </c>
      <c r="C105" s="1">
        <v>4169922</v>
      </c>
      <c r="D105" s="1">
        <v>448426471</v>
      </c>
      <c r="E105" s="1">
        <v>28081311</v>
      </c>
      <c r="F105">
        <v>4169.9219999999996</v>
      </c>
      <c r="G105">
        <v>476.50778200000002</v>
      </c>
    </row>
    <row r="106" spans="1:7" x14ac:dyDescent="0.25">
      <c r="A106" s="7">
        <v>43898.333333333336</v>
      </c>
      <c r="B106" s="1" t="s">
        <v>44</v>
      </c>
      <c r="C106" s="1">
        <v>5542047</v>
      </c>
      <c r="D106" s="1">
        <v>669188465</v>
      </c>
      <c r="E106" s="1">
        <v>49053085</v>
      </c>
      <c r="F106">
        <v>5542.0469999999996</v>
      </c>
      <c r="G106">
        <v>718.24154999999996</v>
      </c>
    </row>
    <row r="107" spans="1:7" x14ac:dyDescent="0.25">
      <c r="A107" s="7">
        <v>43898.375</v>
      </c>
      <c r="B107" s="1" t="s">
        <v>44</v>
      </c>
      <c r="C107" s="1">
        <v>6427455</v>
      </c>
      <c r="D107" s="1">
        <v>878558279</v>
      </c>
      <c r="E107" s="1">
        <v>67979034</v>
      </c>
      <c r="F107">
        <v>6427.4549999999999</v>
      </c>
      <c r="G107">
        <v>946.53731300000004</v>
      </c>
    </row>
    <row r="108" spans="1:7" x14ac:dyDescent="0.25">
      <c r="A108" s="7">
        <v>43898.416666666664</v>
      </c>
      <c r="B108" s="1" t="s">
        <v>44</v>
      </c>
      <c r="C108" s="1">
        <v>6969460</v>
      </c>
      <c r="D108" s="1">
        <v>1000642395</v>
      </c>
      <c r="E108" s="1">
        <v>86220010</v>
      </c>
      <c r="F108">
        <v>6969.46</v>
      </c>
      <c r="G108">
        <v>1086.8624050000001</v>
      </c>
    </row>
    <row r="109" spans="1:7" x14ac:dyDescent="0.25">
      <c r="A109" s="7">
        <v>43898.458333333336</v>
      </c>
      <c r="B109" s="1" t="s">
        <v>44</v>
      </c>
      <c r="C109" s="1">
        <v>7242650</v>
      </c>
      <c r="D109" s="1">
        <v>1068421693</v>
      </c>
      <c r="E109" s="1">
        <v>92934099</v>
      </c>
      <c r="F109">
        <v>7242.65</v>
      </c>
      <c r="G109">
        <v>1161.3557920000001</v>
      </c>
    </row>
    <row r="110" spans="1:7" x14ac:dyDescent="0.25">
      <c r="A110" s="7">
        <v>43898.5</v>
      </c>
      <c r="B110" s="1" t="s">
        <v>44</v>
      </c>
      <c r="C110" s="1">
        <v>7258687</v>
      </c>
      <c r="D110" s="1">
        <v>1102288731</v>
      </c>
      <c r="E110" s="1">
        <v>93490512</v>
      </c>
      <c r="F110">
        <v>7258.6869999999999</v>
      </c>
      <c r="G110">
        <v>1195.779243</v>
      </c>
    </row>
    <row r="111" spans="1:7" x14ac:dyDescent="0.25">
      <c r="A111" s="7">
        <v>43898.541666666664</v>
      </c>
      <c r="B111" s="1" t="s">
        <v>44</v>
      </c>
      <c r="C111" s="1">
        <v>6917048</v>
      </c>
      <c r="D111" s="1">
        <v>991966814</v>
      </c>
      <c r="E111" s="1">
        <v>84151234</v>
      </c>
      <c r="F111">
        <v>6917.0479999999998</v>
      </c>
      <c r="G111">
        <v>1076.118048</v>
      </c>
    </row>
    <row r="112" spans="1:7" x14ac:dyDescent="0.25">
      <c r="A112" s="7">
        <v>43898.583333333336</v>
      </c>
      <c r="B112" s="1" t="s">
        <v>44</v>
      </c>
      <c r="C112" s="1">
        <v>7083790</v>
      </c>
      <c r="D112" s="1">
        <v>1031091413</v>
      </c>
      <c r="E112" s="1">
        <v>79202139</v>
      </c>
      <c r="F112">
        <v>7083.79</v>
      </c>
      <c r="G112">
        <v>1110.2935520000001</v>
      </c>
    </row>
    <row r="113" spans="1:7" x14ac:dyDescent="0.25">
      <c r="A113" s="7">
        <v>43898.625</v>
      </c>
      <c r="B113" s="1" t="s">
        <v>44</v>
      </c>
      <c r="C113" s="1">
        <v>7258058</v>
      </c>
      <c r="D113" s="1">
        <v>1058472085</v>
      </c>
      <c r="E113" s="1">
        <v>85141852</v>
      </c>
      <c r="F113">
        <v>7258.058</v>
      </c>
      <c r="G113">
        <v>1143.6139370000001</v>
      </c>
    </row>
    <row r="114" spans="1:7" x14ac:dyDescent="0.25">
      <c r="A114" s="7">
        <v>43898.666666666664</v>
      </c>
      <c r="B114" s="1" t="s">
        <v>44</v>
      </c>
      <c r="C114" s="1">
        <v>7072777</v>
      </c>
      <c r="D114" s="1">
        <v>1058238494</v>
      </c>
      <c r="E114" s="1">
        <v>94405568</v>
      </c>
      <c r="F114">
        <v>7072.777</v>
      </c>
      <c r="G114">
        <v>1152.6440620000001</v>
      </c>
    </row>
    <row r="115" spans="1:7" x14ac:dyDescent="0.25">
      <c r="A115" s="7">
        <v>43898.708333333336</v>
      </c>
      <c r="B115" s="1" t="s">
        <v>44</v>
      </c>
      <c r="C115" s="1">
        <v>6470975</v>
      </c>
      <c r="D115" s="1">
        <v>991717328</v>
      </c>
      <c r="E115" s="1">
        <v>93599999</v>
      </c>
      <c r="F115">
        <v>6470.9750000000004</v>
      </c>
      <c r="G115">
        <v>1085.317327</v>
      </c>
    </row>
    <row r="116" spans="1:7" x14ac:dyDescent="0.25">
      <c r="A116" s="7">
        <v>43898.75</v>
      </c>
      <c r="B116" s="1" t="s">
        <v>44</v>
      </c>
      <c r="C116" s="1">
        <v>6183673</v>
      </c>
      <c r="D116" s="1">
        <v>1004780011</v>
      </c>
      <c r="E116" s="1">
        <v>96690584</v>
      </c>
      <c r="F116">
        <v>6183.6729999999998</v>
      </c>
      <c r="G116">
        <v>1101.470595</v>
      </c>
    </row>
    <row r="117" spans="1:7" x14ac:dyDescent="0.25">
      <c r="A117" s="7">
        <v>43898.791666666664</v>
      </c>
      <c r="B117" s="1" t="s">
        <v>44</v>
      </c>
      <c r="C117" s="1">
        <v>6699630</v>
      </c>
      <c r="D117" s="1">
        <v>1112135333</v>
      </c>
      <c r="E117" s="1">
        <v>89718046</v>
      </c>
      <c r="F117">
        <v>6699.63</v>
      </c>
      <c r="G117">
        <v>1201.8533789999999</v>
      </c>
    </row>
    <row r="118" spans="1:7" x14ac:dyDescent="0.25">
      <c r="A118" s="7">
        <v>43898.833333333336</v>
      </c>
      <c r="B118" s="1" t="s">
        <v>44</v>
      </c>
      <c r="C118" s="1">
        <v>7318459</v>
      </c>
      <c r="D118" s="1">
        <v>1286736117</v>
      </c>
      <c r="E118" s="1">
        <v>111033222</v>
      </c>
      <c r="F118">
        <v>7318.4589999999998</v>
      </c>
      <c r="G118">
        <v>1397.7693389999999</v>
      </c>
    </row>
    <row r="119" spans="1:7" x14ac:dyDescent="0.25">
      <c r="A119" s="7">
        <v>43898.875</v>
      </c>
      <c r="B119" s="1" t="s">
        <v>44</v>
      </c>
      <c r="C119" s="1">
        <v>7627587</v>
      </c>
      <c r="D119" s="1">
        <v>1365444719</v>
      </c>
      <c r="E119" s="1">
        <v>116309691</v>
      </c>
      <c r="F119">
        <v>7627.5870000000004</v>
      </c>
      <c r="G119">
        <v>1481.75441</v>
      </c>
    </row>
    <row r="120" spans="1:7" x14ac:dyDescent="0.25">
      <c r="A120" s="7">
        <v>43898.916666666664</v>
      </c>
      <c r="B120" s="1" t="s">
        <v>44</v>
      </c>
      <c r="C120" s="1">
        <v>8030947</v>
      </c>
      <c r="D120" s="1">
        <v>1374435116</v>
      </c>
      <c r="E120" s="1">
        <v>100029871</v>
      </c>
      <c r="F120">
        <v>8030.9470000000001</v>
      </c>
      <c r="G120">
        <v>1474.4649870000001</v>
      </c>
    </row>
    <row r="121" spans="1:7" x14ac:dyDescent="0.25">
      <c r="A121" s="7">
        <v>43898.958333333336</v>
      </c>
      <c r="B121" s="1" t="s">
        <v>44</v>
      </c>
      <c r="C121" s="1">
        <v>7848488</v>
      </c>
      <c r="D121" s="1">
        <v>1273296173</v>
      </c>
      <c r="E121" s="1">
        <v>82456740</v>
      </c>
      <c r="F121">
        <v>7848.4880000000003</v>
      </c>
      <c r="G121">
        <v>1355.752913</v>
      </c>
    </row>
    <row r="122" spans="1:7" x14ac:dyDescent="0.25">
      <c r="A122" s="7">
        <v>43929</v>
      </c>
      <c r="B122" s="1" t="s">
        <v>44</v>
      </c>
      <c r="C122" s="1">
        <v>6154350</v>
      </c>
      <c r="D122" s="1">
        <v>940241048</v>
      </c>
      <c r="E122" s="1">
        <v>57872106</v>
      </c>
      <c r="F122">
        <v>6154.35</v>
      </c>
      <c r="G122">
        <v>998.11315400000001</v>
      </c>
    </row>
    <row r="123" spans="1:7" x14ac:dyDescent="0.25">
      <c r="A123" s="7">
        <v>43929.041666666664</v>
      </c>
      <c r="B123" s="1" t="s">
        <v>44</v>
      </c>
      <c r="C123" s="1">
        <v>4132672</v>
      </c>
      <c r="D123" s="1">
        <v>593438299</v>
      </c>
      <c r="E123" s="1">
        <v>38003317</v>
      </c>
      <c r="F123">
        <v>4132.6719999999996</v>
      </c>
      <c r="G123">
        <v>631.44161599999995</v>
      </c>
    </row>
    <row r="124" spans="1:7" x14ac:dyDescent="0.25">
      <c r="A124" s="7">
        <v>43929.083333333336</v>
      </c>
      <c r="B124" s="1" t="s">
        <v>44</v>
      </c>
      <c r="C124" s="1">
        <v>2506836</v>
      </c>
      <c r="D124" s="1">
        <v>334023804</v>
      </c>
      <c r="E124" s="1">
        <v>20040713</v>
      </c>
      <c r="F124">
        <v>2506.8359999999998</v>
      </c>
      <c r="G124">
        <v>354.06451700000002</v>
      </c>
    </row>
    <row r="125" spans="1:7" x14ac:dyDescent="0.25">
      <c r="A125" s="7">
        <v>43929.125</v>
      </c>
      <c r="B125" s="1" t="s">
        <v>44</v>
      </c>
      <c r="C125" s="1">
        <v>1441709</v>
      </c>
      <c r="D125" s="1">
        <v>194309156</v>
      </c>
      <c r="E125" s="1">
        <v>11819902</v>
      </c>
      <c r="F125">
        <v>1441.7090000000001</v>
      </c>
      <c r="G125">
        <v>206.12905799999999</v>
      </c>
    </row>
    <row r="126" spans="1:7" x14ac:dyDescent="0.25">
      <c r="A126" s="7">
        <v>43929.166666666664</v>
      </c>
      <c r="B126" s="1" t="s">
        <v>44</v>
      </c>
      <c r="C126" s="1">
        <v>915362</v>
      </c>
      <c r="D126" s="1">
        <v>110648187</v>
      </c>
      <c r="E126" s="1">
        <v>7948538</v>
      </c>
      <c r="F126">
        <v>915.36199999999997</v>
      </c>
      <c r="G126">
        <v>118.59672500000001</v>
      </c>
    </row>
    <row r="127" spans="1:7" x14ac:dyDescent="0.25">
      <c r="A127" s="7">
        <v>43929.208333333336</v>
      </c>
      <c r="B127" s="1" t="s">
        <v>44</v>
      </c>
      <c r="C127" s="1">
        <v>1216718</v>
      </c>
      <c r="D127" s="1">
        <v>128205803</v>
      </c>
      <c r="E127" s="1">
        <v>9524271</v>
      </c>
      <c r="F127">
        <v>1216.7180000000001</v>
      </c>
      <c r="G127">
        <v>137.730074</v>
      </c>
    </row>
    <row r="128" spans="1:7" x14ac:dyDescent="0.25">
      <c r="A128" s="7">
        <v>43929.25</v>
      </c>
      <c r="B128" s="1" t="s">
        <v>44</v>
      </c>
      <c r="C128" s="1">
        <v>2413814</v>
      </c>
      <c r="D128" s="1">
        <v>253537193</v>
      </c>
      <c r="E128" s="1">
        <v>18991233</v>
      </c>
      <c r="F128">
        <v>2413.8139999999999</v>
      </c>
      <c r="G128">
        <v>272.52842600000002</v>
      </c>
    </row>
    <row r="129" spans="1:7" x14ac:dyDescent="0.25">
      <c r="A129" s="7">
        <v>43929.291666666664</v>
      </c>
      <c r="B129" s="1" t="s">
        <v>44</v>
      </c>
      <c r="C129" s="1">
        <v>3930782</v>
      </c>
      <c r="D129" s="1">
        <v>427571660</v>
      </c>
      <c r="E129" s="1">
        <v>28422779</v>
      </c>
      <c r="F129">
        <v>3930.7820000000002</v>
      </c>
      <c r="G129">
        <v>455.994439</v>
      </c>
    </row>
    <row r="130" spans="1:7" x14ac:dyDescent="0.25">
      <c r="A130" s="7">
        <v>43929.333333333336</v>
      </c>
      <c r="B130" s="1" t="s">
        <v>44</v>
      </c>
      <c r="C130" s="1">
        <v>5349516</v>
      </c>
      <c r="D130" s="1">
        <v>634930129</v>
      </c>
      <c r="E130" s="1">
        <v>45471968</v>
      </c>
      <c r="F130">
        <v>5349.5159999999996</v>
      </c>
      <c r="G130">
        <v>680.40209700000003</v>
      </c>
    </row>
    <row r="131" spans="1:7" x14ac:dyDescent="0.25">
      <c r="A131" s="7">
        <v>43929.375</v>
      </c>
      <c r="B131" s="1" t="s">
        <v>44</v>
      </c>
      <c r="C131" s="1">
        <v>6208122</v>
      </c>
      <c r="D131" s="1">
        <v>831964444</v>
      </c>
      <c r="E131" s="1">
        <v>63001338</v>
      </c>
      <c r="F131">
        <v>6208.1220000000003</v>
      </c>
      <c r="G131">
        <v>894.96578199999999</v>
      </c>
    </row>
    <row r="132" spans="1:7" x14ac:dyDescent="0.25">
      <c r="A132" s="7">
        <v>43929.416666666664</v>
      </c>
      <c r="B132" s="1" t="s">
        <v>44</v>
      </c>
      <c r="C132" s="1">
        <v>6629131</v>
      </c>
      <c r="D132" s="1">
        <v>948709219</v>
      </c>
      <c r="E132" s="1">
        <v>81721275</v>
      </c>
      <c r="F132">
        <v>6629.1310000000003</v>
      </c>
      <c r="G132">
        <v>1030.430494</v>
      </c>
    </row>
    <row r="133" spans="1:7" x14ac:dyDescent="0.25">
      <c r="A133" s="7">
        <v>43929.458333333336</v>
      </c>
      <c r="B133" s="1" t="s">
        <v>44</v>
      </c>
      <c r="C133" s="1">
        <v>6886249</v>
      </c>
      <c r="D133" s="1">
        <v>1064148440</v>
      </c>
      <c r="E133" s="1">
        <v>89610415</v>
      </c>
      <c r="F133">
        <v>6886.2489999999998</v>
      </c>
      <c r="G133">
        <v>1153.758855</v>
      </c>
    </row>
    <row r="134" spans="1:7" x14ac:dyDescent="0.25">
      <c r="A134" s="7">
        <v>43929.5</v>
      </c>
      <c r="B134" s="1" t="s">
        <v>44</v>
      </c>
      <c r="C134" s="1">
        <v>7027051</v>
      </c>
      <c r="D134" s="1">
        <v>1105525519</v>
      </c>
      <c r="E134" s="1">
        <v>93722841</v>
      </c>
      <c r="F134">
        <v>7027.0510000000004</v>
      </c>
      <c r="G134">
        <v>1199.24836</v>
      </c>
    </row>
    <row r="135" spans="1:7" x14ac:dyDescent="0.25">
      <c r="A135" s="7">
        <v>43929.541666666664</v>
      </c>
      <c r="B135" s="1" t="s">
        <v>44</v>
      </c>
      <c r="C135" s="1">
        <v>6649691</v>
      </c>
      <c r="D135" s="1">
        <v>1003812604</v>
      </c>
      <c r="E135" s="1">
        <v>83405403</v>
      </c>
      <c r="F135">
        <v>6649.6909999999998</v>
      </c>
      <c r="G135">
        <v>1087.2180069999999</v>
      </c>
    </row>
    <row r="136" spans="1:7" x14ac:dyDescent="0.25">
      <c r="A136" s="7">
        <v>43929.583333333336</v>
      </c>
      <c r="B136" s="1" t="s">
        <v>44</v>
      </c>
      <c r="C136" s="1">
        <v>6807008</v>
      </c>
      <c r="D136" s="1">
        <v>1013028382</v>
      </c>
      <c r="E136" s="1">
        <v>79261910</v>
      </c>
      <c r="F136">
        <v>6807.0079999999998</v>
      </c>
      <c r="G136">
        <v>1092.2902919999999</v>
      </c>
    </row>
    <row r="137" spans="1:7" x14ac:dyDescent="0.25">
      <c r="A137" s="7">
        <v>43929.625</v>
      </c>
      <c r="B137" s="1" t="s">
        <v>44</v>
      </c>
      <c r="C137" s="1">
        <v>7102980</v>
      </c>
      <c r="D137" s="1">
        <v>1038529007</v>
      </c>
      <c r="E137" s="1">
        <v>90139534</v>
      </c>
      <c r="F137">
        <v>7102.98</v>
      </c>
      <c r="G137">
        <v>1128.668541</v>
      </c>
    </row>
    <row r="138" spans="1:7" x14ac:dyDescent="0.25">
      <c r="A138" s="7">
        <v>43929.666666666664</v>
      </c>
      <c r="B138" s="1" t="s">
        <v>44</v>
      </c>
      <c r="C138" s="1">
        <v>6991061</v>
      </c>
      <c r="D138" s="1">
        <v>1067463504</v>
      </c>
      <c r="E138" s="1">
        <v>99857713</v>
      </c>
      <c r="F138">
        <v>6991.0609999999997</v>
      </c>
      <c r="G138">
        <v>1167.3212169999999</v>
      </c>
    </row>
    <row r="139" spans="1:7" x14ac:dyDescent="0.25">
      <c r="A139" s="7">
        <v>43929.708333333336</v>
      </c>
      <c r="B139" s="1" t="s">
        <v>44</v>
      </c>
      <c r="C139" s="1">
        <v>6374361</v>
      </c>
      <c r="D139" s="1">
        <v>990745921</v>
      </c>
      <c r="E139" s="1">
        <v>104080182</v>
      </c>
      <c r="F139">
        <v>6374.3609999999999</v>
      </c>
      <c r="G139">
        <v>1094.8261030000001</v>
      </c>
    </row>
    <row r="140" spans="1:7" x14ac:dyDescent="0.25">
      <c r="A140" s="7">
        <v>43929.75</v>
      </c>
      <c r="B140" s="1" t="s">
        <v>44</v>
      </c>
      <c r="C140" s="1">
        <v>6153257</v>
      </c>
      <c r="D140" s="1">
        <v>989357140</v>
      </c>
      <c r="E140" s="1">
        <v>100739555</v>
      </c>
      <c r="F140">
        <v>6153.2569999999996</v>
      </c>
      <c r="G140">
        <v>1090.096695</v>
      </c>
    </row>
    <row r="141" spans="1:7" x14ac:dyDescent="0.25">
      <c r="A141" s="7">
        <v>43929.791666666664</v>
      </c>
      <c r="B141" s="1" t="s">
        <v>44</v>
      </c>
      <c r="C141" s="1">
        <v>6901504</v>
      </c>
      <c r="D141" s="1">
        <v>1135673168</v>
      </c>
      <c r="E141" s="1">
        <v>94121954</v>
      </c>
      <c r="F141">
        <v>6901.5039999999999</v>
      </c>
      <c r="G141">
        <v>1229.795122</v>
      </c>
    </row>
    <row r="142" spans="1:7" x14ac:dyDescent="0.25">
      <c r="A142" s="7">
        <v>43929.833333333336</v>
      </c>
      <c r="B142" s="1" t="s">
        <v>44</v>
      </c>
      <c r="C142" s="1">
        <v>7502592</v>
      </c>
      <c r="D142" s="1">
        <v>1289086682</v>
      </c>
      <c r="E142" s="1">
        <v>106073321</v>
      </c>
      <c r="F142">
        <v>7502.5919999999996</v>
      </c>
      <c r="G142">
        <v>1395.160003</v>
      </c>
    </row>
    <row r="143" spans="1:7" x14ac:dyDescent="0.25">
      <c r="A143" s="7">
        <v>43929.875</v>
      </c>
      <c r="B143" s="1" t="s">
        <v>44</v>
      </c>
      <c r="C143" s="1">
        <v>7888971</v>
      </c>
      <c r="D143" s="1">
        <v>1325443772</v>
      </c>
      <c r="E143" s="1">
        <v>107967467</v>
      </c>
      <c r="F143">
        <v>7888.9709999999995</v>
      </c>
      <c r="G143">
        <v>1433.411239</v>
      </c>
    </row>
    <row r="144" spans="1:7" x14ac:dyDescent="0.25">
      <c r="A144" s="7">
        <v>43929.916666666664</v>
      </c>
      <c r="B144" s="1" t="s">
        <v>44</v>
      </c>
      <c r="C144" s="1">
        <v>8166204</v>
      </c>
      <c r="D144" s="1">
        <v>1355450822</v>
      </c>
      <c r="E144" s="1">
        <v>103871539</v>
      </c>
      <c r="F144">
        <v>8166.2039999999997</v>
      </c>
      <c r="G144">
        <v>1459.322361</v>
      </c>
    </row>
    <row r="145" spans="1:7" x14ac:dyDescent="0.25">
      <c r="A145" s="7">
        <v>43929.958333333336</v>
      </c>
      <c r="B145" s="1" t="s">
        <v>44</v>
      </c>
      <c r="C145" s="1">
        <v>7916806</v>
      </c>
      <c r="D145" s="1">
        <v>1250011587</v>
      </c>
      <c r="E145" s="1">
        <v>82806036</v>
      </c>
      <c r="F145">
        <v>7916.8059999999996</v>
      </c>
      <c r="G145">
        <v>1332.8176229999999</v>
      </c>
    </row>
    <row r="146" spans="1:7" x14ac:dyDescent="0.25">
      <c r="A146" s="7">
        <v>43959</v>
      </c>
      <c r="B146" s="1" t="s">
        <v>44</v>
      </c>
      <c r="C146" s="1">
        <v>6131368</v>
      </c>
      <c r="D146" s="1">
        <v>873431791</v>
      </c>
      <c r="E146" s="1">
        <v>56171461</v>
      </c>
      <c r="F146">
        <v>6131.3680000000004</v>
      </c>
      <c r="G146">
        <v>929.603252</v>
      </c>
    </row>
    <row r="147" spans="1:7" x14ac:dyDescent="0.25">
      <c r="A147" s="7">
        <v>43959.041666666664</v>
      </c>
      <c r="B147" s="1" t="s">
        <v>44</v>
      </c>
      <c r="C147" s="1">
        <v>4062447</v>
      </c>
      <c r="D147" s="1">
        <v>570859357</v>
      </c>
      <c r="E147" s="1">
        <v>39002223</v>
      </c>
      <c r="F147">
        <v>4062.4470000000001</v>
      </c>
      <c r="G147">
        <v>609.86158</v>
      </c>
    </row>
    <row r="148" spans="1:7" x14ac:dyDescent="0.25">
      <c r="A148" s="7">
        <v>43959.083333333336</v>
      </c>
      <c r="B148" s="1" t="s">
        <v>44</v>
      </c>
      <c r="C148" s="1">
        <v>2441959</v>
      </c>
      <c r="D148" s="1">
        <v>330480528</v>
      </c>
      <c r="E148" s="1">
        <v>24587214</v>
      </c>
      <c r="F148">
        <v>2441.9589999999998</v>
      </c>
      <c r="G148">
        <v>355.06774200000001</v>
      </c>
    </row>
    <row r="149" spans="1:7" x14ac:dyDescent="0.25">
      <c r="A149" s="7">
        <v>43959.125</v>
      </c>
      <c r="B149" s="1" t="s">
        <v>44</v>
      </c>
      <c r="C149" s="1">
        <v>1408201</v>
      </c>
      <c r="D149" s="1">
        <v>183471924</v>
      </c>
      <c r="E149" s="1">
        <v>14698809</v>
      </c>
      <c r="F149">
        <v>1408.201</v>
      </c>
      <c r="G149">
        <v>198.17073300000001</v>
      </c>
    </row>
    <row r="150" spans="1:7" x14ac:dyDescent="0.25">
      <c r="A150" s="7">
        <v>43959.166666666664</v>
      </c>
      <c r="B150" s="1" t="s">
        <v>44</v>
      </c>
      <c r="C150" s="1">
        <v>885608</v>
      </c>
      <c r="D150" s="1">
        <v>114093096</v>
      </c>
      <c r="E150" s="1">
        <v>9966091</v>
      </c>
      <c r="F150">
        <v>885.60799999999995</v>
      </c>
      <c r="G150">
        <v>124.05918699999999</v>
      </c>
    </row>
    <row r="151" spans="1:7" x14ac:dyDescent="0.25">
      <c r="A151" s="7">
        <v>43959.208333333336</v>
      </c>
      <c r="B151" s="1" t="s">
        <v>44</v>
      </c>
      <c r="C151" s="1">
        <v>1173170</v>
      </c>
      <c r="D151" s="1">
        <v>138001154</v>
      </c>
      <c r="E151" s="1">
        <v>10545207</v>
      </c>
      <c r="F151">
        <v>1173.17</v>
      </c>
      <c r="G151">
        <v>148.54636099999999</v>
      </c>
    </row>
    <row r="152" spans="1:7" x14ac:dyDescent="0.25">
      <c r="A152" s="7">
        <v>43959.25</v>
      </c>
      <c r="B152" s="1" t="s">
        <v>44</v>
      </c>
      <c r="C152" s="1">
        <v>2366515</v>
      </c>
      <c r="D152" s="1">
        <v>255827424</v>
      </c>
      <c r="E152" s="1">
        <v>17468726</v>
      </c>
      <c r="F152">
        <v>2366.5149999999999</v>
      </c>
      <c r="G152">
        <v>273.29615000000001</v>
      </c>
    </row>
    <row r="153" spans="1:7" x14ac:dyDescent="0.25">
      <c r="A153" s="7">
        <v>43959.291666666664</v>
      </c>
      <c r="B153" s="1" t="s">
        <v>44</v>
      </c>
      <c r="C153" s="1">
        <v>3857154</v>
      </c>
      <c r="D153" s="1">
        <v>447006157</v>
      </c>
      <c r="E153" s="1">
        <v>27420202</v>
      </c>
      <c r="F153">
        <v>3857.154</v>
      </c>
      <c r="G153">
        <v>474.42635899999999</v>
      </c>
    </row>
    <row r="154" spans="1:7" x14ac:dyDescent="0.25">
      <c r="A154" s="7">
        <v>43959.333333333336</v>
      </c>
      <c r="B154" s="1" t="s">
        <v>44</v>
      </c>
      <c r="C154" s="1">
        <v>5210434</v>
      </c>
      <c r="D154" s="1">
        <v>632298268</v>
      </c>
      <c r="E154" s="1">
        <v>43777844</v>
      </c>
      <c r="F154">
        <v>5210.4340000000002</v>
      </c>
      <c r="G154">
        <v>676.07611199999997</v>
      </c>
    </row>
    <row r="155" spans="1:7" x14ac:dyDescent="0.25">
      <c r="A155" s="7">
        <v>43959.375</v>
      </c>
      <c r="B155" s="1" t="s">
        <v>44</v>
      </c>
      <c r="C155" s="1">
        <v>6080707</v>
      </c>
      <c r="D155" s="1">
        <v>799945660</v>
      </c>
      <c r="E155" s="1">
        <v>65601526</v>
      </c>
      <c r="F155">
        <v>6080.7070000000003</v>
      </c>
      <c r="G155">
        <v>865.54718600000001</v>
      </c>
    </row>
    <row r="156" spans="1:7" x14ac:dyDescent="0.25">
      <c r="A156" s="7">
        <v>43959.416666666664</v>
      </c>
      <c r="B156" s="1" t="s">
        <v>44</v>
      </c>
      <c r="C156" s="1">
        <v>6618780</v>
      </c>
      <c r="D156" s="1">
        <v>942432030</v>
      </c>
      <c r="E156" s="1">
        <v>80450647</v>
      </c>
      <c r="F156">
        <v>6618.78</v>
      </c>
      <c r="G156">
        <v>1022.8826769999999</v>
      </c>
    </row>
    <row r="157" spans="1:7" x14ac:dyDescent="0.25">
      <c r="A157" s="7">
        <v>43959.458333333336</v>
      </c>
      <c r="B157" s="1" t="s">
        <v>44</v>
      </c>
      <c r="C157" s="1">
        <v>6754902</v>
      </c>
      <c r="D157" s="1">
        <v>1040048159</v>
      </c>
      <c r="E157" s="1">
        <v>87136982</v>
      </c>
      <c r="F157">
        <v>6754.902</v>
      </c>
      <c r="G157">
        <v>1127.1851409999999</v>
      </c>
    </row>
    <row r="158" spans="1:7" x14ac:dyDescent="0.25">
      <c r="A158" s="7">
        <v>43959.5</v>
      </c>
      <c r="B158" s="1" t="s">
        <v>44</v>
      </c>
      <c r="C158" s="1">
        <v>6707062</v>
      </c>
      <c r="D158" s="1">
        <v>1063988766</v>
      </c>
      <c r="E158" s="1">
        <v>92590233</v>
      </c>
      <c r="F158">
        <v>6707.0619999999999</v>
      </c>
      <c r="G158">
        <v>1156.5789990000001</v>
      </c>
    </row>
    <row r="159" spans="1:7" x14ac:dyDescent="0.25">
      <c r="A159" s="7">
        <v>43959.541666666664</v>
      </c>
      <c r="B159" s="1" t="s">
        <v>44</v>
      </c>
      <c r="C159" s="1">
        <v>6220618</v>
      </c>
      <c r="D159" s="1">
        <v>930773448</v>
      </c>
      <c r="E159" s="1">
        <v>83414500</v>
      </c>
      <c r="F159">
        <v>6220.6180000000004</v>
      </c>
      <c r="G159">
        <v>1014.187948</v>
      </c>
    </row>
    <row r="160" spans="1:7" x14ac:dyDescent="0.25">
      <c r="A160" s="7">
        <v>43959.583333333336</v>
      </c>
      <c r="B160" s="1" t="s">
        <v>44</v>
      </c>
      <c r="C160" s="1">
        <v>6512591</v>
      </c>
      <c r="D160" s="1">
        <v>936182205</v>
      </c>
      <c r="E160" s="1">
        <v>80189858</v>
      </c>
      <c r="F160">
        <v>6512.5910000000003</v>
      </c>
      <c r="G160">
        <v>1016.372063</v>
      </c>
    </row>
    <row r="161" spans="1:7" x14ac:dyDescent="0.25">
      <c r="A161" s="7">
        <v>43959.625</v>
      </c>
      <c r="B161" s="1" t="s">
        <v>44</v>
      </c>
      <c r="C161" s="1">
        <v>6842256</v>
      </c>
      <c r="D161" s="1">
        <v>1002908677</v>
      </c>
      <c r="E161" s="1">
        <v>87229450</v>
      </c>
      <c r="F161">
        <v>6842.2560000000003</v>
      </c>
      <c r="G161">
        <v>1090.1381269999999</v>
      </c>
    </row>
    <row r="162" spans="1:7" x14ac:dyDescent="0.25">
      <c r="A162" s="7">
        <v>43959.666666666664</v>
      </c>
      <c r="B162" s="1" t="s">
        <v>44</v>
      </c>
      <c r="C162" s="1">
        <v>6616404</v>
      </c>
      <c r="D162" s="1">
        <v>1014063421</v>
      </c>
      <c r="E162" s="1">
        <v>95592092</v>
      </c>
      <c r="F162">
        <v>6616.4040000000005</v>
      </c>
      <c r="G162">
        <v>1109.6555129999999</v>
      </c>
    </row>
    <row r="163" spans="1:7" x14ac:dyDescent="0.25">
      <c r="A163" s="7">
        <v>43959.708333333336</v>
      </c>
      <c r="B163" s="1" t="s">
        <v>44</v>
      </c>
      <c r="C163" s="1">
        <v>6197866</v>
      </c>
      <c r="D163" s="1">
        <v>992295904</v>
      </c>
      <c r="E163" s="1">
        <v>97497042</v>
      </c>
      <c r="F163">
        <v>6197.866</v>
      </c>
      <c r="G163">
        <v>1089.792946</v>
      </c>
    </row>
    <row r="164" spans="1:7" x14ac:dyDescent="0.25">
      <c r="A164" s="7">
        <v>43959.75</v>
      </c>
      <c r="B164" s="1" t="s">
        <v>44</v>
      </c>
      <c r="C164" s="1">
        <v>6183590</v>
      </c>
      <c r="D164" s="1">
        <v>992720063</v>
      </c>
      <c r="E164" s="1">
        <v>96765398</v>
      </c>
      <c r="F164">
        <v>6183.59</v>
      </c>
      <c r="G164">
        <v>1089.485461</v>
      </c>
    </row>
    <row r="165" spans="1:7" x14ac:dyDescent="0.25">
      <c r="A165" s="7">
        <v>43959.791666666664</v>
      </c>
      <c r="B165" s="1" t="s">
        <v>44</v>
      </c>
      <c r="C165" s="1">
        <v>6790456</v>
      </c>
      <c r="D165" s="1">
        <v>1125891491</v>
      </c>
      <c r="E165" s="1">
        <v>90710268</v>
      </c>
      <c r="F165">
        <v>6790.4560000000001</v>
      </c>
      <c r="G165">
        <v>1216.6017589999999</v>
      </c>
    </row>
    <row r="166" spans="1:7" x14ac:dyDescent="0.25">
      <c r="A166" s="7">
        <v>43959.833333333336</v>
      </c>
      <c r="B166" s="1" t="s">
        <v>44</v>
      </c>
      <c r="C166" s="1">
        <v>7312121</v>
      </c>
      <c r="D166" s="1">
        <v>1241125131</v>
      </c>
      <c r="E166" s="1">
        <v>103140990</v>
      </c>
      <c r="F166">
        <v>7312.1210000000001</v>
      </c>
      <c r="G166">
        <v>1344.2661210000001</v>
      </c>
    </row>
    <row r="167" spans="1:7" x14ac:dyDescent="0.25">
      <c r="A167" s="7">
        <v>43959.875</v>
      </c>
      <c r="B167" s="1" t="s">
        <v>44</v>
      </c>
      <c r="C167" s="1">
        <v>7735300</v>
      </c>
      <c r="D167" s="1">
        <v>1312801023</v>
      </c>
      <c r="E167" s="1">
        <v>103293931</v>
      </c>
      <c r="F167">
        <v>7735.3</v>
      </c>
      <c r="G167">
        <v>1416.0949539999999</v>
      </c>
    </row>
    <row r="168" spans="1:7" x14ac:dyDescent="0.25">
      <c r="A168" s="7">
        <v>43959.916666666664</v>
      </c>
      <c r="B168" s="1" t="s">
        <v>44</v>
      </c>
      <c r="C168" s="1">
        <v>8044529</v>
      </c>
      <c r="D168" s="1">
        <v>1312024221</v>
      </c>
      <c r="E168" s="1">
        <v>97668719</v>
      </c>
      <c r="F168">
        <v>8044.5290000000005</v>
      </c>
      <c r="G168">
        <v>1409.6929399999999</v>
      </c>
    </row>
    <row r="169" spans="1:7" x14ac:dyDescent="0.25">
      <c r="A169" s="7">
        <v>43959.958333333336</v>
      </c>
      <c r="B169" s="1" t="s">
        <v>44</v>
      </c>
      <c r="C169" s="1">
        <v>7872694</v>
      </c>
      <c r="D169" s="1">
        <v>1196924639</v>
      </c>
      <c r="E169" s="1">
        <v>79817765</v>
      </c>
      <c r="F169">
        <v>7872.6940000000004</v>
      </c>
      <c r="G169">
        <v>1276.7424040000001</v>
      </c>
    </row>
    <row r="170" spans="1:7" x14ac:dyDescent="0.25">
      <c r="A170" s="7">
        <v>43990</v>
      </c>
      <c r="B170" s="1" t="s">
        <v>44</v>
      </c>
      <c r="C170" s="1">
        <v>6100935</v>
      </c>
      <c r="D170" s="1">
        <v>889100587</v>
      </c>
      <c r="E170" s="1">
        <v>56835973</v>
      </c>
      <c r="F170">
        <v>6100.9350000000004</v>
      </c>
      <c r="G170">
        <v>945.93655999999999</v>
      </c>
    </row>
    <row r="171" spans="1:7" x14ac:dyDescent="0.25">
      <c r="A171" s="7">
        <v>43990.041666666664</v>
      </c>
      <c r="B171" s="1" t="s">
        <v>44</v>
      </c>
      <c r="C171" s="1">
        <v>4035988</v>
      </c>
      <c r="D171" s="1">
        <v>562457220</v>
      </c>
      <c r="E171" s="1">
        <v>34599234</v>
      </c>
      <c r="F171">
        <v>4035.9879999999998</v>
      </c>
      <c r="G171">
        <v>597.05645400000003</v>
      </c>
    </row>
    <row r="172" spans="1:7" x14ac:dyDescent="0.25">
      <c r="A172" s="7">
        <v>43990.083333333336</v>
      </c>
      <c r="B172" s="1" t="s">
        <v>44</v>
      </c>
      <c r="C172" s="1">
        <v>2366092</v>
      </c>
      <c r="D172" s="1">
        <v>322416040</v>
      </c>
      <c r="E172" s="1">
        <v>22546315</v>
      </c>
      <c r="F172">
        <v>2366.0920000000001</v>
      </c>
      <c r="G172">
        <v>344.962355</v>
      </c>
    </row>
    <row r="173" spans="1:7" x14ac:dyDescent="0.25">
      <c r="A173" s="7">
        <v>43990.125</v>
      </c>
      <c r="B173" s="1" t="s">
        <v>44</v>
      </c>
      <c r="C173" s="1">
        <v>1373681</v>
      </c>
      <c r="D173" s="1">
        <v>172642656</v>
      </c>
      <c r="E173" s="1">
        <v>14358761</v>
      </c>
      <c r="F173">
        <v>1373.681</v>
      </c>
      <c r="G173">
        <v>187.001417</v>
      </c>
    </row>
    <row r="174" spans="1:7" x14ac:dyDescent="0.25">
      <c r="A174" s="7">
        <v>43990.166666666664</v>
      </c>
      <c r="B174" s="1" t="s">
        <v>44</v>
      </c>
      <c r="C174" s="1">
        <v>870108</v>
      </c>
      <c r="D174" s="1">
        <v>101870490</v>
      </c>
      <c r="E174" s="1">
        <v>7574699</v>
      </c>
      <c r="F174">
        <v>870.10799999999995</v>
      </c>
      <c r="G174">
        <v>109.445189</v>
      </c>
    </row>
    <row r="175" spans="1:7" x14ac:dyDescent="0.25">
      <c r="A175" s="7">
        <v>43990.208333333336</v>
      </c>
      <c r="B175" s="1" t="s">
        <v>44</v>
      </c>
      <c r="C175" s="1">
        <v>1145170</v>
      </c>
      <c r="D175" s="1">
        <v>115300187</v>
      </c>
      <c r="E175" s="1">
        <v>9319157</v>
      </c>
      <c r="F175">
        <v>1145.17</v>
      </c>
      <c r="G175">
        <v>124.619344</v>
      </c>
    </row>
    <row r="176" spans="1:7" x14ac:dyDescent="0.25">
      <c r="A176" s="7">
        <v>43990.25</v>
      </c>
      <c r="B176" s="1" t="s">
        <v>44</v>
      </c>
      <c r="C176" s="1">
        <v>2377846</v>
      </c>
      <c r="D176" s="1">
        <v>223213840</v>
      </c>
      <c r="E176" s="1">
        <v>16474153</v>
      </c>
      <c r="F176">
        <v>2377.846</v>
      </c>
      <c r="G176">
        <v>239.68799300000001</v>
      </c>
    </row>
    <row r="177" spans="1:7" x14ac:dyDescent="0.25">
      <c r="A177" s="7">
        <v>43990.291666666664</v>
      </c>
      <c r="B177" s="1" t="s">
        <v>44</v>
      </c>
      <c r="C177" s="1">
        <v>3825554</v>
      </c>
      <c r="D177" s="1">
        <v>406600228</v>
      </c>
      <c r="E177" s="1">
        <v>28559173</v>
      </c>
      <c r="F177">
        <v>3825.5540000000001</v>
      </c>
      <c r="G177">
        <v>435.159401</v>
      </c>
    </row>
    <row r="178" spans="1:7" x14ac:dyDescent="0.25">
      <c r="A178" s="7">
        <v>43990.333333333336</v>
      </c>
      <c r="B178" s="1" t="s">
        <v>44</v>
      </c>
      <c r="C178" s="1">
        <v>5113617</v>
      </c>
      <c r="D178" s="1">
        <v>622981704</v>
      </c>
      <c r="E178" s="1">
        <v>50523863</v>
      </c>
      <c r="F178">
        <v>5113.6170000000002</v>
      </c>
      <c r="G178">
        <v>673.50556700000004</v>
      </c>
    </row>
    <row r="179" spans="1:7" x14ac:dyDescent="0.25">
      <c r="A179" s="7">
        <v>43990.375</v>
      </c>
      <c r="B179" s="1" t="s">
        <v>44</v>
      </c>
      <c r="C179" s="1">
        <v>5977750</v>
      </c>
      <c r="D179" s="1">
        <v>772884455</v>
      </c>
      <c r="E179" s="1">
        <v>62617879</v>
      </c>
      <c r="F179">
        <v>5977.75</v>
      </c>
      <c r="G179">
        <v>835.50233400000002</v>
      </c>
    </row>
    <row r="180" spans="1:7" x14ac:dyDescent="0.25">
      <c r="A180" s="7">
        <v>43990.416666666664</v>
      </c>
      <c r="B180" s="1" t="s">
        <v>44</v>
      </c>
      <c r="C180" s="1">
        <v>6365612</v>
      </c>
      <c r="D180" s="1">
        <v>887142540</v>
      </c>
      <c r="E180" s="1">
        <v>78496826</v>
      </c>
      <c r="F180">
        <v>6365.6120000000001</v>
      </c>
      <c r="G180">
        <v>965.639366</v>
      </c>
    </row>
    <row r="181" spans="1:7" x14ac:dyDescent="0.25">
      <c r="A181" s="7">
        <v>43990.458333333336</v>
      </c>
      <c r="B181" s="1" t="s">
        <v>44</v>
      </c>
      <c r="C181" s="1">
        <v>6704237</v>
      </c>
      <c r="D181" s="1">
        <v>952834814</v>
      </c>
      <c r="E181" s="1">
        <v>82523498</v>
      </c>
      <c r="F181">
        <v>6704.2370000000001</v>
      </c>
      <c r="G181">
        <v>1035.3583120000001</v>
      </c>
    </row>
    <row r="182" spans="1:7" x14ac:dyDescent="0.25">
      <c r="A182" s="7">
        <v>43990.5</v>
      </c>
      <c r="B182" s="1" t="s">
        <v>44</v>
      </c>
      <c r="C182" s="1">
        <v>6758792</v>
      </c>
      <c r="D182" s="1">
        <v>998471786</v>
      </c>
      <c r="E182" s="1">
        <v>84962607</v>
      </c>
      <c r="F182">
        <v>6758.7920000000004</v>
      </c>
      <c r="G182">
        <v>1083.434393</v>
      </c>
    </row>
    <row r="183" spans="1:7" x14ac:dyDescent="0.25">
      <c r="A183" s="1"/>
      <c r="B183" s="1"/>
      <c r="C183" s="1"/>
      <c r="D183" s="1"/>
      <c r="E183" s="1"/>
    </row>
    <row r="184" spans="1:7" x14ac:dyDescent="0.25">
      <c r="A184" s="1"/>
      <c r="B184" s="1"/>
      <c r="C184" s="1"/>
      <c r="D184" s="1"/>
      <c r="E184" s="1"/>
    </row>
    <row r="185" spans="1:7" x14ac:dyDescent="0.25">
      <c r="A185" s="1"/>
      <c r="B185" s="1"/>
      <c r="C185" s="1"/>
      <c r="D185" s="1"/>
      <c r="E185" s="1"/>
    </row>
    <row r="186" spans="1:7" x14ac:dyDescent="0.25">
      <c r="A186" s="1"/>
      <c r="B186" s="1"/>
      <c r="C186" s="1"/>
      <c r="D186" s="1"/>
      <c r="E186" s="1"/>
    </row>
    <row r="187" spans="1:7" x14ac:dyDescent="0.25">
      <c r="A187" s="1"/>
      <c r="B187" s="1"/>
      <c r="C187" s="1"/>
      <c r="D187" s="1"/>
      <c r="E187" s="1"/>
    </row>
    <row r="188" spans="1:7" x14ac:dyDescent="0.25">
      <c r="A188" s="1"/>
      <c r="B188" s="1"/>
      <c r="C188" s="1"/>
      <c r="D188" s="1"/>
      <c r="E188" s="1"/>
    </row>
    <row r="189" spans="1:7" x14ac:dyDescent="0.25">
      <c r="A189" s="1"/>
      <c r="B189" s="1"/>
      <c r="C189" s="1"/>
      <c r="D189" s="1"/>
      <c r="E189" s="1"/>
    </row>
    <row r="190" spans="1:7" x14ac:dyDescent="0.25">
      <c r="A190" s="1"/>
      <c r="B190" s="1"/>
      <c r="C190" s="1"/>
      <c r="D190" s="1"/>
      <c r="E190" s="1"/>
    </row>
    <row r="191" spans="1:7" x14ac:dyDescent="0.25">
      <c r="A191" s="1"/>
      <c r="B191" s="1"/>
      <c r="C191" s="1"/>
      <c r="D191" s="1"/>
      <c r="E191" s="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191"/>
  <sheetViews>
    <sheetView topLeftCell="A153" workbookViewId="0">
      <selection activeCell="A2" sqref="A2:E182"/>
    </sheetView>
  </sheetViews>
  <sheetFormatPr defaultRowHeight="15" x14ac:dyDescent="0.25"/>
  <cols>
    <col min="1" max="1" width="15.85546875" customWidth="1"/>
    <col min="4" max="4" width="10" bestFit="1" customWidth="1"/>
  </cols>
  <sheetData>
    <row r="1" spans="1:7" x14ac:dyDescent="0.25">
      <c r="A1" t="s">
        <v>0</v>
      </c>
      <c r="B1" t="s">
        <v>46</v>
      </c>
      <c r="C1" t="s">
        <v>32</v>
      </c>
      <c r="D1" t="s">
        <v>33</v>
      </c>
      <c r="E1" t="s">
        <v>34</v>
      </c>
      <c r="F1" t="s">
        <v>47</v>
      </c>
      <c r="G1" t="s">
        <v>38</v>
      </c>
    </row>
    <row r="2" spans="1:7" x14ac:dyDescent="0.25">
      <c r="A2" s="1" t="s">
        <v>130</v>
      </c>
      <c r="B2" s="1" t="s">
        <v>45</v>
      </c>
      <c r="C2" s="1">
        <v>7876121</v>
      </c>
      <c r="D2" s="1">
        <v>1011032175</v>
      </c>
      <c r="E2" s="1">
        <v>70835431</v>
      </c>
      <c r="F2">
        <v>7876.1210000000001</v>
      </c>
      <c r="G2">
        <v>1081.867606</v>
      </c>
    </row>
    <row r="3" spans="1:7" x14ac:dyDescent="0.25">
      <c r="A3" s="1" t="s">
        <v>131</v>
      </c>
      <c r="B3" s="1" t="s">
        <v>45</v>
      </c>
      <c r="C3" s="1">
        <v>5575932</v>
      </c>
      <c r="D3" s="1">
        <v>699856491</v>
      </c>
      <c r="E3" s="1">
        <v>46502722</v>
      </c>
      <c r="F3">
        <v>5575.9319999999998</v>
      </c>
      <c r="G3">
        <v>746.35921299999995</v>
      </c>
    </row>
    <row r="4" spans="1:7" x14ac:dyDescent="0.25">
      <c r="A4" s="1" t="s">
        <v>132</v>
      </c>
      <c r="B4" s="1" t="s">
        <v>45</v>
      </c>
      <c r="C4" s="1">
        <v>3415727</v>
      </c>
      <c r="D4" s="1">
        <v>426483250</v>
      </c>
      <c r="E4" s="1">
        <v>27255673</v>
      </c>
      <c r="F4">
        <v>3415.7269999999999</v>
      </c>
      <c r="G4">
        <v>453.738923</v>
      </c>
    </row>
    <row r="5" spans="1:7" x14ac:dyDescent="0.25">
      <c r="A5" s="1" t="s">
        <v>133</v>
      </c>
      <c r="B5" s="1" t="s">
        <v>45</v>
      </c>
      <c r="C5" s="1">
        <v>2079562</v>
      </c>
      <c r="D5" s="1">
        <v>251959208</v>
      </c>
      <c r="E5" s="1">
        <v>16915528</v>
      </c>
      <c r="F5">
        <v>2079.5619999999999</v>
      </c>
      <c r="G5">
        <v>268.87473599999998</v>
      </c>
    </row>
    <row r="6" spans="1:7" x14ac:dyDescent="0.25">
      <c r="A6" s="1" t="s">
        <v>134</v>
      </c>
      <c r="B6" s="1" t="s">
        <v>45</v>
      </c>
      <c r="C6" s="1">
        <v>1390469</v>
      </c>
      <c r="D6" s="1">
        <v>144205248</v>
      </c>
      <c r="E6" s="1">
        <v>11200107</v>
      </c>
      <c r="F6">
        <v>1390.4690000000001</v>
      </c>
      <c r="G6">
        <v>155.40535499999999</v>
      </c>
    </row>
    <row r="7" spans="1:7" x14ac:dyDescent="0.25">
      <c r="A7" s="1" t="s">
        <v>135</v>
      </c>
      <c r="B7" s="1" t="s">
        <v>45</v>
      </c>
      <c r="C7" s="1">
        <v>1723173</v>
      </c>
      <c r="D7" s="1">
        <v>162143398</v>
      </c>
      <c r="E7" s="1">
        <v>13000794</v>
      </c>
      <c r="F7">
        <v>1723.173</v>
      </c>
      <c r="G7">
        <v>175.144192</v>
      </c>
    </row>
    <row r="8" spans="1:7" x14ac:dyDescent="0.25">
      <c r="A8" s="1" t="s">
        <v>136</v>
      </c>
      <c r="B8" s="1" t="s">
        <v>45</v>
      </c>
      <c r="C8" s="1">
        <v>3200295</v>
      </c>
      <c r="D8" s="1">
        <v>296341743</v>
      </c>
      <c r="E8" s="1">
        <v>22719511</v>
      </c>
      <c r="F8">
        <v>3200.2950000000001</v>
      </c>
      <c r="G8">
        <v>319.06125400000002</v>
      </c>
    </row>
    <row r="9" spans="1:7" x14ac:dyDescent="0.25">
      <c r="A9" s="1" t="s">
        <v>137</v>
      </c>
      <c r="B9" s="1" t="s">
        <v>45</v>
      </c>
      <c r="C9" s="1">
        <v>4783086</v>
      </c>
      <c r="D9" s="1">
        <v>459607188</v>
      </c>
      <c r="E9" s="1">
        <v>33896777</v>
      </c>
      <c r="F9">
        <v>4783.0860000000002</v>
      </c>
      <c r="G9">
        <v>493.50396499999999</v>
      </c>
    </row>
    <row r="10" spans="1:7" x14ac:dyDescent="0.25">
      <c r="A10" s="1" t="s">
        <v>138</v>
      </c>
      <c r="B10" s="1" t="s">
        <v>45</v>
      </c>
      <c r="C10" s="1">
        <v>5960189</v>
      </c>
      <c r="D10" s="1">
        <v>645960880</v>
      </c>
      <c r="E10" s="1">
        <v>48532993</v>
      </c>
      <c r="F10">
        <v>5960.1890000000003</v>
      </c>
      <c r="G10">
        <v>694.49387300000001</v>
      </c>
    </row>
    <row r="11" spans="1:7" x14ac:dyDescent="0.25">
      <c r="A11" s="1" t="s">
        <v>139</v>
      </c>
      <c r="B11" s="1" t="s">
        <v>45</v>
      </c>
      <c r="C11" s="1">
        <v>6567736</v>
      </c>
      <c r="D11" s="1">
        <v>757058835</v>
      </c>
      <c r="E11" s="1">
        <v>62226643</v>
      </c>
      <c r="F11">
        <v>6567.7359999999999</v>
      </c>
      <c r="G11">
        <v>819.28547800000001</v>
      </c>
    </row>
    <row r="12" spans="1:7" x14ac:dyDescent="0.25">
      <c r="A12" s="1" t="s">
        <v>140</v>
      </c>
      <c r="B12" s="1" t="s">
        <v>45</v>
      </c>
      <c r="C12" s="1">
        <v>6861822</v>
      </c>
      <c r="D12" s="1">
        <v>816036136</v>
      </c>
      <c r="E12" s="1">
        <v>74082467</v>
      </c>
      <c r="F12">
        <v>6861.8220000000001</v>
      </c>
      <c r="G12">
        <v>890.11860300000001</v>
      </c>
    </row>
    <row r="13" spans="1:7" x14ac:dyDescent="0.25">
      <c r="A13" s="1" t="s">
        <v>141</v>
      </c>
      <c r="B13" s="1" t="s">
        <v>45</v>
      </c>
      <c r="C13" s="1">
        <v>7063446</v>
      </c>
      <c r="D13" s="1">
        <v>892443181</v>
      </c>
      <c r="E13" s="1">
        <v>79218048</v>
      </c>
      <c r="F13">
        <v>7063.4459999999999</v>
      </c>
      <c r="G13">
        <v>971.66122900000005</v>
      </c>
    </row>
    <row r="14" spans="1:7" x14ac:dyDescent="0.25">
      <c r="A14" s="1" t="s">
        <v>142</v>
      </c>
      <c r="B14" s="1" t="s">
        <v>45</v>
      </c>
      <c r="C14" s="1">
        <v>6953008</v>
      </c>
      <c r="D14" s="1">
        <v>873815737</v>
      </c>
      <c r="E14" s="1">
        <v>81916940</v>
      </c>
      <c r="F14">
        <v>6953.0079999999998</v>
      </c>
      <c r="G14">
        <v>955.73267699999997</v>
      </c>
    </row>
    <row r="15" spans="1:7" x14ac:dyDescent="0.25">
      <c r="A15" s="1" t="s">
        <v>143</v>
      </c>
      <c r="B15" s="1" t="s">
        <v>45</v>
      </c>
      <c r="C15" s="1">
        <v>6552387</v>
      </c>
      <c r="D15" s="1">
        <v>818088104</v>
      </c>
      <c r="E15" s="1">
        <v>78319495</v>
      </c>
      <c r="F15">
        <v>6552.3869999999997</v>
      </c>
      <c r="G15">
        <v>896.407599</v>
      </c>
    </row>
    <row r="16" spans="1:7" x14ac:dyDescent="0.25">
      <c r="A16" s="1" t="s">
        <v>144</v>
      </c>
      <c r="B16" s="1" t="s">
        <v>45</v>
      </c>
      <c r="C16" s="1">
        <v>7084693</v>
      </c>
      <c r="D16" s="1">
        <v>875224302</v>
      </c>
      <c r="E16" s="1">
        <v>78425923</v>
      </c>
      <c r="F16">
        <v>7084.6930000000002</v>
      </c>
      <c r="G16">
        <v>953.65022499999998</v>
      </c>
    </row>
    <row r="17" spans="1:7" x14ac:dyDescent="0.25">
      <c r="A17" s="1" t="s">
        <v>145</v>
      </c>
      <c r="B17" s="1" t="s">
        <v>45</v>
      </c>
      <c r="C17" s="1">
        <v>7629875</v>
      </c>
      <c r="D17" s="1">
        <v>947233502</v>
      </c>
      <c r="E17" s="1">
        <v>90610462</v>
      </c>
      <c r="F17">
        <v>7629.875</v>
      </c>
      <c r="G17">
        <v>1037.8439639999999</v>
      </c>
    </row>
    <row r="18" spans="1:7" x14ac:dyDescent="0.25">
      <c r="A18" s="1" t="s">
        <v>146</v>
      </c>
      <c r="B18" s="1" t="s">
        <v>45</v>
      </c>
      <c r="C18" s="1">
        <v>7396183</v>
      </c>
      <c r="D18" s="1">
        <v>950879600</v>
      </c>
      <c r="E18" s="1">
        <v>94289395</v>
      </c>
      <c r="F18">
        <v>7396.183</v>
      </c>
      <c r="G18">
        <v>1045.168995</v>
      </c>
    </row>
    <row r="19" spans="1:7" x14ac:dyDescent="0.25">
      <c r="A19" s="1" t="s">
        <v>147</v>
      </c>
      <c r="B19" s="1" t="s">
        <v>45</v>
      </c>
      <c r="C19" s="1">
        <v>6658982</v>
      </c>
      <c r="D19" s="1">
        <v>866534641</v>
      </c>
      <c r="E19" s="1">
        <v>91817541</v>
      </c>
      <c r="F19">
        <v>6658.982</v>
      </c>
      <c r="G19">
        <v>958.35218199999997</v>
      </c>
    </row>
    <row r="20" spans="1:7" x14ac:dyDescent="0.25">
      <c r="A20" s="1" t="s">
        <v>148</v>
      </c>
      <c r="B20" s="1" t="s">
        <v>45</v>
      </c>
      <c r="C20" s="1">
        <v>6661993</v>
      </c>
      <c r="D20" s="1">
        <v>903399676</v>
      </c>
      <c r="E20" s="1">
        <v>94749137</v>
      </c>
      <c r="F20">
        <v>6661.9930000000004</v>
      </c>
      <c r="G20">
        <v>998.14881300000002</v>
      </c>
    </row>
    <row r="21" spans="1:7" x14ac:dyDescent="0.25">
      <c r="A21" s="1" t="s">
        <v>149</v>
      </c>
      <c r="B21" s="1" t="s">
        <v>45</v>
      </c>
      <c r="C21" s="1">
        <v>7350737</v>
      </c>
      <c r="D21" s="1">
        <v>1012749587</v>
      </c>
      <c r="E21" s="1">
        <v>90036270</v>
      </c>
      <c r="F21">
        <v>7350.7370000000001</v>
      </c>
      <c r="G21">
        <v>1102.7858570000001</v>
      </c>
    </row>
    <row r="22" spans="1:7" x14ac:dyDescent="0.25">
      <c r="A22" s="1" t="s">
        <v>150</v>
      </c>
      <c r="B22" s="1" t="s">
        <v>45</v>
      </c>
      <c r="C22" s="1">
        <v>8172038</v>
      </c>
      <c r="D22" s="1">
        <v>1145185617</v>
      </c>
      <c r="E22" s="1">
        <v>101890403</v>
      </c>
      <c r="F22">
        <v>8172.0379999999996</v>
      </c>
      <c r="G22">
        <v>1247.07602</v>
      </c>
    </row>
    <row r="23" spans="1:7" x14ac:dyDescent="0.25">
      <c r="A23" s="1" t="s">
        <v>151</v>
      </c>
      <c r="B23" s="1" t="s">
        <v>45</v>
      </c>
      <c r="C23" s="1">
        <v>8684226</v>
      </c>
      <c r="D23" s="1">
        <v>1232719820</v>
      </c>
      <c r="E23" s="1">
        <v>104780164</v>
      </c>
      <c r="F23">
        <v>8684.2260000000006</v>
      </c>
      <c r="G23">
        <v>1337.499984</v>
      </c>
    </row>
    <row r="24" spans="1:7" x14ac:dyDescent="0.25">
      <c r="A24" s="1" t="s">
        <v>152</v>
      </c>
      <c r="B24" s="1" t="s">
        <v>45</v>
      </c>
      <c r="C24" s="1">
        <v>9254803</v>
      </c>
      <c r="D24" s="1">
        <v>1303836283</v>
      </c>
      <c r="E24" s="1">
        <v>103302823</v>
      </c>
      <c r="F24">
        <v>9254.8029999999999</v>
      </c>
      <c r="G24">
        <v>1407.1391060000001</v>
      </c>
    </row>
    <row r="25" spans="1:7" x14ac:dyDescent="0.25">
      <c r="A25" s="1" t="s">
        <v>153</v>
      </c>
      <c r="B25" s="1" t="s">
        <v>45</v>
      </c>
      <c r="C25" s="1">
        <v>9292497</v>
      </c>
      <c r="D25" s="1">
        <v>1294769757</v>
      </c>
      <c r="E25" s="1">
        <v>89289867</v>
      </c>
      <c r="F25">
        <v>9292.4969999999994</v>
      </c>
      <c r="G25">
        <v>1384.059624</v>
      </c>
    </row>
    <row r="26" spans="1:7" x14ac:dyDescent="0.25">
      <c r="A26" s="1" t="s">
        <v>154</v>
      </c>
      <c r="B26" s="1" t="s">
        <v>45</v>
      </c>
      <c r="C26" s="1">
        <v>7784079</v>
      </c>
      <c r="D26" s="1">
        <v>1002281160</v>
      </c>
      <c r="E26" s="1">
        <v>66628102</v>
      </c>
      <c r="F26">
        <v>7784.0789999999997</v>
      </c>
      <c r="G26">
        <v>1068.9092619999999</v>
      </c>
    </row>
    <row r="27" spans="1:7" x14ac:dyDescent="0.25">
      <c r="A27" s="1" t="s">
        <v>155</v>
      </c>
      <c r="B27" s="1" t="s">
        <v>45</v>
      </c>
      <c r="C27" s="1">
        <v>5639337</v>
      </c>
      <c r="D27" s="1">
        <v>706421690</v>
      </c>
      <c r="E27" s="1">
        <v>43779965</v>
      </c>
      <c r="F27">
        <v>5639.3370000000004</v>
      </c>
      <c r="G27">
        <v>750.20165499999996</v>
      </c>
    </row>
    <row r="28" spans="1:7" x14ac:dyDescent="0.25">
      <c r="A28" s="1" t="s">
        <v>156</v>
      </c>
      <c r="B28" s="1" t="s">
        <v>45</v>
      </c>
      <c r="C28" s="1">
        <v>3518037</v>
      </c>
      <c r="D28" s="1">
        <v>435345312</v>
      </c>
      <c r="E28" s="1">
        <v>26425298</v>
      </c>
      <c r="F28">
        <v>3518.0369999999998</v>
      </c>
      <c r="G28">
        <v>461.77060999999998</v>
      </c>
    </row>
    <row r="29" spans="1:7" x14ac:dyDescent="0.25">
      <c r="A29" s="1" t="s">
        <v>157</v>
      </c>
      <c r="B29" s="1" t="s">
        <v>45</v>
      </c>
      <c r="C29" s="1">
        <v>2183051</v>
      </c>
      <c r="D29" s="1">
        <v>254642739</v>
      </c>
      <c r="E29" s="1">
        <v>17528573</v>
      </c>
      <c r="F29">
        <v>2183.0509999999999</v>
      </c>
      <c r="G29">
        <v>272.171312</v>
      </c>
    </row>
    <row r="30" spans="1:7" x14ac:dyDescent="0.25">
      <c r="A30" s="1" t="s">
        <v>158</v>
      </c>
      <c r="B30" s="1" t="s">
        <v>45</v>
      </c>
      <c r="C30" s="1">
        <v>1490993</v>
      </c>
      <c r="D30" s="1">
        <v>174450948</v>
      </c>
      <c r="E30" s="1">
        <v>14117838</v>
      </c>
      <c r="F30">
        <v>1490.9929999999999</v>
      </c>
      <c r="G30">
        <v>188.56878599999999</v>
      </c>
    </row>
    <row r="31" spans="1:7" x14ac:dyDescent="0.25">
      <c r="A31" s="1" t="s">
        <v>159</v>
      </c>
      <c r="B31" s="1" t="s">
        <v>45</v>
      </c>
      <c r="C31" s="1">
        <v>1865330</v>
      </c>
      <c r="D31" s="1">
        <v>189025189</v>
      </c>
      <c r="E31" s="1">
        <v>13974980</v>
      </c>
      <c r="F31">
        <v>1865.33</v>
      </c>
      <c r="G31">
        <v>203.000169</v>
      </c>
    </row>
    <row r="32" spans="1:7" x14ac:dyDescent="0.25">
      <c r="A32" s="1" t="s">
        <v>160</v>
      </c>
      <c r="B32" s="1" t="s">
        <v>45</v>
      </c>
      <c r="C32" s="1">
        <v>3296521</v>
      </c>
      <c r="D32" s="1">
        <v>307393818</v>
      </c>
      <c r="E32" s="1">
        <v>23814181</v>
      </c>
      <c r="F32">
        <v>3296.5210000000002</v>
      </c>
      <c r="G32">
        <v>331.20799899999997</v>
      </c>
    </row>
    <row r="33" spans="1:7" x14ac:dyDescent="0.25">
      <c r="A33" s="1" t="s">
        <v>161</v>
      </c>
      <c r="B33" s="1" t="s">
        <v>45</v>
      </c>
      <c r="C33" s="1">
        <v>4846062</v>
      </c>
      <c r="D33" s="1">
        <v>481960110</v>
      </c>
      <c r="E33" s="1">
        <v>44731874</v>
      </c>
      <c r="F33">
        <v>4846.0619999999999</v>
      </c>
      <c r="G33">
        <v>526.69198400000005</v>
      </c>
    </row>
    <row r="34" spans="1:7" x14ac:dyDescent="0.25">
      <c r="A34" s="1" t="s">
        <v>162</v>
      </c>
      <c r="B34" s="1" t="s">
        <v>45</v>
      </c>
      <c r="C34" s="1">
        <v>6118191</v>
      </c>
      <c r="D34" s="1">
        <v>676077028</v>
      </c>
      <c r="E34" s="1">
        <v>66679777</v>
      </c>
      <c r="F34">
        <v>6118.1909999999998</v>
      </c>
      <c r="G34">
        <v>742.75680499999999</v>
      </c>
    </row>
    <row r="35" spans="1:7" x14ac:dyDescent="0.25">
      <c r="A35" s="1" t="s">
        <v>163</v>
      </c>
      <c r="B35" s="1" t="s">
        <v>45</v>
      </c>
      <c r="C35" s="1">
        <v>6827413</v>
      </c>
      <c r="D35" s="1">
        <v>820175104</v>
      </c>
      <c r="E35" s="1">
        <v>91137248</v>
      </c>
      <c r="F35">
        <v>6827.4129999999996</v>
      </c>
      <c r="G35">
        <v>911.31235200000003</v>
      </c>
    </row>
    <row r="36" spans="1:7" x14ac:dyDescent="0.25">
      <c r="A36" s="1" t="s">
        <v>164</v>
      </c>
      <c r="B36" s="1" t="s">
        <v>45</v>
      </c>
      <c r="C36" s="1">
        <v>7100378</v>
      </c>
      <c r="D36" s="1">
        <v>893944699</v>
      </c>
      <c r="E36" s="1">
        <v>102176057</v>
      </c>
      <c r="F36">
        <v>7100.3779999999997</v>
      </c>
      <c r="G36">
        <v>996.12075600000003</v>
      </c>
    </row>
    <row r="37" spans="1:7" x14ac:dyDescent="0.25">
      <c r="A37" s="1" t="s">
        <v>165</v>
      </c>
      <c r="B37" s="1" t="s">
        <v>45</v>
      </c>
      <c r="C37" s="1">
        <v>7325078</v>
      </c>
      <c r="D37" s="1">
        <v>952306534</v>
      </c>
      <c r="E37" s="1">
        <v>94403010</v>
      </c>
      <c r="F37">
        <v>7325.0780000000004</v>
      </c>
      <c r="G37">
        <v>1046.7095440000001</v>
      </c>
    </row>
    <row r="38" spans="1:7" x14ac:dyDescent="0.25">
      <c r="A38" s="1" t="s">
        <v>166</v>
      </c>
      <c r="B38" s="1" t="s">
        <v>45</v>
      </c>
      <c r="C38" s="1">
        <v>6678425</v>
      </c>
      <c r="D38" s="1">
        <v>804855206</v>
      </c>
      <c r="E38" s="1">
        <v>86539982</v>
      </c>
      <c r="F38">
        <v>6678.4250000000002</v>
      </c>
      <c r="G38">
        <v>891.39518799999996</v>
      </c>
    </row>
    <row r="39" spans="1:7" x14ac:dyDescent="0.25">
      <c r="A39" s="1" t="s">
        <v>167</v>
      </c>
      <c r="B39" s="1" t="s">
        <v>45</v>
      </c>
      <c r="C39" s="1">
        <v>5777021</v>
      </c>
      <c r="D39" s="1">
        <v>659814841</v>
      </c>
      <c r="E39" s="1">
        <v>67069652</v>
      </c>
      <c r="F39">
        <v>5777.0209999999997</v>
      </c>
      <c r="G39">
        <v>726.88449300000002</v>
      </c>
    </row>
    <row r="40" spans="1:7" x14ac:dyDescent="0.25">
      <c r="A40" s="1" t="s">
        <v>168</v>
      </c>
      <c r="B40" s="1" t="s">
        <v>45</v>
      </c>
      <c r="C40" s="1">
        <v>7755267</v>
      </c>
      <c r="D40" s="1">
        <v>932067439</v>
      </c>
      <c r="E40" s="1">
        <v>91504544</v>
      </c>
      <c r="F40">
        <v>7755.2669999999998</v>
      </c>
      <c r="G40">
        <v>1023.571983</v>
      </c>
    </row>
    <row r="41" spans="1:7" x14ac:dyDescent="0.25">
      <c r="A41" s="1" t="s">
        <v>169</v>
      </c>
      <c r="B41" s="1" t="s">
        <v>45</v>
      </c>
      <c r="C41" s="1">
        <v>8293236</v>
      </c>
      <c r="D41" s="1">
        <v>1075945691</v>
      </c>
      <c r="E41" s="1">
        <v>112696159</v>
      </c>
      <c r="F41">
        <v>8293.2360000000008</v>
      </c>
      <c r="G41">
        <v>1188.64185</v>
      </c>
    </row>
    <row r="42" spans="1:7" x14ac:dyDescent="0.25">
      <c r="A42" s="1" t="s">
        <v>170</v>
      </c>
      <c r="B42" s="1" t="s">
        <v>45</v>
      </c>
      <c r="C42" s="1">
        <v>7688013</v>
      </c>
      <c r="D42" s="1">
        <v>999159366</v>
      </c>
      <c r="E42" s="1">
        <v>114983359</v>
      </c>
      <c r="F42">
        <v>7688.0129999999999</v>
      </c>
      <c r="G42">
        <v>1114.1427249999999</v>
      </c>
    </row>
    <row r="43" spans="1:7" x14ac:dyDescent="0.25">
      <c r="A43" s="1" t="s">
        <v>171</v>
      </c>
      <c r="B43" s="1" t="s">
        <v>45</v>
      </c>
      <c r="C43" s="1">
        <v>6770567</v>
      </c>
      <c r="D43" s="1">
        <v>894256610</v>
      </c>
      <c r="E43" s="1">
        <v>110936786</v>
      </c>
      <c r="F43">
        <v>6770.567</v>
      </c>
      <c r="G43">
        <v>1005.193396</v>
      </c>
    </row>
    <row r="44" spans="1:7" x14ac:dyDescent="0.25">
      <c r="A44" s="1" t="s">
        <v>172</v>
      </c>
      <c r="B44" s="1" t="s">
        <v>45</v>
      </c>
      <c r="C44" s="1">
        <v>6485390</v>
      </c>
      <c r="D44" s="1">
        <v>921468312</v>
      </c>
      <c r="E44" s="1">
        <v>103410723</v>
      </c>
      <c r="F44">
        <v>6485.39</v>
      </c>
      <c r="G44">
        <v>1024.8790349999999</v>
      </c>
    </row>
    <row r="45" spans="1:7" x14ac:dyDescent="0.25">
      <c r="A45" s="1" t="s">
        <v>173</v>
      </c>
      <c r="B45" s="1" t="s">
        <v>45</v>
      </c>
      <c r="C45" s="1">
        <v>7200908</v>
      </c>
      <c r="D45" s="1">
        <v>960958301</v>
      </c>
      <c r="E45" s="1">
        <v>93816227</v>
      </c>
      <c r="F45">
        <v>7200.9080000000004</v>
      </c>
      <c r="G45">
        <v>1054.7745279999999</v>
      </c>
    </row>
    <row r="46" spans="1:7" x14ac:dyDescent="0.25">
      <c r="A46" s="1" t="s">
        <v>174</v>
      </c>
      <c r="B46" s="1" t="s">
        <v>45</v>
      </c>
      <c r="C46" s="1">
        <v>7867986</v>
      </c>
      <c r="D46" s="1">
        <v>1125633816</v>
      </c>
      <c r="E46" s="1">
        <v>112654326</v>
      </c>
      <c r="F46">
        <v>7867.9859999999999</v>
      </c>
      <c r="G46">
        <v>1238.2881420000001</v>
      </c>
    </row>
    <row r="47" spans="1:7" x14ac:dyDescent="0.25">
      <c r="A47" s="1" t="s">
        <v>175</v>
      </c>
      <c r="B47" s="1" t="s">
        <v>45</v>
      </c>
      <c r="C47" s="1">
        <v>8336250</v>
      </c>
      <c r="D47" s="1">
        <v>1278530706</v>
      </c>
      <c r="E47" s="1">
        <v>120979203</v>
      </c>
      <c r="F47">
        <v>8336.25</v>
      </c>
      <c r="G47">
        <v>1399.5099090000001</v>
      </c>
    </row>
    <row r="48" spans="1:7" x14ac:dyDescent="0.25">
      <c r="A48" s="1" t="s">
        <v>176</v>
      </c>
      <c r="B48" s="1" t="s">
        <v>45</v>
      </c>
      <c r="C48" s="1">
        <v>8915412</v>
      </c>
      <c r="D48" s="1">
        <v>1342119567</v>
      </c>
      <c r="E48" s="1">
        <v>115886184</v>
      </c>
      <c r="F48">
        <v>8915.4120000000003</v>
      </c>
      <c r="G48">
        <v>1458.0057509999999</v>
      </c>
    </row>
    <row r="49" spans="1:7" x14ac:dyDescent="0.25">
      <c r="A49" s="1" t="s">
        <v>177</v>
      </c>
      <c r="B49" s="1" t="s">
        <v>45</v>
      </c>
      <c r="C49" s="1">
        <v>9279582</v>
      </c>
      <c r="D49" s="1">
        <v>1292426940</v>
      </c>
      <c r="E49" s="1">
        <v>106149253</v>
      </c>
      <c r="F49">
        <v>9279.5820000000003</v>
      </c>
      <c r="G49">
        <v>1398.5761930000001</v>
      </c>
    </row>
    <row r="50" spans="1:7" x14ac:dyDescent="0.25">
      <c r="A50" s="7">
        <v>43838</v>
      </c>
      <c r="B50" s="1" t="s">
        <v>45</v>
      </c>
      <c r="C50" s="1">
        <v>8120786</v>
      </c>
      <c r="D50" s="1">
        <v>1054973353</v>
      </c>
      <c r="E50" s="1">
        <v>77404070</v>
      </c>
      <c r="F50">
        <v>8120.7860000000001</v>
      </c>
      <c r="G50">
        <v>1132.3774229999999</v>
      </c>
    </row>
    <row r="51" spans="1:7" x14ac:dyDescent="0.25">
      <c r="A51" s="7">
        <v>43838.041666666664</v>
      </c>
      <c r="B51" s="1" t="s">
        <v>45</v>
      </c>
      <c r="C51" s="1">
        <v>6071094</v>
      </c>
      <c r="D51" s="1">
        <v>780060082</v>
      </c>
      <c r="E51" s="1">
        <v>52532818</v>
      </c>
      <c r="F51">
        <v>6071.0940000000001</v>
      </c>
      <c r="G51">
        <v>832.59289999999999</v>
      </c>
    </row>
    <row r="52" spans="1:7" x14ac:dyDescent="0.25">
      <c r="A52" s="7">
        <v>43838.083333333336</v>
      </c>
      <c r="B52" s="1" t="s">
        <v>45</v>
      </c>
      <c r="C52" s="1">
        <v>3932310</v>
      </c>
      <c r="D52" s="1">
        <v>465742646</v>
      </c>
      <c r="E52" s="1">
        <v>31112606</v>
      </c>
      <c r="F52">
        <v>3932.31</v>
      </c>
      <c r="G52">
        <v>496.85525200000001</v>
      </c>
    </row>
    <row r="53" spans="1:7" x14ac:dyDescent="0.25">
      <c r="A53" s="7">
        <v>43838.125</v>
      </c>
      <c r="B53" s="1" t="s">
        <v>45</v>
      </c>
      <c r="C53" s="1">
        <v>2488293</v>
      </c>
      <c r="D53" s="1">
        <v>282594822</v>
      </c>
      <c r="E53" s="1">
        <v>18813761</v>
      </c>
      <c r="F53">
        <v>2488.2930000000001</v>
      </c>
      <c r="G53">
        <v>301.40858300000002</v>
      </c>
    </row>
    <row r="54" spans="1:7" x14ac:dyDescent="0.25">
      <c r="A54" s="7">
        <v>43838.166666666664</v>
      </c>
      <c r="B54" s="1" t="s">
        <v>45</v>
      </c>
      <c r="C54" s="1">
        <v>1604054</v>
      </c>
      <c r="D54" s="1">
        <v>160215553</v>
      </c>
      <c r="E54" s="1">
        <v>12165403</v>
      </c>
      <c r="F54">
        <v>1604.0540000000001</v>
      </c>
      <c r="G54">
        <v>172.380956</v>
      </c>
    </row>
    <row r="55" spans="1:7" x14ac:dyDescent="0.25">
      <c r="A55" s="7">
        <v>43838.208333333336</v>
      </c>
      <c r="B55" s="1" t="s">
        <v>45</v>
      </c>
      <c r="C55" s="1">
        <v>2417989</v>
      </c>
      <c r="D55" s="1">
        <v>223221553</v>
      </c>
      <c r="E55" s="1">
        <v>19972592</v>
      </c>
      <c r="F55">
        <v>2417.989</v>
      </c>
      <c r="G55">
        <v>243.19414499999999</v>
      </c>
    </row>
    <row r="56" spans="1:7" x14ac:dyDescent="0.25">
      <c r="A56" s="7">
        <v>43838.25</v>
      </c>
      <c r="B56" s="1" t="s">
        <v>45</v>
      </c>
      <c r="C56" s="1">
        <v>4144137</v>
      </c>
      <c r="D56" s="1">
        <v>391375859</v>
      </c>
      <c r="E56" s="1">
        <v>39660315</v>
      </c>
      <c r="F56">
        <v>4144.1369999999997</v>
      </c>
      <c r="G56">
        <v>431.03617400000002</v>
      </c>
    </row>
    <row r="57" spans="1:7" x14ac:dyDescent="0.25">
      <c r="A57" s="7">
        <v>43838.291666666664</v>
      </c>
      <c r="B57" s="1" t="s">
        <v>45</v>
      </c>
      <c r="C57" s="1">
        <v>4351836</v>
      </c>
      <c r="D57" s="1">
        <v>394035109</v>
      </c>
      <c r="E57" s="1">
        <v>55208558</v>
      </c>
      <c r="F57">
        <v>4351.8360000000002</v>
      </c>
      <c r="G57">
        <v>449.24366700000002</v>
      </c>
    </row>
    <row r="58" spans="1:7" x14ac:dyDescent="0.25">
      <c r="A58" s="7">
        <v>43838.333333333336</v>
      </c>
      <c r="B58" s="1" t="s">
        <v>45</v>
      </c>
      <c r="C58" s="1">
        <v>5143025</v>
      </c>
      <c r="D58" s="1">
        <v>491454075</v>
      </c>
      <c r="E58" s="1">
        <v>79666849</v>
      </c>
      <c r="F58">
        <v>5143.0249999999996</v>
      </c>
      <c r="G58">
        <v>571.12092399999995</v>
      </c>
    </row>
    <row r="59" spans="1:7" x14ac:dyDescent="0.25">
      <c r="A59" s="7">
        <v>43838.375</v>
      </c>
      <c r="B59" s="1" t="s">
        <v>45</v>
      </c>
      <c r="C59" s="1">
        <v>6960964</v>
      </c>
      <c r="D59" s="1">
        <v>730394845</v>
      </c>
      <c r="E59" s="1">
        <v>130486270</v>
      </c>
      <c r="F59">
        <v>6960.9639999999999</v>
      </c>
      <c r="G59">
        <v>860.88111500000002</v>
      </c>
    </row>
    <row r="60" spans="1:7" x14ac:dyDescent="0.25">
      <c r="A60" s="7">
        <v>43838.416666666664</v>
      </c>
      <c r="B60" s="1" t="s">
        <v>45</v>
      </c>
      <c r="C60" s="1">
        <v>7719895</v>
      </c>
      <c r="D60" s="1">
        <v>877996173</v>
      </c>
      <c r="E60" s="1">
        <v>137957872</v>
      </c>
      <c r="F60">
        <v>7719.8950000000004</v>
      </c>
      <c r="G60">
        <v>1015.954045</v>
      </c>
    </row>
    <row r="61" spans="1:7" x14ac:dyDescent="0.25">
      <c r="A61" s="7">
        <v>43838.458333333336</v>
      </c>
      <c r="B61" s="1" t="s">
        <v>45</v>
      </c>
      <c r="C61" s="1">
        <v>7822362</v>
      </c>
      <c r="D61" s="1">
        <v>940987252</v>
      </c>
      <c r="E61" s="1">
        <v>130873579</v>
      </c>
      <c r="F61">
        <v>7822.3620000000001</v>
      </c>
      <c r="G61">
        <v>1071.860831</v>
      </c>
    </row>
    <row r="62" spans="1:7" x14ac:dyDescent="0.25">
      <c r="A62" s="7">
        <v>43838.5</v>
      </c>
      <c r="B62" s="1" t="s">
        <v>45</v>
      </c>
      <c r="C62" s="1">
        <v>7722739</v>
      </c>
      <c r="D62" s="1">
        <v>965526253</v>
      </c>
      <c r="E62" s="1">
        <v>122355586</v>
      </c>
      <c r="F62">
        <v>7722.7389999999996</v>
      </c>
      <c r="G62">
        <v>1087.8818389999999</v>
      </c>
    </row>
    <row r="63" spans="1:7" x14ac:dyDescent="0.25">
      <c r="A63" s="7">
        <v>43838.541666666664</v>
      </c>
      <c r="B63" s="1" t="s">
        <v>45</v>
      </c>
      <c r="C63" s="1">
        <v>7386654</v>
      </c>
      <c r="D63" s="1">
        <v>904449638</v>
      </c>
      <c r="E63" s="1">
        <v>111518169</v>
      </c>
      <c r="F63">
        <v>7386.6540000000005</v>
      </c>
      <c r="G63">
        <v>1015.967807</v>
      </c>
    </row>
    <row r="64" spans="1:7" x14ac:dyDescent="0.25">
      <c r="A64" s="7">
        <v>43838.583333333336</v>
      </c>
      <c r="B64" s="1" t="s">
        <v>45</v>
      </c>
      <c r="C64" s="1">
        <v>7700595</v>
      </c>
      <c r="D64" s="1">
        <v>978405474</v>
      </c>
      <c r="E64" s="1">
        <v>110176634</v>
      </c>
      <c r="F64">
        <v>7700.5950000000003</v>
      </c>
      <c r="G64">
        <v>1088.5821080000001</v>
      </c>
    </row>
    <row r="65" spans="1:7" x14ac:dyDescent="0.25">
      <c r="A65" s="7">
        <v>43838.625</v>
      </c>
      <c r="B65" s="1" t="s">
        <v>45</v>
      </c>
      <c r="C65" s="1">
        <v>7961486</v>
      </c>
      <c r="D65" s="1">
        <v>981550044</v>
      </c>
      <c r="E65" s="1">
        <v>113959722</v>
      </c>
      <c r="F65">
        <v>7961.4859999999999</v>
      </c>
      <c r="G65">
        <v>1095.5097659999999</v>
      </c>
    </row>
    <row r="66" spans="1:7" x14ac:dyDescent="0.25">
      <c r="A66" s="7">
        <v>43838.666666666664</v>
      </c>
      <c r="B66" s="1" t="s">
        <v>45</v>
      </c>
      <c r="C66" s="1">
        <v>7915898</v>
      </c>
      <c r="D66" s="1">
        <v>1029200239</v>
      </c>
      <c r="E66" s="1">
        <v>128344328</v>
      </c>
      <c r="F66">
        <v>7915.8980000000001</v>
      </c>
      <c r="G66">
        <v>1157.5445669999999</v>
      </c>
    </row>
    <row r="67" spans="1:7" x14ac:dyDescent="0.25">
      <c r="A67" s="7">
        <v>43838.708333333336</v>
      </c>
      <c r="B67" s="1" t="s">
        <v>45</v>
      </c>
      <c r="C67" s="1">
        <v>7581169</v>
      </c>
      <c r="D67" s="1">
        <v>1038575331</v>
      </c>
      <c r="E67" s="1">
        <v>133013701</v>
      </c>
      <c r="F67">
        <v>7581.1689999999999</v>
      </c>
      <c r="G67">
        <v>1171.5890320000001</v>
      </c>
    </row>
    <row r="68" spans="1:7" x14ac:dyDescent="0.25">
      <c r="A68" s="7">
        <v>43838.75</v>
      </c>
      <c r="B68" s="1" t="s">
        <v>45</v>
      </c>
      <c r="C68" s="1">
        <v>7555933</v>
      </c>
      <c r="D68" s="1">
        <v>1140588104</v>
      </c>
      <c r="E68" s="1">
        <v>141918490</v>
      </c>
      <c r="F68">
        <v>7555.933</v>
      </c>
      <c r="G68">
        <v>1282.506594</v>
      </c>
    </row>
    <row r="69" spans="1:7" x14ac:dyDescent="0.25">
      <c r="A69" s="7">
        <v>43838.791666666664</v>
      </c>
      <c r="B69" s="1" t="s">
        <v>45</v>
      </c>
      <c r="C69" s="1">
        <v>8130792</v>
      </c>
      <c r="D69" s="1">
        <v>1217685073</v>
      </c>
      <c r="E69" s="1">
        <v>125322954</v>
      </c>
      <c r="F69">
        <v>8130.7920000000004</v>
      </c>
      <c r="G69">
        <v>1343.0080270000001</v>
      </c>
    </row>
    <row r="70" spans="1:7" x14ac:dyDescent="0.25">
      <c r="A70" s="7">
        <v>43838.833333333336</v>
      </c>
      <c r="B70" s="1" t="s">
        <v>45</v>
      </c>
      <c r="C70" s="1">
        <v>8789956</v>
      </c>
      <c r="D70" s="1">
        <v>1410890698</v>
      </c>
      <c r="E70" s="1">
        <v>139149720</v>
      </c>
      <c r="F70">
        <v>8789.9560000000001</v>
      </c>
      <c r="G70">
        <v>1550.040418</v>
      </c>
    </row>
    <row r="71" spans="1:7" x14ac:dyDescent="0.25">
      <c r="A71" s="7">
        <v>43838.875</v>
      </c>
      <c r="B71" s="1" t="s">
        <v>45</v>
      </c>
      <c r="C71" s="1">
        <v>9224142</v>
      </c>
      <c r="D71" s="1">
        <v>1499622977</v>
      </c>
      <c r="E71" s="1">
        <v>136922610</v>
      </c>
      <c r="F71">
        <v>9224.1419999999998</v>
      </c>
      <c r="G71">
        <v>1636.5455870000001</v>
      </c>
    </row>
    <row r="72" spans="1:7" x14ac:dyDescent="0.25">
      <c r="A72" s="7">
        <v>43838.916666666664</v>
      </c>
      <c r="B72" s="1" t="s">
        <v>45</v>
      </c>
      <c r="C72" s="1">
        <v>9730046</v>
      </c>
      <c r="D72" s="1">
        <v>1536128672</v>
      </c>
      <c r="E72" s="1">
        <v>124364980</v>
      </c>
      <c r="F72">
        <v>9730.0460000000003</v>
      </c>
      <c r="G72">
        <v>1660.4936520000001</v>
      </c>
    </row>
    <row r="73" spans="1:7" x14ac:dyDescent="0.25">
      <c r="A73" s="7">
        <v>43838.958333333336</v>
      </c>
      <c r="B73" s="1" t="s">
        <v>45</v>
      </c>
      <c r="C73" s="1">
        <v>9499396</v>
      </c>
      <c r="D73" s="1">
        <v>1399180706</v>
      </c>
      <c r="E73" s="1">
        <v>93372678</v>
      </c>
      <c r="F73">
        <v>9499.3960000000006</v>
      </c>
      <c r="G73">
        <v>1492.5533840000001</v>
      </c>
    </row>
    <row r="74" spans="1:7" x14ac:dyDescent="0.25">
      <c r="A74" s="7">
        <v>43869</v>
      </c>
      <c r="B74" s="1" t="s">
        <v>45</v>
      </c>
      <c r="C74" s="1">
        <v>7221547</v>
      </c>
      <c r="D74" s="1">
        <v>973233744</v>
      </c>
      <c r="E74" s="1">
        <v>66193187</v>
      </c>
      <c r="F74">
        <v>7221.5469999999996</v>
      </c>
      <c r="G74">
        <v>1039.426931</v>
      </c>
    </row>
    <row r="75" spans="1:7" x14ac:dyDescent="0.25">
      <c r="A75" s="7">
        <v>43869.041666666664</v>
      </c>
      <c r="B75" s="1" t="s">
        <v>45</v>
      </c>
      <c r="C75" s="1">
        <v>4643860</v>
      </c>
      <c r="D75" s="1">
        <v>594147394</v>
      </c>
      <c r="E75" s="1">
        <v>39002192</v>
      </c>
      <c r="F75">
        <v>4643.8599999999997</v>
      </c>
      <c r="G75">
        <v>633.149586</v>
      </c>
    </row>
    <row r="76" spans="1:7" x14ac:dyDescent="0.25">
      <c r="A76" s="7">
        <v>43869.083333333336</v>
      </c>
      <c r="B76" s="1" t="s">
        <v>45</v>
      </c>
      <c r="C76" s="1">
        <v>2716797</v>
      </c>
      <c r="D76" s="1">
        <v>333848438</v>
      </c>
      <c r="E76" s="1">
        <v>23167873</v>
      </c>
      <c r="F76">
        <v>2716.797</v>
      </c>
      <c r="G76">
        <v>357.01631099999997</v>
      </c>
    </row>
    <row r="77" spans="1:7" x14ac:dyDescent="0.25">
      <c r="A77" s="7">
        <v>43869.125</v>
      </c>
      <c r="B77" s="1" t="s">
        <v>45</v>
      </c>
      <c r="C77" s="1">
        <v>1590190</v>
      </c>
      <c r="D77" s="1">
        <v>191367544</v>
      </c>
      <c r="E77" s="1">
        <v>14422208</v>
      </c>
      <c r="F77">
        <v>1590.19</v>
      </c>
      <c r="G77">
        <v>205.78975199999999</v>
      </c>
    </row>
    <row r="78" spans="1:7" x14ac:dyDescent="0.25">
      <c r="A78" s="7">
        <v>43869.166666666664</v>
      </c>
      <c r="B78" s="1" t="s">
        <v>45</v>
      </c>
      <c r="C78" s="1">
        <v>1041478</v>
      </c>
      <c r="D78" s="1">
        <v>105970610</v>
      </c>
      <c r="E78" s="1">
        <v>8231359</v>
      </c>
      <c r="F78">
        <v>1041.4780000000001</v>
      </c>
      <c r="G78">
        <v>114.20196900000001</v>
      </c>
    </row>
    <row r="79" spans="1:7" x14ac:dyDescent="0.25">
      <c r="A79" s="7">
        <v>43869.208333333336</v>
      </c>
      <c r="B79" s="1" t="s">
        <v>45</v>
      </c>
      <c r="C79" s="1">
        <v>1557487</v>
      </c>
      <c r="D79" s="1">
        <v>131054599</v>
      </c>
      <c r="E79" s="1">
        <v>10063656</v>
      </c>
      <c r="F79">
        <v>1557.4870000000001</v>
      </c>
      <c r="G79">
        <v>141.118255</v>
      </c>
    </row>
    <row r="80" spans="1:7" x14ac:dyDescent="0.25">
      <c r="A80" s="7">
        <v>43869.25</v>
      </c>
      <c r="B80" s="1" t="s">
        <v>45</v>
      </c>
      <c r="C80" s="1">
        <v>3196622</v>
      </c>
      <c r="D80" s="1">
        <v>281795742</v>
      </c>
      <c r="E80" s="1">
        <v>18313239</v>
      </c>
      <c r="F80">
        <v>3196.6219999999998</v>
      </c>
      <c r="G80">
        <v>300.10898100000003</v>
      </c>
    </row>
    <row r="81" spans="1:7" x14ac:dyDescent="0.25">
      <c r="A81" s="7">
        <v>43869.291666666664</v>
      </c>
      <c r="B81" s="1" t="s">
        <v>45</v>
      </c>
      <c r="C81" s="1">
        <v>5020679</v>
      </c>
      <c r="D81" s="1">
        <v>486548696</v>
      </c>
      <c r="E81" s="1">
        <v>33408759</v>
      </c>
      <c r="F81">
        <v>5020.6790000000001</v>
      </c>
      <c r="G81">
        <v>519.95745499999998</v>
      </c>
    </row>
    <row r="82" spans="1:7" x14ac:dyDescent="0.25">
      <c r="A82" s="7">
        <v>43869.333333333336</v>
      </c>
      <c r="B82" s="1" t="s">
        <v>45</v>
      </c>
      <c r="C82" s="1">
        <v>6678153</v>
      </c>
      <c r="D82" s="1">
        <v>744062844</v>
      </c>
      <c r="E82" s="1">
        <v>57640019</v>
      </c>
      <c r="F82">
        <v>6678.1530000000002</v>
      </c>
      <c r="G82">
        <v>801.70286299999998</v>
      </c>
    </row>
    <row r="83" spans="1:7" x14ac:dyDescent="0.25">
      <c r="A83" s="7">
        <v>43869.375</v>
      </c>
      <c r="B83" s="1" t="s">
        <v>45</v>
      </c>
      <c r="C83" s="1">
        <v>7806735</v>
      </c>
      <c r="D83" s="1">
        <v>993130419</v>
      </c>
      <c r="E83" s="1">
        <v>86925964</v>
      </c>
      <c r="F83">
        <v>7806.7349999999997</v>
      </c>
      <c r="G83">
        <v>1080.0563830000001</v>
      </c>
    </row>
    <row r="84" spans="1:7" x14ac:dyDescent="0.25">
      <c r="A84" s="7">
        <v>43869.416666666664</v>
      </c>
      <c r="B84" s="1" t="s">
        <v>45</v>
      </c>
      <c r="C84" s="1">
        <v>8479279</v>
      </c>
      <c r="D84" s="1">
        <v>1217171969</v>
      </c>
      <c r="E84" s="1">
        <v>107174447</v>
      </c>
      <c r="F84">
        <v>8479.2790000000005</v>
      </c>
      <c r="G84">
        <v>1324.3464160000001</v>
      </c>
    </row>
    <row r="85" spans="1:7" x14ac:dyDescent="0.25">
      <c r="A85" s="7">
        <v>43869.458333333336</v>
      </c>
      <c r="B85" s="1" t="s">
        <v>45</v>
      </c>
      <c r="C85" s="1">
        <v>8839011</v>
      </c>
      <c r="D85" s="1">
        <v>1301547378</v>
      </c>
      <c r="E85" s="1">
        <v>120528150</v>
      </c>
      <c r="F85">
        <v>8839.0110000000004</v>
      </c>
      <c r="G85">
        <v>1422.0755280000001</v>
      </c>
    </row>
    <row r="86" spans="1:7" x14ac:dyDescent="0.25">
      <c r="A86" s="7">
        <v>43869.5</v>
      </c>
      <c r="B86" s="1" t="s">
        <v>45</v>
      </c>
      <c r="C86" s="1">
        <v>8888303</v>
      </c>
      <c r="D86" s="1">
        <v>1324553446</v>
      </c>
      <c r="E86" s="1">
        <v>122997804</v>
      </c>
      <c r="F86">
        <v>8888.3029999999999</v>
      </c>
      <c r="G86">
        <v>1447.55125</v>
      </c>
    </row>
    <row r="87" spans="1:7" x14ac:dyDescent="0.25">
      <c r="A87" s="7">
        <v>43869.541666666664</v>
      </c>
      <c r="B87" s="1" t="s">
        <v>45</v>
      </c>
      <c r="C87" s="1">
        <v>8330813</v>
      </c>
      <c r="D87" s="1">
        <v>1169731168</v>
      </c>
      <c r="E87" s="1">
        <v>110176832</v>
      </c>
      <c r="F87">
        <v>8330.8130000000001</v>
      </c>
      <c r="G87">
        <v>1279.9079999999999</v>
      </c>
    </row>
    <row r="88" spans="1:7" x14ac:dyDescent="0.25">
      <c r="A88" s="7">
        <v>43869.583333333336</v>
      </c>
      <c r="B88" s="1" t="s">
        <v>45</v>
      </c>
      <c r="C88" s="1">
        <v>8508335</v>
      </c>
      <c r="D88" s="1">
        <v>1156389863</v>
      </c>
      <c r="E88" s="1">
        <v>104969481</v>
      </c>
      <c r="F88">
        <v>8508.3349999999991</v>
      </c>
      <c r="G88">
        <v>1261.359344</v>
      </c>
    </row>
    <row r="89" spans="1:7" x14ac:dyDescent="0.25">
      <c r="A89" s="7">
        <v>43869.625</v>
      </c>
      <c r="B89" s="1" t="s">
        <v>45</v>
      </c>
      <c r="C89" s="1">
        <v>8828962</v>
      </c>
      <c r="D89" s="1">
        <v>1187442449</v>
      </c>
      <c r="E89" s="1">
        <v>121842380</v>
      </c>
      <c r="F89">
        <v>8828.9619999999995</v>
      </c>
      <c r="G89">
        <v>1309.2848289999999</v>
      </c>
    </row>
    <row r="90" spans="1:7" x14ac:dyDescent="0.25">
      <c r="A90" s="7">
        <v>43869.666666666664</v>
      </c>
      <c r="B90" s="1" t="s">
        <v>45</v>
      </c>
      <c r="C90" s="1">
        <v>8555337</v>
      </c>
      <c r="D90" s="1">
        <v>1209789996</v>
      </c>
      <c r="E90" s="1">
        <v>128229258</v>
      </c>
      <c r="F90">
        <v>8555.3369999999995</v>
      </c>
      <c r="G90">
        <v>1338.019254</v>
      </c>
    </row>
    <row r="91" spans="1:7" x14ac:dyDescent="0.25">
      <c r="A91" s="7">
        <v>43869.708333333336</v>
      </c>
      <c r="B91" s="1" t="s">
        <v>45</v>
      </c>
      <c r="C91" s="1">
        <v>7884474</v>
      </c>
      <c r="D91" s="1">
        <v>1195792647</v>
      </c>
      <c r="E91" s="1">
        <v>131140233</v>
      </c>
      <c r="F91">
        <v>7884.4740000000002</v>
      </c>
      <c r="G91">
        <v>1326.9328800000001</v>
      </c>
    </row>
    <row r="92" spans="1:7" x14ac:dyDescent="0.25">
      <c r="A92" s="7">
        <v>43869.75</v>
      </c>
      <c r="B92" s="1" t="s">
        <v>45</v>
      </c>
      <c r="C92" s="1">
        <v>7740313</v>
      </c>
      <c r="D92" s="1">
        <v>1163440640</v>
      </c>
      <c r="E92" s="1">
        <v>132766463</v>
      </c>
      <c r="F92">
        <v>7740.3130000000001</v>
      </c>
      <c r="G92">
        <v>1296.207103</v>
      </c>
    </row>
    <row r="93" spans="1:7" x14ac:dyDescent="0.25">
      <c r="A93" s="7">
        <v>43869.791666666664</v>
      </c>
      <c r="B93" s="1" t="s">
        <v>45</v>
      </c>
      <c r="C93" s="1">
        <v>8418095</v>
      </c>
      <c r="D93" s="1">
        <v>1294185062</v>
      </c>
      <c r="E93" s="1">
        <v>120787219</v>
      </c>
      <c r="F93">
        <v>8418.0949999999993</v>
      </c>
      <c r="G93">
        <v>1414.9722810000001</v>
      </c>
    </row>
    <row r="94" spans="1:7" x14ac:dyDescent="0.25">
      <c r="A94" s="7">
        <v>43869.833333333336</v>
      </c>
      <c r="B94" s="1" t="s">
        <v>45</v>
      </c>
      <c r="C94" s="1">
        <v>9068306</v>
      </c>
      <c r="D94" s="1">
        <v>1508336493</v>
      </c>
      <c r="E94" s="1">
        <v>139022965</v>
      </c>
      <c r="F94">
        <v>9068.3060000000005</v>
      </c>
      <c r="G94">
        <v>1647.3594579999999</v>
      </c>
    </row>
    <row r="95" spans="1:7" x14ac:dyDescent="0.25">
      <c r="A95" s="7">
        <v>43869.875</v>
      </c>
      <c r="B95" s="1" t="s">
        <v>45</v>
      </c>
      <c r="C95" s="1">
        <v>9448677</v>
      </c>
      <c r="D95" s="1">
        <v>1617488814</v>
      </c>
      <c r="E95" s="1">
        <v>135720522</v>
      </c>
      <c r="F95">
        <v>9448.6769999999997</v>
      </c>
      <c r="G95">
        <v>1753.2093359999999</v>
      </c>
    </row>
    <row r="96" spans="1:7" x14ac:dyDescent="0.25">
      <c r="A96" s="7">
        <v>43869.916666666664</v>
      </c>
      <c r="B96" s="1" t="s">
        <v>45</v>
      </c>
      <c r="C96" s="1">
        <v>9898872</v>
      </c>
      <c r="D96" s="1">
        <v>1605309303</v>
      </c>
      <c r="E96" s="1">
        <v>127260856</v>
      </c>
      <c r="F96">
        <v>9898.8719999999994</v>
      </c>
      <c r="G96">
        <v>1732.5701590000001</v>
      </c>
    </row>
    <row r="97" spans="1:7" x14ac:dyDescent="0.25">
      <c r="A97" s="7">
        <v>43869.958333333336</v>
      </c>
      <c r="B97" s="1" t="s">
        <v>45</v>
      </c>
      <c r="C97" s="1">
        <v>9924641</v>
      </c>
      <c r="D97" s="1">
        <v>1572899534</v>
      </c>
      <c r="E97" s="1">
        <v>114250137</v>
      </c>
      <c r="F97">
        <v>9924.6409999999996</v>
      </c>
      <c r="G97">
        <v>1687.1496709999999</v>
      </c>
    </row>
    <row r="98" spans="1:7" x14ac:dyDescent="0.25">
      <c r="A98" s="7">
        <v>43898</v>
      </c>
      <c r="B98" s="1" t="s">
        <v>45</v>
      </c>
      <c r="C98" s="1">
        <v>8145912</v>
      </c>
      <c r="D98" s="1">
        <v>1184320989</v>
      </c>
      <c r="E98" s="1">
        <v>78544657</v>
      </c>
      <c r="F98">
        <v>8145.9120000000003</v>
      </c>
      <c r="G98">
        <v>1262.865646</v>
      </c>
    </row>
    <row r="99" spans="1:7" x14ac:dyDescent="0.25">
      <c r="A99" s="7">
        <v>43898.041666666664</v>
      </c>
      <c r="B99" s="1" t="s">
        <v>45</v>
      </c>
      <c r="C99" s="1">
        <v>5624001</v>
      </c>
      <c r="D99" s="1">
        <v>777234075</v>
      </c>
      <c r="E99" s="1">
        <v>50142802</v>
      </c>
      <c r="F99">
        <v>5624.0010000000002</v>
      </c>
      <c r="G99">
        <v>827.37687700000004</v>
      </c>
    </row>
    <row r="100" spans="1:7" x14ac:dyDescent="0.25">
      <c r="A100" s="7">
        <v>43898.083333333336</v>
      </c>
      <c r="B100" s="1" t="s">
        <v>45</v>
      </c>
      <c r="C100" s="1">
        <v>3393956</v>
      </c>
      <c r="D100" s="1">
        <v>449398540</v>
      </c>
      <c r="E100" s="1">
        <v>28756434</v>
      </c>
      <c r="F100">
        <v>3393.9560000000001</v>
      </c>
      <c r="G100">
        <v>478.15497399999998</v>
      </c>
    </row>
    <row r="101" spans="1:7" x14ac:dyDescent="0.25">
      <c r="A101" s="7">
        <v>43898.125</v>
      </c>
      <c r="B101" s="1" t="s">
        <v>45</v>
      </c>
      <c r="C101" s="1">
        <v>1937843</v>
      </c>
      <c r="D101" s="1">
        <v>245152405</v>
      </c>
      <c r="E101" s="1">
        <v>17037506</v>
      </c>
      <c r="F101">
        <v>1937.8430000000001</v>
      </c>
      <c r="G101">
        <v>262.189911</v>
      </c>
    </row>
    <row r="102" spans="1:7" x14ac:dyDescent="0.25">
      <c r="A102" s="7">
        <v>43898.166666666664</v>
      </c>
      <c r="B102" s="1" t="s">
        <v>45</v>
      </c>
      <c r="C102" s="1">
        <v>1200658</v>
      </c>
      <c r="D102" s="1">
        <v>134658599</v>
      </c>
      <c r="E102" s="1">
        <v>10358992</v>
      </c>
      <c r="F102">
        <v>1200.6579999999999</v>
      </c>
      <c r="G102">
        <v>145.01759100000001</v>
      </c>
    </row>
    <row r="103" spans="1:7" x14ac:dyDescent="0.25">
      <c r="A103" s="7">
        <v>43898.208333333336</v>
      </c>
      <c r="B103" s="1" t="s">
        <v>45</v>
      </c>
      <c r="C103" s="1">
        <v>1634769</v>
      </c>
      <c r="D103" s="1">
        <v>156635407</v>
      </c>
      <c r="E103" s="1">
        <v>12117003</v>
      </c>
      <c r="F103">
        <v>1634.769</v>
      </c>
      <c r="G103">
        <v>168.75241</v>
      </c>
    </row>
    <row r="104" spans="1:7" x14ac:dyDescent="0.25">
      <c r="A104" s="7">
        <v>43898.25</v>
      </c>
      <c r="B104" s="1" t="s">
        <v>45</v>
      </c>
      <c r="C104" s="1">
        <v>3164239</v>
      </c>
      <c r="D104" s="1">
        <v>307018451</v>
      </c>
      <c r="E104" s="1">
        <v>20293967</v>
      </c>
      <c r="F104">
        <v>3164.239</v>
      </c>
      <c r="G104">
        <v>327.31241799999998</v>
      </c>
    </row>
    <row r="105" spans="1:7" x14ac:dyDescent="0.25">
      <c r="A105" s="7">
        <v>43898.291666666664</v>
      </c>
      <c r="B105" s="1" t="s">
        <v>45</v>
      </c>
      <c r="C105" s="1">
        <v>4953715</v>
      </c>
      <c r="D105" s="1">
        <v>510735268</v>
      </c>
      <c r="E105" s="1">
        <v>32878472</v>
      </c>
      <c r="F105">
        <v>4953.7150000000001</v>
      </c>
      <c r="G105">
        <v>543.61374000000001</v>
      </c>
    </row>
    <row r="106" spans="1:7" x14ac:dyDescent="0.25">
      <c r="A106" s="7">
        <v>43898.333333333336</v>
      </c>
      <c r="B106" s="1" t="s">
        <v>45</v>
      </c>
      <c r="C106" s="1">
        <v>6610779</v>
      </c>
      <c r="D106" s="1">
        <v>744544755</v>
      </c>
      <c r="E106" s="1">
        <v>53990254</v>
      </c>
      <c r="F106">
        <v>6610.7790000000005</v>
      </c>
      <c r="G106">
        <v>798.53500899999995</v>
      </c>
    </row>
    <row r="107" spans="1:7" x14ac:dyDescent="0.25">
      <c r="A107" s="7">
        <v>43898.375</v>
      </c>
      <c r="B107" s="1" t="s">
        <v>45</v>
      </c>
      <c r="C107" s="1">
        <v>7677530</v>
      </c>
      <c r="D107" s="1">
        <v>979973757</v>
      </c>
      <c r="E107" s="1">
        <v>78022446</v>
      </c>
      <c r="F107">
        <v>7677.53</v>
      </c>
      <c r="G107">
        <v>1057.9962029999999</v>
      </c>
    </row>
    <row r="108" spans="1:7" x14ac:dyDescent="0.25">
      <c r="A108" s="7">
        <v>43898.416666666664</v>
      </c>
      <c r="B108" s="1" t="s">
        <v>45</v>
      </c>
      <c r="C108" s="1">
        <v>8331713</v>
      </c>
      <c r="D108" s="1">
        <v>1129381395</v>
      </c>
      <c r="E108" s="1">
        <v>98016324</v>
      </c>
      <c r="F108">
        <v>8331.7129999999997</v>
      </c>
      <c r="G108">
        <v>1227.3977190000001</v>
      </c>
    </row>
    <row r="109" spans="1:7" x14ac:dyDescent="0.25">
      <c r="A109" s="7">
        <v>43898.458333333336</v>
      </c>
      <c r="B109" s="1" t="s">
        <v>45</v>
      </c>
      <c r="C109" s="1">
        <v>8604442</v>
      </c>
      <c r="D109" s="1">
        <v>1198095151</v>
      </c>
      <c r="E109" s="1">
        <v>104181526</v>
      </c>
      <c r="F109">
        <v>8604.4419999999991</v>
      </c>
      <c r="G109">
        <v>1302.2766770000001</v>
      </c>
    </row>
    <row r="110" spans="1:7" x14ac:dyDescent="0.25">
      <c r="A110" s="7">
        <v>43898.5</v>
      </c>
      <c r="B110" s="1" t="s">
        <v>45</v>
      </c>
      <c r="C110" s="1">
        <v>8713045</v>
      </c>
      <c r="D110" s="1">
        <v>1264855831</v>
      </c>
      <c r="E110" s="1">
        <v>106783417</v>
      </c>
      <c r="F110">
        <v>8713.0450000000001</v>
      </c>
      <c r="G110">
        <v>1371.639248</v>
      </c>
    </row>
    <row r="111" spans="1:7" x14ac:dyDescent="0.25">
      <c r="A111" s="7">
        <v>43898.541666666664</v>
      </c>
      <c r="B111" s="1" t="s">
        <v>45</v>
      </c>
      <c r="C111" s="1">
        <v>8213806</v>
      </c>
      <c r="D111" s="1">
        <v>1216383708</v>
      </c>
      <c r="E111" s="1">
        <v>95542249</v>
      </c>
      <c r="F111">
        <v>8213.8060000000005</v>
      </c>
      <c r="G111">
        <v>1311.9259569999999</v>
      </c>
    </row>
    <row r="112" spans="1:7" x14ac:dyDescent="0.25">
      <c r="A112" s="7">
        <v>43898.583333333336</v>
      </c>
      <c r="B112" s="1" t="s">
        <v>45</v>
      </c>
      <c r="C112" s="1">
        <v>8498692</v>
      </c>
      <c r="D112" s="1">
        <v>1203143740</v>
      </c>
      <c r="E112" s="1">
        <v>97433057</v>
      </c>
      <c r="F112">
        <v>8498.6919999999991</v>
      </c>
      <c r="G112">
        <v>1300.5767969999999</v>
      </c>
    </row>
    <row r="113" spans="1:7" x14ac:dyDescent="0.25">
      <c r="A113" s="7">
        <v>43898.625</v>
      </c>
      <c r="B113" s="1" t="s">
        <v>45</v>
      </c>
      <c r="C113" s="1">
        <v>8815678</v>
      </c>
      <c r="D113" s="1">
        <v>1257151027</v>
      </c>
      <c r="E113" s="1">
        <v>109238125</v>
      </c>
      <c r="F113">
        <v>8815.6779999999999</v>
      </c>
      <c r="G113">
        <v>1366.389152</v>
      </c>
    </row>
    <row r="114" spans="1:7" x14ac:dyDescent="0.25">
      <c r="A114" s="7">
        <v>43898.666666666664</v>
      </c>
      <c r="B114" s="1" t="s">
        <v>45</v>
      </c>
      <c r="C114" s="1">
        <v>8474028</v>
      </c>
      <c r="D114" s="1">
        <v>1233044467</v>
      </c>
      <c r="E114" s="1">
        <v>113480820</v>
      </c>
      <c r="F114">
        <v>8474.0280000000002</v>
      </c>
      <c r="G114">
        <v>1346.5252869999999</v>
      </c>
    </row>
    <row r="115" spans="1:7" x14ac:dyDescent="0.25">
      <c r="A115" s="7">
        <v>43898.708333333336</v>
      </c>
      <c r="B115" s="1" t="s">
        <v>45</v>
      </c>
      <c r="C115" s="1">
        <v>7761605</v>
      </c>
      <c r="D115" s="1">
        <v>1171972216</v>
      </c>
      <c r="E115" s="1">
        <v>114089366</v>
      </c>
      <c r="F115">
        <v>7761.6049999999996</v>
      </c>
      <c r="G115">
        <v>1286.061582</v>
      </c>
    </row>
    <row r="116" spans="1:7" x14ac:dyDescent="0.25">
      <c r="A116" s="7">
        <v>43898.75</v>
      </c>
      <c r="B116" s="1" t="s">
        <v>45</v>
      </c>
      <c r="C116" s="1">
        <v>7401553</v>
      </c>
      <c r="D116" s="1">
        <v>1137621869</v>
      </c>
      <c r="E116" s="1">
        <v>119298820</v>
      </c>
      <c r="F116">
        <v>7401.5529999999999</v>
      </c>
      <c r="G116">
        <v>1256.920689</v>
      </c>
    </row>
    <row r="117" spans="1:7" x14ac:dyDescent="0.25">
      <c r="A117" s="7">
        <v>43898.791666666664</v>
      </c>
      <c r="B117" s="1" t="s">
        <v>45</v>
      </c>
      <c r="C117" s="1">
        <v>8063718</v>
      </c>
      <c r="D117" s="1">
        <v>1274769702</v>
      </c>
      <c r="E117" s="1">
        <v>106851121</v>
      </c>
      <c r="F117">
        <v>8063.7179999999998</v>
      </c>
      <c r="G117">
        <v>1381.620823</v>
      </c>
    </row>
    <row r="118" spans="1:7" x14ac:dyDescent="0.25">
      <c r="A118" s="7">
        <v>43898.833333333336</v>
      </c>
      <c r="B118" s="1" t="s">
        <v>45</v>
      </c>
      <c r="C118" s="1">
        <v>8760492</v>
      </c>
      <c r="D118" s="1">
        <v>1436313792</v>
      </c>
      <c r="E118" s="1">
        <v>122879284</v>
      </c>
      <c r="F118">
        <v>8760.4920000000002</v>
      </c>
      <c r="G118">
        <v>1559.193076</v>
      </c>
    </row>
    <row r="119" spans="1:7" x14ac:dyDescent="0.25">
      <c r="A119" s="7">
        <v>43898.875</v>
      </c>
      <c r="B119" s="1" t="s">
        <v>45</v>
      </c>
      <c r="C119" s="1">
        <v>9082665</v>
      </c>
      <c r="D119" s="1">
        <v>1554377403</v>
      </c>
      <c r="E119" s="1">
        <v>127040178</v>
      </c>
      <c r="F119">
        <v>9082.6650000000009</v>
      </c>
      <c r="G119">
        <v>1681.4175809999999</v>
      </c>
    </row>
    <row r="120" spans="1:7" x14ac:dyDescent="0.25">
      <c r="A120" s="7">
        <v>43898.916666666664</v>
      </c>
      <c r="B120" s="1" t="s">
        <v>45</v>
      </c>
      <c r="C120" s="1">
        <v>9645745</v>
      </c>
      <c r="D120" s="1">
        <v>1565815505</v>
      </c>
      <c r="E120" s="1">
        <v>113076406</v>
      </c>
      <c r="F120">
        <v>9645.7450000000008</v>
      </c>
      <c r="G120">
        <v>1678.8919109999999</v>
      </c>
    </row>
    <row r="121" spans="1:7" x14ac:dyDescent="0.25">
      <c r="A121" s="7">
        <v>43898.958333333336</v>
      </c>
      <c r="B121" s="1" t="s">
        <v>45</v>
      </c>
      <c r="C121" s="1">
        <v>9542337</v>
      </c>
      <c r="D121" s="1">
        <v>1476772352</v>
      </c>
      <c r="E121" s="1">
        <v>95593816</v>
      </c>
      <c r="F121">
        <v>9542.3369999999995</v>
      </c>
      <c r="G121">
        <v>1572.366168</v>
      </c>
    </row>
    <row r="122" spans="1:7" x14ac:dyDescent="0.25">
      <c r="A122" s="7">
        <v>43929</v>
      </c>
      <c r="B122" s="1" t="s">
        <v>45</v>
      </c>
      <c r="C122" s="1">
        <v>7540684</v>
      </c>
      <c r="D122" s="1">
        <v>1060729624</v>
      </c>
      <c r="E122" s="1">
        <v>65761913</v>
      </c>
      <c r="F122">
        <v>7540.6840000000002</v>
      </c>
      <c r="G122">
        <v>1126.4915370000001</v>
      </c>
    </row>
    <row r="123" spans="1:7" x14ac:dyDescent="0.25">
      <c r="A123" s="7">
        <v>43929.041666666664</v>
      </c>
      <c r="B123" s="1" t="s">
        <v>45</v>
      </c>
      <c r="C123" s="1">
        <v>5017494</v>
      </c>
      <c r="D123" s="1">
        <v>669560397</v>
      </c>
      <c r="E123" s="1">
        <v>44811749</v>
      </c>
      <c r="F123">
        <v>5017.4939999999997</v>
      </c>
      <c r="G123">
        <v>714.37214600000004</v>
      </c>
    </row>
    <row r="124" spans="1:7" x14ac:dyDescent="0.25">
      <c r="A124" s="7">
        <v>43929.083333333336</v>
      </c>
      <c r="B124" s="1" t="s">
        <v>45</v>
      </c>
      <c r="C124" s="1">
        <v>2948141</v>
      </c>
      <c r="D124" s="1">
        <v>385029727</v>
      </c>
      <c r="E124" s="1">
        <v>29568803</v>
      </c>
      <c r="F124">
        <v>2948.1410000000001</v>
      </c>
      <c r="G124">
        <v>414.59852999999998</v>
      </c>
    </row>
    <row r="125" spans="1:7" x14ac:dyDescent="0.25">
      <c r="A125" s="7">
        <v>43929.125</v>
      </c>
      <c r="B125" s="1" t="s">
        <v>45</v>
      </c>
      <c r="C125" s="1">
        <v>1703526</v>
      </c>
      <c r="D125" s="1">
        <v>218628404</v>
      </c>
      <c r="E125" s="1">
        <v>15419480</v>
      </c>
      <c r="F125">
        <v>1703.5260000000001</v>
      </c>
      <c r="G125">
        <v>234.04788400000001</v>
      </c>
    </row>
    <row r="126" spans="1:7" x14ac:dyDescent="0.25">
      <c r="A126" s="7">
        <v>43929.166666666664</v>
      </c>
      <c r="B126" s="1" t="s">
        <v>45</v>
      </c>
      <c r="C126" s="1">
        <v>1061269</v>
      </c>
      <c r="D126" s="1">
        <v>115917039</v>
      </c>
      <c r="E126" s="1">
        <v>10661703</v>
      </c>
      <c r="F126">
        <v>1061.269</v>
      </c>
      <c r="G126">
        <v>126.57874200000001</v>
      </c>
    </row>
    <row r="127" spans="1:7" x14ac:dyDescent="0.25">
      <c r="A127" s="7">
        <v>43929.208333333336</v>
      </c>
      <c r="B127" s="1" t="s">
        <v>45</v>
      </c>
      <c r="C127" s="1">
        <v>1475451</v>
      </c>
      <c r="D127" s="1">
        <v>141680318</v>
      </c>
      <c r="E127" s="1">
        <v>11379860</v>
      </c>
      <c r="F127">
        <v>1475.451</v>
      </c>
      <c r="G127">
        <v>153.06017800000001</v>
      </c>
    </row>
    <row r="128" spans="1:7" x14ac:dyDescent="0.25">
      <c r="A128" s="7">
        <v>43929.25</v>
      </c>
      <c r="B128" s="1" t="s">
        <v>45</v>
      </c>
      <c r="C128" s="1">
        <v>2966381</v>
      </c>
      <c r="D128" s="1">
        <v>284459866</v>
      </c>
      <c r="E128" s="1">
        <v>18965060</v>
      </c>
      <c r="F128">
        <v>2966.3809999999999</v>
      </c>
      <c r="G128">
        <v>303.42492600000003</v>
      </c>
    </row>
    <row r="129" spans="1:7" x14ac:dyDescent="0.25">
      <c r="A129" s="7">
        <v>43929.291666666664</v>
      </c>
      <c r="B129" s="1" t="s">
        <v>45</v>
      </c>
      <c r="C129" s="1">
        <v>4748877</v>
      </c>
      <c r="D129" s="1">
        <v>465770073</v>
      </c>
      <c r="E129" s="1">
        <v>38331438</v>
      </c>
      <c r="F129">
        <v>4748.8770000000004</v>
      </c>
      <c r="G129">
        <v>504.10151100000002</v>
      </c>
    </row>
    <row r="130" spans="1:7" x14ac:dyDescent="0.25">
      <c r="A130" s="7">
        <v>43929.333333333336</v>
      </c>
      <c r="B130" s="1" t="s">
        <v>45</v>
      </c>
      <c r="C130" s="1">
        <v>6368470</v>
      </c>
      <c r="D130" s="1">
        <v>730562911</v>
      </c>
      <c r="E130" s="1">
        <v>51775885</v>
      </c>
      <c r="F130">
        <v>6368.47</v>
      </c>
      <c r="G130">
        <v>782.338796</v>
      </c>
    </row>
    <row r="131" spans="1:7" x14ac:dyDescent="0.25">
      <c r="A131" s="7">
        <v>43929.375</v>
      </c>
      <c r="B131" s="1" t="s">
        <v>45</v>
      </c>
      <c r="C131" s="1">
        <v>7445884</v>
      </c>
      <c r="D131" s="1">
        <v>930709921</v>
      </c>
      <c r="E131" s="1">
        <v>72478870</v>
      </c>
      <c r="F131">
        <v>7445.884</v>
      </c>
      <c r="G131">
        <v>1003.188791</v>
      </c>
    </row>
    <row r="132" spans="1:7" x14ac:dyDescent="0.25">
      <c r="A132" s="7">
        <v>43929.416666666664</v>
      </c>
      <c r="B132" s="1" t="s">
        <v>45</v>
      </c>
      <c r="C132" s="1">
        <v>8046464</v>
      </c>
      <c r="D132" s="1">
        <v>1094756852</v>
      </c>
      <c r="E132" s="1">
        <v>88965625</v>
      </c>
      <c r="F132">
        <v>8046.4639999999999</v>
      </c>
      <c r="G132">
        <v>1183.722477</v>
      </c>
    </row>
    <row r="133" spans="1:7" x14ac:dyDescent="0.25">
      <c r="A133" s="7">
        <v>43929.458333333336</v>
      </c>
      <c r="B133" s="1" t="s">
        <v>45</v>
      </c>
      <c r="C133" s="1">
        <v>8332720</v>
      </c>
      <c r="D133" s="1">
        <v>1193083443</v>
      </c>
      <c r="E133" s="1">
        <v>103406164</v>
      </c>
      <c r="F133">
        <v>8332.7199999999993</v>
      </c>
      <c r="G133">
        <v>1296.489607</v>
      </c>
    </row>
    <row r="134" spans="1:7" x14ac:dyDescent="0.25">
      <c r="A134" s="7">
        <v>43929.5</v>
      </c>
      <c r="B134" s="1" t="s">
        <v>45</v>
      </c>
      <c r="C134" s="1">
        <v>8461957</v>
      </c>
      <c r="D134" s="1">
        <v>1231160303</v>
      </c>
      <c r="E134" s="1">
        <v>104826547</v>
      </c>
      <c r="F134">
        <v>8461.9570000000003</v>
      </c>
      <c r="G134">
        <v>1335.98685</v>
      </c>
    </row>
    <row r="135" spans="1:7" x14ac:dyDescent="0.25">
      <c r="A135" s="7">
        <v>43929.541666666664</v>
      </c>
      <c r="B135" s="1" t="s">
        <v>45</v>
      </c>
      <c r="C135" s="1">
        <v>7924321</v>
      </c>
      <c r="D135" s="1">
        <v>1131365843</v>
      </c>
      <c r="E135" s="1">
        <v>96065671</v>
      </c>
      <c r="F135">
        <v>7924.3209999999999</v>
      </c>
      <c r="G135">
        <v>1227.4315140000001</v>
      </c>
    </row>
    <row r="136" spans="1:7" x14ac:dyDescent="0.25">
      <c r="A136" s="7">
        <v>43929.583333333336</v>
      </c>
      <c r="B136" s="1" t="s">
        <v>45</v>
      </c>
      <c r="C136" s="1">
        <v>8166948</v>
      </c>
      <c r="D136" s="1">
        <v>1155895080</v>
      </c>
      <c r="E136" s="1">
        <v>92593667</v>
      </c>
      <c r="F136">
        <v>8166.9480000000003</v>
      </c>
      <c r="G136">
        <v>1248.4887470000001</v>
      </c>
    </row>
    <row r="137" spans="1:7" x14ac:dyDescent="0.25">
      <c r="A137" s="7">
        <v>43929.625</v>
      </c>
      <c r="B137" s="1" t="s">
        <v>45</v>
      </c>
      <c r="C137" s="1">
        <v>8544996</v>
      </c>
      <c r="D137" s="1">
        <v>1227812786</v>
      </c>
      <c r="E137" s="1">
        <v>103560093</v>
      </c>
      <c r="F137">
        <v>8544.9959999999992</v>
      </c>
      <c r="G137">
        <v>1331.372879</v>
      </c>
    </row>
    <row r="138" spans="1:7" x14ac:dyDescent="0.25">
      <c r="A138" s="7">
        <v>43929.666666666664</v>
      </c>
      <c r="B138" s="1" t="s">
        <v>45</v>
      </c>
      <c r="C138" s="1">
        <v>8356112</v>
      </c>
      <c r="D138" s="1">
        <v>1210204372</v>
      </c>
      <c r="E138" s="1">
        <v>115227015</v>
      </c>
      <c r="F138">
        <v>8356.1119999999992</v>
      </c>
      <c r="G138">
        <v>1325.4313870000001</v>
      </c>
    </row>
    <row r="139" spans="1:7" x14ac:dyDescent="0.25">
      <c r="A139" s="7">
        <v>43929.708333333336</v>
      </c>
      <c r="B139" s="1" t="s">
        <v>45</v>
      </c>
      <c r="C139" s="1">
        <v>7698743</v>
      </c>
      <c r="D139" s="1">
        <v>1192664480</v>
      </c>
      <c r="E139" s="1">
        <v>118831031</v>
      </c>
      <c r="F139">
        <v>7698.7430000000004</v>
      </c>
      <c r="G139">
        <v>1311.4955110000001</v>
      </c>
    </row>
    <row r="140" spans="1:7" x14ac:dyDescent="0.25">
      <c r="A140" s="7">
        <v>43929.75</v>
      </c>
      <c r="B140" s="1" t="s">
        <v>45</v>
      </c>
      <c r="C140" s="1">
        <v>7435140</v>
      </c>
      <c r="D140" s="1">
        <v>1138610649</v>
      </c>
      <c r="E140" s="1">
        <v>114676261</v>
      </c>
      <c r="F140">
        <v>7435.14</v>
      </c>
      <c r="G140">
        <v>1253.28691</v>
      </c>
    </row>
    <row r="141" spans="1:7" x14ac:dyDescent="0.25">
      <c r="A141" s="7">
        <v>43929.791666666664</v>
      </c>
      <c r="B141" s="1" t="s">
        <v>45</v>
      </c>
      <c r="C141" s="1">
        <v>8279076</v>
      </c>
      <c r="D141" s="1">
        <v>1223308983</v>
      </c>
      <c r="E141" s="1">
        <v>111802695</v>
      </c>
      <c r="F141">
        <v>8279.0759999999991</v>
      </c>
      <c r="G141">
        <v>1335.111678</v>
      </c>
    </row>
    <row r="142" spans="1:7" x14ac:dyDescent="0.25">
      <c r="A142" s="7">
        <v>43929.833333333336</v>
      </c>
      <c r="B142" s="1" t="s">
        <v>45</v>
      </c>
      <c r="C142" s="1">
        <v>8939642</v>
      </c>
      <c r="D142" s="1">
        <v>1386851269</v>
      </c>
      <c r="E142" s="1">
        <v>129242563</v>
      </c>
      <c r="F142">
        <v>8939.6419999999998</v>
      </c>
      <c r="G142">
        <v>1516.093832</v>
      </c>
    </row>
    <row r="143" spans="1:7" x14ac:dyDescent="0.25">
      <c r="A143" s="7">
        <v>43929.875</v>
      </c>
      <c r="B143" s="1" t="s">
        <v>45</v>
      </c>
      <c r="C143" s="1">
        <v>9317962</v>
      </c>
      <c r="D143" s="1">
        <v>1469559418</v>
      </c>
      <c r="E143" s="1">
        <v>123995431</v>
      </c>
      <c r="F143">
        <v>9317.9619999999995</v>
      </c>
      <c r="G143">
        <v>1593.5548490000001</v>
      </c>
    </row>
    <row r="144" spans="1:7" x14ac:dyDescent="0.25">
      <c r="A144" s="7">
        <v>43929.916666666664</v>
      </c>
      <c r="B144" s="1" t="s">
        <v>45</v>
      </c>
      <c r="C144" s="1">
        <v>9744940</v>
      </c>
      <c r="D144" s="1">
        <v>1521997384</v>
      </c>
      <c r="E144" s="1">
        <v>121885803</v>
      </c>
      <c r="F144">
        <v>9744.94</v>
      </c>
      <c r="G144">
        <v>1643.8831869999999</v>
      </c>
    </row>
    <row r="145" spans="1:7" x14ac:dyDescent="0.25">
      <c r="A145" s="7">
        <v>43929.958333333336</v>
      </c>
      <c r="B145" s="1" t="s">
        <v>45</v>
      </c>
      <c r="C145" s="1">
        <v>9536586</v>
      </c>
      <c r="D145" s="1">
        <v>1445500948</v>
      </c>
      <c r="E145" s="1">
        <v>96334833</v>
      </c>
      <c r="F145">
        <v>9536.5859999999993</v>
      </c>
      <c r="G145">
        <v>1541.835781</v>
      </c>
    </row>
    <row r="146" spans="1:7" x14ac:dyDescent="0.25">
      <c r="A146" s="7">
        <v>43959</v>
      </c>
      <c r="B146" s="1" t="s">
        <v>45</v>
      </c>
      <c r="C146" s="1">
        <v>7391580</v>
      </c>
      <c r="D146" s="1">
        <v>1060574061</v>
      </c>
      <c r="E146" s="1">
        <v>66175391</v>
      </c>
      <c r="F146">
        <v>7391.58</v>
      </c>
      <c r="G146">
        <v>1126.749452</v>
      </c>
    </row>
    <row r="147" spans="1:7" x14ac:dyDescent="0.25">
      <c r="A147" s="7">
        <v>43959.041666666664</v>
      </c>
      <c r="B147" s="1" t="s">
        <v>45</v>
      </c>
      <c r="C147" s="1">
        <v>4984488</v>
      </c>
      <c r="D147" s="1">
        <v>702574587</v>
      </c>
      <c r="E147" s="1">
        <v>41381413</v>
      </c>
      <c r="F147">
        <v>4984.4880000000003</v>
      </c>
      <c r="G147">
        <v>743.95600000000002</v>
      </c>
    </row>
    <row r="148" spans="1:7" x14ac:dyDescent="0.25">
      <c r="A148" s="7">
        <v>43959.083333333336</v>
      </c>
      <c r="B148" s="1" t="s">
        <v>45</v>
      </c>
      <c r="C148" s="1">
        <v>2933076</v>
      </c>
      <c r="D148" s="1">
        <v>379267858</v>
      </c>
      <c r="E148" s="1">
        <v>25159098</v>
      </c>
      <c r="F148">
        <v>2933.076</v>
      </c>
      <c r="G148">
        <v>404.42695600000002</v>
      </c>
    </row>
    <row r="149" spans="1:7" x14ac:dyDescent="0.25">
      <c r="A149" s="7">
        <v>43959.125</v>
      </c>
      <c r="B149" s="1" t="s">
        <v>45</v>
      </c>
      <c r="C149" s="1">
        <v>1713145</v>
      </c>
      <c r="D149" s="1">
        <v>206696459</v>
      </c>
      <c r="E149" s="1">
        <v>14432559</v>
      </c>
      <c r="F149">
        <v>1713.145</v>
      </c>
      <c r="G149">
        <v>221.129018</v>
      </c>
    </row>
    <row r="150" spans="1:7" x14ac:dyDescent="0.25">
      <c r="A150" s="7">
        <v>43959.166666666664</v>
      </c>
      <c r="B150" s="1" t="s">
        <v>45</v>
      </c>
      <c r="C150" s="1">
        <v>1064642</v>
      </c>
      <c r="D150" s="1">
        <v>119769944</v>
      </c>
      <c r="E150" s="1">
        <v>10427854</v>
      </c>
      <c r="F150">
        <v>1064.6420000000001</v>
      </c>
      <c r="G150">
        <v>130.19779800000001</v>
      </c>
    </row>
    <row r="151" spans="1:7" x14ac:dyDescent="0.25">
      <c r="A151" s="7">
        <v>43959.208333333336</v>
      </c>
      <c r="B151" s="1" t="s">
        <v>45</v>
      </c>
      <c r="C151" s="1">
        <v>1388799</v>
      </c>
      <c r="D151" s="1">
        <v>143125274</v>
      </c>
      <c r="E151" s="1">
        <v>12765596</v>
      </c>
      <c r="F151">
        <v>1388.799</v>
      </c>
      <c r="G151">
        <v>155.89087000000001</v>
      </c>
    </row>
    <row r="152" spans="1:7" x14ac:dyDescent="0.25">
      <c r="A152" s="7">
        <v>43959.25</v>
      </c>
      <c r="B152" s="1" t="s">
        <v>45</v>
      </c>
      <c r="C152" s="1">
        <v>2845167</v>
      </c>
      <c r="D152" s="1">
        <v>258949705</v>
      </c>
      <c r="E152" s="1">
        <v>19038567</v>
      </c>
      <c r="F152">
        <v>2845.1669999999999</v>
      </c>
      <c r="G152">
        <v>277.98827199999999</v>
      </c>
    </row>
    <row r="153" spans="1:7" x14ac:dyDescent="0.25">
      <c r="A153" s="7">
        <v>43959.291666666664</v>
      </c>
      <c r="B153" s="1" t="s">
        <v>45</v>
      </c>
      <c r="C153" s="1">
        <v>4599293</v>
      </c>
      <c r="D153" s="1">
        <v>466257841</v>
      </c>
      <c r="E153" s="1">
        <v>32613814</v>
      </c>
      <c r="F153">
        <v>4599.2929999999997</v>
      </c>
      <c r="G153">
        <v>498.87165499999998</v>
      </c>
    </row>
    <row r="154" spans="1:7" x14ac:dyDescent="0.25">
      <c r="A154" s="7">
        <v>43959.333333333336</v>
      </c>
      <c r="B154" s="1" t="s">
        <v>45</v>
      </c>
      <c r="C154" s="1">
        <v>6135479</v>
      </c>
      <c r="D154" s="1">
        <v>720423747</v>
      </c>
      <c r="E154" s="1">
        <v>53068478</v>
      </c>
      <c r="F154">
        <v>6135.4790000000003</v>
      </c>
      <c r="G154">
        <v>773.49222499999996</v>
      </c>
    </row>
    <row r="155" spans="1:7" x14ac:dyDescent="0.25">
      <c r="A155" s="7">
        <v>43959.375</v>
      </c>
      <c r="B155" s="1" t="s">
        <v>45</v>
      </c>
      <c r="C155" s="1">
        <v>7183840</v>
      </c>
      <c r="D155" s="1">
        <v>905396026</v>
      </c>
      <c r="E155" s="1">
        <v>75543252</v>
      </c>
      <c r="F155">
        <v>7183.84</v>
      </c>
      <c r="G155">
        <v>980.93927799999994</v>
      </c>
    </row>
    <row r="156" spans="1:7" x14ac:dyDescent="0.25">
      <c r="A156" s="7">
        <v>43959.416666666664</v>
      </c>
      <c r="B156" s="1" t="s">
        <v>45</v>
      </c>
      <c r="C156" s="1">
        <v>7784415</v>
      </c>
      <c r="D156" s="1">
        <v>1065010127</v>
      </c>
      <c r="E156" s="1">
        <v>92971643</v>
      </c>
      <c r="F156">
        <v>7784.415</v>
      </c>
      <c r="G156">
        <v>1157.9817700000001</v>
      </c>
    </row>
    <row r="157" spans="1:7" x14ac:dyDescent="0.25">
      <c r="A157" s="7">
        <v>43959.458333333336</v>
      </c>
      <c r="B157" s="1" t="s">
        <v>45</v>
      </c>
      <c r="C157" s="1">
        <v>8147395</v>
      </c>
      <c r="D157" s="1">
        <v>1169973302</v>
      </c>
      <c r="E157" s="1">
        <v>101882836</v>
      </c>
      <c r="F157">
        <v>8147.3950000000004</v>
      </c>
      <c r="G157">
        <v>1271.8561380000001</v>
      </c>
    </row>
    <row r="158" spans="1:7" x14ac:dyDescent="0.25">
      <c r="A158" s="7">
        <v>43959.5</v>
      </c>
      <c r="B158" s="1" t="s">
        <v>45</v>
      </c>
      <c r="C158" s="1">
        <v>8007065</v>
      </c>
      <c r="D158" s="1">
        <v>1198248602</v>
      </c>
      <c r="E158" s="1">
        <v>105434616</v>
      </c>
      <c r="F158">
        <v>8007.0649999999996</v>
      </c>
      <c r="G158">
        <v>1303.6832179999999</v>
      </c>
    </row>
    <row r="159" spans="1:7" x14ac:dyDescent="0.25">
      <c r="A159" s="7">
        <v>43959.541666666664</v>
      </c>
      <c r="B159" s="1" t="s">
        <v>45</v>
      </c>
      <c r="C159" s="1">
        <v>7519405</v>
      </c>
      <c r="D159" s="1">
        <v>1090130700</v>
      </c>
      <c r="E159" s="1">
        <v>91113865</v>
      </c>
      <c r="F159">
        <v>7519.4049999999997</v>
      </c>
      <c r="G159">
        <v>1181.244565</v>
      </c>
    </row>
    <row r="160" spans="1:7" x14ac:dyDescent="0.25">
      <c r="A160" s="7">
        <v>43959.583333333336</v>
      </c>
      <c r="B160" s="1" t="s">
        <v>45</v>
      </c>
      <c r="C160" s="1">
        <v>7828557</v>
      </c>
      <c r="D160" s="1">
        <v>1111293710</v>
      </c>
      <c r="E160" s="1">
        <v>89138826</v>
      </c>
      <c r="F160">
        <v>7828.5569999999998</v>
      </c>
      <c r="G160">
        <v>1200.432536</v>
      </c>
    </row>
    <row r="161" spans="1:7" x14ac:dyDescent="0.25">
      <c r="A161" s="7">
        <v>43959.625</v>
      </c>
      <c r="B161" s="1" t="s">
        <v>45</v>
      </c>
      <c r="C161" s="1">
        <v>8242216</v>
      </c>
      <c r="D161" s="1">
        <v>1185867984</v>
      </c>
      <c r="E161" s="1">
        <v>102219407</v>
      </c>
      <c r="F161">
        <v>8242.2160000000003</v>
      </c>
      <c r="G161">
        <v>1288.087391</v>
      </c>
    </row>
    <row r="162" spans="1:7" x14ac:dyDescent="0.25">
      <c r="A162" s="7">
        <v>43959.666666666664</v>
      </c>
      <c r="B162" s="1" t="s">
        <v>45</v>
      </c>
      <c r="C162" s="1">
        <v>7981550</v>
      </c>
      <c r="D162" s="1">
        <v>1128302447</v>
      </c>
      <c r="E162" s="1">
        <v>110252596</v>
      </c>
      <c r="F162">
        <v>7981.55</v>
      </c>
      <c r="G162">
        <v>1238.5550430000001</v>
      </c>
    </row>
    <row r="163" spans="1:7" x14ac:dyDescent="0.25">
      <c r="A163" s="7">
        <v>43959.708333333336</v>
      </c>
      <c r="B163" s="1" t="s">
        <v>45</v>
      </c>
      <c r="C163" s="1">
        <v>7452864</v>
      </c>
      <c r="D163" s="1">
        <v>1143405180</v>
      </c>
      <c r="E163" s="1">
        <v>113314601</v>
      </c>
      <c r="F163">
        <v>7452.8639999999996</v>
      </c>
      <c r="G163">
        <v>1256.719781</v>
      </c>
    </row>
    <row r="164" spans="1:7" x14ac:dyDescent="0.25">
      <c r="A164" s="7">
        <v>43959.75</v>
      </c>
      <c r="B164" s="1" t="s">
        <v>45</v>
      </c>
      <c r="C164" s="1">
        <v>7432732</v>
      </c>
      <c r="D164" s="1">
        <v>1120398963</v>
      </c>
      <c r="E164" s="1">
        <v>105225543</v>
      </c>
      <c r="F164">
        <v>7432.732</v>
      </c>
      <c r="G164">
        <v>1225.6245060000001</v>
      </c>
    </row>
    <row r="165" spans="1:7" x14ac:dyDescent="0.25">
      <c r="A165" s="7">
        <v>43959.791666666664</v>
      </c>
      <c r="B165" s="1" t="s">
        <v>45</v>
      </c>
      <c r="C165" s="1">
        <v>8286611</v>
      </c>
      <c r="D165" s="1">
        <v>1246707306</v>
      </c>
      <c r="E165" s="1">
        <v>110971979</v>
      </c>
      <c r="F165">
        <v>8286.6110000000008</v>
      </c>
      <c r="G165">
        <v>1357.6792849999999</v>
      </c>
    </row>
    <row r="166" spans="1:7" x14ac:dyDescent="0.25">
      <c r="A166" s="7">
        <v>43959.833333333336</v>
      </c>
      <c r="B166" s="1" t="s">
        <v>45</v>
      </c>
      <c r="C166" s="1">
        <v>8893935</v>
      </c>
      <c r="D166" s="1">
        <v>1363816982</v>
      </c>
      <c r="E166" s="1">
        <v>130648703</v>
      </c>
      <c r="F166">
        <v>8893.9349999999995</v>
      </c>
      <c r="G166">
        <v>1494.4656849999999</v>
      </c>
    </row>
    <row r="167" spans="1:7" x14ac:dyDescent="0.25">
      <c r="A167" s="7">
        <v>43959.875</v>
      </c>
      <c r="B167" s="1" t="s">
        <v>45</v>
      </c>
      <c r="C167" s="1">
        <v>9280986</v>
      </c>
      <c r="D167" s="1">
        <v>1452293261</v>
      </c>
      <c r="E167" s="1">
        <v>122296853</v>
      </c>
      <c r="F167">
        <v>9280.9860000000008</v>
      </c>
      <c r="G167">
        <v>1574.5901140000001</v>
      </c>
    </row>
    <row r="168" spans="1:7" x14ac:dyDescent="0.25">
      <c r="A168" s="7">
        <v>43959.916666666664</v>
      </c>
      <c r="B168" s="1" t="s">
        <v>45</v>
      </c>
      <c r="C168" s="1">
        <v>9704627</v>
      </c>
      <c r="D168" s="1">
        <v>1483986007</v>
      </c>
      <c r="E168" s="1">
        <v>115276195</v>
      </c>
      <c r="F168">
        <v>9704.6270000000004</v>
      </c>
      <c r="G168">
        <v>1599.2622019999999</v>
      </c>
    </row>
    <row r="169" spans="1:7" x14ac:dyDescent="0.25">
      <c r="A169" s="7">
        <v>43959.958333333336</v>
      </c>
      <c r="B169" s="1" t="s">
        <v>45</v>
      </c>
      <c r="C169" s="1">
        <v>9410838</v>
      </c>
      <c r="D169" s="1">
        <v>1389079440</v>
      </c>
      <c r="E169" s="1">
        <v>98050422</v>
      </c>
      <c r="F169">
        <v>9410.8379999999997</v>
      </c>
      <c r="G169">
        <v>1487.129862</v>
      </c>
    </row>
    <row r="170" spans="1:7" x14ac:dyDescent="0.25">
      <c r="A170" s="7">
        <v>43990</v>
      </c>
      <c r="B170" s="1" t="s">
        <v>45</v>
      </c>
      <c r="C170" s="1">
        <v>7345615</v>
      </c>
      <c r="D170" s="1">
        <v>1008513483</v>
      </c>
      <c r="E170" s="1">
        <v>72192637</v>
      </c>
      <c r="F170">
        <v>7345.6149999999998</v>
      </c>
      <c r="G170">
        <v>1080.7061200000001</v>
      </c>
    </row>
    <row r="171" spans="1:7" x14ac:dyDescent="0.25">
      <c r="A171" s="7">
        <v>43990.041666666664</v>
      </c>
      <c r="B171" s="1" t="s">
        <v>45</v>
      </c>
      <c r="C171" s="1">
        <v>4938731</v>
      </c>
      <c r="D171" s="1">
        <v>634613180</v>
      </c>
      <c r="E171" s="1">
        <v>42765765</v>
      </c>
      <c r="F171">
        <v>4938.7309999999998</v>
      </c>
      <c r="G171">
        <v>677.37894500000004</v>
      </c>
    </row>
    <row r="172" spans="1:7" x14ac:dyDescent="0.25">
      <c r="A172" s="7">
        <v>43990.083333333336</v>
      </c>
      <c r="B172" s="1" t="s">
        <v>45</v>
      </c>
      <c r="C172" s="1">
        <v>2870912</v>
      </c>
      <c r="D172" s="1">
        <v>365543838</v>
      </c>
      <c r="E172" s="1">
        <v>24746534</v>
      </c>
      <c r="F172">
        <v>2870.9119999999998</v>
      </c>
      <c r="G172">
        <v>390.29037199999999</v>
      </c>
    </row>
    <row r="173" spans="1:7" x14ac:dyDescent="0.25">
      <c r="A173" s="7">
        <v>43990.125</v>
      </c>
      <c r="B173" s="1" t="s">
        <v>45</v>
      </c>
      <c r="C173" s="1">
        <v>1661899</v>
      </c>
      <c r="D173" s="1">
        <v>210744052</v>
      </c>
      <c r="E173" s="1">
        <v>15255068</v>
      </c>
      <c r="F173">
        <v>1661.8989999999999</v>
      </c>
      <c r="G173">
        <v>225.99912</v>
      </c>
    </row>
    <row r="174" spans="1:7" x14ac:dyDescent="0.25">
      <c r="A174" s="7">
        <v>43990.166666666664</v>
      </c>
      <c r="B174" s="1" t="s">
        <v>45</v>
      </c>
      <c r="C174" s="1">
        <v>1084559</v>
      </c>
      <c r="D174" s="1">
        <v>116712402</v>
      </c>
      <c r="E174" s="1">
        <v>7829578</v>
      </c>
      <c r="F174">
        <v>1084.559</v>
      </c>
      <c r="G174">
        <v>124.54198</v>
      </c>
    </row>
    <row r="175" spans="1:7" x14ac:dyDescent="0.25">
      <c r="A175" s="7">
        <v>43990.208333333336</v>
      </c>
      <c r="B175" s="1" t="s">
        <v>45</v>
      </c>
      <c r="C175" s="1">
        <v>1388462</v>
      </c>
      <c r="D175" s="1">
        <v>124474571</v>
      </c>
      <c r="E175" s="1">
        <v>12775937</v>
      </c>
      <c r="F175">
        <v>1388.462</v>
      </c>
      <c r="G175">
        <v>137.250508</v>
      </c>
    </row>
    <row r="176" spans="1:7" x14ac:dyDescent="0.25">
      <c r="A176" s="7">
        <v>43990.25</v>
      </c>
      <c r="B176" s="1" t="s">
        <v>45</v>
      </c>
      <c r="C176" s="1">
        <v>2826310</v>
      </c>
      <c r="D176" s="1">
        <v>239528734</v>
      </c>
      <c r="E176" s="1">
        <v>18293537</v>
      </c>
      <c r="F176">
        <v>2826.31</v>
      </c>
      <c r="G176">
        <v>257.822271</v>
      </c>
    </row>
    <row r="177" spans="1:7" x14ac:dyDescent="0.25">
      <c r="A177" s="7">
        <v>43990.291666666664</v>
      </c>
      <c r="B177" s="1" t="s">
        <v>45</v>
      </c>
      <c r="C177" s="1">
        <v>4632756</v>
      </c>
      <c r="D177" s="1">
        <v>457462504</v>
      </c>
      <c r="E177" s="1">
        <v>31916683</v>
      </c>
      <c r="F177">
        <v>4632.7560000000003</v>
      </c>
      <c r="G177">
        <v>489.379187</v>
      </c>
    </row>
    <row r="178" spans="1:7" x14ac:dyDescent="0.25">
      <c r="A178" s="7">
        <v>43990.333333333336</v>
      </c>
      <c r="B178" s="1" t="s">
        <v>45</v>
      </c>
      <c r="C178" s="1">
        <v>6206012</v>
      </c>
      <c r="D178" s="1">
        <v>689100110</v>
      </c>
      <c r="E178" s="1">
        <v>58746595</v>
      </c>
      <c r="F178">
        <v>6206.0119999999997</v>
      </c>
      <c r="G178">
        <v>747.84670500000004</v>
      </c>
    </row>
    <row r="179" spans="1:7" x14ac:dyDescent="0.25">
      <c r="A179" s="7">
        <v>43990.375</v>
      </c>
      <c r="B179" s="1" t="s">
        <v>45</v>
      </c>
      <c r="C179" s="1">
        <v>7177574</v>
      </c>
      <c r="D179" s="1">
        <v>903040097</v>
      </c>
      <c r="E179" s="1">
        <v>74514833</v>
      </c>
      <c r="F179">
        <v>7177.5739999999996</v>
      </c>
      <c r="G179">
        <v>977.55493000000001</v>
      </c>
    </row>
    <row r="180" spans="1:7" x14ac:dyDescent="0.25">
      <c r="A180" s="7">
        <v>43990.416666666664</v>
      </c>
      <c r="B180" s="1" t="s">
        <v>45</v>
      </c>
      <c r="C180" s="1">
        <v>7703866</v>
      </c>
      <c r="D180" s="1">
        <v>1035482798</v>
      </c>
      <c r="E180" s="1">
        <v>92443491</v>
      </c>
      <c r="F180">
        <v>7703.866</v>
      </c>
      <c r="G180">
        <v>1127.926289</v>
      </c>
    </row>
    <row r="181" spans="1:7" x14ac:dyDescent="0.25">
      <c r="A181" s="7">
        <v>43990.458333333336</v>
      </c>
      <c r="B181" s="1" t="s">
        <v>45</v>
      </c>
      <c r="C181" s="1">
        <v>7991678</v>
      </c>
      <c r="D181" s="1">
        <v>1129722094</v>
      </c>
      <c r="E181" s="1">
        <v>98109190</v>
      </c>
      <c r="F181">
        <v>7991.6779999999999</v>
      </c>
      <c r="G181">
        <v>1227.8312840000001</v>
      </c>
    </row>
    <row r="182" spans="1:7" x14ac:dyDescent="0.25">
      <c r="A182" s="7">
        <v>43990.5</v>
      </c>
      <c r="B182" s="1" t="s">
        <v>45</v>
      </c>
      <c r="C182" s="1">
        <v>8042123</v>
      </c>
      <c r="D182" s="1">
        <v>1144144488</v>
      </c>
      <c r="E182" s="1">
        <v>104947072</v>
      </c>
      <c r="F182">
        <v>8042.1229999999996</v>
      </c>
      <c r="G182">
        <v>1249.0915600000001</v>
      </c>
    </row>
    <row r="183" spans="1:7" x14ac:dyDescent="0.25">
      <c r="A183" s="1"/>
      <c r="B183" s="1"/>
      <c r="C183" s="1"/>
      <c r="D183" s="1"/>
      <c r="E183" s="1"/>
    </row>
    <row r="184" spans="1:7" x14ac:dyDescent="0.25">
      <c r="A184" s="1"/>
      <c r="B184" s="1"/>
      <c r="C184" s="1"/>
      <c r="D184" s="1"/>
      <c r="E184" s="1"/>
    </row>
    <row r="185" spans="1:7" x14ac:dyDescent="0.25">
      <c r="A185" s="1"/>
      <c r="B185" s="1"/>
      <c r="C185" s="1"/>
      <c r="D185" s="1"/>
      <c r="E185" s="1"/>
    </row>
    <row r="186" spans="1:7" x14ac:dyDescent="0.25">
      <c r="A186" s="1"/>
      <c r="B186" s="1"/>
      <c r="C186" s="1"/>
      <c r="D186" s="1"/>
      <c r="E186" s="1"/>
    </row>
    <row r="187" spans="1:7" x14ac:dyDescent="0.25">
      <c r="A187" s="1"/>
      <c r="B187" s="1"/>
      <c r="C187" s="1"/>
      <c r="D187" s="1"/>
      <c r="E187" s="1"/>
    </row>
    <row r="188" spans="1:7" x14ac:dyDescent="0.25">
      <c r="A188" s="1"/>
      <c r="B188" s="1"/>
      <c r="C188" s="1"/>
      <c r="D188" s="1"/>
      <c r="E188" s="1"/>
    </row>
    <row r="189" spans="1:7" x14ac:dyDescent="0.25">
      <c r="A189" s="1"/>
      <c r="B189" s="1"/>
      <c r="C189" s="1"/>
      <c r="D189" s="1"/>
      <c r="E189" s="1"/>
    </row>
    <row r="190" spans="1:7" x14ac:dyDescent="0.25">
      <c r="A190" s="1"/>
      <c r="B190" s="1"/>
      <c r="C190" s="1"/>
      <c r="D190" s="1"/>
      <c r="E190" s="1"/>
    </row>
    <row r="191" spans="1:7" x14ac:dyDescent="0.25">
      <c r="A191" s="1"/>
      <c r="B191" s="1"/>
      <c r="C191" s="1"/>
      <c r="D191" s="1"/>
      <c r="E191" s="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2091"/>
  <sheetViews>
    <sheetView workbookViewId="0">
      <selection activeCell="A2" sqref="A2:D1992"/>
    </sheetView>
  </sheetViews>
  <sheetFormatPr defaultRowHeight="15" x14ac:dyDescent="0.25"/>
  <cols>
    <col min="1" max="1" width="17.28515625" customWidth="1"/>
    <col min="2" max="2" width="23.85546875" customWidth="1"/>
    <col min="3" max="3" width="9.140625" style="4"/>
    <col min="5" max="5" width="9.7109375" bestFit="1" customWidth="1"/>
  </cols>
  <sheetData>
    <row r="1" spans="1:4" x14ac:dyDescent="0.25">
      <c r="A1" s="1" t="s">
        <v>0</v>
      </c>
      <c r="B1" s="1" t="s">
        <v>1</v>
      </c>
      <c r="C1" s="1" t="s">
        <v>2</v>
      </c>
      <c r="D1" s="1" t="s">
        <v>2</v>
      </c>
    </row>
    <row r="2" spans="1:4" x14ac:dyDescent="0.25">
      <c r="A2" s="1" t="s">
        <v>130</v>
      </c>
      <c r="B2" s="1" t="s">
        <v>74</v>
      </c>
      <c r="C2" s="1">
        <v>1636.78</v>
      </c>
      <c r="D2" s="1">
        <v>534.29999999999995</v>
      </c>
    </row>
    <row r="3" spans="1:4" x14ac:dyDescent="0.25">
      <c r="A3" s="1" t="s">
        <v>130</v>
      </c>
      <c r="B3" s="1" t="s">
        <v>75</v>
      </c>
      <c r="C3" s="1">
        <v>492.04</v>
      </c>
      <c r="D3" s="1">
        <v>246.94</v>
      </c>
    </row>
    <row r="4" spans="1:4" x14ac:dyDescent="0.25">
      <c r="A4" s="1" t="s">
        <v>130</v>
      </c>
      <c r="B4" s="1" t="s">
        <v>76</v>
      </c>
      <c r="C4" s="1">
        <v>3159.65</v>
      </c>
      <c r="D4" s="1">
        <v>788.01</v>
      </c>
    </row>
    <row r="5" spans="1:4" x14ac:dyDescent="0.25">
      <c r="A5" s="1" t="s">
        <v>130</v>
      </c>
      <c r="B5" s="1" t="s">
        <v>68</v>
      </c>
      <c r="C5" s="1">
        <v>2071.46</v>
      </c>
      <c r="D5" s="1">
        <v>1002.43</v>
      </c>
    </row>
    <row r="6" spans="1:4" x14ac:dyDescent="0.25">
      <c r="A6" s="1" t="s">
        <v>130</v>
      </c>
      <c r="B6" s="1" t="s">
        <v>77</v>
      </c>
      <c r="C6" s="1">
        <v>5427.38</v>
      </c>
      <c r="D6" s="1">
        <v>1741.7</v>
      </c>
    </row>
    <row r="7" spans="1:4" x14ac:dyDescent="0.25">
      <c r="A7" s="1" t="s">
        <v>130</v>
      </c>
      <c r="B7" s="1" t="s">
        <v>69</v>
      </c>
      <c r="C7" s="1">
        <v>3472.53</v>
      </c>
      <c r="D7" s="1">
        <v>2346.92</v>
      </c>
    </row>
    <row r="8" spans="1:4" x14ac:dyDescent="0.25">
      <c r="A8" s="1" t="s">
        <v>130</v>
      </c>
      <c r="B8" s="1" t="s">
        <v>70</v>
      </c>
      <c r="C8" s="1">
        <v>2187.46</v>
      </c>
      <c r="D8" s="1">
        <v>984.39</v>
      </c>
    </row>
    <row r="9" spans="1:4" x14ac:dyDescent="0.25">
      <c r="A9" s="1" t="s">
        <v>130</v>
      </c>
      <c r="B9" s="1" t="s">
        <v>78</v>
      </c>
      <c r="C9" s="1">
        <v>1010.68</v>
      </c>
      <c r="D9" s="1">
        <v>614.04999999999995</v>
      </c>
    </row>
    <row r="10" spans="1:4" x14ac:dyDescent="0.25">
      <c r="A10" s="1" t="s">
        <v>130</v>
      </c>
      <c r="B10" s="1" t="s">
        <v>73</v>
      </c>
      <c r="C10" s="1">
        <v>1424.06</v>
      </c>
      <c r="D10" s="1">
        <v>335.14</v>
      </c>
    </row>
    <row r="11" spans="1:4" x14ac:dyDescent="0.25">
      <c r="A11" s="1" t="s">
        <v>130</v>
      </c>
      <c r="B11" s="1" t="s">
        <v>72</v>
      </c>
      <c r="C11" s="1">
        <v>4884.1899999999996</v>
      </c>
      <c r="D11" s="1">
        <v>2737.03</v>
      </c>
    </row>
    <row r="12" spans="1:4" x14ac:dyDescent="0.25">
      <c r="A12" s="1" t="s">
        <v>130</v>
      </c>
      <c r="B12" s="1" t="s">
        <v>71</v>
      </c>
      <c r="C12" s="1">
        <v>1984.71</v>
      </c>
      <c r="D12" s="1">
        <v>769.54</v>
      </c>
    </row>
    <row r="13" spans="1:4" x14ac:dyDescent="0.25">
      <c r="A13" s="1" t="s">
        <v>131</v>
      </c>
      <c r="B13" s="1" t="s">
        <v>75</v>
      </c>
      <c r="C13" s="1">
        <v>255.52</v>
      </c>
      <c r="D13" s="1">
        <v>138.38999999999999</v>
      </c>
    </row>
    <row r="14" spans="1:4" x14ac:dyDescent="0.25">
      <c r="A14" s="1" t="s">
        <v>131</v>
      </c>
      <c r="B14" s="1" t="s">
        <v>74</v>
      </c>
      <c r="C14" s="1">
        <v>768.53</v>
      </c>
      <c r="D14" s="1">
        <v>266.27999999999997</v>
      </c>
    </row>
    <row r="15" spans="1:4" x14ac:dyDescent="0.25">
      <c r="A15" s="1" t="s">
        <v>131</v>
      </c>
      <c r="B15" s="1" t="s">
        <v>72</v>
      </c>
      <c r="C15" s="1">
        <v>2374.3000000000002</v>
      </c>
      <c r="D15" s="1">
        <v>1406.9</v>
      </c>
    </row>
    <row r="16" spans="1:4" x14ac:dyDescent="0.25">
      <c r="A16" s="1" t="s">
        <v>131</v>
      </c>
      <c r="B16" s="1" t="s">
        <v>76</v>
      </c>
      <c r="C16" s="1">
        <v>1499.86</v>
      </c>
      <c r="D16" s="1">
        <v>376.36</v>
      </c>
    </row>
    <row r="17" spans="1:4" x14ac:dyDescent="0.25">
      <c r="A17" s="1" t="s">
        <v>131</v>
      </c>
      <c r="B17" s="1" t="s">
        <v>73</v>
      </c>
      <c r="C17" s="1">
        <v>608.04</v>
      </c>
      <c r="D17" s="1">
        <v>145.43</v>
      </c>
    </row>
    <row r="18" spans="1:4" x14ac:dyDescent="0.25">
      <c r="A18" s="1" t="s">
        <v>131</v>
      </c>
      <c r="B18" s="1" t="s">
        <v>71</v>
      </c>
      <c r="C18" s="1">
        <v>833.96</v>
      </c>
      <c r="D18" s="1">
        <v>354.38</v>
      </c>
    </row>
    <row r="19" spans="1:4" x14ac:dyDescent="0.25">
      <c r="A19" s="1" t="s">
        <v>131</v>
      </c>
      <c r="B19" s="1" t="s">
        <v>68</v>
      </c>
      <c r="C19" s="1">
        <v>864.97</v>
      </c>
      <c r="D19" s="1">
        <v>445.79</v>
      </c>
    </row>
    <row r="20" spans="1:4" x14ac:dyDescent="0.25">
      <c r="A20" s="1" t="s">
        <v>131</v>
      </c>
      <c r="B20" s="1" t="s">
        <v>77</v>
      </c>
      <c r="C20" s="1">
        <v>2522.39</v>
      </c>
      <c r="D20" s="1">
        <v>831.36</v>
      </c>
    </row>
    <row r="21" spans="1:4" x14ac:dyDescent="0.25">
      <c r="A21" s="1" t="s">
        <v>131</v>
      </c>
      <c r="B21" s="1" t="s">
        <v>70</v>
      </c>
      <c r="C21" s="1">
        <v>1014.06</v>
      </c>
      <c r="D21" s="1">
        <v>467.13</v>
      </c>
    </row>
    <row r="22" spans="1:4" x14ac:dyDescent="0.25">
      <c r="A22" s="1" t="s">
        <v>131</v>
      </c>
      <c r="B22" s="1" t="s">
        <v>69</v>
      </c>
      <c r="C22" s="1">
        <v>1653.33</v>
      </c>
      <c r="D22" s="1">
        <v>1108.31</v>
      </c>
    </row>
    <row r="23" spans="1:4" x14ac:dyDescent="0.25">
      <c r="A23" s="1" t="s">
        <v>131</v>
      </c>
      <c r="B23" s="1" t="s">
        <v>78</v>
      </c>
      <c r="C23" s="1">
        <v>445.29</v>
      </c>
      <c r="D23" s="1">
        <v>292.45999999999998</v>
      </c>
    </row>
    <row r="24" spans="1:4" x14ac:dyDescent="0.25">
      <c r="A24" s="1" t="s">
        <v>132</v>
      </c>
      <c r="B24" s="1" t="s">
        <v>75</v>
      </c>
      <c r="C24" s="1">
        <v>124.58</v>
      </c>
      <c r="D24" s="1">
        <v>62.12</v>
      </c>
    </row>
    <row r="25" spans="1:4" x14ac:dyDescent="0.25">
      <c r="A25" s="1" t="s">
        <v>132</v>
      </c>
      <c r="B25" s="1" t="s">
        <v>74</v>
      </c>
      <c r="C25" s="1">
        <v>407.77</v>
      </c>
      <c r="D25" s="1">
        <v>129.74</v>
      </c>
    </row>
    <row r="26" spans="1:4" x14ac:dyDescent="0.25">
      <c r="A26" s="1" t="s">
        <v>132</v>
      </c>
      <c r="B26" s="1" t="s">
        <v>73</v>
      </c>
      <c r="C26" s="1">
        <v>302.45</v>
      </c>
      <c r="D26" s="1">
        <v>68.400000000000006</v>
      </c>
    </row>
    <row r="27" spans="1:4" x14ac:dyDescent="0.25">
      <c r="A27" s="1" t="s">
        <v>132</v>
      </c>
      <c r="B27" s="1" t="s">
        <v>68</v>
      </c>
      <c r="C27" s="1">
        <v>401.67</v>
      </c>
      <c r="D27" s="1">
        <v>218.73</v>
      </c>
    </row>
    <row r="28" spans="1:4" x14ac:dyDescent="0.25">
      <c r="A28" s="1" t="s">
        <v>132</v>
      </c>
      <c r="B28" s="1" t="s">
        <v>77</v>
      </c>
      <c r="C28" s="1">
        <v>1238.97</v>
      </c>
      <c r="D28" s="1">
        <v>411.68</v>
      </c>
    </row>
    <row r="29" spans="1:4" x14ac:dyDescent="0.25">
      <c r="A29" s="1" t="s">
        <v>132</v>
      </c>
      <c r="B29" s="1" t="s">
        <v>71</v>
      </c>
      <c r="C29" s="1">
        <v>427.08</v>
      </c>
      <c r="D29" s="1">
        <v>173.88</v>
      </c>
    </row>
    <row r="30" spans="1:4" x14ac:dyDescent="0.25">
      <c r="A30" s="1" t="s">
        <v>132</v>
      </c>
      <c r="B30" s="1" t="s">
        <v>70</v>
      </c>
      <c r="C30" s="1">
        <v>501.53</v>
      </c>
      <c r="D30" s="1">
        <v>219.61</v>
      </c>
    </row>
    <row r="31" spans="1:4" x14ac:dyDescent="0.25">
      <c r="A31" s="1" t="s">
        <v>132</v>
      </c>
      <c r="B31" s="1" t="s">
        <v>69</v>
      </c>
      <c r="C31" s="1">
        <v>810.28</v>
      </c>
      <c r="D31" s="1">
        <v>541.72</v>
      </c>
    </row>
    <row r="32" spans="1:4" x14ac:dyDescent="0.25">
      <c r="A32" s="1" t="s">
        <v>132</v>
      </c>
      <c r="B32" s="1" t="s">
        <v>78</v>
      </c>
      <c r="C32" s="1">
        <v>214.36</v>
      </c>
      <c r="D32" s="1">
        <v>145.05000000000001</v>
      </c>
    </row>
    <row r="33" spans="1:4" x14ac:dyDescent="0.25">
      <c r="A33" s="1" t="s">
        <v>132</v>
      </c>
      <c r="B33" s="1" t="s">
        <v>76</v>
      </c>
      <c r="C33" s="1">
        <v>714.25</v>
      </c>
      <c r="D33" s="1">
        <v>176.28</v>
      </c>
    </row>
    <row r="34" spans="1:4" x14ac:dyDescent="0.25">
      <c r="A34" s="1" t="s">
        <v>132</v>
      </c>
      <c r="B34" s="1" t="s">
        <v>72</v>
      </c>
      <c r="C34" s="1">
        <v>1140.54</v>
      </c>
      <c r="D34" s="1">
        <v>692.58</v>
      </c>
    </row>
    <row r="35" spans="1:4" x14ac:dyDescent="0.25">
      <c r="A35" s="1" t="s">
        <v>133</v>
      </c>
      <c r="B35" s="1" t="s">
        <v>75</v>
      </c>
      <c r="C35" s="1">
        <v>64.599999999999994</v>
      </c>
      <c r="D35" s="1">
        <v>37.799999999999997</v>
      </c>
    </row>
    <row r="36" spans="1:4" x14ac:dyDescent="0.25">
      <c r="A36" s="1" t="s">
        <v>133</v>
      </c>
      <c r="B36" s="1" t="s">
        <v>74</v>
      </c>
      <c r="C36" s="1">
        <v>266.52</v>
      </c>
      <c r="D36" s="1">
        <v>76.540000000000006</v>
      </c>
    </row>
    <row r="37" spans="1:4" x14ac:dyDescent="0.25">
      <c r="A37" s="1" t="s">
        <v>133</v>
      </c>
      <c r="B37" s="1" t="s">
        <v>78</v>
      </c>
      <c r="C37" s="1">
        <v>132.65</v>
      </c>
      <c r="D37" s="1">
        <v>78.5</v>
      </c>
    </row>
    <row r="38" spans="1:4" x14ac:dyDescent="0.25">
      <c r="A38" s="1" t="s">
        <v>133</v>
      </c>
      <c r="B38" s="1" t="s">
        <v>73</v>
      </c>
      <c r="C38" s="1">
        <v>179.67</v>
      </c>
      <c r="D38" s="1">
        <v>38.270000000000003</v>
      </c>
    </row>
    <row r="39" spans="1:4" x14ac:dyDescent="0.25">
      <c r="A39" s="1" t="s">
        <v>133</v>
      </c>
      <c r="B39" s="1" t="s">
        <v>71</v>
      </c>
      <c r="C39" s="1">
        <v>307.51</v>
      </c>
      <c r="D39" s="1">
        <v>92.46</v>
      </c>
    </row>
    <row r="40" spans="1:4" x14ac:dyDescent="0.25">
      <c r="A40" s="1" t="s">
        <v>133</v>
      </c>
      <c r="B40" s="1" t="s">
        <v>76</v>
      </c>
      <c r="C40" s="1">
        <v>408.15</v>
      </c>
      <c r="D40" s="1">
        <v>105.68</v>
      </c>
    </row>
    <row r="41" spans="1:4" x14ac:dyDescent="0.25">
      <c r="A41" s="1" t="s">
        <v>133</v>
      </c>
      <c r="B41" s="1" t="s">
        <v>72</v>
      </c>
      <c r="C41" s="1">
        <v>678.31</v>
      </c>
      <c r="D41" s="1">
        <v>383.51</v>
      </c>
    </row>
    <row r="42" spans="1:4" x14ac:dyDescent="0.25">
      <c r="A42" s="1" t="s">
        <v>133</v>
      </c>
      <c r="B42" s="1" t="s">
        <v>68</v>
      </c>
      <c r="C42" s="1">
        <v>241.76</v>
      </c>
      <c r="D42" s="1">
        <v>115.85</v>
      </c>
    </row>
    <row r="43" spans="1:4" x14ac:dyDescent="0.25">
      <c r="A43" s="1" t="s">
        <v>133</v>
      </c>
      <c r="B43" s="1" t="s">
        <v>77</v>
      </c>
      <c r="C43" s="1">
        <v>802.44</v>
      </c>
      <c r="D43" s="1">
        <v>259.10000000000002</v>
      </c>
    </row>
    <row r="44" spans="1:4" x14ac:dyDescent="0.25">
      <c r="A44" s="1" t="s">
        <v>133</v>
      </c>
      <c r="B44" s="1" t="s">
        <v>70</v>
      </c>
      <c r="C44" s="1">
        <v>324.22000000000003</v>
      </c>
      <c r="D44" s="1">
        <v>147.19</v>
      </c>
    </row>
    <row r="45" spans="1:4" x14ac:dyDescent="0.25">
      <c r="A45" s="1" t="s">
        <v>133</v>
      </c>
      <c r="B45" s="1" t="s">
        <v>69</v>
      </c>
      <c r="C45" s="1">
        <v>470.15</v>
      </c>
      <c r="D45" s="1">
        <v>328.71</v>
      </c>
    </row>
    <row r="46" spans="1:4" x14ac:dyDescent="0.25">
      <c r="A46" s="1" t="s">
        <v>134</v>
      </c>
      <c r="B46" s="1" t="s">
        <v>75</v>
      </c>
      <c r="C46" s="1">
        <v>47.16</v>
      </c>
      <c r="D46" s="1">
        <v>20.41</v>
      </c>
    </row>
    <row r="47" spans="1:4" x14ac:dyDescent="0.25">
      <c r="A47" s="1" t="s">
        <v>134</v>
      </c>
      <c r="B47" s="1" t="s">
        <v>74</v>
      </c>
      <c r="C47" s="1">
        <v>242.82</v>
      </c>
      <c r="D47" s="1">
        <v>65.64</v>
      </c>
    </row>
    <row r="48" spans="1:4" x14ac:dyDescent="0.25">
      <c r="A48" s="1" t="s">
        <v>134</v>
      </c>
      <c r="B48" s="1" t="s">
        <v>68</v>
      </c>
      <c r="C48" s="1">
        <v>257.10000000000002</v>
      </c>
      <c r="D48" s="1">
        <v>79.39</v>
      </c>
    </row>
    <row r="49" spans="1:4" x14ac:dyDescent="0.25">
      <c r="A49" s="1" t="s">
        <v>134</v>
      </c>
      <c r="B49" s="1" t="s">
        <v>71</v>
      </c>
      <c r="C49" s="1">
        <v>296.43</v>
      </c>
      <c r="D49" s="1">
        <v>80.86</v>
      </c>
    </row>
    <row r="50" spans="1:4" x14ac:dyDescent="0.25">
      <c r="A50" s="1" t="s">
        <v>134</v>
      </c>
      <c r="B50" s="1" t="s">
        <v>69</v>
      </c>
      <c r="C50" s="1">
        <v>358.75</v>
      </c>
      <c r="D50" s="1">
        <v>202.47</v>
      </c>
    </row>
    <row r="51" spans="1:4" x14ac:dyDescent="0.25">
      <c r="A51" s="1" t="s">
        <v>134</v>
      </c>
      <c r="B51" s="1" t="s">
        <v>70</v>
      </c>
      <c r="C51" s="1">
        <v>297.83</v>
      </c>
      <c r="D51" s="1">
        <v>110.52</v>
      </c>
    </row>
    <row r="52" spans="1:4" x14ac:dyDescent="0.25">
      <c r="A52" s="1" t="s">
        <v>134</v>
      </c>
      <c r="B52" s="1" t="s">
        <v>78</v>
      </c>
      <c r="C52" s="1">
        <v>97.9</v>
      </c>
      <c r="D52" s="1">
        <v>49.96</v>
      </c>
    </row>
    <row r="53" spans="1:4" x14ac:dyDescent="0.25">
      <c r="A53" s="1" t="s">
        <v>134</v>
      </c>
      <c r="B53" s="1" t="s">
        <v>76</v>
      </c>
      <c r="C53" s="1">
        <v>321.77999999999997</v>
      </c>
      <c r="D53" s="1">
        <v>84.21</v>
      </c>
    </row>
    <row r="54" spans="1:4" x14ac:dyDescent="0.25">
      <c r="A54" s="1" t="s">
        <v>134</v>
      </c>
      <c r="B54" s="1" t="s">
        <v>72</v>
      </c>
      <c r="C54" s="1">
        <v>517.72</v>
      </c>
      <c r="D54" s="1">
        <v>264.55</v>
      </c>
    </row>
    <row r="55" spans="1:4" x14ac:dyDescent="0.25">
      <c r="A55" s="1" t="s">
        <v>134</v>
      </c>
      <c r="B55" s="1" t="s">
        <v>73</v>
      </c>
      <c r="C55" s="1">
        <v>180.71</v>
      </c>
      <c r="D55" s="1">
        <v>32.21</v>
      </c>
    </row>
    <row r="56" spans="1:4" x14ac:dyDescent="0.25">
      <c r="A56" s="1" t="s">
        <v>134</v>
      </c>
      <c r="B56" s="1" t="s">
        <v>77</v>
      </c>
      <c r="C56" s="1">
        <v>698.92</v>
      </c>
      <c r="D56" s="1">
        <v>214.04</v>
      </c>
    </row>
    <row r="57" spans="1:4" x14ac:dyDescent="0.25">
      <c r="A57" s="1" t="s">
        <v>135</v>
      </c>
      <c r="B57" s="1" t="s">
        <v>75</v>
      </c>
      <c r="C57" s="1">
        <v>82.44</v>
      </c>
      <c r="D57" s="1">
        <v>23.66</v>
      </c>
    </row>
    <row r="58" spans="1:4" x14ac:dyDescent="0.25">
      <c r="A58" s="1" t="s">
        <v>135</v>
      </c>
      <c r="B58" s="1" t="s">
        <v>74</v>
      </c>
      <c r="C58" s="1">
        <v>632.29</v>
      </c>
      <c r="D58" s="1">
        <v>113.56</v>
      </c>
    </row>
    <row r="59" spans="1:4" x14ac:dyDescent="0.25">
      <c r="A59" s="1" t="s">
        <v>135</v>
      </c>
      <c r="B59" s="1" t="s">
        <v>76</v>
      </c>
      <c r="C59" s="1">
        <v>894.07</v>
      </c>
      <c r="D59" s="1">
        <v>159.86000000000001</v>
      </c>
    </row>
    <row r="60" spans="1:4" x14ac:dyDescent="0.25">
      <c r="A60" s="1" t="s">
        <v>135</v>
      </c>
      <c r="B60" s="1" t="s">
        <v>68</v>
      </c>
      <c r="C60" s="1">
        <v>1010.03</v>
      </c>
      <c r="D60" s="1">
        <v>188.74</v>
      </c>
    </row>
    <row r="61" spans="1:4" x14ac:dyDescent="0.25">
      <c r="A61" s="1" t="s">
        <v>135</v>
      </c>
      <c r="B61" s="1" t="s">
        <v>77</v>
      </c>
      <c r="C61" s="1">
        <v>1984.11</v>
      </c>
      <c r="D61" s="1">
        <v>541.91</v>
      </c>
    </row>
    <row r="62" spans="1:4" x14ac:dyDescent="0.25">
      <c r="A62" s="1" t="s">
        <v>135</v>
      </c>
      <c r="B62" s="1" t="s">
        <v>71</v>
      </c>
      <c r="C62" s="1">
        <v>1368.19</v>
      </c>
      <c r="D62" s="1">
        <v>217.98</v>
      </c>
    </row>
    <row r="63" spans="1:4" x14ac:dyDescent="0.25">
      <c r="A63" s="1" t="s">
        <v>135</v>
      </c>
      <c r="B63" s="1" t="s">
        <v>70</v>
      </c>
      <c r="C63" s="1">
        <v>665.75</v>
      </c>
      <c r="D63" s="1">
        <v>201.79</v>
      </c>
    </row>
    <row r="64" spans="1:4" x14ac:dyDescent="0.25">
      <c r="A64" s="1" t="s">
        <v>135</v>
      </c>
      <c r="B64" s="1" t="s">
        <v>69</v>
      </c>
      <c r="C64" s="1">
        <v>751.29</v>
      </c>
      <c r="D64" s="1">
        <v>308.07</v>
      </c>
    </row>
    <row r="65" spans="1:4" x14ac:dyDescent="0.25">
      <c r="A65" s="1" t="s">
        <v>135</v>
      </c>
      <c r="B65" s="1" t="s">
        <v>78</v>
      </c>
      <c r="C65" s="1">
        <v>196.83</v>
      </c>
      <c r="D65" s="1">
        <v>76.400000000000006</v>
      </c>
    </row>
    <row r="66" spans="1:4" x14ac:dyDescent="0.25">
      <c r="A66" s="1" t="s">
        <v>135</v>
      </c>
      <c r="B66" s="1" t="s">
        <v>72</v>
      </c>
      <c r="C66" s="1">
        <v>1012.01</v>
      </c>
      <c r="D66" s="1">
        <v>394.72</v>
      </c>
    </row>
    <row r="67" spans="1:4" x14ac:dyDescent="0.25">
      <c r="A67" s="1" t="s">
        <v>135</v>
      </c>
      <c r="B67" s="1" t="s">
        <v>73</v>
      </c>
      <c r="C67" s="1">
        <v>539.63</v>
      </c>
      <c r="D67" s="1">
        <v>66.31</v>
      </c>
    </row>
    <row r="68" spans="1:4" x14ac:dyDescent="0.25">
      <c r="A68" s="1" t="s">
        <v>136</v>
      </c>
      <c r="B68" s="1" t="s">
        <v>74</v>
      </c>
      <c r="C68" s="1">
        <v>2041.23</v>
      </c>
      <c r="D68" s="1">
        <v>298.22000000000003</v>
      </c>
    </row>
    <row r="69" spans="1:4" x14ac:dyDescent="0.25">
      <c r="A69" s="1" t="s">
        <v>136</v>
      </c>
      <c r="B69" s="1" t="s">
        <v>75</v>
      </c>
      <c r="C69" s="1">
        <v>197.44</v>
      </c>
      <c r="D69" s="1">
        <v>49.18</v>
      </c>
    </row>
    <row r="70" spans="1:4" x14ac:dyDescent="0.25">
      <c r="A70" s="1" t="s">
        <v>136</v>
      </c>
      <c r="B70" s="1" t="s">
        <v>76</v>
      </c>
      <c r="C70" s="1">
        <v>3507.6</v>
      </c>
      <c r="D70" s="1">
        <v>469.27</v>
      </c>
    </row>
    <row r="71" spans="1:4" x14ac:dyDescent="0.25">
      <c r="A71" s="1" t="s">
        <v>136</v>
      </c>
      <c r="B71" s="1" t="s">
        <v>73</v>
      </c>
      <c r="C71" s="1">
        <v>1860.6</v>
      </c>
      <c r="D71" s="1">
        <v>195.97</v>
      </c>
    </row>
    <row r="72" spans="1:4" x14ac:dyDescent="0.25">
      <c r="A72" s="1" t="s">
        <v>136</v>
      </c>
      <c r="B72" s="1" t="s">
        <v>72</v>
      </c>
      <c r="C72" s="1">
        <v>2633.62</v>
      </c>
      <c r="D72" s="1">
        <v>913.82</v>
      </c>
    </row>
    <row r="73" spans="1:4" x14ac:dyDescent="0.25">
      <c r="A73" s="1" t="s">
        <v>136</v>
      </c>
      <c r="B73" s="1" t="s">
        <v>68</v>
      </c>
      <c r="C73" s="1">
        <v>3238.24</v>
      </c>
      <c r="D73" s="1">
        <v>639.91</v>
      </c>
    </row>
    <row r="74" spans="1:4" x14ac:dyDescent="0.25">
      <c r="A74" s="1" t="s">
        <v>136</v>
      </c>
      <c r="B74" s="1" t="s">
        <v>77</v>
      </c>
      <c r="C74" s="1">
        <v>5322.94</v>
      </c>
      <c r="D74" s="1">
        <v>1311.3</v>
      </c>
    </row>
    <row r="75" spans="1:4" x14ac:dyDescent="0.25">
      <c r="A75" s="1" t="s">
        <v>136</v>
      </c>
      <c r="B75" s="1" t="s">
        <v>71</v>
      </c>
      <c r="C75" s="1">
        <v>4249.83</v>
      </c>
      <c r="D75" s="1">
        <v>695.24</v>
      </c>
    </row>
    <row r="76" spans="1:4" x14ac:dyDescent="0.25">
      <c r="A76" s="1" t="s">
        <v>136</v>
      </c>
      <c r="B76" s="1" t="s">
        <v>69</v>
      </c>
      <c r="C76" s="1">
        <v>2036.68</v>
      </c>
      <c r="D76" s="1">
        <v>689.42</v>
      </c>
    </row>
    <row r="77" spans="1:4" x14ac:dyDescent="0.25">
      <c r="A77" s="1" t="s">
        <v>136</v>
      </c>
      <c r="B77" s="1" t="s">
        <v>70</v>
      </c>
      <c r="C77" s="1">
        <v>1826.25</v>
      </c>
      <c r="D77" s="1">
        <v>516.30999999999995</v>
      </c>
    </row>
    <row r="78" spans="1:4" x14ac:dyDescent="0.25">
      <c r="A78" s="1" t="s">
        <v>136</v>
      </c>
      <c r="B78" s="1" t="s">
        <v>78</v>
      </c>
      <c r="C78" s="1">
        <v>546.87</v>
      </c>
      <c r="D78" s="1">
        <v>196.19</v>
      </c>
    </row>
    <row r="79" spans="1:4" x14ac:dyDescent="0.25">
      <c r="A79" s="1" t="s">
        <v>137</v>
      </c>
      <c r="B79" s="1" t="s">
        <v>75</v>
      </c>
      <c r="C79" s="1">
        <v>416.98</v>
      </c>
      <c r="D79" s="1">
        <v>110.76</v>
      </c>
    </row>
    <row r="80" spans="1:4" x14ac:dyDescent="0.25">
      <c r="A80" s="1" t="s">
        <v>137</v>
      </c>
      <c r="B80" s="1" t="s">
        <v>74</v>
      </c>
      <c r="C80" s="1">
        <v>4096.03</v>
      </c>
      <c r="D80" s="1">
        <v>597.94000000000005</v>
      </c>
    </row>
    <row r="81" spans="1:4" x14ac:dyDescent="0.25">
      <c r="A81" s="1" t="s">
        <v>137</v>
      </c>
      <c r="B81" s="1" t="s">
        <v>72</v>
      </c>
      <c r="C81" s="1">
        <v>5124.6499999999996</v>
      </c>
      <c r="D81" s="1">
        <v>1883.26</v>
      </c>
    </row>
    <row r="82" spans="1:4" x14ac:dyDescent="0.25">
      <c r="A82" s="1" t="s">
        <v>137</v>
      </c>
      <c r="B82" s="1" t="s">
        <v>76</v>
      </c>
      <c r="C82" s="1">
        <v>6745.9</v>
      </c>
      <c r="D82" s="1">
        <v>939.16</v>
      </c>
    </row>
    <row r="83" spans="1:4" x14ac:dyDescent="0.25">
      <c r="A83" s="1" t="s">
        <v>137</v>
      </c>
      <c r="B83" s="1" t="s">
        <v>73</v>
      </c>
      <c r="C83" s="1">
        <v>3531.79</v>
      </c>
      <c r="D83" s="1">
        <v>415.96</v>
      </c>
    </row>
    <row r="84" spans="1:4" x14ac:dyDescent="0.25">
      <c r="A84" s="1" t="s">
        <v>137</v>
      </c>
      <c r="B84" s="1" t="s">
        <v>71</v>
      </c>
      <c r="C84" s="1">
        <v>6616.9</v>
      </c>
      <c r="D84" s="1">
        <v>1295.06</v>
      </c>
    </row>
    <row r="85" spans="1:4" x14ac:dyDescent="0.25">
      <c r="A85" s="1" t="s">
        <v>137</v>
      </c>
      <c r="B85" s="1" t="s">
        <v>68</v>
      </c>
      <c r="C85" s="1">
        <v>5449.77</v>
      </c>
      <c r="D85" s="1">
        <v>1223.07</v>
      </c>
    </row>
    <row r="86" spans="1:4" x14ac:dyDescent="0.25">
      <c r="A86" s="1" t="s">
        <v>137</v>
      </c>
      <c r="B86" s="1" t="s">
        <v>77</v>
      </c>
      <c r="C86" s="1">
        <v>8711.6</v>
      </c>
      <c r="D86" s="1">
        <v>2180.31</v>
      </c>
    </row>
    <row r="87" spans="1:4" x14ac:dyDescent="0.25">
      <c r="A87" s="1" t="s">
        <v>137</v>
      </c>
      <c r="B87" s="1" t="s">
        <v>70</v>
      </c>
      <c r="C87" s="1">
        <v>3476.31</v>
      </c>
      <c r="D87" s="1">
        <v>1041.45</v>
      </c>
    </row>
    <row r="88" spans="1:4" x14ac:dyDescent="0.25">
      <c r="A88" s="1" t="s">
        <v>137</v>
      </c>
      <c r="B88" s="1" t="s">
        <v>78</v>
      </c>
      <c r="C88" s="1">
        <v>969.23</v>
      </c>
      <c r="D88" s="1">
        <v>337.61</v>
      </c>
    </row>
    <row r="89" spans="1:4" x14ac:dyDescent="0.25">
      <c r="A89" s="1" t="s">
        <v>137</v>
      </c>
      <c r="B89" s="1" t="s">
        <v>69</v>
      </c>
      <c r="C89" s="1">
        <v>3743.35</v>
      </c>
      <c r="D89" s="1">
        <v>1430.59</v>
      </c>
    </row>
    <row r="90" spans="1:4" x14ac:dyDescent="0.25">
      <c r="A90" s="1" t="s">
        <v>138</v>
      </c>
      <c r="B90" s="1" t="s">
        <v>75</v>
      </c>
      <c r="C90" s="1">
        <v>694.27</v>
      </c>
      <c r="D90" s="1">
        <v>195.87</v>
      </c>
    </row>
    <row r="91" spans="1:4" x14ac:dyDescent="0.25">
      <c r="A91" s="1" t="s">
        <v>138</v>
      </c>
      <c r="B91" s="1" t="s">
        <v>74</v>
      </c>
      <c r="C91" s="1">
        <v>6036.48</v>
      </c>
      <c r="D91" s="1">
        <v>975.36</v>
      </c>
    </row>
    <row r="92" spans="1:4" x14ac:dyDescent="0.25">
      <c r="A92" s="1" t="s">
        <v>138</v>
      </c>
      <c r="B92" s="1" t="s">
        <v>78</v>
      </c>
      <c r="C92" s="1">
        <v>1461.96</v>
      </c>
      <c r="D92" s="1">
        <v>565.86</v>
      </c>
    </row>
    <row r="93" spans="1:4" x14ac:dyDescent="0.25">
      <c r="A93" s="1" t="s">
        <v>138</v>
      </c>
      <c r="B93" s="1" t="s">
        <v>68</v>
      </c>
      <c r="C93" s="1">
        <v>7169.73</v>
      </c>
      <c r="D93" s="1">
        <v>1847.76</v>
      </c>
    </row>
    <row r="94" spans="1:4" x14ac:dyDescent="0.25">
      <c r="A94" s="1" t="s">
        <v>138</v>
      </c>
      <c r="B94" s="1" t="s">
        <v>77</v>
      </c>
      <c r="C94" s="1">
        <v>11007.06</v>
      </c>
      <c r="D94" s="1">
        <v>2830.83</v>
      </c>
    </row>
    <row r="95" spans="1:4" x14ac:dyDescent="0.25">
      <c r="A95" s="1" t="s">
        <v>138</v>
      </c>
      <c r="B95" s="1" t="s">
        <v>71</v>
      </c>
      <c r="C95" s="1">
        <v>8302.6299999999992</v>
      </c>
      <c r="D95" s="1">
        <v>1906.88</v>
      </c>
    </row>
    <row r="96" spans="1:4" x14ac:dyDescent="0.25">
      <c r="A96" s="1" t="s">
        <v>138</v>
      </c>
      <c r="B96" s="1" t="s">
        <v>70</v>
      </c>
      <c r="C96" s="1">
        <v>5054.13</v>
      </c>
      <c r="D96" s="1">
        <v>1651.67</v>
      </c>
    </row>
    <row r="97" spans="1:4" x14ac:dyDescent="0.25">
      <c r="A97" s="1" t="s">
        <v>138</v>
      </c>
      <c r="B97" s="1" t="s">
        <v>76</v>
      </c>
      <c r="C97" s="1">
        <v>9209.7999999999993</v>
      </c>
      <c r="D97" s="1">
        <v>1406.93</v>
      </c>
    </row>
    <row r="98" spans="1:4" x14ac:dyDescent="0.25">
      <c r="A98" s="1" t="s">
        <v>138</v>
      </c>
      <c r="B98" s="1" t="s">
        <v>72</v>
      </c>
      <c r="C98" s="1">
        <v>7692.63</v>
      </c>
      <c r="D98" s="1">
        <v>3157.44</v>
      </c>
    </row>
    <row r="99" spans="1:4" x14ac:dyDescent="0.25">
      <c r="A99" s="1" t="s">
        <v>138</v>
      </c>
      <c r="B99" s="1" t="s">
        <v>73</v>
      </c>
      <c r="C99" s="1">
        <v>4795.8900000000003</v>
      </c>
      <c r="D99" s="1">
        <v>656.57</v>
      </c>
    </row>
    <row r="100" spans="1:4" x14ac:dyDescent="0.25">
      <c r="A100" s="1" t="s">
        <v>138</v>
      </c>
      <c r="B100" s="1" t="s">
        <v>69</v>
      </c>
      <c r="C100" s="1">
        <v>5506.16</v>
      </c>
      <c r="D100" s="1">
        <v>2430.64</v>
      </c>
    </row>
    <row r="101" spans="1:4" x14ac:dyDescent="0.25">
      <c r="A101" s="1" t="s">
        <v>139</v>
      </c>
      <c r="B101" s="1" t="s">
        <v>75</v>
      </c>
      <c r="C101" s="1">
        <v>946.63</v>
      </c>
      <c r="D101" s="1">
        <v>303.47000000000003</v>
      </c>
    </row>
    <row r="102" spans="1:4" x14ac:dyDescent="0.25">
      <c r="A102" s="1" t="s">
        <v>139</v>
      </c>
      <c r="B102" s="1" t="s">
        <v>74</v>
      </c>
      <c r="C102" s="1">
        <v>7454.6</v>
      </c>
      <c r="D102" s="1">
        <v>1349.1</v>
      </c>
    </row>
    <row r="103" spans="1:4" x14ac:dyDescent="0.25">
      <c r="A103" s="1" t="s">
        <v>139</v>
      </c>
      <c r="B103" s="1" t="s">
        <v>78</v>
      </c>
      <c r="C103" s="1">
        <v>2085.17</v>
      </c>
      <c r="D103" s="1">
        <v>955.49</v>
      </c>
    </row>
    <row r="104" spans="1:4" x14ac:dyDescent="0.25">
      <c r="A104" s="1" t="s">
        <v>139</v>
      </c>
      <c r="B104" s="1" t="s">
        <v>69</v>
      </c>
      <c r="C104" s="1">
        <v>7291.76</v>
      </c>
      <c r="D104" s="1">
        <v>3824.26</v>
      </c>
    </row>
    <row r="105" spans="1:4" x14ac:dyDescent="0.25">
      <c r="A105" s="1" t="s">
        <v>139</v>
      </c>
      <c r="B105" s="1" t="s">
        <v>70</v>
      </c>
      <c r="C105" s="1">
        <v>6347.65</v>
      </c>
      <c r="D105" s="1">
        <v>2223.65</v>
      </c>
    </row>
    <row r="106" spans="1:4" x14ac:dyDescent="0.25">
      <c r="A106" s="1" t="s">
        <v>139</v>
      </c>
      <c r="B106" s="1" t="s">
        <v>76</v>
      </c>
      <c r="C106" s="1">
        <v>11040.7</v>
      </c>
      <c r="D106" s="1">
        <v>1857.52</v>
      </c>
    </row>
    <row r="107" spans="1:4" x14ac:dyDescent="0.25">
      <c r="A107" s="1" t="s">
        <v>139</v>
      </c>
      <c r="B107" s="1" t="s">
        <v>73</v>
      </c>
      <c r="C107" s="1">
        <v>5728.56</v>
      </c>
      <c r="D107" s="1">
        <v>875.05</v>
      </c>
    </row>
    <row r="108" spans="1:4" x14ac:dyDescent="0.25">
      <c r="A108" s="1" t="s">
        <v>139</v>
      </c>
      <c r="B108" s="1" t="s">
        <v>72</v>
      </c>
      <c r="C108" s="1">
        <v>10170.040000000001</v>
      </c>
      <c r="D108" s="1">
        <v>4771.3900000000003</v>
      </c>
    </row>
    <row r="109" spans="1:4" x14ac:dyDescent="0.25">
      <c r="A109" s="1" t="s">
        <v>139</v>
      </c>
      <c r="B109" s="1" t="s">
        <v>68</v>
      </c>
      <c r="C109" s="1">
        <v>8291.57</v>
      </c>
      <c r="D109" s="1">
        <v>2455.33</v>
      </c>
    </row>
    <row r="110" spans="1:4" x14ac:dyDescent="0.25">
      <c r="A110" s="1" t="s">
        <v>139</v>
      </c>
      <c r="B110" s="1" t="s">
        <v>77</v>
      </c>
      <c r="C110" s="1">
        <v>13197.61</v>
      </c>
      <c r="D110" s="1">
        <v>3615.82</v>
      </c>
    </row>
    <row r="111" spans="1:4" x14ac:dyDescent="0.25">
      <c r="A111" s="1" t="s">
        <v>139</v>
      </c>
      <c r="B111" s="1" t="s">
        <v>71</v>
      </c>
      <c r="C111" s="1">
        <v>9531.2800000000007</v>
      </c>
      <c r="D111" s="1">
        <v>2425.46</v>
      </c>
    </row>
    <row r="112" spans="1:4" x14ac:dyDescent="0.25">
      <c r="A112" s="1" t="s">
        <v>140</v>
      </c>
      <c r="B112" s="1" t="s">
        <v>75</v>
      </c>
      <c r="C112" s="1">
        <v>1056.9000000000001</v>
      </c>
      <c r="D112" s="1">
        <v>397.92</v>
      </c>
    </row>
    <row r="113" spans="1:4" x14ac:dyDescent="0.25">
      <c r="A113" s="1" t="s">
        <v>140</v>
      </c>
      <c r="B113" s="1" t="s">
        <v>74</v>
      </c>
      <c r="C113" s="1">
        <v>7902.49</v>
      </c>
      <c r="D113" s="1">
        <v>1666.31</v>
      </c>
    </row>
    <row r="114" spans="1:4" x14ac:dyDescent="0.25">
      <c r="A114" s="1" t="s">
        <v>140</v>
      </c>
      <c r="B114" s="1" t="s">
        <v>76</v>
      </c>
      <c r="C114" s="1">
        <v>11680.29</v>
      </c>
      <c r="D114" s="1">
        <v>2207.98</v>
      </c>
    </row>
    <row r="115" spans="1:4" x14ac:dyDescent="0.25">
      <c r="A115" s="1" t="s">
        <v>140</v>
      </c>
      <c r="B115" s="1" t="s">
        <v>73</v>
      </c>
      <c r="C115" s="1">
        <v>5915.55</v>
      </c>
      <c r="D115" s="1">
        <v>1038.95</v>
      </c>
    </row>
    <row r="116" spans="1:4" x14ac:dyDescent="0.25">
      <c r="A116" s="1" t="s">
        <v>140</v>
      </c>
      <c r="B116" s="1" t="s">
        <v>71</v>
      </c>
      <c r="C116" s="1">
        <v>9789.86</v>
      </c>
      <c r="D116" s="1">
        <v>2723.34</v>
      </c>
    </row>
    <row r="117" spans="1:4" x14ac:dyDescent="0.25">
      <c r="A117" s="1" t="s">
        <v>140</v>
      </c>
      <c r="B117" s="1" t="s">
        <v>68</v>
      </c>
      <c r="C117" s="1">
        <v>8521.17</v>
      </c>
      <c r="D117" s="1">
        <v>2842.11</v>
      </c>
    </row>
    <row r="118" spans="1:4" x14ac:dyDescent="0.25">
      <c r="A118" s="1" t="s">
        <v>140</v>
      </c>
      <c r="B118" s="1" t="s">
        <v>70</v>
      </c>
      <c r="C118" s="1">
        <v>6906.8</v>
      </c>
      <c r="D118" s="1">
        <v>2641.57</v>
      </c>
    </row>
    <row r="119" spans="1:4" x14ac:dyDescent="0.25">
      <c r="A119" s="1" t="s">
        <v>140</v>
      </c>
      <c r="B119" s="1" t="s">
        <v>78</v>
      </c>
      <c r="C119" s="1">
        <v>2539.5</v>
      </c>
      <c r="D119" s="1">
        <v>1316.09</v>
      </c>
    </row>
    <row r="120" spans="1:4" x14ac:dyDescent="0.25">
      <c r="A120" s="1" t="s">
        <v>140</v>
      </c>
      <c r="B120" s="1" t="s">
        <v>72</v>
      </c>
      <c r="C120" s="1">
        <v>11973.45</v>
      </c>
      <c r="D120" s="1">
        <v>6233.37</v>
      </c>
    </row>
    <row r="121" spans="1:4" x14ac:dyDescent="0.25">
      <c r="A121" s="1" t="s">
        <v>140</v>
      </c>
      <c r="B121" s="1" t="s">
        <v>77</v>
      </c>
      <c r="C121" s="1">
        <v>13992.84</v>
      </c>
      <c r="D121" s="1">
        <v>4052.99</v>
      </c>
    </row>
    <row r="122" spans="1:4" x14ac:dyDescent="0.25">
      <c r="A122" s="1" t="s">
        <v>140</v>
      </c>
      <c r="B122" s="1" t="s">
        <v>69</v>
      </c>
      <c r="C122" s="1">
        <v>8576.0300000000007</v>
      </c>
      <c r="D122" s="1">
        <v>5226.01</v>
      </c>
    </row>
    <row r="123" spans="1:4" x14ac:dyDescent="0.25">
      <c r="A123" s="1" t="s">
        <v>141</v>
      </c>
      <c r="B123" s="1" t="s">
        <v>74</v>
      </c>
      <c r="C123" s="1">
        <v>7665.68</v>
      </c>
      <c r="D123" s="1">
        <v>1715.92</v>
      </c>
    </row>
    <row r="124" spans="1:4" x14ac:dyDescent="0.25">
      <c r="A124" s="1" t="s">
        <v>141</v>
      </c>
      <c r="B124" s="1" t="s">
        <v>75</v>
      </c>
      <c r="C124" s="1">
        <v>1099.0899999999999</v>
      </c>
      <c r="D124" s="1">
        <v>445.49</v>
      </c>
    </row>
    <row r="125" spans="1:4" x14ac:dyDescent="0.25">
      <c r="A125" s="1" t="s">
        <v>141</v>
      </c>
      <c r="B125" s="1" t="s">
        <v>76</v>
      </c>
      <c r="C125" s="1">
        <v>11099.55</v>
      </c>
      <c r="D125" s="1">
        <v>2216.6999999999998</v>
      </c>
    </row>
    <row r="126" spans="1:4" x14ac:dyDescent="0.25">
      <c r="A126" s="1" t="s">
        <v>141</v>
      </c>
      <c r="B126" s="1" t="s">
        <v>72</v>
      </c>
      <c r="C126" s="1">
        <v>12369.61</v>
      </c>
      <c r="D126" s="1">
        <v>6807.24</v>
      </c>
    </row>
    <row r="127" spans="1:4" x14ac:dyDescent="0.25">
      <c r="A127" s="1" t="s">
        <v>141</v>
      </c>
      <c r="B127" s="1" t="s">
        <v>73</v>
      </c>
      <c r="C127" s="1">
        <v>5609.97</v>
      </c>
      <c r="D127" s="1">
        <v>1031.1500000000001</v>
      </c>
    </row>
    <row r="128" spans="1:4" x14ac:dyDescent="0.25">
      <c r="A128" s="1" t="s">
        <v>141</v>
      </c>
      <c r="B128" s="1" t="s">
        <v>68</v>
      </c>
      <c r="C128" s="1">
        <v>7962.48</v>
      </c>
      <c r="D128" s="1">
        <v>2808.33</v>
      </c>
    </row>
    <row r="129" spans="1:4" x14ac:dyDescent="0.25">
      <c r="A129" s="1" t="s">
        <v>141</v>
      </c>
      <c r="B129" s="1" t="s">
        <v>77</v>
      </c>
      <c r="C129" s="1">
        <v>13850.5</v>
      </c>
      <c r="D129" s="1">
        <v>4051.85</v>
      </c>
    </row>
    <row r="130" spans="1:4" x14ac:dyDescent="0.25">
      <c r="A130" s="1" t="s">
        <v>141</v>
      </c>
      <c r="B130" s="1" t="s">
        <v>71</v>
      </c>
      <c r="C130" s="1">
        <v>9174.7900000000009</v>
      </c>
      <c r="D130" s="1">
        <v>2632.22</v>
      </c>
    </row>
    <row r="131" spans="1:4" x14ac:dyDescent="0.25">
      <c r="A131" s="1" t="s">
        <v>141</v>
      </c>
      <c r="B131" s="1" t="s">
        <v>69</v>
      </c>
      <c r="C131" s="1">
        <v>8852.94</v>
      </c>
      <c r="D131" s="1">
        <v>5866.46</v>
      </c>
    </row>
    <row r="132" spans="1:4" x14ac:dyDescent="0.25">
      <c r="A132" s="1" t="s">
        <v>141</v>
      </c>
      <c r="B132" s="1" t="s">
        <v>70</v>
      </c>
      <c r="C132" s="1">
        <v>6851.86</v>
      </c>
      <c r="D132" s="1">
        <v>2671.75</v>
      </c>
    </row>
    <row r="133" spans="1:4" x14ac:dyDescent="0.25">
      <c r="A133" s="1" t="s">
        <v>141</v>
      </c>
      <c r="B133" s="1" t="s">
        <v>78</v>
      </c>
      <c r="C133" s="1">
        <v>2724.07</v>
      </c>
      <c r="D133" s="1">
        <v>1464.39</v>
      </c>
    </row>
    <row r="134" spans="1:4" x14ac:dyDescent="0.25">
      <c r="A134" s="1" t="s">
        <v>142</v>
      </c>
      <c r="B134" s="1" t="s">
        <v>75</v>
      </c>
      <c r="C134" s="1">
        <v>1071.58</v>
      </c>
      <c r="D134" s="1">
        <v>433.31</v>
      </c>
    </row>
    <row r="135" spans="1:4" x14ac:dyDescent="0.25">
      <c r="A135" s="1" t="s">
        <v>142</v>
      </c>
      <c r="B135" s="1" t="s">
        <v>74</v>
      </c>
      <c r="C135" s="1">
        <v>7073.06</v>
      </c>
      <c r="D135" s="1">
        <v>1615.72</v>
      </c>
    </row>
    <row r="136" spans="1:4" x14ac:dyDescent="0.25">
      <c r="A136" s="1" t="s">
        <v>142</v>
      </c>
      <c r="B136" s="1" t="s">
        <v>76</v>
      </c>
      <c r="C136" s="1">
        <v>10203.5</v>
      </c>
      <c r="D136" s="1">
        <v>2114.77</v>
      </c>
    </row>
    <row r="137" spans="1:4" x14ac:dyDescent="0.25">
      <c r="A137" s="1" t="s">
        <v>142</v>
      </c>
      <c r="B137" s="1" t="s">
        <v>73</v>
      </c>
      <c r="C137" s="1">
        <v>5100.17</v>
      </c>
      <c r="D137" s="1">
        <v>938.01</v>
      </c>
    </row>
    <row r="138" spans="1:4" x14ac:dyDescent="0.25">
      <c r="A138" s="1" t="s">
        <v>142</v>
      </c>
      <c r="B138" s="1" t="s">
        <v>71</v>
      </c>
      <c r="C138" s="1">
        <v>8299.9500000000007</v>
      </c>
      <c r="D138" s="1">
        <v>2417.92</v>
      </c>
    </row>
    <row r="139" spans="1:4" x14ac:dyDescent="0.25">
      <c r="A139" s="1" t="s">
        <v>142</v>
      </c>
      <c r="B139" s="1" t="s">
        <v>68</v>
      </c>
      <c r="C139" s="1">
        <v>7172.27</v>
      </c>
      <c r="D139" s="1">
        <v>2535.0500000000002</v>
      </c>
    </row>
    <row r="140" spans="1:4" x14ac:dyDescent="0.25">
      <c r="A140" s="1" t="s">
        <v>142</v>
      </c>
      <c r="B140" s="1" t="s">
        <v>77</v>
      </c>
      <c r="C140" s="1">
        <v>13430.67</v>
      </c>
      <c r="D140" s="1">
        <v>4017.36</v>
      </c>
    </row>
    <row r="141" spans="1:4" x14ac:dyDescent="0.25">
      <c r="A141" s="1" t="s">
        <v>142</v>
      </c>
      <c r="B141" s="1" t="s">
        <v>70</v>
      </c>
      <c r="C141" s="1">
        <v>6338.14</v>
      </c>
      <c r="D141" s="1">
        <v>2508.84</v>
      </c>
    </row>
    <row r="142" spans="1:4" x14ac:dyDescent="0.25">
      <c r="A142" s="1" t="s">
        <v>142</v>
      </c>
      <c r="B142" s="1" t="s">
        <v>78</v>
      </c>
      <c r="C142" s="1">
        <v>2729.82</v>
      </c>
      <c r="D142" s="1">
        <v>1482.67</v>
      </c>
    </row>
    <row r="143" spans="1:4" x14ac:dyDescent="0.25">
      <c r="A143" s="1" t="s">
        <v>142</v>
      </c>
      <c r="B143" s="1" t="s">
        <v>72</v>
      </c>
      <c r="C143" s="1">
        <v>11748.3</v>
      </c>
      <c r="D143" s="1">
        <v>6637.01</v>
      </c>
    </row>
    <row r="144" spans="1:4" x14ac:dyDescent="0.25">
      <c r="A144" s="1" t="s">
        <v>142</v>
      </c>
      <c r="B144" s="1" t="s">
        <v>69</v>
      </c>
      <c r="C144" s="1">
        <v>8456.14</v>
      </c>
      <c r="D144" s="1">
        <v>5575.91</v>
      </c>
    </row>
    <row r="145" spans="1:4" x14ac:dyDescent="0.25">
      <c r="A145" s="1" t="s">
        <v>143</v>
      </c>
      <c r="B145" s="1" t="s">
        <v>75</v>
      </c>
      <c r="C145" s="1">
        <v>924.2</v>
      </c>
      <c r="D145" s="1">
        <v>369.24</v>
      </c>
    </row>
    <row r="146" spans="1:4" x14ac:dyDescent="0.25">
      <c r="A146" s="1" t="s">
        <v>143</v>
      </c>
      <c r="B146" s="1" t="s">
        <v>74</v>
      </c>
      <c r="C146" s="1">
        <v>6304.59</v>
      </c>
      <c r="D146" s="1">
        <v>1373.16</v>
      </c>
    </row>
    <row r="147" spans="1:4" x14ac:dyDescent="0.25">
      <c r="A147" s="1" t="s">
        <v>143</v>
      </c>
      <c r="B147" s="1" t="s">
        <v>68</v>
      </c>
      <c r="C147" s="1">
        <v>5952.16</v>
      </c>
      <c r="D147" s="1">
        <v>2073.5100000000002</v>
      </c>
    </row>
    <row r="148" spans="1:4" x14ac:dyDescent="0.25">
      <c r="A148" s="1" t="s">
        <v>143</v>
      </c>
      <c r="B148" s="1" t="s">
        <v>77</v>
      </c>
      <c r="C148" s="1">
        <v>14439.85</v>
      </c>
      <c r="D148" s="1">
        <v>4324.47</v>
      </c>
    </row>
    <row r="149" spans="1:4" x14ac:dyDescent="0.25">
      <c r="A149" s="1" t="s">
        <v>143</v>
      </c>
      <c r="B149" s="1" t="s">
        <v>71</v>
      </c>
      <c r="C149" s="1">
        <v>7109.24</v>
      </c>
      <c r="D149" s="1">
        <v>1992.4</v>
      </c>
    </row>
    <row r="150" spans="1:4" x14ac:dyDescent="0.25">
      <c r="A150" s="1" t="s">
        <v>143</v>
      </c>
      <c r="B150" s="1" t="s">
        <v>69</v>
      </c>
      <c r="C150" s="1">
        <v>7875.61</v>
      </c>
      <c r="D150" s="1">
        <v>5001.38</v>
      </c>
    </row>
    <row r="151" spans="1:4" x14ac:dyDescent="0.25">
      <c r="A151" s="1" t="s">
        <v>143</v>
      </c>
      <c r="B151" s="1" t="s">
        <v>70</v>
      </c>
      <c r="C151" s="1">
        <v>5386.86</v>
      </c>
      <c r="D151" s="1">
        <v>2127.9499999999998</v>
      </c>
    </row>
    <row r="152" spans="1:4" x14ac:dyDescent="0.25">
      <c r="A152" s="1" t="s">
        <v>143</v>
      </c>
      <c r="B152" s="1" t="s">
        <v>78</v>
      </c>
      <c r="C152" s="1">
        <v>2464.5</v>
      </c>
      <c r="D152" s="1">
        <v>1296.52</v>
      </c>
    </row>
    <row r="153" spans="1:4" x14ac:dyDescent="0.25">
      <c r="A153" s="1" t="s">
        <v>143</v>
      </c>
      <c r="B153" s="1" t="s">
        <v>72</v>
      </c>
      <c r="C153" s="1">
        <v>10698.4</v>
      </c>
      <c r="D153" s="1">
        <v>5952.28</v>
      </c>
    </row>
    <row r="154" spans="1:4" x14ac:dyDescent="0.25">
      <c r="A154" s="1" t="s">
        <v>143</v>
      </c>
      <c r="B154" s="1" t="s">
        <v>76</v>
      </c>
      <c r="C154" s="1">
        <v>9319.7999999999993</v>
      </c>
      <c r="D154" s="1">
        <v>1931.8</v>
      </c>
    </row>
    <row r="155" spans="1:4" x14ac:dyDescent="0.25">
      <c r="A155" s="1" t="s">
        <v>143</v>
      </c>
      <c r="B155" s="1" t="s">
        <v>73</v>
      </c>
      <c r="C155" s="1">
        <v>4135.37</v>
      </c>
      <c r="D155" s="1">
        <v>722.33</v>
      </c>
    </row>
    <row r="156" spans="1:4" x14ac:dyDescent="0.25">
      <c r="A156" s="1" t="s">
        <v>144</v>
      </c>
      <c r="B156" s="1" t="s">
        <v>75</v>
      </c>
      <c r="C156" s="1">
        <v>954.69</v>
      </c>
      <c r="D156" s="1">
        <v>388.54</v>
      </c>
    </row>
    <row r="157" spans="1:4" x14ac:dyDescent="0.25">
      <c r="A157" s="1" t="s">
        <v>144</v>
      </c>
      <c r="B157" s="1" t="s">
        <v>74</v>
      </c>
      <c r="C157" s="1">
        <v>6828.23</v>
      </c>
      <c r="D157" s="1">
        <v>1444.9</v>
      </c>
    </row>
    <row r="158" spans="1:4" x14ac:dyDescent="0.25">
      <c r="A158" s="1" t="s">
        <v>144</v>
      </c>
      <c r="B158" s="1" t="s">
        <v>78</v>
      </c>
      <c r="C158" s="1">
        <v>2616.42</v>
      </c>
      <c r="D158" s="1">
        <v>1305.78</v>
      </c>
    </row>
    <row r="159" spans="1:4" x14ac:dyDescent="0.25">
      <c r="A159" s="1" t="s">
        <v>144</v>
      </c>
      <c r="B159" s="1" t="s">
        <v>71</v>
      </c>
      <c r="C159" s="1">
        <v>7940.17</v>
      </c>
      <c r="D159" s="1">
        <v>2075.88</v>
      </c>
    </row>
    <row r="160" spans="1:4" x14ac:dyDescent="0.25">
      <c r="A160" s="1" t="s">
        <v>144</v>
      </c>
      <c r="B160" s="1" t="s">
        <v>69</v>
      </c>
      <c r="C160" s="1">
        <v>8450.84</v>
      </c>
      <c r="D160" s="1">
        <v>5013.4399999999996</v>
      </c>
    </row>
    <row r="161" spans="1:4" x14ac:dyDescent="0.25">
      <c r="A161" s="1" t="s">
        <v>144</v>
      </c>
      <c r="B161" s="1" t="s">
        <v>76</v>
      </c>
      <c r="C161" s="1">
        <v>9711.35</v>
      </c>
      <c r="D161" s="1">
        <v>1980.51</v>
      </c>
    </row>
    <row r="162" spans="1:4" x14ac:dyDescent="0.25">
      <c r="A162" s="1" t="s">
        <v>144</v>
      </c>
      <c r="B162" s="1" t="s">
        <v>72</v>
      </c>
      <c r="C162" s="1">
        <v>11238.14</v>
      </c>
      <c r="D162" s="1">
        <v>6065.73</v>
      </c>
    </row>
    <row r="163" spans="1:4" x14ac:dyDescent="0.25">
      <c r="A163" s="1" t="s">
        <v>144</v>
      </c>
      <c r="B163" s="1" t="s">
        <v>73</v>
      </c>
      <c r="C163" s="1">
        <v>4574.1400000000003</v>
      </c>
      <c r="D163" s="1">
        <v>743.89</v>
      </c>
    </row>
    <row r="164" spans="1:4" x14ac:dyDescent="0.25">
      <c r="A164" s="1" t="s">
        <v>144</v>
      </c>
      <c r="B164" s="1" t="s">
        <v>68</v>
      </c>
      <c r="C164" s="1">
        <v>6726.1</v>
      </c>
      <c r="D164" s="1">
        <v>2118.67</v>
      </c>
    </row>
    <row r="165" spans="1:4" x14ac:dyDescent="0.25">
      <c r="A165" s="1" t="s">
        <v>144</v>
      </c>
      <c r="B165" s="1" t="s">
        <v>77</v>
      </c>
      <c r="C165" s="1">
        <v>15141.12</v>
      </c>
      <c r="D165" s="1">
        <v>4384.3999999999996</v>
      </c>
    </row>
    <row r="166" spans="1:4" x14ac:dyDescent="0.25">
      <c r="A166" s="1" t="s">
        <v>144</v>
      </c>
      <c r="B166" s="1" t="s">
        <v>70</v>
      </c>
      <c r="C166" s="1">
        <v>6047.25</v>
      </c>
      <c r="D166" s="1">
        <v>2245.33</v>
      </c>
    </row>
    <row r="167" spans="1:4" x14ac:dyDescent="0.25">
      <c r="A167" s="1" t="s">
        <v>145</v>
      </c>
      <c r="B167" s="1" t="s">
        <v>75</v>
      </c>
      <c r="C167" s="1">
        <v>1043.82</v>
      </c>
      <c r="D167" s="1">
        <v>424.74</v>
      </c>
    </row>
    <row r="168" spans="1:4" x14ac:dyDescent="0.25">
      <c r="A168" s="1" t="s">
        <v>145</v>
      </c>
      <c r="B168" s="1" t="s">
        <v>74</v>
      </c>
      <c r="C168" s="1">
        <v>7153.35</v>
      </c>
      <c r="D168" s="1">
        <v>1571.5</v>
      </c>
    </row>
    <row r="169" spans="1:4" x14ac:dyDescent="0.25">
      <c r="A169" s="1" t="s">
        <v>145</v>
      </c>
      <c r="B169" s="1" t="s">
        <v>78</v>
      </c>
      <c r="C169" s="1">
        <v>2638.02</v>
      </c>
      <c r="D169" s="1">
        <v>1331.52</v>
      </c>
    </row>
    <row r="170" spans="1:4" x14ac:dyDescent="0.25">
      <c r="A170" s="1" t="s">
        <v>145</v>
      </c>
      <c r="B170" s="1" t="s">
        <v>73</v>
      </c>
      <c r="C170" s="1">
        <v>5342.06</v>
      </c>
      <c r="D170" s="1">
        <v>836.03</v>
      </c>
    </row>
    <row r="171" spans="1:4" x14ac:dyDescent="0.25">
      <c r="A171" s="1" t="s">
        <v>145</v>
      </c>
      <c r="B171" s="1" t="s">
        <v>72</v>
      </c>
      <c r="C171" s="1">
        <v>11663.56</v>
      </c>
      <c r="D171" s="1">
        <v>6167.55</v>
      </c>
    </row>
    <row r="172" spans="1:4" x14ac:dyDescent="0.25">
      <c r="A172" s="1" t="s">
        <v>145</v>
      </c>
      <c r="B172" s="1" t="s">
        <v>68</v>
      </c>
      <c r="C172" s="1">
        <v>7398.03</v>
      </c>
      <c r="D172" s="1">
        <v>2318.91</v>
      </c>
    </row>
    <row r="173" spans="1:4" x14ac:dyDescent="0.25">
      <c r="A173" s="1" t="s">
        <v>145</v>
      </c>
      <c r="B173" s="1" t="s">
        <v>71</v>
      </c>
      <c r="C173" s="1">
        <v>8616.82</v>
      </c>
      <c r="D173" s="1">
        <v>2306.1799999999998</v>
      </c>
    </row>
    <row r="174" spans="1:4" x14ac:dyDescent="0.25">
      <c r="A174" s="1" t="s">
        <v>145</v>
      </c>
      <c r="B174" s="1" t="s">
        <v>70</v>
      </c>
      <c r="C174" s="1">
        <v>6539.13</v>
      </c>
      <c r="D174" s="1">
        <v>2462.0500000000002</v>
      </c>
    </row>
    <row r="175" spans="1:4" x14ac:dyDescent="0.25">
      <c r="A175" s="1" t="s">
        <v>145</v>
      </c>
      <c r="B175" s="1" t="s">
        <v>69</v>
      </c>
      <c r="C175" s="1">
        <v>8627.26</v>
      </c>
      <c r="D175" s="1">
        <v>5071.3999999999996</v>
      </c>
    </row>
    <row r="176" spans="1:4" x14ac:dyDescent="0.25">
      <c r="A176" s="1" t="s">
        <v>145</v>
      </c>
      <c r="B176" s="1" t="s">
        <v>76</v>
      </c>
      <c r="C176" s="1">
        <v>10358.23</v>
      </c>
      <c r="D176" s="1">
        <v>2098.0100000000002</v>
      </c>
    </row>
    <row r="177" spans="1:4" x14ac:dyDescent="0.25">
      <c r="A177" s="1" t="s">
        <v>145</v>
      </c>
      <c r="B177" s="1" t="s">
        <v>77</v>
      </c>
      <c r="C177" s="1">
        <v>15269.34</v>
      </c>
      <c r="D177" s="1">
        <v>4419.09</v>
      </c>
    </row>
    <row r="178" spans="1:4" x14ac:dyDescent="0.25">
      <c r="A178" s="1" t="s">
        <v>146</v>
      </c>
      <c r="B178" s="1" t="s">
        <v>75</v>
      </c>
      <c r="C178" s="1">
        <v>1045.52</v>
      </c>
      <c r="D178" s="1">
        <v>425.71</v>
      </c>
    </row>
    <row r="179" spans="1:4" x14ac:dyDescent="0.25">
      <c r="A179" s="1" t="s">
        <v>146</v>
      </c>
      <c r="B179" s="1" t="s">
        <v>74</v>
      </c>
      <c r="C179" s="1">
        <v>7283.08</v>
      </c>
      <c r="D179" s="1">
        <v>1634.99</v>
      </c>
    </row>
    <row r="180" spans="1:4" x14ac:dyDescent="0.25">
      <c r="A180" s="1" t="s">
        <v>146</v>
      </c>
      <c r="B180" s="1" t="s">
        <v>72</v>
      </c>
      <c r="C180" s="1">
        <v>11598.37</v>
      </c>
      <c r="D180" s="1">
        <v>6127.09</v>
      </c>
    </row>
    <row r="181" spans="1:4" x14ac:dyDescent="0.25">
      <c r="A181" s="1" t="s">
        <v>146</v>
      </c>
      <c r="B181" s="1" t="s">
        <v>76</v>
      </c>
      <c r="C181" s="1">
        <v>10761.45</v>
      </c>
      <c r="D181" s="1">
        <v>2211.48</v>
      </c>
    </row>
    <row r="182" spans="1:4" x14ac:dyDescent="0.25">
      <c r="A182" s="1" t="s">
        <v>146</v>
      </c>
      <c r="B182" s="1" t="s">
        <v>73</v>
      </c>
      <c r="C182" s="1">
        <v>5470.86</v>
      </c>
      <c r="D182" s="1">
        <v>959.89</v>
      </c>
    </row>
    <row r="183" spans="1:4" x14ac:dyDescent="0.25">
      <c r="A183" s="1" t="s">
        <v>146</v>
      </c>
      <c r="B183" s="1" t="s">
        <v>71</v>
      </c>
      <c r="C183" s="1">
        <v>8697.1</v>
      </c>
      <c r="D183" s="1">
        <v>2453.04</v>
      </c>
    </row>
    <row r="184" spans="1:4" x14ac:dyDescent="0.25">
      <c r="A184" s="1" t="s">
        <v>146</v>
      </c>
      <c r="B184" s="1" t="s">
        <v>68</v>
      </c>
      <c r="C184" s="1">
        <v>7366.53</v>
      </c>
      <c r="D184" s="1">
        <v>2471</v>
      </c>
    </row>
    <row r="185" spans="1:4" x14ac:dyDescent="0.25">
      <c r="A185" s="1" t="s">
        <v>146</v>
      </c>
      <c r="B185" s="1" t="s">
        <v>77</v>
      </c>
      <c r="C185" s="1">
        <v>15129.81</v>
      </c>
      <c r="D185" s="1">
        <v>4434.4399999999996</v>
      </c>
    </row>
    <row r="186" spans="1:4" x14ac:dyDescent="0.25">
      <c r="A186" s="1" t="s">
        <v>146</v>
      </c>
      <c r="B186" s="1" t="s">
        <v>70</v>
      </c>
      <c r="C186" s="1">
        <v>6551.52</v>
      </c>
      <c r="D186" s="1">
        <v>2547.59</v>
      </c>
    </row>
    <row r="187" spans="1:4" x14ac:dyDescent="0.25">
      <c r="A187" s="1" t="s">
        <v>146</v>
      </c>
      <c r="B187" s="1" t="s">
        <v>78</v>
      </c>
      <c r="C187" s="1">
        <v>2547.0100000000002</v>
      </c>
      <c r="D187" s="1">
        <v>1302.8599999999999</v>
      </c>
    </row>
    <row r="188" spans="1:4" x14ac:dyDescent="0.25">
      <c r="A188" s="1" t="s">
        <v>146</v>
      </c>
      <c r="B188" s="1" t="s">
        <v>69</v>
      </c>
      <c r="C188" s="1">
        <v>8403.7900000000009</v>
      </c>
      <c r="D188" s="1">
        <v>5011.05</v>
      </c>
    </row>
    <row r="189" spans="1:4" x14ac:dyDescent="0.25">
      <c r="A189" s="1" t="s">
        <v>147</v>
      </c>
      <c r="B189" s="1" t="s">
        <v>75</v>
      </c>
      <c r="C189" s="1">
        <v>1051.48</v>
      </c>
      <c r="D189" s="1">
        <v>442.62</v>
      </c>
    </row>
    <row r="190" spans="1:4" x14ac:dyDescent="0.25">
      <c r="A190" s="1" t="s">
        <v>147</v>
      </c>
      <c r="B190" s="1" t="s">
        <v>74</v>
      </c>
      <c r="C190" s="1">
        <v>7548.95</v>
      </c>
      <c r="D190" s="1">
        <v>1721.94</v>
      </c>
    </row>
    <row r="191" spans="1:4" x14ac:dyDescent="0.25">
      <c r="A191" s="1" t="s">
        <v>147</v>
      </c>
      <c r="B191" s="1" t="s">
        <v>76</v>
      </c>
      <c r="C191" s="1">
        <v>11151.63</v>
      </c>
      <c r="D191" s="1">
        <v>2359.2600000000002</v>
      </c>
    </row>
    <row r="192" spans="1:4" x14ac:dyDescent="0.25">
      <c r="A192" s="1" t="s">
        <v>147</v>
      </c>
      <c r="B192" s="1" t="s">
        <v>68</v>
      </c>
      <c r="C192" s="1">
        <v>7413.64</v>
      </c>
      <c r="D192" s="1">
        <v>2663.64</v>
      </c>
    </row>
    <row r="193" spans="1:4" x14ac:dyDescent="0.25">
      <c r="A193" s="1" t="s">
        <v>147</v>
      </c>
      <c r="B193" s="1" t="s">
        <v>77</v>
      </c>
      <c r="C193" s="1">
        <v>15266.73</v>
      </c>
      <c r="D193" s="1">
        <v>4585.6400000000003</v>
      </c>
    </row>
    <row r="194" spans="1:4" x14ac:dyDescent="0.25">
      <c r="A194" s="1" t="s">
        <v>147</v>
      </c>
      <c r="B194" s="1" t="s">
        <v>71</v>
      </c>
      <c r="C194" s="1">
        <v>8707.2099999999991</v>
      </c>
      <c r="D194" s="1">
        <v>2714.69</v>
      </c>
    </row>
    <row r="195" spans="1:4" x14ac:dyDescent="0.25">
      <c r="A195" s="1" t="s">
        <v>147</v>
      </c>
      <c r="B195" s="1" t="s">
        <v>70</v>
      </c>
      <c r="C195" s="1">
        <v>6737.65</v>
      </c>
      <c r="D195" s="1">
        <v>2708.55</v>
      </c>
    </row>
    <row r="196" spans="1:4" x14ac:dyDescent="0.25">
      <c r="A196" s="1" t="s">
        <v>147</v>
      </c>
      <c r="B196" s="1" t="s">
        <v>78</v>
      </c>
      <c r="C196" s="1">
        <v>2687.62</v>
      </c>
      <c r="D196" s="1">
        <v>1368.11</v>
      </c>
    </row>
    <row r="197" spans="1:4" x14ac:dyDescent="0.25">
      <c r="A197" s="1" t="s">
        <v>147</v>
      </c>
      <c r="B197" s="1" t="s">
        <v>72</v>
      </c>
      <c r="C197" s="1">
        <v>11661.15</v>
      </c>
      <c r="D197" s="1">
        <v>6390.15</v>
      </c>
    </row>
    <row r="198" spans="1:4" x14ac:dyDescent="0.25">
      <c r="A198" s="1" t="s">
        <v>147</v>
      </c>
      <c r="B198" s="1" t="s">
        <v>73</v>
      </c>
      <c r="C198" s="1">
        <v>5588.98</v>
      </c>
      <c r="D198" s="1">
        <v>1062.05</v>
      </c>
    </row>
    <row r="199" spans="1:4" x14ac:dyDescent="0.25">
      <c r="A199" s="1" t="s">
        <v>147</v>
      </c>
      <c r="B199" s="1" t="s">
        <v>69</v>
      </c>
      <c r="C199" s="1">
        <v>8382.5499999999993</v>
      </c>
      <c r="D199" s="1">
        <v>5019.21</v>
      </c>
    </row>
    <row r="200" spans="1:4" x14ac:dyDescent="0.25">
      <c r="A200" s="1" t="s">
        <v>148</v>
      </c>
      <c r="B200" s="1" t="s">
        <v>75</v>
      </c>
      <c r="C200" s="1">
        <v>1052.45</v>
      </c>
      <c r="D200" s="1">
        <v>415.71</v>
      </c>
    </row>
    <row r="201" spans="1:4" x14ac:dyDescent="0.25">
      <c r="A201" s="1" t="s">
        <v>148</v>
      </c>
      <c r="B201" s="1" t="s">
        <v>74</v>
      </c>
      <c r="C201" s="1">
        <v>8141.75</v>
      </c>
      <c r="D201" s="1">
        <v>1849.7</v>
      </c>
    </row>
    <row r="202" spans="1:4" x14ac:dyDescent="0.25">
      <c r="A202" s="1" t="s">
        <v>148</v>
      </c>
      <c r="B202" s="1" t="s">
        <v>76</v>
      </c>
      <c r="C202" s="1">
        <v>11633.52</v>
      </c>
      <c r="D202" s="1">
        <v>2482.3000000000002</v>
      </c>
    </row>
    <row r="203" spans="1:4" x14ac:dyDescent="0.25">
      <c r="A203" s="1" t="s">
        <v>148</v>
      </c>
      <c r="B203" s="1" t="s">
        <v>68</v>
      </c>
      <c r="C203" s="1">
        <v>8004.49</v>
      </c>
      <c r="D203" s="1">
        <v>2964.84</v>
      </c>
    </row>
    <row r="204" spans="1:4" x14ac:dyDescent="0.25">
      <c r="A204" s="1" t="s">
        <v>148</v>
      </c>
      <c r="B204" s="1" t="s">
        <v>77</v>
      </c>
      <c r="C204" s="1">
        <v>15652.2</v>
      </c>
      <c r="D204" s="1">
        <v>4670.6000000000004</v>
      </c>
    </row>
    <row r="205" spans="1:4" x14ac:dyDescent="0.25">
      <c r="A205" s="1" t="s">
        <v>148</v>
      </c>
      <c r="B205" s="1" t="s">
        <v>69</v>
      </c>
      <c r="C205" s="1">
        <v>8561.48</v>
      </c>
      <c r="D205" s="1">
        <v>4994.0200000000004</v>
      </c>
    </row>
    <row r="206" spans="1:4" x14ac:dyDescent="0.25">
      <c r="A206" s="1" t="s">
        <v>148</v>
      </c>
      <c r="B206" s="1" t="s">
        <v>70</v>
      </c>
      <c r="C206" s="1">
        <v>6863.31</v>
      </c>
      <c r="D206" s="1">
        <v>2716.18</v>
      </c>
    </row>
    <row r="207" spans="1:4" x14ac:dyDescent="0.25">
      <c r="A207" s="1" t="s">
        <v>148</v>
      </c>
      <c r="B207" s="1" t="s">
        <v>78</v>
      </c>
      <c r="C207" s="1">
        <v>2748.57</v>
      </c>
      <c r="D207" s="1">
        <v>1362.35</v>
      </c>
    </row>
    <row r="208" spans="1:4" x14ac:dyDescent="0.25">
      <c r="A208" s="1" t="s">
        <v>148</v>
      </c>
      <c r="B208" s="1" t="s">
        <v>73</v>
      </c>
      <c r="C208" s="1">
        <v>5785.34</v>
      </c>
      <c r="D208" s="1">
        <v>1135.2</v>
      </c>
    </row>
    <row r="209" spans="1:4" x14ac:dyDescent="0.25">
      <c r="A209" s="1" t="s">
        <v>148</v>
      </c>
      <c r="B209" s="1" t="s">
        <v>72</v>
      </c>
      <c r="C209" s="1">
        <v>11927.31</v>
      </c>
      <c r="D209" s="1">
        <v>6426.22</v>
      </c>
    </row>
    <row r="210" spans="1:4" x14ac:dyDescent="0.25">
      <c r="A210" s="1" t="s">
        <v>148</v>
      </c>
      <c r="B210" s="1" t="s">
        <v>71</v>
      </c>
      <c r="C210" s="1">
        <v>9435.2999999999993</v>
      </c>
      <c r="D210" s="1">
        <v>2961.43</v>
      </c>
    </row>
    <row r="211" spans="1:4" x14ac:dyDescent="0.25">
      <c r="A211" s="1" t="s">
        <v>149</v>
      </c>
      <c r="B211" s="1" t="s">
        <v>75</v>
      </c>
      <c r="C211" s="1">
        <v>1760.28</v>
      </c>
      <c r="D211" s="1">
        <v>632.70000000000005</v>
      </c>
    </row>
    <row r="212" spans="1:4" x14ac:dyDescent="0.25">
      <c r="A212" s="1" t="s">
        <v>149</v>
      </c>
      <c r="B212" s="1" t="s">
        <v>74</v>
      </c>
      <c r="C212" s="1">
        <v>12281.59</v>
      </c>
      <c r="D212" s="1">
        <v>2472.4299999999998</v>
      </c>
    </row>
    <row r="213" spans="1:4" x14ac:dyDescent="0.25">
      <c r="A213" s="1" t="s">
        <v>149</v>
      </c>
      <c r="B213" s="1" t="s">
        <v>73</v>
      </c>
      <c r="C213" s="1">
        <v>9968.86</v>
      </c>
      <c r="D213" s="1">
        <v>1582.61</v>
      </c>
    </row>
    <row r="214" spans="1:4" x14ac:dyDescent="0.25">
      <c r="A214" s="1" t="s">
        <v>149</v>
      </c>
      <c r="B214" s="1" t="s">
        <v>68</v>
      </c>
      <c r="C214" s="1">
        <v>13654.72</v>
      </c>
      <c r="D214" s="1">
        <v>4374.67</v>
      </c>
    </row>
    <row r="215" spans="1:4" x14ac:dyDescent="0.25">
      <c r="A215" s="1" t="s">
        <v>149</v>
      </c>
      <c r="B215" s="1" t="s">
        <v>77</v>
      </c>
      <c r="C215" s="1">
        <v>22732.99</v>
      </c>
      <c r="D215" s="1">
        <v>6146.55</v>
      </c>
    </row>
    <row r="216" spans="1:4" x14ac:dyDescent="0.25">
      <c r="A216" s="1" t="s">
        <v>149</v>
      </c>
      <c r="B216" s="1" t="s">
        <v>71</v>
      </c>
      <c r="C216" s="1">
        <v>16740.150000000001</v>
      </c>
      <c r="D216" s="1">
        <v>4416.8100000000004</v>
      </c>
    </row>
    <row r="217" spans="1:4" x14ac:dyDescent="0.25">
      <c r="A217" s="1" t="s">
        <v>149</v>
      </c>
      <c r="B217" s="1" t="s">
        <v>69</v>
      </c>
      <c r="C217" s="1">
        <v>12166.85</v>
      </c>
      <c r="D217" s="1">
        <v>6639.09</v>
      </c>
    </row>
    <row r="218" spans="1:4" x14ac:dyDescent="0.25">
      <c r="A218" s="1" t="s">
        <v>149</v>
      </c>
      <c r="B218" s="1" t="s">
        <v>70</v>
      </c>
      <c r="C218" s="1">
        <v>12041.36</v>
      </c>
      <c r="D218" s="1">
        <v>4211.5200000000004</v>
      </c>
    </row>
    <row r="219" spans="1:4" x14ac:dyDescent="0.25">
      <c r="A219" s="1" t="s">
        <v>149</v>
      </c>
      <c r="B219" s="1" t="s">
        <v>78</v>
      </c>
      <c r="C219" s="1">
        <v>4338.72</v>
      </c>
      <c r="D219" s="1">
        <v>2067.7199999999998</v>
      </c>
    </row>
    <row r="220" spans="1:4" x14ac:dyDescent="0.25">
      <c r="A220" s="1" t="s">
        <v>149</v>
      </c>
      <c r="B220" s="1" t="s">
        <v>76</v>
      </c>
      <c r="C220" s="1">
        <v>18608.84</v>
      </c>
      <c r="D220" s="1">
        <v>3418.81</v>
      </c>
    </row>
    <row r="221" spans="1:4" x14ac:dyDescent="0.25">
      <c r="A221" s="1" t="s">
        <v>149</v>
      </c>
      <c r="B221" s="1" t="s">
        <v>72</v>
      </c>
      <c r="C221" s="1">
        <v>17387.460999999999</v>
      </c>
      <c r="D221" s="1">
        <v>8543.09</v>
      </c>
    </row>
    <row r="222" spans="1:4" x14ac:dyDescent="0.25">
      <c r="A222" s="1" t="s">
        <v>150</v>
      </c>
      <c r="B222" s="1" t="s">
        <v>75</v>
      </c>
      <c r="C222" s="1">
        <v>1915.23</v>
      </c>
      <c r="D222" s="1">
        <v>698.56</v>
      </c>
    </row>
    <row r="223" spans="1:4" x14ac:dyDescent="0.25">
      <c r="A223" s="1" t="s">
        <v>150</v>
      </c>
      <c r="B223" s="1" t="s">
        <v>74</v>
      </c>
      <c r="C223" s="1">
        <v>13786.01</v>
      </c>
      <c r="D223" s="1">
        <v>2719.85</v>
      </c>
    </row>
    <row r="224" spans="1:4" x14ac:dyDescent="0.25">
      <c r="A224" s="1" t="s">
        <v>150</v>
      </c>
      <c r="B224" s="1" t="s">
        <v>78</v>
      </c>
      <c r="C224" s="1">
        <v>4653.8900000000003</v>
      </c>
      <c r="D224" s="1">
        <v>2246.63</v>
      </c>
    </row>
    <row r="225" spans="1:4" x14ac:dyDescent="0.25">
      <c r="A225" s="1" t="s">
        <v>150</v>
      </c>
      <c r="B225" s="1" t="s">
        <v>72</v>
      </c>
      <c r="C225" s="1">
        <v>18472.300999999999</v>
      </c>
      <c r="D225" s="1">
        <v>9210.39</v>
      </c>
    </row>
    <row r="226" spans="1:4" x14ac:dyDescent="0.25">
      <c r="A226" s="1" t="s">
        <v>150</v>
      </c>
      <c r="B226" s="1" t="s">
        <v>73</v>
      </c>
      <c r="C226" s="1">
        <v>10694.22</v>
      </c>
      <c r="D226" s="1">
        <v>1724.42</v>
      </c>
    </row>
    <row r="227" spans="1:4" x14ac:dyDescent="0.25">
      <c r="A227" s="1" t="s">
        <v>150</v>
      </c>
      <c r="B227" s="1" t="s">
        <v>71</v>
      </c>
      <c r="C227" s="1">
        <v>19153.830000000002</v>
      </c>
      <c r="D227" s="1">
        <v>5025.01</v>
      </c>
    </row>
    <row r="228" spans="1:4" x14ac:dyDescent="0.25">
      <c r="A228" s="1" t="s">
        <v>150</v>
      </c>
      <c r="B228" s="1" t="s">
        <v>69</v>
      </c>
      <c r="C228" s="1">
        <v>13177.65</v>
      </c>
      <c r="D228" s="1">
        <v>7509.02</v>
      </c>
    </row>
    <row r="229" spans="1:4" x14ac:dyDescent="0.25">
      <c r="A229" s="1" t="s">
        <v>150</v>
      </c>
      <c r="B229" s="1" t="s">
        <v>76</v>
      </c>
      <c r="C229" s="1">
        <v>20581.150000000001</v>
      </c>
      <c r="D229" s="1">
        <v>3674.9</v>
      </c>
    </row>
    <row r="230" spans="1:4" x14ac:dyDescent="0.25">
      <c r="A230" s="1" t="s">
        <v>150</v>
      </c>
      <c r="B230" s="1" t="s">
        <v>68</v>
      </c>
      <c r="C230" s="1">
        <v>15220.16</v>
      </c>
      <c r="D230" s="1">
        <v>4928.1000000000004</v>
      </c>
    </row>
    <row r="231" spans="1:4" x14ac:dyDescent="0.25">
      <c r="A231" s="1" t="s">
        <v>150</v>
      </c>
      <c r="B231" s="1" t="s">
        <v>77</v>
      </c>
      <c r="C231" s="1">
        <v>23875.471000000001</v>
      </c>
      <c r="D231" s="1">
        <v>6461.91</v>
      </c>
    </row>
    <row r="232" spans="1:4" x14ac:dyDescent="0.25">
      <c r="A232" s="1" t="s">
        <v>150</v>
      </c>
      <c r="B232" s="1" t="s">
        <v>70</v>
      </c>
      <c r="C232" s="1">
        <v>12482.74</v>
      </c>
      <c r="D232" s="1">
        <v>4373.83</v>
      </c>
    </row>
    <row r="233" spans="1:4" x14ac:dyDescent="0.25">
      <c r="A233" s="1" t="s">
        <v>151</v>
      </c>
      <c r="B233" s="1" t="s">
        <v>75</v>
      </c>
      <c r="C233" s="1">
        <v>1924.1</v>
      </c>
      <c r="D233" s="1">
        <v>686.55</v>
      </c>
    </row>
    <row r="234" spans="1:4" x14ac:dyDescent="0.25">
      <c r="A234" s="1" t="s">
        <v>151</v>
      </c>
      <c r="B234" s="1" t="s">
        <v>74</v>
      </c>
      <c r="C234" s="1">
        <v>12270.07</v>
      </c>
      <c r="D234" s="1">
        <v>2402.7800000000002</v>
      </c>
    </row>
    <row r="235" spans="1:4" x14ac:dyDescent="0.25">
      <c r="A235" s="1" t="s">
        <v>151</v>
      </c>
      <c r="B235" s="1" t="s">
        <v>76</v>
      </c>
      <c r="C235" s="1">
        <v>19687.471000000001</v>
      </c>
      <c r="D235" s="1">
        <v>3461.75</v>
      </c>
    </row>
    <row r="236" spans="1:4" x14ac:dyDescent="0.25">
      <c r="A236" s="1" t="s">
        <v>151</v>
      </c>
      <c r="B236" s="1" t="s">
        <v>71</v>
      </c>
      <c r="C236" s="1">
        <v>18075.27</v>
      </c>
      <c r="D236" s="1">
        <v>4639.92</v>
      </c>
    </row>
    <row r="237" spans="1:4" x14ac:dyDescent="0.25">
      <c r="A237" s="1" t="s">
        <v>151</v>
      </c>
      <c r="B237" s="1" t="s">
        <v>68</v>
      </c>
      <c r="C237" s="1">
        <v>14571.4</v>
      </c>
      <c r="D237" s="1">
        <v>4544.29</v>
      </c>
    </row>
    <row r="238" spans="1:4" x14ac:dyDescent="0.25">
      <c r="A238" s="1" t="s">
        <v>151</v>
      </c>
      <c r="B238" s="1" t="s">
        <v>70</v>
      </c>
      <c r="C238" s="1">
        <v>12021.06</v>
      </c>
      <c r="D238" s="1">
        <v>4126.41</v>
      </c>
    </row>
    <row r="239" spans="1:4" x14ac:dyDescent="0.25">
      <c r="A239" s="1" t="s">
        <v>151</v>
      </c>
      <c r="B239" s="1" t="s">
        <v>78</v>
      </c>
      <c r="C239" s="1">
        <v>4569.53</v>
      </c>
      <c r="D239" s="1">
        <v>2096.81</v>
      </c>
    </row>
    <row r="240" spans="1:4" x14ac:dyDescent="0.25">
      <c r="A240" s="1" t="s">
        <v>151</v>
      </c>
      <c r="B240" s="1" t="s">
        <v>72</v>
      </c>
      <c r="C240" s="1">
        <v>18147.84</v>
      </c>
      <c r="D240" s="1">
        <v>8833.08</v>
      </c>
    </row>
    <row r="241" spans="1:4" x14ac:dyDescent="0.25">
      <c r="A241" s="1" t="s">
        <v>151</v>
      </c>
      <c r="B241" s="1" t="s">
        <v>73</v>
      </c>
      <c r="C241" s="1">
        <v>10075.86</v>
      </c>
      <c r="D241" s="1">
        <v>1622.33</v>
      </c>
    </row>
    <row r="242" spans="1:4" x14ac:dyDescent="0.25">
      <c r="A242" s="1" t="s">
        <v>151</v>
      </c>
      <c r="B242" s="1" t="s">
        <v>77</v>
      </c>
      <c r="C242" s="1">
        <v>22181.618999999999</v>
      </c>
      <c r="D242" s="1">
        <v>5927.25</v>
      </c>
    </row>
    <row r="243" spans="1:4" x14ac:dyDescent="0.25">
      <c r="A243" s="1" t="s">
        <v>151</v>
      </c>
      <c r="B243" s="1" t="s">
        <v>69</v>
      </c>
      <c r="C243" s="1">
        <v>12855.85</v>
      </c>
      <c r="D243" s="1">
        <v>7227.09</v>
      </c>
    </row>
    <row r="244" spans="1:4" x14ac:dyDescent="0.25">
      <c r="A244" s="1" t="s">
        <v>152</v>
      </c>
      <c r="B244" s="1" t="s">
        <v>75</v>
      </c>
      <c r="C244" s="1">
        <v>1582.95</v>
      </c>
      <c r="D244" s="1">
        <v>597.54</v>
      </c>
    </row>
    <row r="245" spans="1:4" x14ac:dyDescent="0.25">
      <c r="A245" s="1" t="s">
        <v>152</v>
      </c>
      <c r="B245" s="1" t="s">
        <v>74</v>
      </c>
      <c r="C245" s="1">
        <v>8095.29</v>
      </c>
      <c r="D245" s="1">
        <v>1817.03</v>
      </c>
    </row>
    <row r="246" spans="1:4" x14ac:dyDescent="0.25">
      <c r="A246" s="1" t="s">
        <v>152</v>
      </c>
      <c r="B246" s="1" t="s">
        <v>76</v>
      </c>
      <c r="C246" s="1">
        <v>14706.09</v>
      </c>
      <c r="D246" s="1">
        <v>2725.26</v>
      </c>
    </row>
    <row r="247" spans="1:4" x14ac:dyDescent="0.25">
      <c r="A247" s="1" t="s">
        <v>152</v>
      </c>
      <c r="B247" s="1" t="s">
        <v>68</v>
      </c>
      <c r="C247" s="1">
        <v>10640.81</v>
      </c>
      <c r="D247" s="1">
        <v>3575.67</v>
      </c>
    </row>
    <row r="248" spans="1:4" x14ac:dyDescent="0.25">
      <c r="A248" s="1" t="s">
        <v>152</v>
      </c>
      <c r="B248" s="1" t="s">
        <v>77</v>
      </c>
      <c r="C248" s="1">
        <v>17341.289000000001</v>
      </c>
      <c r="D248" s="1">
        <v>4645.33</v>
      </c>
    </row>
    <row r="249" spans="1:4" x14ac:dyDescent="0.25">
      <c r="A249" s="1" t="s">
        <v>152</v>
      </c>
      <c r="B249" s="1" t="s">
        <v>70</v>
      </c>
      <c r="C249" s="1">
        <v>9172.7000000000007</v>
      </c>
      <c r="D249" s="1">
        <v>3290.22</v>
      </c>
    </row>
    <row r="250" spans="1:4" x14ac:dyDescent="0.25">
      <c r="A250" s="1" t="s">
        <v>152</v>
      </c>
      <c r="B250" s="1" t="s">
        <v>69</v>
      </c>
      <c r="C250" s="1">
        <v>10684.32</v>
      </c>
      <c r="D250" s="1">
        <v>6211.94</v>
      </c>
    </row>
    <row r="251" spans="1:4" x14ac:dyDescent="0.25">
      <c r="A251" s="1" t="s">
        <v>152</v>
      </c>
      <c r="B251" s="1" t="s">
        <v>78</v>
      </c>
      <c r="C251" s="1">
        <v>3640.7</v>
      </c>
      <c r="D251" s="1">
        <v>1744.1</v>
      </c>
    </row>
    <row r="252" spans="1:4" x14ac:dyDescent="0.25">
      <c r="A252" s="1" t="s">
        <v>152</v>
      </c>
      <c r="B252" s="1" t="s">
        <v>72</v>
      </c>
      <c r="C252" s="1">
        <v>15274.5</v>
      </c>
      <c r="D252" s="1">
        <v>7522.23</v>
      </c>
    </row>
    <row r="253" spans="1:4" x14ac:dyDescent="0.25">
      <c r="A253" s="1" t="s">
        <v>152</v>
      </c>
      <c r="B253" s="1" t="s">
        <v>73</v>
      </c>
      <c r="C253" s="1">
        <v>7478.63</v>
      </c>
      <c r="D253" s="1">
        <v>1287.68</v>
      </c>
    </row>
    <row r="254" spans="1:4" x14ac:dyDescent="0.25">
      <c r="A254" s="1" t="s">
        <v>152</v>
      </c>
      <c r="B254" s="1" t="s">
        <v>71</v>
      </c>
      <c r="C254" s="1">
        <v>12406.49</v>
      </c>
      <c r="D254" s="1">
        <v>3445.64</v>
      </c>
    </row>
    <row r="255" spans="1:4" x14ac:dyDescent="0.25">
      <c r="A255" s="1" t="s">
        <v>153</v>
      </c>
      <c r="B255" s="1" t="s">
        <v>75</v>
      </c>
      <c r="C255" s="1">
        <v>965.31</v>
      </c>
      <c r="D255" s="1">
        <v>397.21</v>
      </c>
    </row>
    <row r="256" spans="1:4" x14ac:dyDescent="0.25">
      <c r="A256" s="1" t="s">
        <v>153</v>
      </c>
      <c r="B256" s="1" t="s">
        <v>74</v>
      </c>
      <c r="C256" s="1">
        <v>4050.26</v>
      </c>
      <c r="D256" s="1">
        <v>1047.42</v>
      </c>
    </row>
    <row r="257" spans="1:4" x14ac:dyDescent="0.25">
      <c r="A257" s="1" t="s">
        <v>153</v>
      </c>
      <c r="B257" s="1" t="s">
        <v>76</v>
      </c>
      <c r="C257" s="1">
        <v>7966.01</v>
      </c>
      <c r="D257" s="1">
        <v>1679.22</v>
      </c>
    </row>
    <row r="258" spans="1:4" x14ac:dyDescent="0.25">
      <c r="A258" s="1" t="s">
        <v>153</v>
      </c>
      <c r="B258" s="1" t="s">
        <v>73</v>
      </c>
      <c r="C258" s="1">
        <v>3726.32</v>
      </c>
      <c r="D258" s="1">
        <v>731.71</v>
      </c>
    </row>
    <row r="259" spans="1:4" x14ac:dyDescent="0.25">
      <c r="A259" s="1" t="s">
        <v>153</v>
      </c>
      <c r="B259" s="1" t="s">
        <v>68</v>
      </c>
      <c r="C259" s="1">
        <v>5243.06</v>
      </c>
      <c r="D259" s="1">
        <v>2155.94</v>
      </c>
    </row>
    <row r="260" spans="1:4" x14ac:dyDescent="0.25">
      <c r="A260" s="1" t="s">
        <v>153</v>
      </c>
      <c r="B260" s="1" t="s">
        <v>77</v>
      </c>
      <c r="C260" s="1">
        <v>10191.86</v>
      </c>
      <c r="D260" s="1">
        <v>2898.26</v>
      </c>
    </row>
    <row r="261" spans="1:4" x14ac:dyDescent="0.25">
      <c r="A261" s="1" t="s">
        <v>153</v>
      </c>
      <c r="B261" s="1" t="s">
        <v>71</v>
      </c>
      <c r="C261" s="1">
        <v>5683.55</v>
      </c>
      <c r="D261" s="1">
        <v>1885.09</v>
      </c>
    </row>
    <row r="262" spans="1:4" x14ac:dyDescent="0.25">
      <c r="A262" s="1" t="s">
        <v>153</v>
      </c>
      <c r="B262" s="1" t="s">
        <v>69</v>
      </c>
      <c r="C262" s="1">
        <v>6831.78</v>
      </c>
      <c r="D262" s="1">
        <v>4261.37</v>
      </c>
    </row>
    <row r="263" spans="1:4" x14ac:dyDescent="0.25">
      <c r="A263" s="1" t="s">
        <v>153</v>
      </c>
      <c r="B263" s="1" t="s">
        <v>70</v>
      </c>
      <c r="C263" s="1">
        <v>5022.7</v>
      </c>
      <c r="D263" s="1">
        <v>1993.09</v>
      </c>
    </row>
    <row r="264" spans="1:4" x14ac:dyDescent="0.25">
      <c r="A264" s="1" t="s">
        <v>153</v>
      </c>
      <c r="B264" s="1" t="s">
        <v>78</v>
      </c>
      <c r="C264" s="1">
        <v>2150.4</v>
      </c>
      <c r="D264" s="1">
        <v>1153.76</v>
      </c>
    </row>
    <row r="265" spans="1:4" x14ac:dyDescent="0.25">
      <c r="A265" s="1" t="s">
        <v>153</v>
      </c>
      <c r="B265" s="1" t="s">
        <v>72</v>
      </c>
      <c r="C265" s="1">
        <v>9857.48</v>
      </c>
      <c r="D265" s="1">
        <v>5221.0200000000004</v>
      </c>
    </row>
    <row r="266" spans="1:4" x14ac:dyDescent="0.25">
      <c r="A266" s="1" t="s">
        <v>154</v>
      </c>
      <c r="B266" s="1" t="s">
        <v>75</v>
      </c>
      <c r="C266" s="1">
        <v>510.26</v>
      </c>
      <c r="D266" s="1">
        <v>259.73</v>
      </c>
    </row>
    <row r="267" spans="1:4" x14ac:dyDescent="0.25">
      <c r="A267" s="1" t="s">
        <v>154</v>
      </c>
      <c r="B267" s="1" t="s">
        <v>74</v>
      </c>
      <c r="C267" s="1">
        <v>1849.2</v>
      </c>
      <c r="D267" s="1">
        <v>592.80999999999995</v>
      </c>
    </row>
    <row r="268" spans="1:4" x14ac:dyDescent="0.25">
      <c r="A268" s="1" t="s">
        <v>154</v>
      </c>
      <c r="B268" s="1" t="s">
        <v>76</v>
      </c>
      <c r="C268" s="1">
        <v>3822.63</v>
      </c>
      <c r="D268" s="1">
        <v>892.85</v>
      </c>
    </row>
    <row r="269" spans="1:4" x14ac:dyDescent="0.25">
      <c r="A269" s="1" t="s">
        <v>154</v>
      </c>
      <c r="B269" s="1" t="s">
        <v>73</v>
      </c>
      <c r="C269" s="1">
        <v>1600.2</v>
      </c>
      <c r="D269" s="1">
        <v>379.7</v>
      </c>
    </row>
    <row r="270" spans="1:4" x14ac:dyDescent="0.25">
      <c r="A270" s="1" t="s">
        <v>154</v>
      </c>
      <c r="B270" s="1" t="s">
        <v>68</v>
      </c>
      <c r="C270" s="1">
        <v>2213.4499999999998</v>
      </c>
      <c r="D270" s="1">
        <v>1075.82</v>
      </c>
    </row>
    <row r="271" spans="1:4" x14ac:dyDescent="0.25">
      <c r="A271" s="1" t="s">
        <v>154</v>
      </c>
      <c r="B271" s="1" t="s">
        <v>77</v>
      </c>
      <c r="C271" s="1">
        <v>5193.5</v>
      </c>
      <c r="D271" s="1">
        <v>1568.37</v>
      </c>
    </row>
    <row r="272" spans="1:4" x14ac:dyDescent="0.25">
      <c r="A272" s="1" t="s">
        <v>154</v>
      </c>
      <c r="B272" s="1" t="s">
        <v>71</v>
      </c>
      <c r="C272" s="1">
        <v>2306.27</v>
      </c>
      <c r="D272" s="1">
        <v>921.51</v>
      </c>
    </row>
    <row r="273" spans="1:4" x14ac:dyDescent="0.25">
      <c r="A273" s="1" t="s">
        <v>154</v>
      </c>
      <c r="B273" s="1" t="s">
        <v>70</v>
      </c>
      <c r="C273" s="1">
        <v>2321.77</v>
      </c>
      <c r="D273" s="1">
        <v>1058.33</v>
      </c>
    </row>
    <row r="274" spans="1:4" x14ac:dyDescent="0.25">
      <c r="A274" s="1" t="s">
        <v>154</v>
      </c>
      <c r="B274" s="1" t="s">
        <v>69</v>
      </c>
      <c r="C274" s="1">
        <v>3642.7</v>
      </c>
      <c r="D274" s="1">
        <v>2364.3000000000002</v>
      </c>
    </row>
    <row r="275" spans="1:4" x14ac:dyDescent="0.25">
      <c r="A275" s="1" t="s">
        <v>154</v>
      </c>
      <c r="B275" s="1" t="s">
        <v>78</v>
      </c>
      <c r="C275" s="1">
        <v>1018.56</v>
      </c>
      <c r="D275" s="1">
        <v>612.78</v>
      </c>
    </row>
    <row r="276" spans="1:4" x14ac:dyDescent="0.25">
      <c r="A276" s="1" t="s">
        <v>154</v>
      </c>
      <c r="B276" s="1" t="s">
        <v>72</v>
      </c>
      <c r="C276" s="1">
        <v>5237.54</v>
      </c>
      <c r="D276" s="1">
        <v>3026.32</v>
      </c>
    </row>
    <row r="277" spans="1:4" x14ac:dyDescent="0.25">
      <c r="A277" s="1" t="s">
        <v>155</v>
      </c>
      <c r="B277" s="1" t="s">
        <v>75</v>
      </c>
      <c r="C277" s="1">
        <v>252.81</v>
      </c>
      <c r="D277" s="1">
        <v>140.91</v>
      </c>
    </row>
    <row r="278" spans="1:4" x14ac:dyDescent="0.25">
      <c r="A278" s="1" t="s">
        <v>155</v>
      </c>
      <c r="B278" s="1" t="s">
        <v>74</v>
      </c>
      <c r="C278" s="1">
        <v>912.32</v>
      </c>
      <c r="D278" s="1">
        <v>299.54000000000002</v>
      </c>
    </row>
    <row r="279" spans="1:4" x14ac:dyDescent="0.25">
      <c r="A279" s="1" t="s">
        <v>155</v>
      </c>
      <c r="B279" s="1" t="s">
        <v>78</v>
      </c>
      <c r="C279" s="1">
        <v>473.25</v>
      </c>
      <c r="D279" s="1">
        <v>301.88</v>
      </c>
    </row>
    <row r="280" spans="1:4" x14ac:dyDescent="0.25">
      <c r="A280" s="1" t="s">
        <v>155</v>
      </c>
      <c r="B280" s="1" t="s">
        <v>72</v>
      </c>
      <c r="C280" s="1">
        <v>2724.35</v>
      </c>
      <c r="D280" s="1">
        <v>1674.02</v>
      </c>
    </row>
    <row r="281" spans="1:4" x14ac:dyDescent="0.25">
      <c r="A281" s="1" t="s">
        <v>155</v>
      </c>
      <c r="B281" s="1" t="s">
        <v>73</v>
      </c>
      <c r="C281" s="1">
        <v>720.35</v>
      </c>
      <c r="D281" s="1">
        <v>184.49</v>
      </c>
    </row>
    <row r="282" spans="1:4" x14ac:dyDescent="0.25">
      <c r="A282" s="1" t="s">
        <v>155</v>
      </c>
      <c r="B282" s="1" t="s">
        <v>77</v>
      </c>
      <c r="C282" s="1">
        <v>2701.56</v>
      </c>
      <c r="D282" s="1">
        <v>851.19</v>
      </c>
    </row>
    <row r="283" spans="1:4" x14ac:dyDescent="0.25">
      <c r="A283" s="1" t="s">
        <v>155</v>
      </c>
      <c r="B283" s="1" t="s">
        <v>71</v>
      </c>
      <c r="C283" s="1">
        <v>1050.75</v>
      </c>
      <c r="D283" s="1">
        <v>447.79</v>
      </c>
    </row>
    <row r="284" spans="1:4" x14ac:dyDescent="0.25">
      <c r="A284" s="1" t="s">
        <v>155</v>
      </c>
      <c r="B284" s="1" t="s">
        <v>70</v>
      </c>
      <c r="C284" s="1">
        <v>1105.03</v>
      </c>
      <c r="D284" s="1">
        <v>513.91</v>
      </c>
    </row>
    <row r="285" spans="1:4" x14ac:dyDescent="0.25">
      <c r="A285" s="1" t="s">
        <v>155</v>
      </c>
      <c r="B285" s="1" t="s">
        <v>76</v>
      </c>
      <c r="C285" s="1">
        <v>1981.77</v>
      </c>
      <c r="D285" s="1">
        <v>494.07</v>
      </c>
    </row>
    <row r="286" spans="1:4" x14ac:dyDescent="0.25">
      <c r="A286" s="1" t="s">
        <v>155</v>
      </c>
      <c r="B286" s="1" t="s">
        <v>68</v>
      </c>
      <c r="C286" s="1">
        <v>969.29</v>
      </c>
      <c r="D286" s="1">
        <v>503.91</v>
      </c>
    </row>
    <row r="287" spans="1:4" x14ac:dyDescent="0.25">
      <c r="A287" s="1" t="s">
        <v>155</v>
      </c>
      <c r="B287" s="1" t="s">
        <v>69</v>
      </c>
      <c r="C287" s="1">
        <v>1869.32</v>
      </c>
      <c r="D287" s="1">
        <v>1203.76</v>
      </c>
    </row>
    <row r="288" spans="1:4" x14ac:dyDescent="0.25">
      <c r="A288" s="1" t="s">
        <v>156</v>
      </c>
      <c r="B288" s="1" t="s">
        <v>75</v>
      </c>
      <c r="C288" s="1">
        <v>135.69999999999999</v>
      </c>
      <c r="D288" s="1">
        <v>81.53</v>
      </c>
    </row>
    <row r="289" spans="1:4" x14ac:dyDescent="0.25">
      <c r="A289" s="1" t="s">
        <v>156</v>
      </c>
      <c r="B289" s="1" t="s">
        <v>74</v>
      </c>
      <c r="C289" s="1">
        <v>525.89</v>
      </c>
      <c r="D289" s="1">
        <v>159.38</v>
      </c>
    </row>
    <row r="290" spans="1:4" x14ac:dyDescent="0.25">
      <c r="A290" s="1" t="s">
        <v>156</v>
      </c>
      <c r="B290" s="1" t="s">
        <v>78</v>
      </c>
      <c r="C290" s="1">
        <v>239.66</v>
      </c>
      <c r="D290" s="1">
        <v>151.82</v>
      </c>
    </row>
    <row r="291" spans="1:4" x14ac:dyDescent="0.25">
      <c r="A291" s="1" t="s">
        <v>156</v>
      </c>
      <c r="B291" s="1" t="s">
        <v>71</v>
      </c>
      <c r="C291" s="1">
        <v>515.35</v>
      </c>
      <c r="D291" s="1">
        <v>203.84</v>
      </c>
    </row>
    <row r="292" spans="1:4" x14ac:dyDescent="0.25">
      <c r="A292" s="1" t="s">
        <v>156</v>
      </c>
      <c r="B292" s="1" t="s">
        <v>69</v>
      </c>
      <c r="C292" s="1">
        <v>971.79</v>
      </c>
      <c r="D292" s="1">
        <v>647</v>
      </c>
    </row>
    <row r="293" spans="1:4" x14ac:dyDescent="0.25">
      <c r="A293" s="1" t="s">
        <v>156</v>
      </c>
      <c r="B293" s="1" t="s">
        <v>76</v>
      </c>
      <c r="C293" s="1">
        <v>1106.4000000000001</v>
      </c>
      <c r="D293" s="1">
        <v>285.24</v>
      </c>
    </row>
    <row r="294" spans="1:4" x14ac:dyDescent="0.25">
      <c r="A294" s="1" t="s">
        <v>156</v>
      </c>
      <c r="B294" s="1" t="s">
        <v>72</v>
      </c>
      <c r="C294" s="1">
        <v>1451.98</v>
      </c>
      <c r="D294" s="1">
        <v>869.79</v>
      </c>
    </row>
    <row r="295" spans="1:4" x14ac:dyDescent="0.25">
      <c r="A295" s="1" t="s">
        <v>156</v>
      </c>
      <c r="B295" s="1" t="s">
        <v>73</v>
      </c>
      <c r="C295" s="1">
        <v>364.74</v>
      </c>
      <c r="D295" s="1">
        <v>95.98</v>
      </c>
    </row>
    <row r="296" spans="1:4" x14ac:dyDescent="0.25">
      <c r="A296" s="1" t="s">
        <v>156</v>
      </c>
      <c r="B296" s="1" t="s">
        <v>68</v>
      </c>
      <c r="C296" s="1">
        <v>442.96</v>
      </c>
      <c r="D296" s="1">
        <v>236.5</v>
      </c>
    </row>
    <row r="297" spans="1:4" x14ac:dyDescent="0.25">
      <c r="A297" s="1" t="s">
        <v>156</v>
      </c>
      <c r="B297" s="1" t="s">
        <v>77</v>
      </c>
      <c r="C297" s="1">
        <v>1511.67</v>
      </c>
      <c r="D297" s="1">
        <v>459.78</v>
      </c>
    </row>
    <row r="298" spans="1:4" x14ac:dyDescent="0.25">
      <c r="A298" s="1" t="s">
        <v>156</v>
      </c>
      <c r="B298" s="1" t="s">
        <v>70</v>
      </c>
      <c r="C298" s="1">
        <v>573.34</v>
      </c>
      <c r="D298" s="1">
        <v>277.11</v>
      </c>
    </row>
    <row r="299" spans="1:4" x14ac:dyDescent="0.25">
      <c r="A299" s="1" t="s">
        <v>157</v>
      </c>
      <c r="B299" s="1" t="s">
        <v>75</v>
      </c>
      <c r="C299" s="1">
        <v>84.58</v>
      </c>
      <c r="D299" s="1">
        <v>34.15</v>
      </c>
    </row>
    <row r="300" spans="1:4" x14ac:dyDescent="0.25">
      <c r="A300" s="1" t="s">
        <v>157</v>
      </c>
      <c r="B300" s="1" t="s">
        <v>74</v>
      </c>
      <c r="C300" s="1">
        <v>360.33</v>
      </c>
      <c r="D300" s="1">
        <v>109.25</v>
      </c>
    </row>
    <row r="301" spans="1:4" x14ac:dyDescent="0.25">
      <c r="A301" s="1" t="s">
        <v>157</v>
      </c>
      <c r="B301" s="1" t="s">
        <v>72</v>
      </c>
      <c r="C301" s="1">
        <v>874.41</v>
      </c>
      <c r="D301" s="1">
        <v>495.16</v>
      </c>
    </row>
    <row r="302" spans="1:4" x14ac:dyDescent="0.25">
      <c r="A302" s="1" t="s">
        <v>157</v>
      </c>
      <c r="B302" s="1" t="s">
        <v>68</v>
      </c>
      <c r="C302" s="1">
        <v>279.45</v>
      </c>
      <c r="D302" s="1">
        <v>134.07</v>
      </c>
    </row>
    <row r="303" spans="1:4" x14ac:dyDescent="0.25">
      <c r="A303" s="1" t="s">
        <v>157</v>
      </c>
      <c r="B303" s="1" t="s">
        <v>77</v>
      </c>
      <c r="C303" s="1">
        <v>1080.52</v>
      </c>
      <c r="D303" s="1">
        <v>324.95</v>
      </c>
    </row>
    <row r="304" spans="1:4" x14ac:dyDescent="0.25">
      <c r="A304" s="1" t="s">
        <v>157</v>
      </c>
      <c r="B304" s="1" t="s">
        <v>70</v>
      </c>
      <c r="C304" s="1">
        <v>377.45</v>
      </c>
      <c r="D304" s="1">
        <v>168.37</v>
      </c>
    </row>
    <row r="305" spans="1:4" x14ac:dyDescent="0.25">
      <c r="A305" s="1" t="s">
        <v>157</v>
      </c>
      <c r="B305" s="1" t="s">
        <v>78</v>
      </c>
      <c r="C305" s="1">
        <v>137.63</v>
      </c>
      <c r="D305" s="1">
        <v>84.37</v>
      </c>
    </row>
    <row r="306" spans="1:4" x14ac:dyDescent="0.25">
      <c r="A306" s="1" t="s">
        <v>157</v>
      </c>
      <c r="B306" s="1" t="s">
        <v>76</v>
      </c>
      <c r="C306" s="1">
        <v>770.91</v>
      </c>
      <c r="D306" s="1">
        <v>196.55</v>
      </c>
    </row>
    <row r="307" spans="1:4" x14ac:dyDescent="0.25">
      <c r="A307" s="1" t="s">
        <v>157</v>
      </c>
      <c r="B307" s="1" t="s">
        <v>73</v>
      </c>
      <c r="C307" s="1">
        <v>257.39</v>
      </c>
      <c r="D307" s="1">
        <v>64.22</v>
      </c>
    </row>
    <row r="308" spans="1:4" x14ac:dyDescent="0.25">
      <c r="A308" s="1" t="s">
        <v>157</v>
      </c>
      <c r="B308" s="1" t="s">
        <v>71</v>
      </c>
      <c r="C308" s="1">
        <v>386.08</v>
      </c>
      <c r="D308" s="1">
        <v>132.47999999999999</v>
      </c>
    </row>
    <row r="309" spans="1:4" x14ac:dyDescent="0.25">
      <c r="A309" s="1" t="s">
        <v>157</v>
      </c>
      <c r="B309" s="1" t="s">
        <v>69</v>
      </c>
      <c r="C309" s="1">
        <v>601.16999999999996</v>
      </c>
      <c r="D309" s="1">
        <v>369.16</v>
      </c>
    </row>
    <row r="310" spans="1:4" x14ac:dyDescent="0.25">
      <c r="A310" s="1" t="s">
        <v>158</v>
      </c>
      <c r="B310" s="1" t="s">
        <v>75</v>
      </c>
      <c r="C310" s="1">
        <v>54.3</v>
      </c>
      <c r="D310" s="1">
        <v>27.83</v>
      </c>
    </row>
    <row r="311" spans="1:4" x14ac:dyDescent="0.25">
      <c r="A311" s="1" t="s">
        <v>158</v>
      </c>
      <c r="B311" s="1" t="s">
        <v>74</v>
      </c>
      <c r="C311" s="1">
        <v>370.85</v>
      </c>
      <c r="D311" s="1">
        <v>93.63</v>
      </c>
    </row>
    <row r="312" spans="1:4" x14ac:dyDescent="0.25">
      <c r="A312" s="1" t="s">
        <v>158</v>
      </c>
      <c r="B312" s="1" t="s">
        <v>72</v>
      </c>
      <c r="C312" s="1">
        <v>705.61</v>
      </c>
      <c r="D312" s="1">
        <v>343.16</v>
      </c>
    </row>
    <row r="313" spans="1:4" x14ac:dyDescent="0.25">
      <c r="A313" s="1" t="s">
        <v>158</v>
      </c>
      <c r="B313" s="1" t="s">
        <v>76</v>
      </c>
      <c r="C313" s="1">
        <v>664.6</v>
      </c>
      <c r="D313" s="1">
        <v>167.77</v>
      </c>
    </row>
    <row r="314" spans="1:4" x14ac:dyDescent="0.25">
      <c r="A314" s="1" t="s">
        <v>158</v>
      </c>
      <c r="B314" s="1" t="s">
        <v>73</v>
      </c>
      <c r="C314" s="1">
        <v>279.39</v>
      </c>
      <c r="D314" s="1">
        <v>56.67</v>
      </c>
    </row>
    <row r="315" spans="1:4" x14ac:dyDescent="0.25">
      <c r="A315" s="1" t="s">
        <v>158</v>
      </c>
      <c r="B315" s="1" t="s">
        <v>68</v>
      </c>
      <c r="C315" s="1">
        <v>279.33</v>
      </c>
      <c r="D315" s="1">
        <v>87.64</v>
      </c>
    </row>
    <row r="316" spans="1:4" x14ac:dyDescent="0.25">
      <c r="A316" s="1" t="s">
        <v>158</v>
      </c>
      <c r="B316" s="1" t="s">
        <v>77</v>
      </c>
      <c r="C316" s="1">
        <v>1044.67</v>
      </c>
      <c r="D316" s="1">
        <v>299.88</v>
      </c>
    </row>
    <row r="317" spans="1:4" x14ac:dyDescent="0.25">
      <c r="A317" s="1" t="s">
        <v>158</v>
      </c>
      <c r="B317" s="1" t="s">
        <v>71</v>
      </c>
      <c r="C317" s="1">
        <v>386.62</v>
      </c>
      <c r="D317" s="1">
        <v>107.38</v>
      </c>
    </row>
    <row r="318" spans="1:4" x14ac:dyDescent="0.25">
      <c r="A318" s="1" t="s">
        <v>158</v>
      </c>
      <c r="B318" s="1" t="s">
        <v>69</v>
      </c>
      <c r="C318" s="1">
        <v>522.69000000000005</v>
      </c>
      <c r="D318" s="1">
        <v>274.88</v>
      </c>
    </row>
    <row r="319" spans="1:4" x14ac:dyDescent="0.25">
      <c r="A319" s="1" t="s">
        <v>158</v>
      </c>
      <c r="B319" s="1" t="s">
        <v>70</v>
      </c>
      <c r="C319" s="1">
        <v>352.21</v>
      </c>
      <c r="D319" s="1">
        <v>135.03</v>
      </c>
    </row>
    <row r="320" spans="1:4" x14ac:dyDescent="0.25">
      <c r="A320" s="1" t="s">
        <v>158</v>
      </c>
      <c r="B320" s="1" t="s">
        <v>78</v>
      </c>
      <c r="C320" s="1">
        <v>122.81</v>
      </c>
      <c r="D320" s="1">
        <v>56.69</v>
      </c>
    </row>
    <row r="321" spans="1:4" x14ac:dyDescent="0.25">
      <c r="A321" s="1" t="s">
        <v>159</v>
      </c>
      <c r="B321" s="1" t="s">
        <v>75</v>
      </c>
      <c r="C321" s="1">
        <v>93.37</v>
      </c>
      <c r="D321" s="1">
        <v>29.4</v>
      </c>
    </row>
    <row r="322" spans="1:4" x14ac:dyDescent="0.25">
      <c r="A322" s="1" t="s">
        <v>159</v>
      </c>
      <c r="B322" s="1" t="s">
        <v>74</v>
      </c>
      <c r="C322" s="1">
        <v>950.91</v>
      </c>
      <c r="D322" s="1">
        <v>176.91</v>
      </c>
    </row>
    <row r="323" spans="1:4" x14ac:dyDescent="0.25">
      <c r="A323" s="1" t="s">
        <v>159</v>
      </c>
      <c r="B323" s="1" t="s">
        <v>76</v>
      </c>
      <c r="C323" s="1">
        <v>1351.16</v>
      </c>
      <c r="D323" s="1">
        <v>306.26</v>
      </c>
    </row>
    <row r="324" spans="1:4" x14ac:dyDescent="0.25">
      <c r="A324" s="1" t="s">
        <v>159</v>
      </c>
      <c r="B324" s="1" t="s">
        <v>73</v>
      </c>
      <c r="C324" s="1">
        <v>730.54</v>
      </c>
      <c r="D324" s="1">
        <v>108.99</v>
      </c>
    </row>
    <row r="325" spans="1:4" x14ac:dyDescent="0.25">
      <c r="A325" s="1" t="s">
        <v>159</v>
      </c>
      <c r="B325" s="1" t="s">
        <v>72</v>
      </c>
      <c r="C325" s="1">
        <v>1325.57</v>
      </c>
      <c r="D325" s="1">
        <v>526.91999999999996</v>
      </c>
    </row>
    <row r="326" spans="1:4" x14ac:dyDescent="0.25">
      <c r="A326" s="1" t="s">
        <v>159</v>
      </c>
      <c r="B326" s="1" t="s">
        <v>71</v>
      </c>
      <c r="C326" s="1">
        <v>1715.74</v>
      </c>
      <c r="D326" s="1">
        <v>293.08</v>
      </c>
    </row>
    <row r="327" spans="1:4" x14ac:dyDescent="0.25">
      <c r="A327" s="1" t="s">
        <v>159</v>
      </c>
      <c r="B327" s="1" t="s">
        <v>68</v>
      </c>
      <c r="C327" s="1">
        <v>1137.6099999999999</v>
      </c>
      <c r="D327" s="1">
        <v>236.05</v>
      </c>
    </row>
    <row r="328" spans="1:4" x14ac:dyDescent="0.25">
      <c r="A328" s="1" t="s">
        <v>159</v>
      </c>
      <c r="B328" s="1" t="s">
        <v>77</v>
      </c>
      <c r="C328" s="1">
        <v>2227.41</v>
      </c>
      <c r="D328" s="1">
        <v>559.46</v>
      </c>
    </row>
    <row r="329" spans="1:4" x14ac:dyDescent="0.25">
      <c r="A329" s="1" t="s">
        <v>159</v>
      </c>
      <c r="B329" s="1" t="s">
        <v>70</v>
      </c>
      <c r="C329" s="1">
        <v>828.53</v>
      </c>
      <c r="D329" s="1">
        <v>246.46</v>
      </c>
    </row>
    <row r="330" spans="1:4" x14ac:dyDescent="0.25">
      <c r="A330" s="1" t="s">
        <v>159</v>
      </c>
      <c r="B330" s="1" t="s">
        <v>78</v>
      </c>
      <c r="C330" s="1">
        <v>247.14</v>
      </c>
      <c r="D330" s="1">
        <v>87.34</v>
      </c>
    </row>
    <row r="331" spans="1:4" x14ac:dyDescent="0.25">
      <c r="A331" s="1" t="s">
        <v>159</v>
      </c>
      <c r="B331" s="1" t="s">
        <v>69</v>
      </c>
      <c r="C331" s="1">
        <v>993.91</v>
      </c>
      <c r="D331" s="1">
        <v>404.44</v>
      </c>
    </row>
    <row r="332" spans="1:4" x14ac:dyDescent="0.25">
      <c r="A332" s="1" t="s">
        <v>160</v>
      </c>
      <c r="B332" s="1" t="s">
        <v>75</v>
      </c>
      <c r="C332" s="1">
        <v>206.33</v>
      </c>
      <c r="D332" s="1">
        <v>54.02</v>
      </c>
    </row>
    <row r="333" spans="1:4" x14ac:dyDescent="0.25">
      <c r="A333" s="1" t="s">
        <v>160</v>
      </c>
      <c r="B333" s="1" t="s">
        <v>74</v>
      </c>
      <c r="C333" s="1">
        <v>2629.97</v>
      </c>
      <c r="D333" s="1">
        <v>411.41</v>
      </c>
    </row>
    <row r="334" spans="1:4" x14ac:dyDescent="0.25">
      <c r="A334" s="1" t="s">
        <v>160</v>
      </c>
      <c r="B334" s="1" t="s">
        <v>77</v>
      </c>
      <c r="C334" s="1">
        <v>4880.3100000000004</v>
      </c>
      <c r="D334" s="1">
        <v>1064.96</v>
      </c>
    </row>
    <row r="335" spans="1:4" x14ac:dyDescent="0.25">
      <c r="A335" s="1" t="s">
        <v>160</v>
      </c>
      <c r="B335" s="1" t="s">
        <v>70</v>
      </c>
      <c r="C335" s="1">
        <v>2069.7199999999998</v>
      </c>
      <c r="D335" s="1">
        <v>590.83000000000004</v>
      </c>
    </row>
    <row r="336" spans="1:4" x14ac:dyDescent="0.25">
      <c r="A336" s="1" t="s">
        <v>160</v>
      </c>
      <c r="B336" s="1" t="s">
        <v>78</v>
      </c>
      <c r="C336" s="1">
        <v>574.35</v>
      </c>
      <c r="D336" s="1">
        <v>168.08</v>
      </c>
    </row>
    <row r="337" spans="1:4" x14ac:dyDescent="0.25">
      <c r="A337" s="1" t="s">
        <v>160</v>
      </c>
      <c r="B337" s="1" t="s">
        <v>76</v>
      </c>
      <c r="C337" s="1">
        <v>3775.48</v>
      </c>
      <c r="D337" s="1">
        <v>620.11</v>
      </c>
    </row>
    <row r="338" spans="1:4" x14ac:dyDescent="0.25">
      <c r="A338" s="1" t="s">
        <v>160</v>
      </c>
      <c r="B338" s="1" t="s">
        <v>72</v>
      </c>
      <c r="C338" s="1">
        <v>2782.72</v>
      </c>
      <c r="D338" s="1">
        <v>1001.1</v>
      </c>
    </row>
    <row r="339" spans="1:4" x14ac:dyDescent="0.25">
      <c r="A339" s="1" t="s">
        <v>160</v>
      </c>
      <c r="B339" s="1" t="s">
        <v>73</v>
      </c>
      <c r="C339" s="1">
        <v>2202.9499999999998</v>
      </c>
      <c r="D339" s="1">
        <v>266.27999999999997</v>
      </c>
    </row>
    <row r="340" spans="1:4" x14ac:dyDescent="0.25">
      <c r="A340" s="1" t="s">
        <v>160</v>
      </c>
      <c r="B340" s="1" t="s">
        <v>68</v>
      </c>
      <c r="C340" s="1">
        <v>3437.9</v>
      </c>
      <c r="D340" s="1">
        <v>697.42</v>
      </c>
    </row>
    <row r="341" spans="1:4" x14ac:dyDescent="0.25">
      <c r="A341" s="1" t="s">
        <v>160</v>
      </c>
      <c r="B341" s="1" t="s">
        <v>71</v>
      </c>
      <c r="C341" s="1">
        <v>4866.3999999999996</v>
      </c>
      <c r="D341" s="1">
        <v>809.66</v>
      </c>
    </row>
    <row r="342" spans="1:4" x14ac:dyDescent="0.25">
      <c r="A342" s="1" t="s">
        <v>160</v>
      </c>
      <c r="B342" s="1" t="s">
        <v>69</v>
      </c>
      <c r="C342" s="1">
        <v>1989.33</v>
      </c>
      <c r="D342" s="1">
        <v>701.08</v>
      </c>
    </row>
    <row r="343" spans="1:4" x14ac:dyDescent="0.25">
      <c r="A343" s="1" t="s">
        <v>161</v>
      </c>
      <c r="B343" s="1" t="s">
        <v>75</v>
      </c>
      <c r="C343" s="1">
        <v>440.48</v>
      </c>
      <c r="D343" s="1">
        <v>105.18</v>
      </c>
    </row>
    <row r="344" spans="1:4" x14ac:dyDescent="0.25">
      <c r="A344" s="1" t="s">
        <v>161</v>
      </c>
      <c r="B344" s="1" t="s">
        <v>78</v>
      </c>
      <c r="C344" s="1">
        <v>1096.0899999999999</v>
      </c>
      <c r="D344" s="1">
        <v>354.14</v>
      </c>
    </row>
    <row r="345" spans="1:4" x14ac:dyDescent="0.25">
      <c r="A345" s="1" t="s">
        <v>161</v>
      </c>
      <c r="B345" s="1" t="s">
        <v>74</v>
      </c>
      <c r="C345" s="1">
        <v>5069.45</v>
      </c>
      <c r="D345" s="1">
        <v>732.88</v>
      </c>
    </row>
    <row r="346" spans="1:4" x14ac:dyDescent="0.25">
      <c r="A346" s="1" t="s">
        <v>161</v>
      </c>
      <c r="B346" s="1" t="s">
        <v>69</v>
      </c>
      <c r="C346" s="1">
        <v>3573.74</v>
      </c>
      <c r="D346" s="1">
        <v>1269.48</v>
      </c>
    </row>
    <row r="347" spans="1:4" x14ac:dyDescent="0.25">
      <c r="A347" s="1" t="s">
        <v>161</v>
      </c>
      <c r="B347" s="1" t="s">
        <v>76</v>
      </c>
      <c r="C347" s="1">
        <v>7757.76</v>
      </c>
      <c r="D347" s="1">
        <v>1126.75</v>
      </c>
    </row>
    <row r="348" spans="1:4" x14ac:dyDescent="0.25">
      <c r="A348" s="1" t="s">
        <v>161</v>
      </c>
      <c r="B348" s="1" t="s">
        <v>72</v>
      </c>
      <c r="C348" s="1">
        <v>5121.8100000000004</v>
      </c>
      <c r="D348" s="1">
        <v>1868.97</v>
      </c>
    </row>
    <row r="349" spans="1:4" x14ac:dyDescent="0.25">
      <c r="A349" s="1" t="s">
        <v>161</v>
      </c>
      <c r="B349" s="1" t="s">
        <v>73</v>
      </c>
      <c r="C349" s="1">
        <v>3992.64</v>
      </c>
      <c r="D349" s="1">
        <v>501.42</v>
      </c>
    </row>
    <row r="350" spans="1:4" x14ac:dyDescent="0.25">
      <c r="A350" s="1" t="s">
        <v>161</v>
      </c>
      <c r="B350" s="1" t="s">
        <v>68</v>
      </c>
      <c r="C350" s="1">
        <v>5687.1</v>
      </c>
      <c r="D350" s="1">
        <v>1332.19</v>
      </c>
    </row>
    <row r="351" spans="1:4" x14ac:dyDescent="0.25">
      <c r="A351" s="1" t="s">
        <v>161</v>
      </c>
      <c r="B351" s="1" t="s">
        <v>77</v>
      </c>
      <c r="C351" s="1">
        <v>8336.9500000000007</v>
      </c>
      <c r="D351" s="1">
        <v>1795.7</v>
      </c>
    </row>
    <row r="352" spans="1:4" x14ac:dyDescent="0.25">
      <c r="A352" s="1" t="s">
        <v>161</v>
      </c>
      <c r="B352" s="1" t="s">
        <v>70</v>
      </c>
      <c r="C352" s="1">
        <v>3728.01</v>
      </c>
      <c r="D352" s="1">
        <v>1100.24</v>
      </c>
    </row>
    <row r="353" spans="1:4" x14ac:dyDescent="0.25">
      <c r="A353" s="1" t="s">
        <v>161</v>
      </c>
      <c r="B353" s="1" t="s">
        <v>71</v>
      </c>
      <c r="C353" s="1">
        <v>7349.44</v>
      </c>
      <c r="D353" s="1">
        <v>1496.34</v>
      </c>
    </row>
    <row r="354" spans="1:4" x14ac:dyDescent="0.25">
      <c r="A354" s="1" t="s">
        <v>162</v>
      </c>
      <c r="B354" s="1" t="s">
        <v>75</v>
      </c>
      <c r="C354" s="1">
        <v>712.24</v>
      </c>
      <c r="D354" s="1">
        <v>190.59</v>
      </c>
    </row>
    <row r="355" spans="1:4" x14ac:dyDescent="0.25">
      <c r="A355" s="1" t="s">
        <v>162</v>
      </c>
      <c r="B355" s="1" t="s">
        <v>78</v>
      </c>
      <c r="C355" s="1">
        <v>1743.02</v>
      </c>
      <c r="D355" s="1">
        <v>650.16999999999996</v>
      </c>
    </row>
    <row r="356" spans="1:4" x14ac:dyDescent="0.25">
      <c r="A356" s="1" t="s">
        <v>162</v>
      </c>
      <c r="B356" s="1" t="s">
        <v>74</v>
      </c>
      <c r="C356" s="1">
        <v>7181.19</v>
      </c>
      <c r="D356" s="1">
        <v>1175.52</v>
      </c>
    </row>
    <row r="357" spans="1:4" x14ac:dyDescent="0.25">
      <c r="A357" s="1" t="s">
        <v>162</v>
      </c>
      <c r="B357" s="1" t="s">
        <v>73</v>
      </c>
      <c r="C357" s="1">
        <v>5519.76</v>
      </c>
      <c r="D357" s="1">
        <v>835.19</v>
      </c>
    </row>
    <row r="358" spans="1:4" x14ac:dyDescent="0.25">
      <c r="A358" s="1" t="s">
        <v>162</v>
      </c>
      <c r="B358" s="1" t="s">
        <v>72</v>
      </c>
      <c r="C358" s="1">
        <v>8070.6</v>
      </c>
      <c r="D358" s="1">
        <v>3187.51</v>
      </c>
    </row>
    <row r="359" spans="1:4" x14ac:dyDescent="0.25">
      <c r="A359" s="1" t="s">
        <v>162</v>
      </c>
      <c r="B359" s="1" t="s">
        <v>69</v>
      </c>
      <c r="C359" s="1">
        <v>5657.34</v>
      </c>
      <c r="D359" s="1">
        <v>2286.16</v>
      </c>
    </row>
    <row r="360" spans="1:4" x14ac:dyDescent="0.25">
      <c r="A360" s="1" t="s">
        <v>162</v>
      </c>
      <c r="B360" s="1" t="s">
        <v>70</v>
      </c>
      <c r="C360" s="1">
        <v>5508.29</v>
      </c>
      <c r="D360" s="1">
        <v>1751.22</v>
      </c>
    </row>
    <row r="361" spans="1:4" x14ac:dyDescent="0.25">
      <c r="A361" s="1" t="s">
        <v>162</v>
      </c>
      <c r="B361" s="1" t="s">
        <v>76</v>
      </c>
      <c r="C361" s="1">
        <v>11213.66</v>
      </c>
      <c r="D361" s="1">
        <v>1708.7</v>
      </c>
    </row>
    <row r="362" spans="1:4" x14ac:dyDescent="0.25">
      <c r="A362" s="1" t="s">
        <v>162</v>
      </c>
      <c r="B362" s="1" t="s">
        <v>68</v>
      </c>
      <c r="C362" s="1">
        <v>7543.91</v>
      </c>
      <c r="D362" s="1">
        <v>2046.72</v>
      </c>
    </row>
    <row r="363" spans="1:4" x14ac:dyDescent="0.25">
      <c r="A363" s="1" t="s">
        <v>162</v>
      </c>
      <c r="B363" s="1" t="s">
        <v>71</v>
      </c>
      <c r="C363" s="1">
        <v>9086.85</v>
      </c>
      <c r="D363" s="1">
        <v>2129.27</v>
      </c>
    </row>
    <row r="364" spans="1:4" x14ac:dyDescent="0.25">
      <c r="A364" s="1" t="s">
        <v>162</v>
      </c>
      <c r="B364" s="1" t="s">
        <v>77</v>
      </c>
      <c r="C364" s="1">
        <v>11683.84</v>
      </c>
      <c r="D364" s="1">
        <v>2711.26</v>
      </c>
    </row>
    <row r="365" spans="1:4" x14ac:dyDescent="0.25">
      <c r="A365" s="1" t="s">
        <v>163</v>
      </c>
      <c r="B365" s="1" t="s">
        <v>75</v>
      </c>
      <c r="C365" s="1">
        <v>967.96</v>
      </c>
      <c r="D365" s="1">
        <v>302.57</v>
      </c>
    </row>
    <row r="366" spans="1:4" x14ac:dyDescent="0.25">
      <c r="A366" s="1" t="s">
        <v>163</v>
      </c>
      <c r="B366" s="1" t="s">
        <v>71</v>
      </c>
      <c r="C366" s="1">
        <v>10239.25</v>
      </c>
      <c r="D366" s="1">
        <v>2703.43</v>
      </c>
    </row>
    <row r="367" spans="1:4" x14ac:dyDescent="0.25">
      <c r="A367" s="1" t="s">
        <v>163</v>
      </c>
      <c r="B367" s="1" t="s">
        <v>74</v>
      </c>
      <c r="C367" s="1">
        <v>8653.9699999999993</v>
      </c>
      <c r="D367" s="1">
        <v>1684.68</v>
      </c>
    </row>
    <row r="368" spans="1:4" x14ac:dyDescent="0.25">
      <c r="A368" s="1" t="s">
        <v>163</v>
      </c>
      <c r="B368" s="1" t="s">
        <v>72</v>
      </c>
      <c r="C368" s="1">
        <v>10776.13</v>
      </c>
      <c r="D368" s="1">
        <v>4759.68</v>
      </c>
    </row>
    <row r="369" spans="1:4" x14ac:dyDescent="0.25">
      <c r="A369" s="1" t="s">
        <v>163</v>
      </c>
      <c r="B369" s="1" t="s">
        <v>73</v>
      </c>
      <c r="C369" s="1">
        <v>6401.93</v>
      </c>
      <c r="D369" s="1">
        <v>1080.95</v>
      </c>
    </row>
    <row r="370" spans="1:4" x14ac:dyDescent="0.25">
      <c r="A370" s="1" t="s">
        <v>163</v>
      </c>
      <c r="B370" s="1" t="s">
        <v>68</v>
      </c>
      <c r="C370" s="1">
        <v>8537.4500000000007</v>
      </c>
      <c r="D370" s="1">
        <v>2630.43</v>
      </c>
    </row>
    <row r="371" spans="1:4" x14ac:dyDescent="0.25">
      <c r="A371" s="1" t="s">
        <v>163</v>
      </c>
      <c r="B371" s="1" t="s">
        <v>77</v>
      </c>
      <c r="C371" s="1">
        <v>13997.02</v>
      </c>
      <c r="D371" s="1">
        <v>3489.22</v>
      </c>
    </row>
    <row r="372" spans="1:4" x14ac:dyDescent="0.25">
      <c r="A372" s="1" t="s">
        <v>163</v>
      </c>
      <c r="B372" s="1" t="s">
        <v>70</v>
      </c>
      <c r="C372" s="1">
        <v>6826.41</v>
      </c>
      <c r="D372" s="1">
        <v>2371.36</v>
      </c>
    </row>
    <row r="373" spans="1:4" x14ac:dyDescent="0.25">
      <c r="A373" s="1" t="s">
        <v>163</v>
      </c>
      <c r="B373" s="1" t="s">
        <v>69</v>
      </c>
      <c r="C373" s="1">
        <v>7487.85</v>
      </c>
      <c r="D373" s="1">
        <v>3561.85</v>
      </c>
    </row>
    <row r="374" spans="1:4" x14ac:dyDescent="0.25">
      <c r="A374" s="1" t="s">
        <v>163</v>
      </c>
      <c r="B374" s="1" t="s">
        <v>78</v>
      </c>
      <c r="C374" s="1">
        <v>2360.42</v>
      </c>
      <c r="D374" s="1">
        <v>999.99</v>
      </c>
    </row>
    <row r="375" spans="1:4" x14ac:dyDescent="0.25">
      <c r="A375" s="1" t="s">
        <v>163</v>
      </c>
      <c r="B375" s="1" t="s">
        <v>76</v>
      </c>
      <c r="C375" s="1">
        <v>13402.12</v>
      </c>
      <c r="D375" s="1">
        <v>2205.2600000000002</v>
      </c>
    </row>
    <row r="376" spans="1:4" x14ac:dyDescent="0.25">
      <c r="A376" s="1" t="s">
        <v>164</v>
      </c>
      <c r="B376" s="1" t="s">
        <v>75</v>
      </c>
      <c r="C376" s="1">
        <v>1085.55</v>
      </c>
      <c r="D376" s="1">
        <v>380.45</v>
      </c>
    </row>
    <row r="377" spans="1:4" x14ac:dyDescent="0.25">
      <c r="A377" s="1" t="s">
        <v>164</v>
      </c>
      <c r="B377" s="1" t="s">
        <v>74</v>
      </c>
      <c r="C377" s="1">
        <v>9029.99</v>
      </c>
      <c r="D377" s="1">
        <v>1989.67</v>
      </c>
    </row>
    <row r="378" spans="1:4" x14ac:dyDescent="0.25">
      <c r="A378" s="1" t="s">
        <v>164</v>
      </c>
      <c r="B378" s="1" t="s">
        <v>76</v>
      </c>
      <c r="C378" s="1">
        <v>14362.33</v>
      </c>
      <c r="D378" s="1">
        <v>2488.87</v>
      </c>
    </row>
    <row r="379" spans="1:4" x14ac:dyDescent="0.25">
      <c r="A379" s="1" t="s">
        <v>164</v>
      </c>
      <c r="B379" s="1" t="s">
        <v>73</v>
      </c>
      <c r="C379" s="1">
        <v>6548.45</v>
      </c>
      <c r="D379" s="1">
        <v>1204.17</v>
      </c>
    </row>
    <row r="380" spans="1:4" x14ac:dyDescent="0.25">
      <c r="A380" s="1" t="s">
        <v>164</v>
      </c>
      <c r="B380" s="1" t="s">
        <v>68</v>
      </c>
      <c r="C380" s="1">
        <v>8631.73</v>
      </c>
      <c r="D380" s="1">
        <v>3025.96</v>
      </c>
    </row>
    <row r="381" spans="1:4" x14ac:dyDescent="0.25">
      <c r="A381" s="1" t="s">
        <v>164</v>
      </c>
      <c r="B381" s="1" t="s">
        <v>77</v>
      </c>
      <c r="C381" s="1">
        <v>14523.83</v>
      </c>
      <c r="D381" s="1">
        <v>3771.78</v>
      </c>
    </row>
    <row r="382" spans="1:4" x14ac:dyDescent="0.25">
      <c r="A382" s="1" t="s">
        <v>164</v>
      </c>
      <c r="B382" s="1" t="s">
        <v>71</v>
      </c>
      <c r="C382" s="1">
        <v>10386.35</v>
      </c>
      <c r="D382" s="1">
        <v>3000.71</v>
      </c>
    </row>
    <row r="383" spans="1:4" x14ac:dyDescent="0.25">
      <c r="A383" s="1" t="s">
        <v>164</v>
      </c>
      <c r="B383" s="1" t="s">
        <v>70</v>
      </c>
      <c r="C383" s="1">
        <v>7364.83</v>
      </c>
      <c r="D383" s="1">
        <v>2688.74</v>
      </c>
    </row>
    <row r="384" spans="1:4" x14ac:dyDescent="0.25">
      <c r="A384" s="1" t="s">
        <v>164</v>
      </c>
      <c r="B384" s="1" t="s">
        <v>78</v>
      </c>
      <c r="C384" s="1">
        <v>2702.07</v>
      </c>
      <c r="D384" s="1">
        <v>1318.41</v>
      </c>
    </row>
    <row r="385" spans="1:4" x14ac:dyDescent="0.25">
      <c r="A385" s="1" t="s">
        <v>164</v>
      </c>
      <c r="B385" s="1" t="s">
        <v>72</v>
      </c>
      <c r="C385" s="1">
        <v>12297.69</v>
      </c>
      <c r="D385" s="1">
        <v>5975.91</v>
      </c>
    </row>
    <row r="386" spans="1:4" x14ac:dyDescent="0.25">
      <c r="A386" s="1" t="s">
        <v>164</v>
      </c>
      <c r="B386" s="1" t="s">
        <v>69</v>
      </c>
      <c r="C386" s="1">
        <v>8613.84</v>
      </c>
      <c r="D386" s="1">
        <v>4712.8</v>
      </c>
    </row>
    <row r="387" spans="1:4" x14ac:dyDescent="0.25">
      <c r="A387" s="1" t="s">
        <v>165</v>
      </c>
      <c r="B387" s="1" t="s">
        <v>75</v>
      </c>
      <c r="C387" s="1">
        <v>1108.25</v>
      </c>
      <c r="D387" s="1">
        <v>411.14</v>
      </c>
    </row>
    <row r="388" spans="1:4" x14ac:dyDescent="0.25">
      <c r="A388" s="1" t="s">
        <v>165</v>
      </c>
      <c r="B388" s="1" t="s">
        <v>74</v>
      </c>
      <c r="C388" s="1">
        <v>8632.4500000000007</v>
      </c>
      <c r="D388" s="1">
        <v>1822.17</v>
      </c>
    </row>
    <row r="389" spans="1:4" x14ac:dyDescent="0.25">
      <c r="A389" s="1" t="s">
        <v>165</v>
      </c>
      <c r="B389" s="1" t="s">
        <v>76</v>
      </c>
      <c r="C389" s="1">
        <v>13632.18</v>
      </c>
      <c r="D389" s="1">
        <v>2510.21</v>
      </c>
    </row>
    <row r="390" spans="1:4" x14ac:dyDescent="0.25">
      <c r="A390" s="1" t="s">
        <v>165</v>
      </c>
      <c r="B390" s="1" t="s">
        <v>68</v>
      </c>
      <c r="C390" s="1">
        <v>7896.18</v>
      </c>
      <c r="D390" s="1">
        <v>2767.59</v>
      </c>
    </row>
    <row r="391" spans="1:4" x14ac:dyDescent="0.25">
      <c r="A391" s="1" t="s">
        <v>165</v>
      </c>
      <c r="B391" s="1" t="s">
        <v>77</v>
      </c>
      <c r="C391" s="1">
        <v>13859.85</v>
      </c>
      <c r="D391" s="1">
        <v>3676.44</v>
      </c>
    </row>
    <row r="392" spans="1:4" x14ac:dyDescent="0.25">
      <c r="A392" s="1" t="s">
        <v>165</v>
      </c>
      <c r="B392" s="1" t="s">
        <v>71</v>
      </c>
      <c r="C392" s="1">
        <v>9591.9699999999993</v>
      </c>
      <c r="D392" s="1">
        <v>2828.29</v>
      </c>
    </row>
    <row r="393" spans="1:4" x14ac:dyDescent="0.25">
      <c r="A393" s="1" t="s">
        <v>165</v>
      </c>
      <c r="B393" s="1" t="s">
        <v>70</v>
      </c>
      <c r="C393" s="1">
        <v>7342.93</v>
      </c>
      <c r="D393" s="1">
        <v>2799.64</v>
      </c>
    </row>
    <row r="394" spans="1:4" x14ac:dyDescent="0.25">
      <c r="A394" s="1" t="s">
        <v>165</v>
      </c>
      <c r="B394" s="1" t="s">
        <v>78</v>
      </c>
      <c r="C394" s="1">
        <v>2778.17</v>
      </c>
      <c r="D394" s="1">
        <v>1377.73</v>
      </c>
    </row>
    <row r="395" spans="1:4" x14ac:dyDescent="0.25">
      <c r="A395" s="1" t="s">
        <v>165</v>
      </c>
      <c r="B395" s="1" t="s">
        <v>73</v>
      </c>
      <c r="C395" s="1">
        <v>6164.67</v>
      </c>
      <c r="D395" s="1">
        <v>1100.24</v>
      </c>
    </row>
    <row r="396" spans="1:4" x14ac:dyDescent="0.25">
      <c r="A396" s="1" t="s">
        <v>165</v>
      </c>
      <c r="B396" s="1" t="s">
        <v>72</v>
      </c>
      <c r="C396" s="1">
        <v>12310.64</v>
      </c>
      <c r="D396" s="1">
        <v>6230.11</v>
      </c>
    </row>
    <row r="397" spans="1:4" x14ac:dyDescent="0.25">
      <c r="A397" s="1" t="s">
        <v>165</v>
      </c>
      <c r="B397" s="1" t="s">
        <v>69</v>
      </c>
      <c r="C397" s="1">
        <v>8597.2900000000009</v>
      </c>
      <c r="D397" s="1">
        <v>5139.6899999999996</v>
      </c>
    </row>
    <row r="398" spans="1:4" x14ac:dyDescent="0.25">
      <c r="A398" s="1" t="s">
        <v>166</v>
      </c>
      <c r="B398" s="1" t="s">
        <v>75</v>
      </c>
      <c r="C398" s="1">
        <v>847.06</v>
      </c>
      <c r="D398" s="1">
        <v>321.01</v>
      </c>
    </row>
    <row r="399" spans="1:4" x14ac:dyDescent="0.25">
      <c r="A399" s="1" t="s">
        <v>166</v>
      </c>
      <c r="B399" s="1" t="s">
        <v>74</v>
      </c>
      <c r="C399" s="1">
        <v>6880.61</v>
      </c>
      <c r="D399" s="1">
        <v>1490.93</v>
      </c>
    </row>
    <row r="400" spans="1:4" x14ac:dyDescent="0.25">
      <c r="A400" s="1" t="s">
        <v>166</v>
      </c>
      <c r="B400" s="1" t="s">
        <v>68</v>
      </c>
      <c r="C400" s="1">
        <v>6017.5</v>
      </c>
      <c r="D400" s="1">
        <v>2114.15</v>
      </c>
    </row>
    <row r="401" spans="1:4" x14ac:dyDescent="0.25">
      <c r="A401" s="1" t="s">
        <v>166</v>
      </c>
      <c r="B401" s="1" t="s">
        <v>77</v>
      </c>
      <c r="C401" s="1">
        <v>11201.54</v>
      </c>
      <c r="D401" s="1">
        <v>2949.21</v>
      </c>
    </row>
    <row r="402" spans="1:4" x14ac:dyDescent="0.25">
      <c r="A402" s="1" t="s">
        <v>166</v>
      </c>
      <c r="B402" s="1" t="s">
        <v>71</v>
      </c>
      <c r="C402" s="1">
        <v>7644.88</v>
      </c>
      <c r="D402" s="1">
        <v>2222.94</v>
      </c>
    </row>
    <row r="403" spans="1:4" x14ac:dyDescent="0.25">
      <c r="A403" s="1" t="s">
        <v>166</v>
      </c>
      <c r="B403" s="1" t="s">
        <v>69</v>
      </c>
      <c r="C403" s="1">
        <v>6938.16</v>
      </c>
      <c r="D403" s="1">
        <v>4214.22</v>
      </c>
    </row>
    <row r="404" spans="1:4" x14ac:dyDescent="0.25">
      <c r="A404" s="1" t="s">
        <v>166</v>
      </c>
      <c r="B404" s="1" t="s">
        <v>70</v>
      </c>
      <c r="C404" s="1">
        <v>5786.91</v>
      </c>
      <c r="D404" s="1">
        <v>2192.48</v>
      </c>
    </row>
    <row r="405" spans="1:4" x14ac:dyDescent="0.25">
      <c r="A405" s="1" t="s">
        <v>166</v>
      </c>
      <c r="B405" s="1" t="s">
        <v>78</v>
      </c>
      <c r="C405" s="1">
        <v>2177.63</v>
      </c>
      <c r="D405" s="1">
        <v>1045.5899999999999</v>
      </c>
    </row>
    <row r="406" spans="1:4" x14ac:dyDescent="0.25">
      <c r="A406" s="1" t="s">
        <v>166</v>
      </c>
      <c r="B406" s="1" t="s">
        <v>76</v>
      </c>
      <c r="C406" s="1">
        <v>11243.25</v>
      </c>
      <c r="D406" s="1">
        <v>2094.77</v>
      </c>
    </row>
    <row r="407" spans="1:4" x14ac:dyDescent="0.25">
      <c r="A407" s="1" t="s">
        <v>166</v>
      </c>
      <c r="B407" s="1" t="s">
        <v>72</v>
      </c>
      <c r="C407" s="1">
        <v>9774.81</v>
      </c>
      <c r="D407" s="1">
        <v>5069.5200000000004</v>
      </c>
    </row>
    <row r="408" spans="1:4" x14ac:dyDescent="0.25">
      <c r="A408" s="1" t="s">
        <v>166</v>
      </c>
      <c r="B408" s="1" t="s">
        <v>73</v>
      </c>
      <c r="C408" s="1">
        <v>4820.3</v>
      </c>
      <c r="D408" s="1">
        <v>837.15</v>
      </c>
    </row>
    <row r="409" spans="1:4" x14ac:dyDescent="0.25">
      <c r="A409" s="1" t="s">
        <v>167</v>
      </c>
      <c r="B409" s="1" t="s">
        <v>75</v>
      </c>
      <c r="C409" s="1">
        <v>610.92999999999995</v>
      </c>
      <c r="D409" s="1">
        <v>222.24</v>
      </c>
    </row>
    <row r="410" spans="1:4" x14ac:dyDescent="0.25">
      <c r="A410" s="1" t="s">
        <v>167</v>
      </c>
      <c r="B410" s="1" t="s">
        <v>74</v>
      </c>
      <c r="C410" s="1">
        <v>4877.2700000000004</v>
      </c>
      <c r="D410" s="1">
        <v>1028.22</v>
      </c>
    </row>
    <row r="411" spans="1:4" x14ac:dyDescent="0.25">
      <c r="A411" s="1" t="s">
        <v>167</v>
      </c>
      <c r="B411" s="1" t="s">
        <v>78</v>
      </c>
      <c r="C411" s="1">
        <v>1510.42</v>
      </c>
      <c r="D411" s="1">
        <v>645.36</v>
      </c>
    </row>
    <row r="412" spans="1:4" x14ac:dyDescent="0.25">
      <c r="A412" s="1" t="s">
        <v>167</v>
      </c>
      <c r="B412" s="1" t="s">
        <v>72</v>
      </c>
      <c r="C412" s="1">
        <v>6772.62</v>
      </c>
      <c r="D412" s="1">
        <v>3349.58</v>
      </c>
    </row>
    <row r="413" spans="1:4" x14ac:dyDescent="0.25">
      <c r="A413" s="1" t="s">
        <v>167</v>
      </c>
      <c r="B413" s="1" t="s">
        <v>73</v>
      </c>
      <c r="C413" s="1">
        <v>3108.19</v>
      </c>
      <c r="D413" s="1">
        <v>499.93</v>
      </c>
    </row>
    <row r="414" spans="1:4" x14ac:dyDescent="0.25">
      <c r="A414" s="1" t="s">
        <v>167</v>
      </c>
      <c r="B414" s="1" t="s">
        <v>71</v>
      </c>
      <c r="C414" s="1">
        <v>5397.88</v>
      </c>
      <c r="D414" s="1">
        <v>1462.86</v>
      </c>
    </row>
    <row r="415" spans="1:4" x14ac:dyDescent="0.25">
      <c r="A415" s="1" t="s">
        <v>167</v>
      </c>
      <c r="B415" s="1" t="s">
        <v>69</v>
      </c>
      <c r="C415" s="1">
        <v>4867.8999999999996</v>
      </c>
      <c r="D415" s="1">
        <v>2748.32</v>
      </c>
    </row>
    <row r="416" spans="1:4" x14ac:dyDescent="0.25">
      <c r="A416" s="1" t="s">
        <v>167</v>
      </c>
      <c r="B416" s="1" t="s">
        <v>76</v>
      </c>
      <c r="C416" s="1">
        <v>8005.45</v>
      </c>
      <c r="D416" s="1">
        <v>1460.79</v>
      </c>
    </row>
    <row r="417" spans="1:4" x14ac:dyDescent="0.25">
      <c r="A417" s="1" t="s">
        <v>167</v>
      </c>
      <c r="B417" s="1" t="s">
        <v>68</v>
      </c>
      <c r="C417" s="1">
        <v>4046.24</v>
      </c>
      <c r="D417" s="1">
        <v>1281.74</v>
      </c>
    </row>
    <row r="418" spans="1:4" x14ac:dyDescent="0.25">
      <c r="A418" s="1" t="s">
        <v>167</v>
      </c>
      <c r="B418" s="1" t="s">
        <v>77</v>
      </c>
      <c r="C418" s="1">
        <v>8186.06</v>
      </c>
      <c r="D418" s="1">
        <v>2040.43</v>
      </c>
    </row>
    <row r="419" spans="1:4" x14ac:dyDescent="0.25">
      <c r="A419" s="1" t="s">
        <v>167</v>
      </c>
      <c r="B419" s="1" t="s">
        <v>70</v>
      </c>
      <c r="C419" s="1">
        <v>3621.12</v>
      </c>
      <c r="D419" s="1">
        <v>1316.2</v>
      </c>
    </row>
    <row r="420" spans="1:4" x14ac:dyDescent="0.25">
      <c r="A420" s="1" t="s">
        <v>168</v>
      </c>
      <c r="B420" s="1" t="s">
        <v>75</v>
      </c>
      <c r="C420" s="1">
        <v>1074.76</v>
      </c>
      <c r="D420" s="1">
        <v>396.59</v>
      </c>
    </row>
    <row r="421" spans="1:4" x14ac:dyDescent="0.25">
      <c r="A421" s="1" t="s">
        <v>168</v>
      </c>
      <c r="B421" s="1" t="s">
        <v>74</v>
      </c>
      <c r="C421" s="1">
        <v>8191.3</v>
      </c>
      <c r="D421" s="1">
        <v>1675.47</v>
      </c>
    </row>
    <row r="422" spans="1:4" x14ac:dyDescent="0.25">
      <c r="A422" s="1" t="s">
        <v>168</v>
      </c>
      <c r="B422" s="1" t="s">
        <v>73</v>
      </c>
      <c r="C422" s="1">
        <v>5369.31</v>
      </c>
      <c r="D422" s="1">
        <v>785.57</v>
      </c>
    </row>
    <row r="423" spans="1:4" x14ac:dyDescent="0.25">
      <c r="A423" s="1" t="s">
        <v>168</v>
      </c>
      <c r="B423" s="1" t="s">
        <v>72</v>
      </c>
      <c r="C423" s="1">
        <v>10985.46</v>
      </c>
      <c r="D423" s="1">
        <v>5218.32</v>
      </c>
    </row>
    <row r="424" spans="1:4" x14ac:dyDescent="0.25">
      <c r="A424" s="1" t="s">
        <v>168</v>
      </c>
      <c r="B424" s="1" t="s">
        <v>68</v>
      </c>
      <c r="C424" s="1">
        <v>7332.63</v>
      </c>
      <c r="D424" s="1">
        <v>2117.98</v>
      </c>
    </row>
    <row r="425" spans="1:4" x14ac:dyDescent="0.25">
      <c r="A425" s="1" t="s">
        <v>168</v>
      </c>
      <c r="B425" s="1" t="s">
        <v>71</v>
      </c>
      <c r="C425" s="1">
        <v>8977.09</v>
      </c>
      <c r="D425" s="1">
        <v>2205.86</v>
      </c>
    </row>
    <row r="426" spans="1:4" x14ac:dyDescent="0.25">
      <c r="A426" s="1" t="s">
        <v>168</v>
      </c>
      <c r="B426" s="1" t="s">
        <v>70</v>
      </c>
      <c r="C426" s="1">
        <v>6678.87</v>
      </c>
      <c r="D426" s="1">
        <v>2290.84</v>
      </c>
    </row>
    <row r="427" spans="1:4" x14ac:dyDescent="0.25">
      <c r="A427" s="1" t="s">
        <v>168</v>
      </c>
      <c r="B427" s="1" t="s">
        <v>78</v>
      </c>
      <c r="C427" s="1">
        <v>2668</v>
      </c>
      <c r="D427" s="1">
        <v>1131.99</v>
      </c>
    </row>
    <row r="428" spans="1:4" x14ac:dyDescent="0.25">
      <c r="A428" s="1" t="s">
        <v>168</v>
      </c>
      <c r="B428" s="1" t="s">
        <v>76</v>
      </c>
      <c r="C428" s="1">
        <v>12295.89</v>
      </c>
      <c r="D428" s="1">
        <v>2244.14</v>
      </c>
    </row>
    <row r="429" spans="1:4" x14ac:dyDescent="0.25">
      <c r="A429" s="1" t="s">
        <v>168</v>
      </c>
      <c r="B429" s="1" t="s">
        <v>77</v>
      </c>
      <c r="C429" s="1">
        <v>12391.7</v>
      </c>
      <c r="D429" s="1">
        <v>3035.59</v>
      </c>
    </row>
    <row r="430" spans="1:4" x14ac:dyDescent="0.25">
      <c r="A430" s="1" t="s">
        <v>168</v>
      </c>
      <c r="B430" s="1" t="s">
        <v>69</v>
      </c>
      <c r="C430" s="1">
        <v>7813.37</v>
      </c>
      <c r="D430" s="1">
        <v>4185.7</v>
      </c>
    </row>
    <row r="431" spans="1:4" x14ac:dyDescent="0.25">
      <c r="A431" s="1" t="s">
        <v>169</v>
      </c>
      <c r="B431" s="1" t="s">
        <v>75</v>
      </c>
      <c r="C431" s="1">
        <v>1147.2</v>
      </c>
      <c r="D431" s="1">
        <v>449.34</v>
      </c>
    </row>
    <row r="432" spans="1:4" x14ac:dyDescent="0.25">
      <c r="A432" s="1" t="s">
        <v>169</v>
      </c>
      <c r="B432" s="1" t="s">
        <v>74</v>
      </c>
      <c r="C432" s="1">
        <v>8773.27</v>
      </c>
      <c r="D432" s="1">
        <v>1902.35</v>
      </c>
    </row>
    <row r="433" spans="1:4" x14ac:dyDescent="0.25">
      <c r="A433" s="1" t="s">
        <v>169</v>
      </c>
      <c r="B433" s="1" t="s">
        <v>76</v>
      </c>
      <c r="C433" s="1">
        <v>13551.4</v>
      </c>
      <c r="D433" s="1">
        <v>2535.2600000000002</v>
      </c>
    </row>
    <row r="434" spans="1:4" x14ac:dyDescent="0.25">
      <c r="A434" s="1" t="s">
        <v>169</v>
      </c>
      <c r="B434" s="1" t="s">
        <v>68</v>
      </c>
      <c r="C434" s="1">
        <v>8436.73</v>
      </c>
      <c r="D434" s="1">
        <v>2519.06</v>
      </c>
    </row>
    <row r="435" spans="1:4" x14ac:dyDescent="0.25">
      <c r="A435" s="1" t="s">
        <v>169</v>
      </c>
      <c r="B435" s="1" t="s">
        <v>77</v>
      </c>
      <c r="C435" s="1">
        <v>13232.96</v>
      </c>
      <c r="D435" s="1">
        <v>3246.79</v>
      </c>
    </row>
    <row r="436" spans="1:4" x14ac:dyDescent="0.25">
      <c r="A436" s="1" t="s">
        <v>169</v>
      </c>
      <c r="B436" s="1" t="s">
        <v>71</v>
      </c>
      <c r="C436" s="1">
        <v>9863.3799999999992</v>
      </c>
      <c r="D436" s="1">
        <v>2607.61</v>
      </c>
    </row>
    <row r="437" spans="1:4" x14ac:dyDescent="0.25">
      <c r="A437" s="1" t="s">
        <v>169</v>
      </c>
      <c r="B437" s="1" t="s">
        <v>70</v>
      </c>
      <c r="C437" s="1">
        <v>7582.48</v>
      </c>
      <c r="D437" s="1">
        <v>2717.33</v>
      </c>
    </row>
    <row r="438" spans="1:4" x14ac:dyDescent="0.25">
      <c r="A438" s="1" t="s">
        <v>169</v>
      </c>
      <c r="B438" s="1" t="s">
        <v>78</v>
      </c>
      <c r="C438" s="1">
        <v>2786.63</v>
      </c>
      <c r="D438" s="1">
        <v>1246.77</v>
      </c>
    </row>
    <row r="439" spans="1:4" x14ac:dyDescent="0.25">
      <c r="A439" s="1" t="s">
        <v>169</v>
      </c>
      <c r="B439" s="1" t="s">
        <v>72</v>
      </c>
      <c r="C439" s="1">
        <v>11720.05</v>
      </c>
      <c r="D439" s="1">
        <v>5580.88</v>
      </c>
    </row>
    <row r="440" spans="1:4" x14ac:dyDescent="0.25">
      <c r="A440" s="1" t="s">
        <v>169</v>
      </c>
      <c r="B440" s="1" t="s">
        <v>73</v>
      </c>
      <c r="C440" s="1">
        <v>6462.19</v>
      </c>
      <c r="D440" s="1">
        <v>992.41</v>
      </c>
    </row>
    <row r="441" spans="1:4" x14ac:dyDescent="0.25">
      <c r="A441" s="1" t="s">
        <v>169</v>
      </c>
      <c r="B441" s="1" t="s">
        <v>69</v>
      </c>
      <c r="C441" s="1">
        <v>8296.84</v>
      </c>
      <c r="D441" s="1">
        <v>4504.74</v>
      </c>
    </row>
    <row r="442" spans="1:4" x14ac:dyDescent="0.25">
      <c r="A442" s="1" t="s">
        <v>170</v>
      </c>
      <c r="B442" s="1" t="s">
        <v>74</v>
      </c>
      <c r="C442" s="1">
        <v>8607.2900000000009</v>
      </c>
      <c r="D442" s="1">
        <v>2004.52</v>
      </c>
    </row>
    <row r="443" spans="1:4" x14ac:dyDescent="0.25">
      <c r="A443" s="1" t="s">
        <v>170</v>
      </c>
      <c r="B443" s="1" t="s">
        <v>75</v>
      </c>
      <c r="C443" s="1">
        <v>1122.6199999999999</v>
      </c>
      <c r="D443" s="1">
        <v>439.62</v>
      </c>
    </row>
    <row r="444" spans="1:4" x14ac:dyDescent="0.25">
      <c r="A444" s="1" t="s">
        <v>170</v>
      </c>
      <c r="B444" s="1" t="s">
        <v>76</v>
      </c>
      <c r="C444" s="1">
        <v>13418.5</v>
      </c>
      <c r="D444" s="1">
        <v>2665.27</v>
      </c>
    </row>
    <row r="445" spans="1:4" x14ac:dyDescent="0.25">
      <c r="A445" s="1" t="s">
        <v>170</v>
      </c>
      <c r="B445" s="1" t="s">
        <v>68</v>
      </c>
      <c r="C445" s="1">
        <v>7869.09</v>
      </c>
      <c r="D445" s="1">
        <v>2650.68</v>
      </c>
    </row>
    <row r="446" spans="1:4" x14ac:dyDescent="0.25">
      <c r="A446" s="1" t="s">
        <v>170</v>
      </c>
      <c r="B446" s="1" t="s">
        <v>77</v>
      </c>
      <c r="C446" s="1">
        <v>12925.33</v>
      </c>
      <c r="D446" s="1">
        <v>3272.92</v>
      </c>
    </row>
    <row r="447" spans="1:4" x14ac:dyDescent="0.25">
      <c r="A447" s="1" t="s">
        <v>170</v>
      </c>
      <c r="B447" s="1" t="s">
        <v>69</v>
      </c>
      <c r="C447" s="1">
        <v>7866.95</v>
      </c>
      <c r="D447" s="1">
        <v>4393.74</v>
      </c>
    </row>
    <row r="448" spans="1:4" x14ac:dyDescent="0.25">
      <c r="A448" s="1" t="s">
        <v>170</v>
      </c>
      <c r="B448" s="1" t="s">
        <v>70</v>
      </c>
      <c r="C448" s="1">
        <v>7059.27</v>
      </c>
      <c r="D448" s="1">
        <v>2705.68</v>
      </c>
    </row>
    <row r="449" spans="1:4" x14ac:dyDescent="0.25">
      <c r="A449" s="1" t="s">
        <v>170</v>
      </c>
      <c r="B449" s="1" t="s">
        <v>78</v>
      </c>
      <c r="C449" s="1">
        <v>2496.58</v>
      </c>
      <c r="D449" s="1">
        <v>1162.27</v>
      </c>
    </row>
    <row r="450" spans="1:4" x14ac:dyDescent="0.25">
      <c r="A450" s="1" t="s">
        <v>170</v>
      </c>
      <c r="B450" s="1" t="s">
        <v>72</v>
      </c>
      <c r="C450" s="1">
        <v>11056.05</v>
      </c>
      <c r="D450" s="1">
        <v>5470.01</v>
      </c>
    </row>
    <row r="451" spans="1:4" x14ac:dyDescent="0.25">
      <c r="A451" s="1" t="s">
        <v>170</v>
      </c>
      <c r="B451" s="1" t="s">
        <v>73</v>
      </c>
      <c r="C451" s="1">
        <v>6339.86</v>
      </c>
      <c r="D451" s="1">
        <v>1099.29</v>
      </c>
    </row>
    <row r="452" spans="1:4" x14ac:dyDescent="0.25">
      <c r="A452" s="1" t="s">
        <v>170</v>
      </c>
      <c r="B452" s="1" t="s">
        <v>71</v>
      </c>
      <c r="C452" s="1">
        <v>9481.17</v>
      </c>
      <c r="D452" s="1">
        <v>2751.46</v>
      </c>
    </row>
    <row r="453" spans="1:4" x14ac:dyDescent="0.25">
      <c r="A453" s="1" t="s">
        <v>171</v>
      </c>
      <c r="B453" s="1" t="s">
        <v>75</v>
      </c>
      <c r="C453" s="1">
        <v>1097.75</v>
      </c>
      <c r="D453" s="1">
        <v>446.91</v>
      </c>
    </row>
    <row r="454" spans="1:4" x14ac:dyDescent="0.25">
      <c r="A454" s="1" t="s">
        <v>171</v>
      </c>
      <c r="B454" s="1" t="s">
        <v>74</v>
      </c>
      <c r="C454" s="1">
        <v>8849.2999999999993</v>
      </c>
      <c r="D454" s="1">
        <v>2108.81</v>
      </c>
    </row>
    <row r="455" spans="1:4" x14ac:dyDescent="0.25">
      <c r="A455" s="1" t="s">
        <v>171</v>
      </c>
      <c r="B455" s="1" t="s">
        <v>76</v>
      </c>
      <c r="C455" s="1">
        <v>13538.07</v>
      </c>
      <c r="D455" s="1">
        <v>2777.01</v>
      </c>
    </row>
    <row r="456" spans="1:4" x14ac:dyDescent="0.25">
      <c r="A456" s="1" t="s">
        <v>171</v>
      </c>
      <c r="B456" s="1" t="s">
        <v>73</v>
      </c>
      <c r="C456" s="1">
        <v>6508.15</v>
      </c>
      <c r="D456" s="1">
        <v>1236.67</v>
      </c>
    </row>
    <row r="457" spans="1:4" x14ac:dyDescent="0.25">
      <c r="A457" s="1" t="s">
        <v>171</v>
      </c>
      <c r="B457" s="1" t="s">
        <v>72</v>
      </c>
      <c r="C457" s="1">
        <v>11092.27</v>
      </c>
      <c r="D457" s="1">
        <v>5721.69</v>
      </c>
    </row>
    <row r="458" spans="1:4" x14ac:dyDescent="0.25">
      <c r="A458" s="1" t="s">
        <v>171</v>
      </c>
      <c r="B458" s="1" t="s">
        <v>68</v>
      </c>
      <c r="C458" s="1">
        <v>7994.77</v>
      </c>
      <c r="D458" s="1">
        <v>2893.96</v>
      </c>
    </row>
    <row r="459" spans="1:4" x14ac:dyDescent="0.25">
      <c r="A459" s="1" t="s">
        <v>171</v>
      </c>
      <c r="B459" s="1" t="s">
        <v>77</v>
      </c>
      <c r="C459" s="1">
        <v>12922.63</v>
      </c>
      <c r="D459" s="1">
        <v>3432.93</v>
      </c>
    </row>
    <row r="460" spans="1:4" x14ac:dyDescent="0.25">
      <c r="A460" s="1" t="s">
        <v>171</v>
      </c>
      <c r="B460" s="1" t="s">
        <v>71</v>
      </c>
      <c r="C460" s="1">
        <v>9645.75</v>
      </c>
      <c r="D460" s="1">
        <v>3075.55</v>
      </c>
    </row>
    <row r="461" spans="1:4" x14ac:dyDescent="0.25">
      <c r="A461" s="1" t="s">
        <v>171</v>
      </c>
      <c r="B461" s="1" t="s">
        <v>69</v>
      </c>
      <c r="C461" s="1">
        <v>7840.74</v>
      </c>
      <c r="D461" s="1">
        <v>4503.24</v>
      </c>
    </row>
    <row r="462" spans="1:4" x14ac:dyDescent="0.25">
      <c r="A462" s="1" t="s">
        <v>171</v>
      </c>
      <c r="B462" s="1" t="s">
        <v>70</v>
      </c>
      <c r="C462" s="1">
        <v>7243.87</v>
      </c>
      <c r="D462" s="1">
        <v>2841.54</v>
      </c>
    </row>
    <row r="463" spans="1:4" x14ac:dyDescent="0.25">
      <c r="A463" s="1" t="s">
        <v>171</v>
      </c>
      <c r="B463" s="1" t="s">
        <v>78</v>
      </c>
      <c r="C463" s="1">
        <v>2581.94</v>
      </c>
      <c r="D463" s="1">
        <v>1209.32</v>
      </c>
    </row>
    <row r="464" spans="1:4" x14ac:dyDescent="0.25">
      <c r="A464" s="1" t="s">
        <v>172</v>
      </c>
      <c r="B464" s="1" t="s">
        <v>75</v>
      </c>
      <c r="C464" s="1">
        <v>1121.68</v>
      </c>
      <c r="D464" s="1">
        <v>430.05</v>
      </c>
    </row>
    <row r="465" spans="1:4" x14ac:dyDescent="0.25">
      <c r="A465" s="1" t="s">
        <v>172</v>
      </c>
      <c r="B465" s="1" t="s">
        <v>74</v>
      </c>
      <c r="C465" s="1">
        <v>9562.93</v>
      </c>
      <c r="D465" s="1">
        <v>2265.94</v>
      </c>
    </row>
    <row r="466" spans="1:4" x14ac:dyDescent="0.25">
      <c r="A466" s="1" t="s">
        <v>172</v>
      </c>
      <c r="B466" s="1" t="s">
        <v>78</v>
      </c>
      <c r="C466" s="1">
        <v>2540.02</v>
      </c>
      <c r="D466" s="1">
        <v>1210.52</v>
      </c>
    </row>
    <row r="467" spans="1:4" x14ac:dyDescent="0.25">
      <c r="A467" s="1" t="s">
        <v>172</v>
      </c>
      <c r="B467" s="1" t="s">
        <v>72</v>
      </c>
      <c r="C467" s="1">
        <v>11436.25</v>
      </c>
      <c r="D467" s="1">
        <v>5915.09</v>
      </c>
    </row>
    <row r="468" spans="1:4" x14ac:dyDescent="0.25">
      <c r="A468" s="1" t="s">
        <v>172</v>
      </c>
      <c r="B468" s="1" t="s">
        <v>73</v>
      </c>
      <c r="C468" s="1">
        <v>6768.13</v>
      </c>
      <c r="D468" s="1">
        <v>1315.73</v>
      </c>
    </row>
    <row r="469" spans="1:4" x14ac:dyDescent="0.25">
      <c r="A469" s="1" t="s">
        <v>172</v>
      </c>
      <c r="B469" s="1" t="s">
        <v>71</v>
      </c>
      <c r="C469" s="1">
        <v>10432.06</v>
      </c>
      <c r="D469" s="1">
        <v>3405.83</v>
      </c>
    </row>
    <row r="470" spans="1:4" x14ac:dyDescent="0.25">
      <c r="A470" s="1" t="s">
        <v>172</v>
      </c>
      <c r="B470" s="1" t="s">
        <v>68</v>
      </c>
      <c r="C470" s="1">
        <v>8605.73</v>
      </c>
      <c r="D470" s="1">
        <v>3140.01</v>
      </c>
    </row>
    <row r="471" spans="1:4" x14ac:dyDescent="0.25">
      <c r="A471" s="1" t="s">
        <v>172</v>
      </c>
      <c r="B471" s="1" t="s">
        <v>77</v>
      </c>
      <c r="C471" s="1">
        <v>13466.92</v>
      </c>
      <c r="D471" s="1">
        <v>3508.22</v>
      </c>
    </row>
    <row r="472" spans="1:4" x14ac:dyDescent="0.25">
      <c r="A472" s="1" t="s">
        <v>172</v>
      </c>
      <c r="B472" s="1" t="s">
        <v>70</v>
      </c>
      <c r="C472" s="1">
        <v>7441.71</v>
      </c>
      <c r="D472" s="1">
        <v>2969.08</v>
      </c>
    </row>
    <row r="473" spans="1:4" x14ac:dyDescent="0.25">
      <c r="A473" s="1" t="s">
        <v>172</v>
      </c>
      <c r="B473" s="1" t="s">
        <v>69</v>
      </c>
      <c r="C473" s="1">
        <v>8071.21</v>
      </c>
      <c r="D473" s="1">
        <v>4603.42</v>
      </c>
    </row>
    <row r="474" spans="1:4" x14ac:dyDescent="0.25">
      <c r="A474" s="1" t="s">
        <v>172</v>
      </c>
      <c r="B474" s="1" t="s">
        <v>76</v>
      </c>
      <c r="C474" s="1">
        <v>14260.67</v>
      </c>
      <c r="D474" s="1">
        <v>2901.44</v>
      </c>
    </row>
    <row r="475" spans="1:4" x14ac:dyDescent="0.25">
      <c r="A475" s="1" t="s">
        <v>173</v>
      </c>
      <c r="B475" s="1" t="s">
        <v>75</v>
      </c>
      <c r="C475" s="1">
        <v>1920.54</v>
      </c>
      <c r="D475" s="1">
        <v>694.13</v>
      </c>
    </row>
    <row r="476" spans="1:4" x14ac:dyDescent="0.25">
      <c r="A476" s="1" t="s">
        <v>173</v>
      </c>
      <c r="B476" s="1" t="s">
        <v>74</v>
      </c>
      <c r="C476" s="1">
        <v>13975.43</v>
      </c>
      <c r="D476" s="1">
        <v>3077.86</v>
      </c>
    </row>
    <row r="477" spans="1:4" x14ac:dyDescent="0.25">
      <c r="A477" s="1" t="s">
        <v>173</v>
      </c>
      <c r="B477" s="1" t="s">
        <v>78</v>
      </c>
      <c r="C477" s="1">
        <v>4198.2299999999996</v>
      </c>
      <c r="D477" s="1">
        <v>1881.17</v>
      </c>
    </row>
    <row r="478" spans="1:4" x14ac:dyDescent="0.25">
      <c r="A478" s="1" t="s">
        <v>173</v>
      </c>
      <c r="B478" s="1" t="s">
        <v>73</v>
      </c>
      <c r="C478" s="1">
        <v>11272.04</v>
      </c>
      <c r="D478" s="1">
        <v>1866.97</v>
      </c>
    </row>
    <row r="479" spans="1:4" x14ac:dyDescent="0.25">
      <c r="A479" s="1" t="s">
        <v>173</v>
      </c>
      <c r="B479" s="1" t="s">
        <v>71</v>
      </c>
      <c r="C479" s="1">
        <v>18110.73</v>
      </c>
      <c r="D479" s="1">
        <v>5109.9799999999996</v>
      </c>
    </row>
    <row r="480" spans="1:4" x14ac:dyDescent="0.25">
      <c r="A480" s="1" t="s">
        <v>173</v>
      </c>
      <c r="B480" s="1" t="s">
        <v>76</v>
      </c>
      <c r="C480" s="1">
        <v>22240.471000000001</v>
      </c>
      <c r="D480" s="1">
        <v>3990.49</v>
      </c>
    </row>
    <row r="481" spans="1:4" x14ac:dyDescent="0.25">
      <c r="A481" s="1" t="s">
        <v>173</v>
      </c>
      <c r="B481" s="1" t="s">
        <v>72</v>
      </c>
      <c r="C481" s="1">
        <v>17055.16</v>
      </c>
      <c r="D481" s="1">
        <v>8135.89</v>
      </c>
    </row>
    <row r="482" spans="1:4" x14ac:dyDescent="0.25">
      <c r="A482" s="1" t="s">
        <v>173</v>
      </c>
      <c r="B482" s="1" t="s">
        <v>68</v>
      </c>
      <c r="C482" s="1">
        <v>14429.3</v>
      </c>
      <c r="D482" s="1">
        <v>4737.12</v>
      </c>
    </row>
    <row r="483" spans="1:4" x14ac:dyDescent="0.25">
      <c r="A483" s="1" t="s">
        <v>173</v>
      </c>
      <c r="B483" s="1" t="s">
        <v>77</v>
      </c>
      <c r="C483" s="1">
        <v>20453.561000000002</v>
      </c>
      <c r="D483" s="1">
        <v>5017.6099999999997</v>
      </c>
    </row>
    <row r="484" spans="1:4" x14ac:dyDescent="0.25">
      <c r="A484" s="1" t="s">
        <v>173</v>
      </c>
      <c r="B484" s="1" t="s">
        <v>69</v>
      </c>
      <c r="C484" s="1">
        <v>11784.15</v>
      </c>
      <c r="D484" s="1">
        <v>6326.84</v>
      </c>
    </row>
    <row r="485" spans="1:4" x14ac:dyDescent="0.25">
      <c r="A485" s="1" t="s">
        <v>173</v>
      </c>
      <c r="B485" s="1" t="s">
        <v>70</v>
      </c>
      <c r="C485" s="1">
        <v>13373.89</v>
      </c>
      <c r="D485" s="1">
        <v>4656.29</v>
      </c>
    </row>
    <row r="486" spans="1:4" x14ac:dyDescent="0.25">
      <c r="A486" s="1" t="s">
        <v>174</v>
      </c>
      <c r="B486" s="1" t="s">
        <v>75</v>
      </c>
      <c r="C486" s="1">
        <v>2085.36</v>
      </c>
      <c r="D486" s="1">
        <v>764.07</v>
      </c>
    </row>
    <row r="487" spans="1:4" x14ac:dyDescent="0.25">
      <c r="A487" s="1" t="s">
        <v>174</v>
      </c>
      <c r="B487" s="1" t="s">
        <v>74</v>
      </c>
      <c r="C487" s="1">
        <v>16102.89</v>
      </c>
      <c r="D487" s="1">
        <v>3469.55</v>
      </c>
    </row>
    <row r="488" spans="1:4" x14ac:dyDescent="0.25">
      <c r="A488" s="1" t="s">
        <v>174</v>
      </c>
      <c r="B488" s="1" t="s">
        <v>71</v>
      </c>
      <c r="C488" s="1">
        <v>20695.09</v>
      </c>
      <c r="D488" s="1">
        <v>5641.95</v>
      </c>
    </row>
    <row r="489" spans="1:4" x14ac:dyDescent="0.25">
      <c r="A489" s="1" t="s">
        <v>174</v>
      </c>
      <c r="B489" s="1" t="s">
        <v>68</v>
      </c>
      <c r="C489" s="1">
        <v>16277.23</v>
      </c>
      <c r="D489" s="1">
        <v>5397.98</v>
      </c>
    </row>
    <row r="490" spans="1:4" x14ac:dyDescent="0.25">
      <c r="A490" s="1" t="s">
        <v>174</v>
      </c>
      <c r="B490" s="1" t="s">
        <v>70</v>
      </c>
      <c r="C490" s="1">
        <v>14117.52</v>
      </c>
      <c r="D490" s="1">
        <v>4882.46</v>
      </c>
    </row>
    <row r="491" spans="1:4" x14ac:dyDescent="0.25">
      <c r="A491" s="1" t="s">
        <v>174</v>
      </c>
      <c r="B491" s="1" t="s">
        <v>69</v>
      </c>
      <c r="C491" s="1">
        <v>12765.56</v>
      </c>
      <c r="D491" s="1">
        <v>7164.53</v>
      </c>
    </row>
    <row r="492" spans="1:4" x14ac:dyDescent="0.25">
      <c r="A492" s="1" t="s">
        <v>174</v>
      </c>
      <c r="B492" s="1" t="s">
        <v>78</v>
      </c>
      <c r="C492" s="1">
        <v>4457.09</v>
      </c>
      <c r="D492" s="1">
        <v>2083.69</v>
      </c>
    </row>
    <row r="493" spans="1:4" x14ac:dyDescent="0.25">
      <c r="A493" s="1" t="s">
        <v>174</v>
      </c>
      <c r="B493" s="1" t="s">
        <v>76</v>
      </c>
      <c r="C493" s="1">
        <v>24538.221000000001</v>
      </c>
      <c r="D493" s="1">
        <v>4329.58</v>
      </c>
    </row>
    <row r="494" spans="1:4" x14ac:dyDescent="0.25">
      <c r="A494" s="1" t="s">
        <v>174</v>
      </c>
      <c r="B494" s="1" t="s">
        <v>73</v>
      </c>
      <c r="C494" s="1">
        <v>12256.41</v>
      </c>
      <c r="D494" s="1">
        <v>2052.9499999999998</v>
      </c>
    </row>
    <row r="495" spans="1:4" x14ac:dyDescent="0.25">
      <c r="A495" s="1" t="s">
        <v>174</v>
      </c>
      <c r="B495" s="1" t="s">
        <v>72</v>
      </c>
      <c r="C495" s="1">
        <v>18264.150000000001</v>
      </c>
      <c r="D495" s="1">
        <v>8835.3700000000008</v>
      </c>
    </row>
    <row r="496" spans="1:4" x14ac:dyDescent="0.25">
      <c r="A496" s="1" t="s">
        <v>174</v>
      </c>
      <c r="B496" s="1" t="s">
        <v>77</v>
      </c>
      <c r="C496" s="1">
        <v>22111.15</v>
      </c>
      <c r="D496" s="1">
        <v>5403.31</v>
      </c>
    </row>
    <row r="497" spans="1:4" x14ac:dyDescent="0.25">
      <c r="A497" s="1" t="s">
        <v>175</v>
      </c>
      <c r="B497" s="1" t="s">
        <v>75</v>
      </c>
      <c r="C497" s="1">
        <v>2197.0700000000002</v>
      </c>
      <c r="D497" s="1">
        <v>767.91</v>
      </c>
    </row>
    <row r="498" spans="1:4" x14ac:dyDescent="0.25">
      <c r="A498" s="1" t="s">
        <v>175</v>
      </c>
      <c r="B498" s="1" t="s">
        <v>74</v>
      </c>
      <c r="C498" s="1">
        <v>16000.92</v>
      </c>
      <c r="D498" s="1">
        <v>3268.43</v>
      </c>
    </row>
    <row r="499" spans="1:4" x14ac:dyDescent="0.25">
      <c r="A499" s="1" t="s">
        <v>175</v>
      </c>
      <c r="B499" s="1" t="s">
        <v>76</v>
      </c>
      <c r="C499" s="1">
        <v>24577.789000000001</v>
      </c>
      <c r="D499" s="1">
        <v>4130.07</v>
      </c>
    </row>
    <row r="500" spans="1:4" x14ac:dyDescent="0.25">
      <c r="A500" s="1" t="s">
        <v>175</v>
      </c>
      <c r="B500" s="1" t="s">
        <v>73</v>
      </c>
      <c r="C500" s="1">
        <v>12014.35</v>
      </c>
      <c r="D500" s="1">
        <v>1936.2</v>
      </c>
    </row>
    <row r="501" spans="1:4" x14ac:dyDescent="0.25">
      <c r="A501" s="1" t="s">
        <v>175</v>
      </c>
      <c r="B501" s="1" t="s">
        <v>68</v>
      </c>
      <c r="C501" s="1">
        <v>16147.89</v>
      </c>
      <c r="D501" s="1">
        <v>5282.01</v>
      </c>
    </row>
    <row r="502" spans="1:4" x14ac:dyDescent="0.25">
      <c r="A502" s="1" t="s">
        <v>175</v>
      </c>
      <c r="B502" s="1" t="s">
        <v>77</v>
      </c>
      <c r="C502" s="1">
        <v>21319.881000000001</v>
      </c>
      <c r="D502" s="1">
        <v>5217.18</v>
      </c>
    </row>
    <row r="503" spans="1:4" x14ac:dyDescent="0.25">
      <c r="A503" s="1" t="s">
        <v>175</v>
      </c>
      <c r="B503" s="1" t="s">
        <v>71</v>
      </c>
      <c r="C503" s="1">
        <v>20561.150000000001</v>
      </c>
      <c r="D503" s="1">
        <v>5553.69</v>
      </c>
    </row>
    <row r="504" spans="1:4" x14ac:dyDescent="0.25">
      <c r="A504" s="1" t="s">
        <v>175</v>
      </c>
      <c r="B504" s="1" t="s">
        <v>69</v>
      </c>
      <c r="C504" s="1">
        <v>12867.49</v>
      </c>
      <c r="D504" s="1">
        <v>7030.09</v>
      </c>
    </row>
    <row r="505" spans="1:4" x14ac:dyDescent="0.25">
      <c r="A505" s="1" t="s">
        <v>175</v>
      </c>
      <c r="B505" s="1" t="s">
        <v>70</v>
      </c>
      <c r="C505" s="1">
        <v>14176.45</v>
      </c>
      <c r="D505" s="1">
        <v>4878.26</v>
      </c>
    </row>
    <row r="506" spans="1:4" x14ac:dyDescent="0.25">
      <c r="A506" s="1" t="s">
        <v>175</v>
      </c>
      <c r="B506" s="1" t="s">
        <v>78</v>
      </c>
      <c r="C506" s="1">
        <v>4531.5200000000004</v>
      </c>
      <c r="D506" s="1">
        <v>2037.91</v>
      </c>
    </row>
    <row r="507" spans="1:4" x14ac:dyDescent="0.25">
      <c r="A507" s="1" t="s">
        <v>175</v>
      </c>
      <c r="B507" s="1" t="s">
        <v>72</v>
      </c>
      <c r="C507" s="1">
        <v>18338.330000000002</v>
      </c>
      <c r="D507" s="1">
        <v>8701.24</v>
      </c>
    </row>
    <row r="508" spans="1:4" x14ac:dyDescent="0.25">
      <c r="A508" s="1" t="s">
        <v>176</v>
      </c>
      <c r="B508" s="1" t="s">
        <v>75</v>
      </c>
      <c r="C508" s="1">
        <v>1918.62</v>
      </c>
      <c r="D508" s="1">
        <v>677.81</v>
      </c>
    </row>
    <row r="509" spans="1:4" x14ac:dyDescent="0.25">
      <c r="A509" s="1" t="s">
        <v>176</v>
      </c>
      <c r="B509" s="1" t="s">
        <v>74</v>
      </c>
      <c r="C509" s="1">
        <v>12251.38</v>
      </c>
      <c r="D509" s="1">
        <v>2699.87</v>
      </c>
    </row>
    <row r="510" spans="1:4" x14ac:dyDescent="0.25">
      <c r="A510" s="1" t="s">
        <v>176</v>
      </c>
      <c r="B510" s="1" t="s">
        <v>76</v>
      </c>
      <c r="C510" s="1">
        <v>20164.919999999998</v>
      </c>
      <c r="D510" s="1">
        <v>3473.78</v>
      </c>
    </row>
    <row r="511" spans="1:4" x14ac:dyDescent="0.25">
      <c r="A511" s="1" t="s">
        <v>176</v>
      </c>
      <c r="B511" s="1" t="s">
        <v>73</v>
      </c>
      <c r="C511" s="1">
        <v>9324.58</v>
      </c>
      <c r="D511" s="1">
        <v>1585.86</v>
      </c>
    </row>
    <row r="512" spans="1:4" x14ac:dyDescent="0.25">
      <c r="A512" s="1" t="s">
        <v>176</v>
      </c>
      <c r="B512" s="1" t="s">
        <v>68</v>
      </c>
      <c r="C512" s="1">
        <v>12882.28</v>
      </c>
      <c r="D512" s="1">
        <v>4454.63</v>
      </c>
    </row>
    <row r="513" spans="1:4" x14ac:dyDescent="0.25">
      <c r="A513" s="1" t="s">
        <v>176</v>
      </c>
      <c r="B513" s="1" t="s">
        <v>77</v>
      </c>
      <c r="C513" s="1">
        <v>17381.311000000002</v>
      </c>
      <c r="D513" s="1">
        <v>4224.5200000000004</v>
      </c>
    </row>
    <row r="514" spans="1:4" x14ac:dyDescent="0.25">
      <c r="A514" s="1" t="s">
        <v>176</v>
      </c>
      <c r="B514" s="1" t="s">
        <v>71</v>
      </c>
      <c r="C514" s="1">
        <v>15714.52</v>
      </c>
      <c r="D514" s="1">
        <v>4482.58</v>
      </c>
    </row>
    <row r="515" spans="1:4" x14ac:dyDescent="0.25">
      <c r="A515" s="1" t="s">
        <v>176</v>
      </c>
      <c r="B515" s="1" t="s">
        <v>69</v>
      </c>
      <c r="C515" s="1">
        <v>11103.54</v>
      </c>
      <c r="D515" s="1">
        <v>6145.51</v>
      </c>
    </row>
    <row r="516" spans="1:4" x14ac:dyDescent="0.25">
      <c r="A516" s="1" t="s">
        <v>176</v>
      </c>
      <c r="B516" s="1" t="s">
        <v>70</v>
      </c>
      <c r="C516" s="1">
        <v>11356.68</v>
      </c>
      <c r="D516" s="1">
        <v>3947.78</v>
      </c>
    </row>
    <row r="517" spans="1:4" x14ac:dyDescent="0.25">
      <c r="A517" s="1" t="s">
        <v>176</v>
      </c>
      <c r="B517" s="1" t="s">
        <v>78</v>
      </c>
      <c r="C517" s="1">
        <v>3827.65</v>
      </c>
      <c r="D517" s="1">
        <v>1691.26</v>
      </c>
    </row>
    <row r="518" spans="1:4" x14ac:dyDescent="0.25">
      <c r="A518" s="1" t="s">
        <v>176</v>
      </c>
      <c r="B518" s="1" t="s">
        <v>72</v>
      </c>
      <c r="C518" s="1">
        <v>15777.14</v>
      </c>
      <c r="D518" s="1">
        <v>7552.6</v>
      </c>
    </row>
    <row r="519" spans="1:4" x14ac:dyDescent="0.25">
      <c r="A519" s="1" t="s">
        <v>177</v>
      </c>
      <c r="B519" s="1" t="s">
        <v>75</v>
      </c>
      <c r="C519" s="1">
        <v>1238.94</v>
      </c>
      <c r="D519" s="1">
        <v>481.73</v>
      </c>
    </row>
    <row r="520" spans="1:4" x14ac:dyDescent="0.25">
      <c r="A520" s="1" t="s">
        <v>177</v>
      </c>
      <c r="B520" s="1" t="s">
        <v>74</v>
      </c>
      <c r="C520" s="1">
        <v>6705.9</v>
      </c>
      <c r="D520" s="1">
        <v>1716.16</v>
      </c>
    </row>
    <row r="521" spans="1:4" x14ac:dyDescent="0.25">
      <c r="A521" s="1" t="s">
        <v>177</v>
      </c>
      <c r="B521" s="1" t="s">
        <v>73</v>
      </c>
      <c r="C521" s="1">
        <v>5073.26</v>
      </c>
      <c r="D521" s="1">
        <v>986.93</v>
      </c>
    </row>
    <row r="522" spans="1:4" x14ac:dyDescent="0.25">
      <c r="A522" s="1" t="s">
        <v>177</v>
      </c>
      <c r="B522" s="1" t="s">
        <v>72</v>
      </c>
      <c r="C522" s="1">
        <v>10467.08</v>
      </c>
      <c r="D522" s="1">
        <v>5301.15</v>
      </c>
    </row>
    <row r="523" spans="1:4" x14ac:dyDescent="0.25">
      <c r="A523" s="1" t="s">
        <v>177</v>
      </c>
      <c r="B523" s="1" t="s">
        <v>68</v>
      </c>
      <c r="C523" s="1">
        <v>7079.16</v>
      </c>
      <c r="D523" s="1">
        <v>2940.53</v>
      </c>
    </row>
    <row r="524" spans="1:4" x14ac:dyDescent="0.25">
      <c r="A524" s="1" t="s">
        <v>177</v>
      </c>
      <c r="B524" s="1" t="s">
        <v>77</v>
      </c>
      <c r="C524" s="1">
        <v>10273.14</v>
      </c>
      <c r="D524" s="1">
        <v>2660.34</v>
      </c>
    </row>
    <row r="525" spans="1:4" x14ac:dyDescent="0.25">
      <c r="A525" s="1" t="s">
        <v>177</v>
      </c>
      <c r="B525" s="1" t="s">
        <v>71</v>
      </c>
      <c r="C525" s="1">
        <v>8253.85</v>
      </c>
      <c r="D525" s="1">
        <v>2783.21</v>
      </c>
    </row>
    <row r="526" spans="1:4" x14ac:dyDescent="0.25">
      <c r="A526" s="1" t="s">
        <v>177</v>
      </c>
      <c r="B526" s="1" t="s">
        <v>70</v>
      </c>
      <c r="C526" s="1">
        <v>6619.14</v>
      </c>
      <c r="D526" s="1">
        <v>2551.4699999999998</v>
      </c>
    </row>
    <row r="527" spans="1:4" x14ac:dyDescent="0.25">
      <c r="A527" s="1" t="s">
        <v>177</v>
      </c>
      <c r="B527" s="1" t="s">
        <v>78</v>
      </c>
      <c r="C527" s="1">
        <v>2318.1999999999998</v>
      </c>
      <c r="D527" s="1">
        <v>1150.24</v>
      </c>
    </row>
    <row r="528" spans="1:4" x14ac:dyDescent="0.25">
      <c r="A528" s="1" t="s">
        <v>177</v>
      </c>
      <c r="B528" s="1" t="s">
        <v>76</v>
      </c>
      <c r="C528" s="1">
        <v>11804.76</v>
      </c>
      <c r="D528" s="1">
        <v>2191.4699999999998</v>
      </c>
    </row>
    <row r="529" spans="1:4" x14ac:dyDescent="0.25">
      <c r="A529" s="1" t="s">
        <v>177</v>
      </c>
      <c r="B529" s="1" t="s">
        <v>69</v>
      </c>
      <c r="C529" s="1">
        <v>7316.14</v>
      </c>
      <c r="D529" s="1">
        <v>4260.95</v>
      </c>
    </row>
    <row r="530" spans="1:4" x14ac:dyDescent="0.25">
      <c r="A530" s="7">
        <v>43838</v>
      </c>
      <c r="B530" s="1" t="s">
        <v>75</v>
      </c>
      <c r="C530" s="1">
        <v>664.96</v>
      </c>
      <c r="D530" s="1">
        <v>302.88</v>
      </c>
    </row>
    <row r="531" spans="1:4" x14ac:dyDescent="0.25">
      <c r="A531" s="7">
        <v>43838</v>
      </c>
      <c r="B531" s="1" t="s">
        <v>74</v>
      </c>
      <c r="C531" s="1">
        <v>3362.72</v>
      </c>
      <c r="D531" s="1">
        <v>1025.72</v>
      </c>
    </row>
    <row r="532" spans="1:4" x14ac:dyDescent="0.25">
      <c r="A532" s="7">
        <v>43838</v>
      </c>
      <c r="B532" s="1" t="s">
        <v>78</v>
      </c>
      <c r="C532" s="1">
        <v>1149.5899999999999</v>
      </c>
      <c r="D532" s="1">
        <v>653.49</v>
      </c>
    </row>
    <row r="533" spans="1:4" x14ac:dyDescent="0.25">
      <c r="A533" s="7">
        <v>43838</v>
      </c>
      <c r="B533" s="1" t="s">
        <v>77</v>
      </c>
      <c r="C533" s="1">
        <v>5257.68</v>
      </c>
      <c r="D533" s="1">
        <v>1530.06</v>
      </c>
    </row>
    <row r="534" spans="1:4" x14ac:dyDescent="0.25">
      <c r="A534" s="7">
        <v>43838</v>
      </c>
      <c r="B534" s="1" t="s">
        <v>71</v>
      </c>
      <c r="C534" s="1">
        <v>3951.86</v>
      </c>
      <c r="D534" s="1">
        <v>1568.33</v>
      </c>
    </row>
    <row r="535" spans="1:4" x14ac:dyDescent="0.25">
      <c r="A535" s="7">
        <v>43838</v>
      </c>
      <c r="B535" s="1" t="s">
        <v>72</v>
      </c>
      <c r="C535" s="1">
        <v>5930.91</v>
      </c>
      <c r="D535" s="1">
        <v>3370.91</v>
      </c>
    </row>
    <row r="536" spans="1:4" x14ac:dyDescent="0.25">
      <c r="A536" s="7">
        <v>43838</v>
      </c>
      <c r="B536" s="1" t="s">
        <v>76</v>
      </c>
      <c r="C536" s="1">
        <v>5778.29</v>
      </c>
      <c r="D536" s="1">
        <v>1278.44</v>
      </c>
    </row>
    <row r="537" spans="1:4" x14ac:dyDescent="0.25">
      <c r="A537" s="7">
        <v>43838</v>
      </c>
      <c r="B537" s="1" t="s">
        <v>73</v>
      </c>
      <c r="C537" s="1">
        <v>2334.79</v>
      </c>
      <c r="D537" s="1">
        <v>539.04</v>
      </c>
    </row>
    <row r="538" spans="1:4" x14ac:dyDescent="0.25">
      <c r="A538" s="7">
        <v>43838</v>
      </c>
      <c r="B538" s="1" t="s">
        <v>68</v>
      </c>
      <c r="C538" s="1">
        <v>3361.9</v>
      </c>
      <c r="D538" s="1">
        <v>1745.05</v>
      </c>
    </row>
    <row r="539" spans="1:4" x14ac:dyDescent="0.25">
      <c r="A539" s="7">
        <v>43838</v>
      </c>
      <c r="B539" s="1" t="s">
        <v>70</v>
      </c>
      <c r="C539" s="1">
        <v>3299.57</v>
      </c>
      <c r="D539" s="1">
        <v>1480.14</v>
      </c>
    </row>
    <row r="540" spans="1:4" x14ac:dyDescent="0.25">
      <c r="A540" s="7">
        <v>43838</v>
      </c>
      <c r="B540" s="1" t="s">
        <v>69</v>
      </c>
      <c r="C540" s="1">
        <v>4078.84</v>
      </c>
      <c r="D540" s="1">
        <v>2526.36</v>
      </c>
    </row>
    <row r="541" spans="1:4" x14ac:dyDescent="0.25">
      <c r="A541" s="7">
        <v>43838.041666666664</v>
      </c>
      <c r="B541" s="1" t="s">
        <v>75</v>
      </c>
      <c r="C541" s="1">
        <v>362.58</v>
      </c>
      <c r="D541" s="1">
        <v>196.18</v>
      </c>
    </row>
    <row r="542" spans="1:4" x14ac:dyDescent="0.25">
      <c r="A542" s="7">
        <v>43838.041666666664</v>
      </c>
      <c r="B542" s="1" t="s">
        <v>74</v>
      </c>
      <c r="C542" s="1">
        <v>1681.93</v>
      </c>
      <c r="D542" s="1">
        <v>505.88</v>
      </c>
    </row>
    <row r="543" spans="1:4" x14ac:dyDescent="0.25">
      <c r="A543" s="7">
        <v>43838.041666666664</v>
      </c>
      <c r="B543" s="1" t="s">
        <v>78</v>
      </c>
      <c r="C543" s="1">
        <v>527.35</v>
      </c>
      <c r="D543" s="1">
        <v>342.73</v>
      </c>
    </row>
    <row r="544" spans="1:4" x14ac:dyDescent="0.25">
      <c r="A544" s="7">
        <v>43838.041666666664</v>
      </c>
      <c r="B544" s="1" t="s">
        <v>68</v>
      </c>
      <c r="C544" s="1">
        <v>1618.61</v>
      </c>
      <c r="D544" s="1">
        <v>870.27</v>
      </c>
    </row>
    <row r="545" spans="1:4" x14ac:dyDescent="0.25">
      <c r="A545" s="7">
        <v>43838.041666666664</v>
      </c>
      <c r="B545" s="1" t="s">
        <v>69</v>
      </c>
      <c r="C545" s="1">
        <v>2089.36</v>
      </c>
      <c r="D545" s="1">
        <v>1335.24</v>
      </c>
    </row>
    <row r="546" spans="1:4" x14ac:dyDescent="0.25">
      <c r="A546" s="7">
        <v>43838.041666666664</v>
      </c>
      <c r="B546" s="1" t="s">
        <v>70</v>
      </c>
      <c r="C546" s="1">
        <v>1539.38</v>
      </c>
      <c r="D546" s="1">
        <v>750.06</v>
      </c>
    </row>
    <row r="547" spans="1:4" x14ac:dyDescent="0.25">
      <c r="A547" s="7">
        <v>43838.041666666664</v>
      </c>
      <c r="B547" s="1" t="s">
        <v>72</v>
      </c>
      <c r="C547" s="1">
        <v>3115.95</v>
      </c>
      <c r="D547" s="1">
        <v>1845.12</v>
      </c>
    </row>
    <row r="548" spans="1:4" x14ac:dyDescent="0.25">
      <c r="A548" s="7">
        <v>43838.041666666664</v>
      </c>
      <c r="B548" s="1" t="s">
        <v>76</v>
      </c>
      <c r="C548" s="1">
        <v>2760.88</v>
      </c>
      <c r="D548" s="1">
        <v>641.78</v>
      </c>
    </row>
    <row r="549" spans="1:4" x14ac:dyDescent="0.25">
      <c r="A549" s="7">
        <v>43838.041666666664</v>
      </c>
      <c r="B549" s="1" t="s">
        <v>73</v>
      </c>
      <c r="C549" s="1">
        <v>1044.0899999999999</v>
      </c>
      <c r="D549" s="1">
        <v>252.87</v>
      </c>
    </row>
    <row r="550" spans="1:4" x14ac:dyDescent="0.25">
      <c r="A550" s="7">
        <v>43838.041666666664</v>
      </c>
      <c r="B550" s="1" t="s">
        <v>77</v>
      </c>
      <c r="C550" s="1">
        <v>2543.2199999999998</v>
      </c>
      <c r="D550" s="1">
        <v>789.24</v>
      </c>
    </row>
    <row r="551" spans="1:4" x14ac:dyDescent="0.25">
      <c r="A551" s="7">
        <v>43838.041666666664</v>
      </c>
      <c r="B551" s="1" t="s">
        <v>71</v>
      </c>
      <c r="C551" s="1">
        <v>1916.21</v>
      </c>
      <c r="D551" s="1">
        <v>761.3</v>
      </c>
    </row>
    <row r="552" spans="1:4" x14ac:dyDescent="0.25">
      <c r="A552" s="7">
        <v>43838.083333333336</v>
      </c>
      <c r="B552" s="1" t="s">
        <v>75</v>
      </c>
      <c r="C552" s="1">
        <v>175.69</v>
      </c>
      <c r="D552" s="1">
        <v>100.58</v>
      </c>
    </row>
    <row r="553" spans="1:4" x14ac:dyDescent="0.25">
      <c r="A553" s="7">
        <v>43838.083333333336</v>
      </c>
      <c r="B553" s="1" t="s">
        <v>74</v>
      </c>
      <c r="C553" s="1">
        <v>857.02</v>
      </c>
      <c r="D553" s="1">
        <v>273.2</v>
      </c>
    </row>
    <row r="554" spans="1:4" x14ac:dyDescent="0.25">
      <c r="A554" s="7">
        <v>43838.083333333336</v>
      </c>
      <c r="B554" s="1" t="s">
        <v>76</v>
      </c>
      <c r="C554" s="1">
        <v>1361.74</v>
      </c>
      <c r="D554" s="1">
        <v>358.53</v>
      </c>
    </row>
    <row r="555" spans="1:4" x14ac:dyDescent="0.25">
      <c r="A555" s="7">
        <v>43838.083333333336</v>
      </c>
      <c r="B555" s="1" t="s">
        <v>73</v>
      </c>
      <c r="C555" s="1">
        <v>473.17</v>
      </c>
      <c r="D555" s="1">
        <v>116.83</v>
      </c>
    </row>
    <row r="556" spans="1:4" x14ac:dyDescent="0.25">
      <c r="A556" s="7">
        <v>43838.083333333336</v>
      </c>
      <c r="B556" s="1" t="s">
        <v>72</v>
      </c>
      <c r="C556" s="1">
        <v>1540.02</v>
      </c>
      <c r="D556" s="1">
        <v>953.29</v>
      </c>
    </row>
    <row r="557" spans="1:4" x14ac:dyDescent="0.25">
      <c r="A557" s="7">
        <v>43838.083333333336</v>
      </c>
      <c r="B557" s="1" t="s">
        <v>71</v>
      </c>
      <c r="C557" s="1">
        <v>981.85</v>
      </c>
      <c r="D557" s="1">
        <v>380.83</v>
      </c>
    </row>
    <row r="558" spans="1:4" x14ac:dyDescent="0.25">
      <c r="A558" s="7">
        <v>43838.083333333336</v>
      </c>
      <c r="B558" s="1" t="s">
        <v>68</v>
      </c>
      <c r="C558" s="1">
        <v>805.13</v>
      </c>
      <c r="D558" s="1">
        <v>429.6</v>
      </c>
    </row>
    <row r="559" spans="1:4" x14ac:dyDescent="0.25">
      <c r="A559" s="7">
        <v>43838.083333333336</v>
      </c>
      <c r="B559" s="1" t="s">
        <v>69</v>
      </c>
      <c r="C559" s="1">
        <v>1071.27</v>
      </c>
      <c r="D559" s="1">
        <v>690.78</v>
      </c>
    </row>
    <row r="560" spans="1:4" x14ac:dyDescent="0.25">
      <c r="A560" s="7">
        <v>43838.083333333336</v>
      </c>
      <c r="B560" s="1" t="s">
        <v>70</v>
      </c>
      <c r="C560" s="1">
        <v>763.09</v>
      </c>
      <c r="D560" s="1">
        <v>366.89</v>
      </c>
    </row>
    <row r="561" spans="1:4" x14ac:dyDescent="0.25">
      <c r="A561" s="7">
        <v>43838.083333333336</v>
      </c>
      <c r="B561" s="1" t="s">
        <v>78</v>
      </c>
      <c r="C561" s="1">
        <v>243.68</v>
      </c>
      <c r="D561" s="1">
        <v>161.63999999999999</v>
      </c>
    </row>
    <row r="562" spans="1:4" x14ac:dyDescent="0.25">
      <c r="A562" s="7">
        <v>43838.083333333336</v>
      </c>
      <c r="B562" s="1" t="s">
        <v>77</v>
      </c>
      <c r="C562" s="1">
        <v>1291.06</v>
      </c>
      <c r="D562" s="1">
        <v>408.94</v>
      </c>
    </row>
    <row r="563" spans="1:4" x14ac:dyDescent="0.25">
      <c r="A563" s="7">
        <v>43838.125</v>
      </c>
      <c r="B563" s="1" t="s">
        <v>75</v>
      </c>
      <c r="C563" s="1">
        <v>101.89</v>
      </c>
      <c r="D563" s="1">
        <v>53.28</v>
      </c>
    </row>
    <row r="564" spans="1:4" x14ac:dyDescent="0.25">
      <c r="A564" s="7">
        <v>43838.125</v>
      </c>
      <c r="B564" s="1" t="s">
        <v>74</v>
      </c>
      <c r="C564" s="1">
        <v>521.5</v>
      </c>
      <c r="D564" s="1">
        <v>153.05000000000001</v>
      </c>
    </row>
    <row r="565" spans="1:4" x14ac:dyDescent="0.25">
      <c r="A565" s="7">
        <v>43838.125</v>
      </c>
      <c r="B565" s="1" t="s">
        <v>76</v>
      </c>
      <c r="C565" s="1">
        <v>747.79</v>
      </c>
      <c r="D565" s="1">
        <v>196.79</v>
      </c>
    </row>
    <row r="566" spans="1:4" x14ac:dyDescent="0.25">
      <c r="A566" s="7">
        <v>43838.125</v>
      </c>
      <c r="B566" s="1" t="s">
        <v>73</v>
      </c>
      <c r="C566" s="1">
        <v>264.99</v>
      </c>
      <c r="D566" s="1">
        <v>67.83</v>
      </c>
    </row>
    <row r="567" spans="1:4" x14ac:dyDescent="0.25">
      <c r="A567" s="7">
        <v>43838.125</v>
      </c>
      <c r="B567" s="1" t="s">
        <v>71</v>
      </c>
      <c r="C567" s="1">
        <v>577.54999999999995</v>
      </c>
      <c r="D567" s="1">
        <v>207.01</v>
      </c>
    </row>
    <row r="568" spans="1:4" x14ac:dyDescent="0.25">
      <c r="A568" s="7">
        <v>43838.125</v>
      </c>
      <c r="B568" s="1" t="s">
        <v>68</v>
      </c>
      <c r="C568" s="1">
        <v>435.21</v>
      </c>
      <c r="D568" s="1">
        <v>236.37</v>
      </c>
    </row>
    <row r="569" spans="1:4" x14ac:dyDescent="0.25">
      <c r="A569" s="7">
        <v>43838.125</v>
      </c>
      <c r="B569" s="1" t="s">
        <v>77</v>
      </c>
      <c r="C569" s="1">
        <v>716.7</v>
      </c>
      <c r="D569" s="1">
        <v>211.16</v>
      </c>
    </row>
    <row r="570" spans="1:4" x14ac:dyDescent="0.25">
      <c r="A570" s="7">
        <v>43838.125</v>
      </c>
      <c r="B570" s="1" t="s">
        <v>70</v>
      </c>
      <c r="C570" s="1">
        <v>444.77</v>
      </c>
      <c r="D570" s="1">
        <v>209.05</v>
      </c>
    </row>
    <row r="571" spans="1:4" x14ac:dyDescent="0.25">
      <c r="A571" s="7">
        <v>43838.125</v>
      </c>
      <c r="B571" s="1" t="s">
        <v>69</v>
      </c>
      <c r="C571" s="1">
        <v>584.41999999999996</v>
      </c>
      <c r="D571" s="1">
        <v>372.31</v>
      </c>
    </row>
    <row r="572" spans="1:4" x14ac:dyDescent="0.25">
      <c r="A572" s="7">
        <v>43838.125</v>
      </c>
      <c r="B572" s="1" t="s">
        <v>78</v>
      </c>
      <c r="C572" s="1">
        <v>132.27000000000001</v>
      </c>
      <c r="D572" s="1">
        <v>84.37</v>
      </c>
    </row>
    <row r="573" spans="1:4" x14ac:dyDescent="0.25">
      <c r="A573" s="7">
        <v>43838.125</v>
      </c>
      <c r="B573" s="1" t="s">
        <v>72</v>
      </c>
      <c r="C573" s="1">
        <v>835.09</v>
      </c>
      <c r="D573" s="1">
        <v>507.68</v>
      </c>
    </row>
    <row r="574" spans="1:4" x14ac:dyDescent="0.25">
      <c r="A574" s="7">
        <v>43838.166666666664</v>
      </c>
      <c r="B574" s="1" t="s">
        <v>75</v>
      </c>
      <c r="C574" s="1">
        <v>68.73</v>
      </c>
      <c r="D574" s="1">
        <v>28.86</v>
      </c>
    </row>
    <row r="575" spans="1:4" x14ac:dyDescent="0.25">
      <c r="A575" s="7">
        <v>43838.166666666664</v>
      </c>
      <c r="B575" s="1" t="s">
        <v>74</v>
      </c>
      <c r="C575" s="1">
        <v>441.86</v>
      </c>
      <c r="D575" s="1">
        <v>121.34</v>
      </c>
    </row>
    <row r="576" spans="1:4" x14ac:dyDescent="0.25">
      <c r="A576" s="7">
        <v>43838.166666666664</v>
      </c>
      <c r="B576" s="1" t="s">
        <v>76</v>
      </c>
      <c r="C576" s="1">
        <v>544.35</v>
      </c>
      <c r="D576" s="1">
        <v>112.76</v>
      </c>
    </row>
    <row r="577" spans="1:4" x14ac:dyDescent="0.25">
      <c r="A577" s="7">
        <v>43838.166666666664</v>
      </c>
      <c r="B577" s="1" t="s">
        <v>68</v>
      </c>
      <c r="C577" s="1">
        <v>402.92</v>
      </c>
      <c r="D577" s="1">
        <v>172.17</v>
      </c>
    </row>
    <row r="578" spans="1:4" x14ac:dyDescent="0.25">
      <c r="A578" s="7">
        <v>43838.166666666664</v>
      </c>
      <c r="B578" s="1" t="s">
        <v>77</v>
      </c>
      <c r="C578" s="1">
        <v>596.33000000000004</v>
      </c>
      <c r="D578" s="1">
        <v>161.41</v>
      </c>
    </row>
    <row r="579" spans="1:4" x14ac:dyDescent="0.25">
      <c r="A579" s="7">
        <v>43838.166666666664</v>
      </c>
      <c r="B579" s="1" t="s">
        <v>71</v>
      </c>
      <c r="C579" s="1">
        <v>587.26</v>
      </c>
      <c r="D579" s="1">
        <v>165.2</v>
      </c>
    </row>
    <row r="580" spans="1:4" x14ac:dyDescent="0.25">
      <c r="A580" s="7">
        <v>43838.166666666664</v>
      </c>
      <c r="B580" s="1" t="s">
        <v>70</v>
      </c>
      <c r="C580" s="1">
        <v>377.92</v>
      </c>
      <c r="D580" s="1">
        <v>157.63</v>
      </c>
    </row>
    <row r="581" spans="1:4" x14ac:dyDescent="0.25">
      <c r="A581" s="7">
        <v>43838.166666666664</v>
      </c>
      <c r="B581" s="1" t="s">
        <v>78</v>
      </c>
      <c r="C581" s="1">
        <v>94.84</v>
      </c>
      <c r="D581" s="1">
        <v>48.61</v>
      </c>
    </row>
    <row r="582" spans="1:4" x14ac:dyDescent="0.25">
      <c r="A582" s="7">
        <v>43838.166666666664</v>
      </c>
      <c r="B582" s="1" t="s">
        <v>72</v>
      </c>
      <c r="C582" s="1">
        <v>619.92999999999995</v>
      </c>
      <c r="D582" s="1">
        <v>293.5</v>
      </c>
    </row>
    <row r="583" spans="1:4" x14ac:dyDescent="0.25">
      <c r="A583" s="7">
        <v>43838.166666666664</v>
      </c>
      <c r="B583" s="1" t="s">
        <v>73</v>
      </c>
      <c r="C583" s="1">
        <v>254.92</v>
      </c>
      <c r="D583" s="1">
        <v>53.41</v>
      </c>
    </row>
    <row r="584" spans="1:4" x14ac:dyDescent="0.25">
      <c r="A584" s="7">
        <v>43838.166666666664</v>
      </c>
      <c r="B584" s="1" t="s">
        <v>69</v>
      </c>
      <c r="C584" s="1">
        <v>421.98</v>
      </c>
      <c r="D584" s="1">
        <v>239.11</v>
      </c>
    </row>
    <row r="585" spans="1:4" x14ac:dyDescent="0.25">
      <c r="A585" s="7">
        <v>43838.208333333336</v>
      </c>
      <c r="B585" s="1" t="s">
        <v>75</v>
      </c>
      <c r="C585" s="1">
        <v>184.9</v>
      </c>
      <c r="D585" s="1">
        <v>59.13</v>
      </c>
    </row>
    <row r="586" spans="1:4" x14ac:dyDescent="0.25">
      <c r="A586" s="7">
        <v>43838.208333333336</v>
      </c>
      <c r="B586" s="1" t="s">
        <v>74</v>
      </c>
      <c r="C586" s="1">
        <v>1829.03</v>
      </c>
      <c r="D586" s="1">
        <v>354.35</v>
      </c>
    </row>
    <row r="587" spans="1:4" x14ac:dyDescent="0.25">
      <c r="A587" s="7">
        <v>43838.208333333336</v>
      </c>
      <c r="B587" s="1" t="s">
        <v>68</v>
      </c>
      <c r="C587" s="1">
        <v>2145.4499999999998</v>
      </c>
      <c r="D587" s="1">
        <v>536</v>
      </c>
    </row>
    <row r="588" spans="1:4" x14ac:dyDescent="0.25">
      <c r="A588" s="7">
        <v>43838.208333333336</v>
      </c>
      <c r="B588" s="1" t="s">
        <v>77</v>
      </c>
      <c r="C588" s="1">
        <v>2460.7399999999998</v>
      </c>
      <c r="D588" s="1">
        <v>541.96</v>
      </c>
    </row>
    <row r="589" spans="1:4" x14ac:dyDescent="0.25">
      <c r="A589" s="7">
        <v>43838.208333333336</v>
      </c>
      <c r="B589" s="1" t="s">
        <v>69</v>
      </c>
      <c r="C589" s="1">
        <v>1431.54</v>
      </c>
      <c r="D589" s="1">
        <v>567.14</v>
      </c>
    </row>
    <row r="590" spans="1:4" x14ac:dyDescent="0.25">
      <c r="A590" s="7">
        <v>43838.208333333336</v>
      </c>
      <c r="B590" s="1" t="s">
        <v>70</v>
      </c>
      <c r="C590" s="1">
        <v>1594.17</v>
      </c>
      <c r="D590" s="1">
        <v>510.7</v>
      </c>
    </row>
    <row r="591" spans="1:4" x14ac:dyDescent="0.25">
      <c r="A591" s="7">
        <v>43838.208333333336</v>
      </c>
      <c r="B591" s="1" t="s">
        <v>78</v>
      </c>
      <c r="C591" s="1">
        <v>345.93</v>
      </c>
      <c r="D591" s="1">
        <v>118.12</v>
      </c>
    </row>
    <row r="592" spans="1:4" x14ac:dyDescent="0.25">
      <c r="A592" s="7">
        <v>43838.208333333336</v>
      </c>
      <c r="B592" s="1" t="s">
        <v>76</v>
      </c>
      <c r="C592" s="1">
        <v>2190.8000000000002</v>
      </c>
      <c r="D592" s="1">
        <v>345.44</v>
      </c>
    </row>
    <row r="593" spans="1:4" x14ac:dyDescent="0.25">
      <c r="A593" s="7">
        <v>43838.208333333336</v>
      </c>
      <c r="B593" s="1" t="s">
        <v>73</v>
      </c>
      <c r="C593" s="1">
        <v>1196.25</v>
      </c>
      <c r="D593" s="1">
        <v>154.37</v>
      </c>
    </row>
    <row r="594" spans="1:4" x14ac:dyDescent="0.25">
      <c r="A594" s="7">
        <v>43838.208333333336</v>
      </c>
      <c r="B594" s="1" t="s">
        <v>72</v>
      </c>
      <c r="C594" s="1">
        <v>1912.98</v>
      </c>
      <c r="D594" s="1">
        <v>743.68</v>
      </c>
    </row>
    <row r="595" spans="1:4" x14ac:dyDescent="0.25">
      <c r="A595" s="7">
        <v>43838.208333333336</v>
      </c>
      <c r="B595" s="1" t="s">
        <v>71</v>
      </c>
      <c r="C595" s="1">
        <v>3288.16</v>
      </c>
      <c r="D595" s="1">
        <v>624.87</v>
      </c>
    </row>
    <row r="596" spans="1:4" x14ac:dyDescent="0.25">
      <c r="A596" s="7">
        <v>43838.25</v>
      </c>
      <c r="B596" s="1" t="s">
        <v>75</v>
      </c>
      <c r="C596" s="1">
        <v>580.62</v>
      </c>
      <c r="D596" s="1">
        <v>161.03</v>
      </c>
    </row>
    <row r="597" spans="1:4" x14ac:dyDescent="0.25">
      <c r="A597" s="7">
        <v>43838.25</v>
      </c>
      <c r="B597" s="1" t="s">
        <v>74</v>
      </c>
      <c r="C597" s="1">
        <v>5914.2</v>
      </c>
      <c r="D597" s="1">
        <v>1036.29</v>
      </c>
    </row>
    <row r="598" spans="1:4" x14ac:dyDescent="0.25">
      <c r="A598" s="7">
        <v>43838.25</v>
      </c>
      <c r="B598" s="1" t="s">
        <v>78</v>
      </c>
      <c r="C598" s="1">
        <v>1033.9000000000001</v>
      </c>
      <c r="D598" s="1">
        <v>356.98</v>
      </c>
    </row>
    <row r="599" spans="1:4" x14ac:dyDescent="0.25">
      <c r="A599" s="7">
        <v>43838.25</v>
      </c>
      <c r="B599" s="1" t="s">
        <v>73</v>
      </c>
      <c r="C599" s="1">
        <v>4141.8</v>
      </c>
      <c r="D599" s="1">
        <v>534.32000000000005</v>
      </c>
    </row>
    <row r="600" spans="1:4" x14ac:dyDescent="0.25">
      <c r="A600" s="7">
        <v>43838.25</v>
      </c>
      <c r="B600" s="1" t="s">
        <v>71</v>
      </c>
      <c r="C600" s="1">
        <v>8203.51</v>
      </c>
      <c r="D600" s="1">
        <v>1735.11</v>
      </c>
    </row>
    <row r="601" spans="1:4" x14ac:dyDescent="0.25">
      <c r="A601" s="7">
        <v>43838.25</v>
      </c>
      <c r="B601" s="1" t="s">
        <v>69</v>
      </c>
      <c r="C601" s="1">
        <v>4265.58</v>
      </c>
      <c r="D601" s="1">
        <v>1691.53</v>
      </c>
    </row>
    <row r="602" spans="1:4" x14ac:dyDescent="0.25">
      <c r="A602" s="7">
        <v>43838.25</v>
      </c>
      <c r="B602" s="1" t="s">
        <v>72</v>
      </c>
      <c r="C602" s="1">
        <v>5385.83</v>
      </c>
      <c r="D602" s="1">
        <v>2051.25</v>
      </c>
    </row>
    <row r="603" spans="1:4" x14ac:dyDescent="0.25">
      <c r="A603" s="7">
        <v>43838.25</v>
      </c>
      <c r="B603" s="1" t="s">
        <v>76</v>
      </c>
      <c r="C603" s="1">
        <v>8698.8799999999992</v>
      </c>
      <c r="D603" s="1">
        <v>1245.57</v>
      </c>
    </row>
    <row r="604" spans="1:4" x14ac:dyDescent="0.25">
      <c r="A604" s="7">
        <v>43838.25</v>
      </c>
      <c r="B604" s="1" t="s">
        <v>68</v>
      </c>
      <c r="C604" s="1">
        <v>5713.55</v>
      </c>
      <c r="D604" s="1">
        <v>1457.23</v>
      </c>
    </row>
    <row r="605" spans="1:4" x14ac:dyDescent="0.25">
      <c r="A605" s="7">
        <v>43838.25</v>
      </c>
      <c r="B605" s="1" t="s">
        <v>77</v>
      </c>
      <c r="C605" s="1">
        <v>8289.7000000000007</v>
      </c>
      <c r="D605" s="1">
        <v>1763.53</v>
      </c>
    </row>
    <row r="606" spans="1:4" x14ac:dyDescent="0.25">
      <c r="A606" s="7">
        <v>43838.25</v>
      </c>
      <c r="B606" s="1" t="s">
        <v>70</v>
      </c>
      <c r="C606" s="1">
        <v>4796.12</v>
      </c>
      <c r="D606" s="1">
        <v>1471.43</v>
      </c>
    </row>
    <row r="607" spans="1:4" x14ac:dyDescent="0.25">
      <c r="A607" s="7">
        <v>43838.291666666664</v>
      </c>
      <c r="B607" s="1" t="s">
        <v>75</v>
      </c>
      <c r="C607" s="1">
        <v>771.04</v>
      </c>
      <c r="D607" s="1">
        <v>232.1</v>
      </c>
    </row>
    <row r="608" spans="1:4" x14ac:dyDescent="0.25">
      <c r="A608" s="7">
        <v>43838.291666666664</v>
      </c>
      <c r="B608" s="1" t="s">
        <v>74</v>
      </c>
      <c r="C608" s="1">
        <v>7513.17</v>
      </c>
      <c r="D608" s="1">
        <v>1304.31</v>
      </c>
    </row>
    <row r="609" spans="1:4" x14ac:dyDescent="0.25">
      <c r="A609" s="7">
        <v>43838.291666666664</v>
      </c>
      <c r="B609" s="1" t="s">
        <v>72</v>
      </c>
      <c r="C609" s="1">
        <v>7260.92</v>
      </c>
      <c r="D609" s="1">
        <v>3039.31</v>
      </c>
    </row>
    <row r="610" spans="1:4" x14ac:dyDescent="0.25">
      <c r="A610" s="7">
        <v>43838.291666666664</v>
      </c>
      <c r="B610" s="1" t="s">
        <v>73</v>
      </c>
      <c r="C610" s="1">
        <v>5615.52</v>
      </c>
      <c r="D610" s="1">
        <v>784.67</v>
      </c>
    </row>
    <row r="611" spans="1:4" x14ac:dyDescent="0.25">
      <c r="A611" s="7">
        <v>43838.291666666664</v>
      </c>
      <c r="B611" s="1" t="s">
        <v>68</v>
      </c>
      <c r="C611" s="1">
        <v>6035.83</v>
      </c>
      <c r="D611" s="1">
        <v>1613.49</v>
      </c>
    </row>
    <row r="612" spans="1:4" x14ac:dyDescent="0.25">
      <c r="A612" s="7">
        <v>43838.291666666664</v>
      </c>
      <c r="B612" s="1" t="s">
        <v>71</v>
      </c>
      <c r="C612" s="1">
        <v>8043.47</v>
      </c>
      <c r="D612" s="1">
        <v>1883.96</v>
      </c>
    </row>
    <row r="613" spans="1:4" x14ac:dyDescent="0.25">
      <c r="A613" s="7">
        <v>43838.291666666664</v>
      </c>
      <c r="B613" s="1" t="s">
        <v>70</v>
      </c>
      <c r="C613" s="1">
        <v>5914.17</v>
      </c>
      <c r="D613" s="1">
        <v>1932.11</v>
      </c>
    </row>
    <row r="614" spans="1:4" x14ac:dyDescent="0.25">
      <c r="A614" s="7">
        <v>43838.291666666664</v>
      </c>
      <c r="B614" s="1" t="s">
        <v>69</v>
      </c>
      <c r="C614" s="1">
        <v>5743.58</v>
      </c>
      <c r="D614" s="1">
        <v>2570.15</v>
      </c>
    </row>
    <row r="615" spans="1:4" x14ac:dyDescent="0.25">
      <c r="A615" s="7">
        <v>43838.291666666664</v>
      </c>
      <c r="B615" s="1" t="s">
        <v>78</v>
      </c>
      <c r="C615" s="1">
        <v>1353.53</v>
      </c>
      <c r="D615" s="1">
        <v>532.01</v>
      </c>
    </row>
    <row r="616" spans="1:4" x14ac:dyDescent="0.25">
      <c r="A616" s="7">
        <v>43838.291666666664</v>
      </c>
      <c r="B616" s="1" t="s">
        <v>76</v>
      </c>
      <c r="C616" s="1">
        <v>13366.92</v>
      </c>
      <c r="D616" s="1">
        <v>1957.98</v>
      </c>
    </row>
    <row r="617" spans="1:4" x14ac:dyDescent="0.25">
      <c r="A617" s="7">
        <v>43838.291666666664</v>
      </c>
      <c r="B617" s="1" t="s">
        <v>77</v>
      </c>
      <c r="C617" s="1">
        <v>11221.85</v>
      </c>
      <c r="D617" s="1">
        <v>2429.27</v>
      </c>
    </row>
    <row r="618" spans="1:4" x14ac:dyDescent="0.25">
      <c r="A618" s="7">
        <v>43838.333333333336</v>
      </c>
      <c r="B618" s="1" t="s">
        <v>75</v>
      </c>
      <c r="C618" s="1">
        <v>965.38</v>
      </c>
      <c r="D618" s="1">
        <v>355.5</v>
      </c>
    </row>
    <row r="619" spans="1:4" x14ac:dyDescent="0.25">
      <c r="A619" s="7">
        <v>43838.333333333336</v>
      </c>
      <c r="B619" s="1" t="s">
        <v>74</v>
      </c>
      <c r="C619" s="1">
        <v>6849.49</v>
      </c>
      <c r="D619" s="1">
        <v>1377.25</v>
      </c>
    </row>
    <row r="620" spans="1:4" x14ac:dyDescent="0.25">
      <c r="A620" s="7">
        <v>43838.333333333336</v>
      </c>
      <c r="B620" s="1" t="s">
        <v>76</v>
      </c>
      <c r="C620" s="1">
        <v>12366.54</v>
      </c>
      <c r="D620" s="1">
        <v>1878.56</v>
      </c>
    </row>
    <row r="621" spans="1:4" x14ac:dyDescent="0.25">
      <c r="A621" s="7">
        <v>43838.333333333336</v>
      </c>
      <c r="B621" s="1" t="s">
        <v>73</v>
      </c>
      <c r="C621" s="1">
        <v>8051.38</v>
      </c>
      <c r="D621" s="1">
        <v>1277.75</v>
      </c>
    </row>
    <row r="622" spans="1:4" x14ac:dyDescent="0.25">
      <c r="A622" s="7">
        <v>43838.333333333336</v>
      </c>
      <c r="B622" s="1" t="s">
        <v>71</v>
      </c>
      <c r="C622" s="1">
        <v>11450.09</v>
      </c>
      <c r="D622" s="1">
        <v>2798.34</v>
      </c>
    </row>
    <row r="623" spans="1:4" x14ac:dyDescent="0.25">
      <c r="A623" s="7">
        <v>43838.333333333336</v>
      </c>
      <c r="B623" s="1" t="s">
        <v>68</v>
      </c>
      <c r="C623" s="1">
        <v>10050.69</v>
      </c>
      <c r="D623" s="1">
        <v>2977.89</v>
      </c>
    </row>
    <row r="624" spans="1:4" x14ac:dyDescent="0.25">
      <c r="A624" s="7">
        <v>43838.333333333336</v>
      </c>
      <c r="B624" s="1" t="s">
        <v>77</v>
      </c>
      <c r="C624" s="1">
        <v>13786.87</v>
      </c>
      <c r="D624" s="1">
        <v>3428.65</v>
      </c>
    </row>
    <row r="625" spans="1:4" x14ac:dyDescent="0.25">
      <c r="A625" s="7">
        <v>43838.333333333336</v>
      </c>
      <c r="B625" s="1" t="s">
        <v>70</v>
      </c>
      <c r="C625" s="1">
        <v>6517.31</v>
      </c>
      <c r="D625" s="1">
        <v>2239.96</v>
      </c>
    </row>
    <row r="626" spans="1:4" x14ac:dyDescent="0.25">
      <c r="A626" s="7">
        <v>43838.333333333336</v>
      </c>
      <c r="B626" s="1" t="s">
        <v>78</v>
      </c>
      <c r="C626" s="1">
        <v>2226.2600000000002</v>
      </c>
      <c r="D626" s="1">
        <v>930.37</v>
      </c>
    </row>
    <row r="627" spans="1:4" x14ac:dyDescent="0.25">
      <c r="A627" s="7">
        <v>43838.333333333336</v>
      </c>
      <c r="B627" s="1" t="s">
        <v>72</v>
      </c>
      <c r="C627" s="1">
        <v>11192.54</v>
      </c>
      <c r="D627" s="1">
        <v>5009.1000000000004</v>
      </c>
    </row>
    <row r="628" spans="1:4" x14ac:dyDescent="0.25">
      <c r="A628" s="7">
        <v>43838.333333333336</v>
      </c>
      <c r="B628" s="1" t="s">
        <v>69</v>
      </c>
      <c r="C628" s="1">
        <v>8228.39</v>
      </c>
      <c r="D628" s="1">
        <v>4386.72</v>
      </c>
    </row>
    <row r="629" spans="1:4" x14ac:dyDescent="0.25">
      <c r="A629" s="7">
        <v>43838.375</v>
      </c>
      <c r="B629" s="1" t="s">
        <v>74</v>
      </c>
      <c r="C629" s="1">
        <v>9912.56</v>
      </c>
      <c r="D629" s="1">
        <v>2118.63</v>
      </c>
    </row>
    <row r="630" spans="1:4" x14ac:dyDescent="0.25">
      <c r="A630" s="7">
        <v>43838.375</v>
      </c>
      <c r="B630" s="1" t="s">
        <v>75</v>
      </c>
      <c r="C630" s="1">
        <v>1727.95</v>
      </c>
      <c r="D630" s="1">
        <v>630.45000000000005</v>
      </c>
    </row>
    <row r="631" spans="1:4" x14ac:dyDescent="0.25">
      <c r="A631" s="7">
        <v>43838.375</v>
      </c>
      <c r="B631" s="1" t="s">
        <v>76</v>
      </c>
      <c r="C631" s="1">
        <v>15973.36</v>
      </c>
      <c r="D631" s="1">
        <v>2619.5</v>
      </c>
    </row>
    <row r="632" spans="1:4" x14ac:dyDescent="0.25">
      <c r="A632" s="7">
        <v>43838.375</v>
      </c>
      <c r="B632" s="1" t="s">
        <v>68</v>
      </c>
      <c r="C632" s="1">
        <v>12500.24</v>
      </c>
      <c r="D632" s="1">
        <v>3983.3</v>
      </c>
    </row>
    <row r="633" spans="1:4" x14ac:dyDescent="0.25">
      <c r="A633" s="7">
        <v>43838.375</v>
      </c>
      <c r="B633" s="1" t="s">
        <v>77</v>
      </c>
      <c r="C633" s="1">
        <v>16626.631000000001</v>
      </c>
      <c r="D633" s="1">
        <v>4120.37</v>
      </c>
    </row>
    <row r="634" spans="1:4" x14ac:dyDescent="0.25">
      <c r="A634" s="7">
        <v>43838.375</v>
      </c>
      <c r="B634" s="1" t="s">
        <v>71</v>
      </c>
      <c r="C634" s="1">
        <v>17619.09</v>
      </c>
      <c r="D634" s="1">
        <v>4257.07</v>
      </c>
    </row>
    <row r="635" spans="1:4" x14ac:dyDescent="0.25">
      <c r="A635" s="7">
        <v>43838.375</v>
      </c>
      <c r="B635" s="1" t="s">
        <v>69</v>
      </c>
      <c r="C635" s="1">
        <v>9445.49</v>
      </c>
      <c r="D635" s="1">
        <v>5281.97</v>
      </c>
    </row>
    <row r="636" spans="1:4" x14ac:dyDescent="0.25">
      <c r="A636" s="7">
        <v>43838.375</v>
      </c>
      <c r="B636" s="1" t="s">
        <v>70</v>
      </c>
      <c r="C636" s="1">
        <v>8606.6299999999992</v>
      </c>
      <c r="D636" s="1">
        <v>2823.98</v>
      </c>
    </row>
    <row r="637" spans="1:4" x14ac:dyDescent="0.25">
      <c r="A637" s="7">
        <v>43838.375</v>
      </c>
      <c r="B637" s="1" t="s">
        <v>78</v>
      </c>
      <c r="C637" s="1">
        <v>3042.54</v>
      </c>
      <c r="D637" s="1">
        <v>1294.6199999999999</v>
      </c>
    </row>
    <row r="638" spans="1:4" x14ac:dyDescent="0.25">
      <c r="A638" s="7">
        <v>43838.375</v>
      </c>
      <c r="B638" s="1" t="s">
        <v>72</v>
      </c>
      <c r="C638" s="1">
        <v>13023.78</v>
      </c>
      <c r="D638" s="1">
        <v>6052.36</v>
      </c>
    </row>
    <row r="639" spans="1:4" x14ac:dyDescent="0.25">
      <c r="A639" s="7">
        <v>43838.375</v>
      </c>
      <c r="B639" s="1" t="s">
        <v>73</v>
      </c>
      <c r="C639" s="1">
        <v>10033.879999999999</v>
      </c>
      <c r="D639" s="1">
        <v>1650.16</v>
      </c>
    </row>
    <row r="640" spans="1:4" x14ac:dyDescent="0.25">
      <c r="A640" s="7">
        <v>43838.416666666664</v>
      </c>
      <c r="B640" s="1" t="s">
        <v>75</v>
      </c>
      <c r="C640" s="1">
        <v>1599.79</v>
      </c>
      <c r="D640" s="1">
        <v>572.57000000000005</v>
      </c>
    </row>
    <row r="641" spans="1:4" x14ac:dyDescent="0.25">
      <c r="A641" s="7">
        <v>43838.416666666664</v>
      </c>
      <c r="B641" s="1" t="s">
        <v>74</v>
      </c>
      <c r="C641" s="1">
        <v>10629.67</v>
      </c>
      <c r="D641" s="1">
        <v>2251.38</v>
      </c>
    </row>
    <row r="642" spans="1:4" x14ac:dyDescent="0.25">
      <c r="A642" s="7">
        <v>43838.416666666664</v>
      </c>
      <c r="B642" s="1" t="s">
        <v>76</v>
      </c>
      <c r="C642" s="1">
        <v>19469.641</v>
      </c>
      <c r="D642" s="1">
        <v>2975.14</v>
      </c>
    </row>
    <row r="643" spans="1:4" x14ac:dyDescent="0.25">
      <c r="A643" s="7">
        <v>43838.416666666664</v>
      </c>
      <c r="B643" s="1" t="s">
        <v>68</v>
      </c>
      <c r="C643" s="1">
        <v>10873.1</v>
      </c>
      <c r="D643" s="1">
        <v>3701.18</v>
      </c>
    </row>
    <row r="644" spans="1:4" x14ac:dyDescent="0.25">
      <c r="A644" s="7">
        <v>43838.416666666664</v>
      </c>
      <c r="B644" s="1" t="s">
        <v>77</v>
      </c>
      <c r="C644" s="1">
        <v>15904.73</v>
      </c>
      <c r="D644" s="1">
        <v>3818.5</v>
      </c>
    </row>
    <row r="645" spans="1:4" x14ac:dyDescent="0.25">
      <c r="A645" s="7">
        <v>43838.416666666664</v>
      </c>
      <c r="B645" s="1" t="s">
        <v>69</v>
      </c>
      <c r="C645" s="1">
        <v>8687.57</v>
      </c>
      <c r="D645" s="1">
        <v>5106.79</v>
      </c>
    </row>
    <row r="646" spans="1:4" x14ac:dyDescent="0.25">
      <c r="A646" s="7">
        <v>43838.416666666664</v>
      </c>
      <c r="B646" s="1" t="s">
        <v>70</v>
      </c>
      <c r="C646" s="1">
        <v>7516.57</v>
      </c>
      <c r="D646" s="1">
        <v>2410.9499999999998</v>
      </c>
    </row>
    <row r="647" spans="1:4" x14ac:dyDescent="0.25">
      <c r="A647" s="7">
        <v>43838.416666666664</v>
      </c>
      <c r="B647" s="1" t="s">
        <v>78</v>
      </c>
      <c r="C647" s="1">
        <v>2877.51</v>
      </c>
      <c r="D647" s="1">
        <v>1279.32</v>
      </c>
    </row>
    <row r="648" spans="1:4" x14ac:dyDescent="0.25">
      <c r="A648" s="7">
        <v>43838.416666666664</v>
      </c>
      <c r="B648" s="1" t="s">
        <v>72</v>
      </c>
      <c r="C648" s="1">
        <v>11754.91</v>
      </c>
      <c r="D648" s="1">
        <v>5662.17</v>
      </c>
    </row>
    <row r="649" spans="1:4" x14ac:dyDescent="0.25">
      <c r="A649" s="7">
        <v>43838.416666666664</v>
      </c>
      <c r="B649" s="1" t="s">
        <v>73</v>
      </c>
      <c r="C649" s="1">
        <v>8719.17</v>
      </c>
      <c r="D649" s="1">
        <v>1474.12</v>
      </c>
    </row>
    <row r="650" spans="1:4" x14ac:dyDescent="0.25">
      <c r="A650" s="7">
        <v>43838.416666666664</v>
      </c>
      <c r="B650" s="1" t="s">
        <v>71</v>
      </c>
      <c r="C650" s="1">
        <v>15354.59</v>
      </c>
      <c r="D650" s="1">
        <v>3968.93</v>
      </c>
    </row>
    <row r="651" spans="1:4" x14ac:dyDescent="0.25">
      <c r="A651" s="7">
        <v>43838.458333333336</v>
      </c>
      <c r="B651" s="1" t="s">
        <v>75</v>
      </c>
      <c r="C651" s="1">
        <v>1357.36</v>
      </c>
      <c r="D651" s="1">
        <v>499.71</v>
      </c>
    </row>
    <row r="652" spans="1:4" x14ac:dyDescent="0.25">
      <c r="A652" s="7">
        <v>43838.458333333336</v>
      </c>
      <c r="B652" s="1" t="s">
        <v>74</v>
      </c>
      <c r="C652" s="1">
        <v>9044.7999999999993</v>
      </c>
      <c r="D652" s="1">
        <v>1993.34</v>
      </c>
    </row>
    <row r="653" spans="1:4" x14ac:dyDescent="0.25">
      <c r="A653" s="7">
        <v>43838.458333333336</v>
      </c>
      <c r="B653" s="1" t="s">
        <v>78</v>
      </c>
      <c r="C653" s="1">
        <v>2589.67</v>
      </c>
      <c r="D653" s="1">
        <v>1131.78</v>
      </c>
    </row>
    <row r="654" spans="1:4" x14ac:dyDescent="0.25">
      <c r="A654" s="7">
        <v>43838.458333333336</v>
      </c>
      <c r="B654" s="1" t="s">
        <v>73</v>
      </c>
      <c r="C654" s="1">
        <v>7306.04</v>
      </c>
      <c r="D654" s="1">
        <v>1247.8399999999999</v>
      </c>
    </row>
    <row r="655" spans="1:4" x14ac:dyDescent="0.25">
      <c r="A655" s="7">
        <v>43838.458333333336</v>
      </c>
      <c r="B655" s="1" t="s">
        <v>72</v>
      </c>
      <c r="C655" s="1">
        <v>10394.58</v>
      </c>
      <c r="D655" s="1">
        <v>5026.8500000000004</v>
      </c>
    </row>
    <row r="656" spans="1:4" x14ac:dyDescent="0.25">
      <c r="A656" s="7">
        <v>43838.458333333336</v>
      </c>
      <c r="B656" s="1" t="s">
        <v>71</v>
      </c>
      <c r="C656" s="1">
        <v>12941.48</v>
      </c>
      <c r="D656" s="1">
        <v>3461.58</v>
      </c>
    </row>
    <row r="657" spans="1:4" x14ac:dyDescent="0.25">
      <c r="A657" s="7">
        <v>43838.458333333336</v>
      </c>
      <c r="B657" s="1" t="s">
        <v>68</v>
      </c>
      <c r="C657" s="1">
        <v>9589.8700000000008</v>
      </c>
      <c r="D657" s="1">
        <v>3282.38</v>
      </c>
    </row>
    <row r="658" spans="1:4" x14ac:dyDescent="0.25">
      <c r="A658" s="7">
        <v>43838.458333333336</v>
      </c>
      <c r="B658" s="1" t="s">
        <v>77</v>
      </c>
      <c r="C658" s="1">
        <v>13224.45</v>
      </c>
      <c r="D658" s="1">
        <v>3212.88</v>
      </c>
    </row>
    <row r="659" spans="1:4" x14ac:dyDescent="0.25">
      <c r="A659" s="7">
        <v>43838.458333333336</v>
      </c>
      <c r="B659" s="1" t="s">
        <v>70</v>
      </c>
      <c r="C659" s="1">
        <v>6236.18</v>
      </c>
      <c r="D659" s="1">
        <v>2072.96</v>
      </c>
    </row>
    <row r="660" spans="1:4" x14ac:dyDescent="0.25">
      <c r="A660" s="7">
        <v>43838.458333333336</v>
      </c>
      <c r="B660" s="1" t="s">
        <v>69</v>
      </c>
      <c r="C660" s="1">
        <v>7639.05</v>
      </c>
      <c r="D660" s="1">
        <v>4583.4399999999996</v>
      </c>
    </row>
    <row r="661" spans="1:4" x14ac:dyDescent="0.25">
      <c r="A661" s="7">
        <v>43838.458333333336</v>
      </c>
      <c r="B661" s="1" t="s">
        <v>76</v>
      </c>
      <c r="C661" s="1">
        <v>16212.68</v>
      </c>
      <c r="D661" s="1">
        <v>2572.0300000000002</v>
      </c>
    </row>
    <row r="662" spans="1:4" x14ac:dyDescent="0.25">
      <c r="A662" s="7">
        <v>43838.5</v>
      </c>
      <c r="B662" s="1" t="s">
        <v>75</v>
      </c>
      <c r="C662" s="1">
        <v>1241.49</v>
      </c>
      <c r="D662" s="1">
        <v>445.34</v>
      </c>
    </row>
    <row r="663" spans="1:4" x14ac:dyDescent="0.25">
      <c r="A663" s="7">
        <v>43838.5</v>
      </c>
      <c r="B663" s="1" t="s">
        <v>74</v>
      </c>
      <c r="C663" s="1">
        <v>8328.6</v>
      </c>
      <c r="D663" s="1">
        <v>1821.4</v>
      </c>
    </row>
    <row r="664" spans="1:4" x14ac:dyDescent="0.25">
      <c r="A664" s="7">
        <v>43838.5</v>
      </c>
      <c r="B664" s="1" t="s">
        <v>78</v>
      </c>
      <c r="C664" s="1">
        <v>2424.65</v>
      </c>
      <c r="D664" s="1">
        <v>1035.98</v>
      </c>
    </row>
    <row r="665" spans="1:4" x14ac:dyDescent="0.25">
      <c r="A665" s="7">
        <v>43838.5</v>
      </c>
      <c r="B665" s="1" t="s">
        <v>72</v>
      </c>
      <c r="C665" s="1">
        <v>9461.9</v>
      </c>
      <c r="D665" s="1">
        <v>4578.57</v>
      </c>
    </row>
    <row r="666" spans="1:4" x14ac:dyDescent="0.25">
      <c r="A666" s="7">
        <v>43838.5</v>
      </c>
      <c r="B666" s="1" t="s">
        <v>73</v>
      </c>
      <c r="C666" s="1">
        <v>6374.08</v>
      </c>
      <c r="D666" s="1">
        <v>1070.8499999999999</v>
      </c>
    </row>
    <row r="667" spans="1:4" x14ac:dyDescent="0.25">
      <c r="A667" s="7">
        <v>43838.5</v>
      </c>
      <c r="B667" s="1" t="s">
        <v>71</v>
      </c>
      <c r="C667" s="1">
        <v>11815.19</v>
      </c>
      <c r="D667" s="1">
        <v>3144.18</v>
      </c>
    </row>
    <row r="668" spans="1:4" x14ac:dyDescent="0.25">
      <c r="A668" s="7">
        <v>43838.5</v>
      </c>
      <c r="B668" s="1" t="s">
        <v>70</v>
      </c>
      <c r="C668" s="1">
        <v>5721.44</v>
      </c>
      <c r="D668" s="1">
        <v>1980.04</v>
      </c>
    </row>
    <row r="669" spans="1:4" x14ac:dyDescent="0.25">
      <c r="A669" s="7">
        <v>43838.5</v>
      </c>
      <c r="B669" s="1" t="s">
        <v>76</v>
      </c>
      <c r="C669" s="1">
        <v>13661.67</v>
      </c>
      <c r="D669" s="1">
        <v>2251.2399999999998</v>
      </c>
    </row>
    <row r="670" spans="1:4" x14ac:dyDescent="0.25">
      <c r="A670" s="7">
        <v>43838.5</v>
      </c>
      <c r="B670" s="1" t="s">
        <v>68</v>
      </c>
      <c r="C670" s="1">
        <v>8781.01</v>
      </c>
      <c r="D670" s="1">
        <v>2974.35</v>
      </c>
    </row>
    <row r="671" spans="1:4" x14ac:dyDescent="0.25">
      <c r="A671" s="7">
        <v>43838.5</v>
      </c>
      <c r="B671" s="1" t="s">
        <v>77</v>
      </c>
      <c r="C671" s="1">
        <v>11527.86</v>
      </c>
      <c r="D671" s="1">
        <v>2880.07</v>
      </c>
    </row>
    <row r="672" spans="1:4" x14ac:dyDescent="0.25">
      <c r="A672" s="7">
        <v>43838.5</v>
      </c>
      <c r="B672" s="1" t="s">
        <v>69</v>
      </c>
      <c r="C672" s="1">
        <v>6877.5</v>
      </c>
      <c r="D672" s="1">
        <v>4187.22</v>
      </c>
    </row>
    <row r="673" spans="1:4" x14ac:dyDescent="0.25">
      <c r="A673" s="7">
        <v>43838.541666666664</v>
      </c>
      <c r="B673" s="1" t="s">
        <v>75</v>
      </c>
      <c r="C673" s="1">
        <v>1153.3499999999999</v>
      </c>
      <c r="D673" s="1">
        <v>404.7</v>
      </c>
    </row>
    <row r="674" spans="1:4" x14ac:dyDescent="0.25">
      <c r="A674" s="7">
        <v>43838.541666666664</v>
      </c>
      <c r="B674" s="1" t="s">
        <v>74</v>
      </c>
      <c r="C674" s="1">
        <v>8121.3</v>
      </c>
      <c r="D674" s="1">
        <v>1684.85</v>
      </c>
    </row>
    <row r="675" spans="1:4" x14ac:dyDescent="0.25">
      <c r="A675" s="7">
        <v>43838.541666666664</v>
      </c>
      <c r="B675" s="1" t="s">
        <v>76</v>
      </c>
      <c r="C675" s="1">
        <v>12444.51</v>
      </c>
      <c r="D675" s="1">
        <v>2020.77</v>
      </c>
    </row>
    <row r="676" spans="1:4" x14ac:dyDescent="0.25">
      <c r="A676" s="7">
        <v>43838.541666666664</v>
      </c>
      <c r="B676" s="1" t="s">
        <v>68</v>
      </c>
      <c r="C676" s="1">
        <v>7741.02</v>
      </c>
      <c r="D676" s="1">
        <v>2501.58</v>
      </c>
    </row>
    <row r="677" spans="1:4" x14ac:dyDescent="0.25">
      <c r="A677" s="7">
        <v>43838.541666666664</v>
      </c>
      <c r="B677" s="1" t="s">
        <v>77</v>
      </c>
      <c r="C677" s="1">
        <v>10591.55</v>
      </c>
      <c r="D677" s="1">
        <v>2679.8</v>
      </c>
    </row>
    <row r="678" spans="1:4" x14ac:dyDescent="0.25">
      <c r="A678" s="7">
        <v>43838.541666666664</v>
      </c>
      <c r="B678" s="1" t="s">
        <v>71</v>
      </c>
      <c r="C678" s="1">
        <v>10723.22</v>
      </c>
      <c r="D678" s="1">
        <v>2713.02</v>
      </c>
    </row>
    <row r="679" spans="1:4" x14ac:dyDescent="0.25">
      <c r="A679" s="7">
        <v>43838.541666666664</v>
      </c>
      <c r="B679" s="1" t="s">
        <v>70</v>
      </c>
      <c r="C679" s="1">
        <v>5449.46</v>
      </c>
      <c r="D679" s="1">
        <v>1867.76</v>
      </c>
    </row>
    <row r="680" spans="1:4" x14ac:dyDescent="0.25">
      <c r="A680" s="7">
        <v>43838.541666666664</v>
      </c>
      <c r="B680" s="1" t="s">
        <v>78</v>
      </c>
      <c r="C680" s="1">
        <v>2288.62</v>
      </c>
      <c r="D680" s="1">
        <v>955.57</v>
      </c>
    </row>
    <row r="681" spans="1:4" x14ac:dyDescent="0.25">
      <c r="A681" s="7">
        <v>43838.541666666664</v>
      </c>
      <c r="B681" s="1" t="s">
        <v>72</v>
      </c>
      <c r="C681" s="1">
        <v>8673.8700000000008</v>
      </c>
      <c r="D681" s="1">
        <v>4216.67</v>
      </c>
    </row>
    <row r="682" spans="1:4" x14ac:dyDescent="0.25">
      <c r="A682" s="7">
        <v>43838.541666666664</v>
      </c>
      <c r="B682" s="1" t="s">
        <v>73</v>
      </c>
      <c r="C682" s="1">
        <v>5449.23</v>
      </c>
      <c r="D682" s="1">
        <v>872.16</v>
      </c>
    </row>
    <row r="683" spans="1:4" x14ac:dyDescent="0.25">
      <c r="A683" s="7">
        <v>43838.541666666664</v>
      </c>
      <c r="B683" s="1" t="s">
        <v>69</v>
      </c>
      <c r="C683" s="1">
        <v>6223.81</v>
      </c>
      <c r="D683" s="1">
        <v>3688.39</v>
      </c>
    </row>
    <row r="684" spans="1:4" x14ac:dyDescent="0.25">
      <c r="A684" s="7">
        <v>43838.583333333336</v>
      </c>
      <c r="B684" s="1" t="s">
        <v>75</v>
      </c>
      <c r="C684" s="1">
        <v>1278.6300000000001</v>
      </c>
      <c r="D684" s="1">
        <v>448.48</v>
      </c>
    </row>
    <row r="685" spans="1:4" x14ac:dyDescent="0.25">
      <c r="A685" s="7">
        <v>43838.583333333336</v>
      </c>
      <c r="B685" s="1" t="s">
        <v>74</v>
      </c>
      <c r="C685" s="1">
        <v>9318.57</v>
      </c>
      <c r="D685" s="1">
        <v>1894.43</v>
      </c>
    </row>
    <row r="686" spans="1:4" x14ac:dyDescent="0.25">
      <c r="A686" s="7">
        <v>43838.583333333336</v>
      </c>
      <c r="B686" s="1" t="s">
        <v>76</v>
      </c>
      <c r="C686" s="1">
        <v>13373.91</v>
      </c>
      <c r="D686" s="1">
        <v>2178.23</v>
      </c>
    </row>
    <row r="687" spans="1:4" x14ac:dyDescent="0.25">
      <c r="A687" s="7">
        <v>43838.583333333336</v>
      </c>
      <c r="B687" s="1" t="s">
        <v>68</v>
      </c>
      <c r="C687" s="1">
        <v>8478.5300000000007</v>
      </c>
      <c r="D687" s="1">
        <v>2530.1999999999998</v>
      </c>
    </row>
    <row r="688" spans="1:4" x14ac:dyDescent="0.25">
      <c r="A688" s="7">
        <v>43838.583333333336</v>
      </c>
      <c r="B688" s="1" t="s">
        <v>77</v>
      </c>
      <c r="C688" s="1">
        <v>11811.45</v>
      </c>
      <c r="D688" s="1">
        <v>2865.52</v>
      </c>
    </row>
    <row r="689" spans="1:4" x14ac:dyDescent="0.25">
      <c r="A689" s="7">
        <v>43838.583333333336</v>
      </c>
      <c r="B689" s="1" t="s">
        <v>70</v>
      </c>
      <c r="C689" s="1">
        <v>6815.15</v>
      </c>
      <c r="D689" s="1">
        <v>2279.6799999999998</v>
      </c>
    </row>
    <row r="690" spans="1:4" x14ac:dyDescent="0.25">
      <c r="A690" s="7">
        <v>43838.583333333336</v>
      </c>
      <c r="B690" s="1" t="s">
        <v>69</v>
      </c>
      <c r="C690" s="1">
        <v>7099</v>
      </c>
      <c r="D690" s="1">
        <v>3880.97</v>
      </c>
    </row>
    <row r="691" spans="1:4" x14ac:dyDescent="0.25">
      <c r="A691" s="7">
        <v>43838.583333333336</v>
      </c>
      <c r="B691" s="1" t="s">
        <v>78</v>
      </c>
      <c r="C691" s="1">
        <v>2683.61</v>
      </c>
      <c r="D691" s="1">
        <v>1067.28</v>
      </c>
    </row>
    <row r="692" spans="1:4" x14ac:dyDescent="0.25">
      <c r="A692" s="7">
        <v>43838.583333333336</v>
      </c>
      <c r="B692" s="1" t="s">
        <v>73</v>
      </c>
      <c r="C692" s="1">
        <v>6203.92</v>
      </c>
      <c r="D692" s="1">
        <v>932.99</v>
      </c>
    </row>
    <row r="693" spans="1:4" x14ac:dyDescent="0.25">
      <c r="A693" s="7">
        <v>43838.583333333336</v>
      </c>
      <c r="B693" s="1" t="s">
        <v>72</v>
      </c>
      <c r="C693" s="1">
        <v>9881.52</v>
      </c>
      <c r="D693" s="1">
        <v>4655.21</v>
      </c>
    </row>
    <row r="694" spans="1:4" x14ac:dyDescent="0.25">
      <c r="A694" s="7">
        <v>43838.583333333336</v>
      </c>
      <c r="B694" s="1" t="s">
        <v>71</v>
      </c>
      <c r="C694" s="1">
        <v>11641.11</v>
      </c>
      <c r="D694" s="1">
        <v>2844.79</v>
      </c>
    </row>
    <row r="695" spans="1:4" x14ac:dyDescent="0.25">
      <c r="A695" s="7">
        <v>43838.625</v>
      </c>
      <c r="B695" s="1" t="s">
        <v>74</v>
      </c>
      <c r="C695" s="1">
        <v>10371.469999999999</v>
      </c>
      <c r="D695" s="1">
        <v>2106.9299999999998</v>
      </c>
    </row>
    <row r="696" spans="1:4" x14ac:dyDescent="0.25">
      <c r="A696" s="7">
        <v>43838.625</v>
      </c>
      <c r="B696" s="1" t="s">
        <v>75</v>
      </c>
      <c r="C696" s="1">
        <v>1370.26</v>
      </c>
      <c r="D696" s="1">
        <v>492.15</v>
      </c>
    </row>
    <row r="697" spans="1:4" x14ac:dyDescent="0.25">
      <c r="A697" s="7">
        <v>43838.625</v>
      </c>
      <c r="B697" s="1" t="s">
        <v>72</v>
      </c>
      <c r="C697" s="1">
        <v>10953.09</v>
      </c>
      <c r="D697" s="1">
        <v>5197.75</v>
      </c>
    </row>
    <row r="698" spans="1:4" x14ac:dyDescent="0.25">
      <c r="A698" s="7">
        <v>43838.625</v>
      </c>
      <c r="B698" s="1" t="s">
        <v>76</v>
      </c>
      <c r="C698" s="1">
        <v>14668.81</v>
      </c>
      <c r="D698" s="1">
        <v>2416.41</v>
      </c>
    </row>
    <row r="699" spans="1:4" x14ac:dyDescent="0.25">
      <c r="A699" s="7">
        <v>43838.625</v>
      </c>
      <c r="B699" s="1" t="s">
        <v>73</v>
      </c>
      <c r="C699" s="1">
        <v>7298.25</v>
      </c>
      <c r="D699" s="1">
        <v>1116.1500000000001</v>
      </c>
    </row>
    <row r="700" spans="1:4" x14ac:dyDescent="0.25">
      <c r="A700" s="7">
        <v>43838.625</v>
      </c>
      <c r="B700" s="1" t="s">
        <v>68</v>
      </c>
      <c r="C700" s="1">
        <v>9257.5300000000007</v>
      </c>
      <c r="D700" s="1">
        <v>2793.39</v>
      </c>
    </row>
    <row r="701" spans="1:4" x14ac:dyDescent="0.25">
      <c r="A701" s="7">
        <v>43838.625</v>
      </c>
      <c r="B701" s="1" t="s">
        <v>77</v>
      </c>
      <c r="C701" s="1">
        <v>12982.12</v>
      </c>
      <c r="D701" s="1">
        <v>3160.6</v>
      </c>
    </row>
    <row r="702" spans="1:4" x14ac:dyDescent="0.25">
      <c r="A702" s="7">
        <v>43838.625</v>
      </c>
      <c r="B702" s="1" t="s">
        <v>71</v>
      </c>
      <c r="C702" s="1">
        <v>12587.99</v>
      </c>
      <c r="D702" s="1">
        <v>3160.24</v>
      </c>
    </row>
    <row r="703" spans="1:4" x14ac:dyDescent="0.25">
      <c r="A703" s="7">
        <v>43838.625</v>
      </c>
      <c r="B703" s="1" t="s">
        <v>70</v>
      </c>
      <c r="C703" s="1">
        <v>8130.24</v>
      </c>
      <c r="D703" s="1">
        <v>2680.79</v>
      </c>
    </row>
    <row r="704" spans="1:4" x14ac:dyDescent="0.25">
      <c r="A704" s="7">
        <v>43838.625</v>
      </c>
      <c r="B704" s="1" t="s">
        <v>69</v>
      </c>
      <c r="C704" s="1">
        <v>7861.15</v>
      </c>
      <c r="D704" s="1">
        <v>4249.63</v>
      </c>
    </row>
    <row r="705" spans="1:4" x14ac:dyDescent="0.25">
      <c r="A705" s="7">
        <v>43838.625</v>
      </c>
      <c r="B705" s="1" t="s">
        <v>78</v>
      </c>
      <c r="C705" s="1">
        <v>2938.85</v>
      </c>
      <c r="D705" s="1">
        <v>1192.99</v>
      </c>
    </row>
    <row r="706" spans="1:4" x14ac:dyDescent="0.25">
      <c r="A706" s="7">
        <v>43838.666666666664</v>
      </c>
      <c r="B706" s="1" t="s">
        <v>75</v>
      </c>
      <c r="C706" s="1">
        <v>1408.38</v>
      </c>
      <c r="D706" s="1">
        <v>531.61</v>
      </c>
    </row>
    <row r="707" spans="1:4" x14ac:dyDescent="0.25">
      <c r="A707" s="7">
        <v>43838.666666666664</v>
      </c>
      <c r="B707" s="1" t="s">
        <v>74</v>
      </c>
      <c r="C707" s="1">
        <v>11080.16</v>
      </c>
      <c r="D707" s="1">
        <v>2354.08</v>
      </c>
    </row>
    <row r="708" spans="1:4" x14ac:dyDescent="0.25">
      <c r="A708" s="7">
        <v>43838.666666666664</v>
      </c>
      <c r="B708" s="1" t="s">
        <v>72</v>
      </c>
      <c r="C708" s="1">
        <v>11695.43</v>
      </c>
      <c r="D708" s="1">
        <v>5603.13</v>
      </c>
    </row>
    <row r="709" spans="1:4" x14ac:dyDescent="0.25">
      <c r="A709" s="7">
        <v>43838.666666666664</v>
      </c>
      <c r="B709" s="1" t="s">
        <v>73</v>
      </c>
      <c r="C709" s="1">
        <v>8066.02</v>
      </c>
      <c r="D709" s="1">
        <v>1326.24</v>
      </c>
    </row>
    <row r="710" spans="1:4" x14ac:dyDescent="0.25">
      <c r="A710" s="7">
        <v>43838.666666666664</v>
      </c>
      <c r="B710" s="1" t="s">
        <v>68</v>
      </c>
      <c r="C710" s="1">
        <v>9664.7999999999993</v>
      </c>
      <c r="D710" s="1">
        <v>3135.33</v>
      </c>
    </row>
    <row r="711" spans="1:4" x14ac:dyDescent="0.25">
      <c r="A711" s="7">
        <v>43838.666666666664</v>
      </c>
      <c r="B711" s="1" t="s">
        <v>77</v>
      </c>
      <c r="C711" s="1">
        <v>14176.12</v>
      </c>
      <c r="D711" s="1">
        <v>3468.9</v>
      </c>
    </row>
    <row r="712" spans="1:4" x14ac:dyDescent="0.25">
      <c r="A712" s="7">
        <v>43838.666666666664</v>
      </c>
      <c r="B712" s="1" t="s">
        <v>71</v>
      </c>
      <c r="C712" s="1">
        <v>13468.69</v>
      </c>
      <c r="D712" s="1">
        <v>3529.87</v>
      </c>
    </row>
    <row r="713" spans="1:4" x14ac:dyDescent="0.25">
      <c r="A713" s="7">
        <v>43838.666666666664</v>
      </c>
      <c r="B713" s="1" t="s">
        <v>69</v>
      </c>
      <c r="C713" s="1">
        <v>8316.17</v>
      </c>
      <c r="D713" s="1">
        <v>4493.53</v>
      </c>
    </row>
    <row r="714" spans="1:4" x14ac:dyDescent="0.25">
      <c r="A714" s="7">
        <v>43838.666666666664</v>
      </c>
      <c r="B714" s="1" t="s">
        <v>70</v>
      </c>
      <c r="C714" s="1">
        <v>8691.4699999999993</v>
      </c>
      <c r="D714" s="1">
        <v>2991.71</v>
      </c>
    </row>
    <row r="715" spans="1:4" x14ac:dyDescent="0.25">
      <c r="A715" s="7">
        <v>43838.666666666664</v>
      </c>
      <c r="B715" s="1" t="s">
        <v>78</v>
      </c>
      <c r="C715" s="1">
        <v>2942.87</v>
      </c>
      <c r="D715" s="1">
        <v>1256.6500000000001</v>
      </c>
    </row>
    <row r="716" spans="1:4" x14ac:dyDescent="0.25">
      <c r="A716" s="7">
        <v>43838.666666666664</v>
      </c>
      <c r="B716" s="1" t="s">
        <v>76</v>
      </c>
      <c r="C716" s="1">
        <v>15934.3</v>
      </c>
      <c r="D716" s="1">
        <v>2687.58</v>
      </c>
    </row>
    <row r="717" spans="1:4" x14ac:dyDescent="0.25">
      <c r="A717" s="7">
        <v>43838.708333333336</v>
      </c>
      <c r="B717" s="1" t="s">
        <v>75</v>
      </c>
      <c r="C717" s="1">
        <v>1390.41</v>
      </c>
      <c r="D717" s="1">
        <v>531.36</v>
      </c>
    </row>
    <row r="718" spans="1:4" x14ac:dyDescent="0.25">
      <c r="A718" s="7">
        <v>43838.708333333336</v>
      </c>
      <c r="B718" s="1" t="s">
        <v>74</v>
      </c>
      <c r="C718" s="1">
        <v>11567.02</v>
      </c>
      <c r="D718" s="1">
        <v>2520.1799999999998</v>
      </c>
    </row>
    <row r="719" spans="1:4" x14ac:dyDescent="0.25">
      <c r="A719" s="7">
        <v>43838.708333333336</v>
      </c>
      <c r="B719" s="1" t="s">
        <v>78</v>
      </c>
      <c r="C719" s="1">
        <v>3205.28</v>
      </c>
      <c r="D719" s="1">
        <v>1368.66</v>
      </c>
    </row>
    <row r="720" spans="1:4" x14ac:dyDescent="0.25">
      <c r="A720" s="7">
        <v>43838.708333333336</v>
      </c>
      <c r="B720" s="1" t="s">
        <v>73</v>
      </c>
      <c r="C720" s="1">
        <v>8268.36</v>
      </c>
      <c r="D720" s="1">
        <v>1529.4</v>
      </c>
    </row>
    <row r="721" spans="1:4" x14ac:dyDescent="0.25">
      <c r="A721" s="7">
        <v>43838.708333333336</v>
      </c>
      <c r="B721" s="1" t="s">
        <v>71</v>
      </c>
      <c r="C721" s="1">
        <v>13667.7</v>
      </c>
      <c r="D721" s="1">
        <v>3905.9</v>
      </c>
    </row>
    <row r="722" spans="1:4" x14ac:dyDescent="0.25">
      <c r="A722" s="7">
        <v>43838.708333333336</v>
      </c>
      <c r="B722" s="1" t="s">
        <v>77</v>
      </c>
      <c r="C722" s="1">
        <v>15218.15</v>
      </c>
      <c r="D722" s="1">
        <v>3733.22</v>
      </c>
    </row>
    <row r="723" spans="1:4" x14ac:dyDescent="0.25">
      <c r="A723" s="7">
        <v>43838.708333333336</v>
      </c>
      <c r="B723" s="1" t="s">
        <v>76</v>
      </c>
      <c r="C723" s="1">
        <v>16838.84</v>
      </c>
      <c r="D723" s="1">
        <v>3009.52</v>
      </c>
    </row>
    <row r="724" spans="1:4" x14ac:dyDescent="0.25">
      <c r="A724" s="7">
        <v>43838.708333333336</v>
      </c>
      <c r="B724" s="1" t="s">
        <v>72</v>
      </c>
      <c r="C724" s="1">
        <v>12188.19</v>
      </c>
      <c r="D724" s="1">
        <v>6006.96</v>
      </c>
    </row>
    <row r="725" spans="1:4" x14ac:dyDescent="0.25">
      <c r="A725" s="7">
        <v>43838.708333333336</v>
      </c>
      <c r="B725" s="1" t="s">
        <v>68</v>
      </c>
      <c r="C725" s="1">
        <v>9912.51</v>
      </c>
      <c r="D725" s="1">
        <v>3517.26</v>
      </c>
    </row>
    <row r="726" spans="1:4" x14ac:dyDescent="0.25">
      <c r="A726" s="7">
        <v>43838.708333333336</v>
      </c>
      <c r="B726" s="1" t="s">
        <v>70</v>
      </c>
      <c r="C726" s="1">
        <v>9067.5400000000009</v>
      </c>
      <c r="D726" s="1">
        <v>3315.92</v>
      </c>
    </row>
    <row r="727" spans="1:4" x14ac:dyDescent="0.25">
      <c r="A727" s="7">
        <v>43838.708333333336</v>
      </c>
      <c r="B727" s="1" t="s">
        <v>69</v>
      </c>
      <c r="C727" s="1">
        <v>8732.7800000000007</v>
      </c>
      <c r="D727" s="1">
        <v>4818.43</v>
      </c>
    </row>
    <row r="728" spans="1:4" x14ac:dyDescent="0.25">
      <c r="A728" s="7">
        <v>43838.75</v>
      </c>
      <c r="B728" s="1" t="s">
        <v>75</v>
      </c>
      <c r="C728" s="1">
        <v>1396.99</v>
      </c>
      <c r="D728" s="1">
        <v>533.07000000000005</v>
      </c>
    </row>
    <row r="729" spans="1:4" x14ac:dyDescent="0.25">
      <c r="A729" s="7">
        <v>43838.75</v>
      </c>
      <c r="B729" s="1" t="s">
        <v>74</v>
      </c>
      <c r="C729" s="1">
        <v>12199.11</v>
      </c>
      <c r="D729" s="1">
        <v>2767.25</v>
      </c>
    </row>
    <row r="730" spans="1:4" x14ac:dyDescent="0.25">
      <c r="A730" s="7">
        <v>43838.75</v>
      </c>
      <c r="B730" s="1" t="s">
        <v>78</v>
      </c>
      <c r="C730" s="1">
        <v>3283.45</v>
      </c>
      <c r="D730" s="1">
        <v>1444.78</v>
      </c>
    </row>
    <row r="731" spans="1:4" x14ac:dyDescent="0.25">
      <c r="A731" s="7">
        <v>43838.75</v>
      </c>
      <c r="B731" s="1" t="s">
        <v>71</v>
      </c>
      <c r="C731" s="1">
        <v>14064.79</v>
      </c>
      <c r="D731" s="1">
        <v>4129.43</v>
      </c>
    </row>
    <row r="732" spans="1:4" x14ac:dyDescent="0.25">
      <c r="A732" s="7">
        <v>43838.75</v>
      </c>
      <c r="B732" s="1" t="s">
        <v>69</v>
      </c>
      <c r="C732" s="1">
        <v>9301.64</v>
      </c>
      <c r="D732" s="1">
        <v>5218.8999999999996</v>
      </c>
    </row>
    <row r="733" spans="1:4" x14ac:dyDescent="0.25">
      <c r="A733" s="7">
        <v>43838.75</v>
      </c>
      <c r="B733" s="1" t="s">
        <v>70</v>
      </c>
      <c r="C733" s="1">
        <v>9446.3799999999992</v>
      </c>
      <c r="D733" s="1">
        <v>3458.32</v>
      </c>
    </row>
    <row r="734" spans="1:4" x14ac:dyDescent="0.25">
      <c r="A734" s="7">
        <v>43838.75</v>
      </c>
      <c r="B734" s="1" t="s">
        <v>76</v>
      </c>
      <c r="C734" s="1">
        <v>17679.881000000001</v>
      </c>
      <c r="D734" s="1">
        <v>3249.56</v>
      </c>
    </row>
    <row r="735" spans="1:4" x14ac:dyDescent="0.25">
      <c r="A735" s="7">
        <v>43838.75</v>
      </c>
      <c r="B735" s="1" t="s">
        <v>72</v>
      </c>
      <c r="C735" s="1">
        <v>12997.58</v>
      </c>
      <c r="D735" s="1">
        <v>6454.73</v>
      </c>
    </row>
    <row r="736" spans="1:4" x14ac:dyDescent="0.25">
      <c r="A736" s="7">
        <v>43838.75</v>
      </c>
      <c r="B736" s="1" t="s">
        <v>73</v>
      </c>
      <c r="C736" s="1">
        <v>8396.18</v>
      </c>
      <c r="D736" s="1">
        <v>1581.1</v>
      </c>
    </row>
    <row r="737" spans="1:4" x14ac:dyDescent="0.25">
      <c r="A737" s="7">
        <v>43838.75</v>
      </c>
      <c r="B737" s="1" t="s">
        <v>68</v>
      </c>
      <c r="C737" s="1">
        <v>10396.209999999999</v>
      </c>
      <c r="D737" s="1">
        <v>3797.65</v>
      </c>
    </row>
    <row r="738" spans="1:4" x14ac:dyDescent="0.25">
      <c r="A738" s="7">
        <v>43838.75</v>
      </c>
      <c r="B738" s="1" t="s">
        <v>77</v>
      </c>
      <c r="C738" s="1">
        <v>15913.76</v>
      </c>
      <c r="D738" s="1">
        <v>3921.32</v>
      </c>
    </row>
    <row r="739" spans="1:4" x14ac:dyDescent="0.25">
      <c r="A739" s="7">
        <v>43838.791666666664</v>
      </c>
      <c r="B739" s="1" t="s">
        <v>75</v>
      </c>
      <c r="C739" s="1">
        <v>2339.1</v>
      </c>
      <c r="D739" s="1">
        <v>816.92</v>
      </c>
    </row>
    <row r="740" spans="1:4" x14ac:dyDescent="0.25">
      <c r="A740" s="7">
        <v>43838.791666666664</v>
      </c>
      <c r="B740" s="1" t="s">
        <v>74</v>
      </c>
      <c r="C740" s="1">
        <v>17178.66</v>
      </c>
      <c r="D740" s="1">
        <v>3554.31</v>
      </c>
    </row>
    <row r="741" spans="1:4" x14ac:dyDescent="0.25">
      <c r="A741" s="7">
        <v>43838.791666666664</v>
      </c>
      <c r="B741" s="1" t="s">
        <v>68</v>
      </c>
      <c r="C741" s="1">
        <v>16206.05</v>
      </c>
      <c r="D741" s="1">
        <v>5159.1000000000004</v>
      </c>
    </row>
    <row r="742" spans="1:4" x14ac:dyDescent="0.25">
      <c r="A742" s="7">
        <v>43838.791666666664</v>
      </c>
      <c r="B742" s="1" t="s">
        <v>77</v>
      </c>
      <c r="C742" s="1">
        <v>23562.028999999999</v>
      </c>
      <c r="D742" s="1">
        <v>5411.52</v>
      </c>
    </row>
    <row r="743" spans="1:4" x14ac:dyDescent="0.25">
      <c r="A743" s="7">
        <v>43838.791666666664</v>
      </c>
      <c r="B743" s="1" t="s">
        <v>71</v>
      </c>
      <c r="C743" s="1">
        <v>21822.15</v>
      </c>
      <c r="D743" s="1">
        <v>5650.88</v>
      </c>
    </row>
    <row r="744" spans="1:4" x14ac:dyDescent="0.25">
      <c r="A744" s="7">
        <v>43838.791666666664</v>
      </c>
      <c r="B744" s="1" t="s">
        <v>69</v>
      </c>
      <c r="C744" s="1">
        <v>13254.69</v>
      </c>
      <c r="D744" s="1">
        <v>6861.07</v>
      </c>
    </row>
    <row r="745" spans="1:4" x14ac:dyDescent="0.25">
      <c r="A745" s="7">
        <v>43838.791666666664</v>
      </c>
      <c r="B745" s="1" t="s">
        <v>70</v>
      </c>
      <c r="C745" s="1">
        <v>16062.21</v>
      </c>
      <c r="D745" s="1">
        <v>5191.37</v>
      </c>
    </row>
    <row r="746" spans="1:4" x14ac:dyDescent="0.25">
      <c r="A746" s="7">
        <v>43838.791666666664</v>
      </c>
      <c r="B746" s="1" t="s">
        <v>78</v>
      </c>
      <c r="C746" s="1">
        <v>5000.37</v>
      </c>
      <c r="D746" s="1">
        <v>2127</v>
      </c>
    </row>
    <row r="747" spans="1:4" x14ac:dyDescent="0.25">
      <c r="A747" s="7">
        <v>43838.791666666664</v>
      </c>
      <c r="B747" s="1" t="s">
        <v>76</v>
      </c>
      <c r="C747" s="1">
        <v>26023.938999999998</v>
      </c>
      <c r="D747" s="1">
        <v>4333.3100000000004</v>
      </c>
    </row>
    <row r="748" spans="1:4" x14ac:dyDescent="0.25">
      <c r="A748" s="7">
        <v>43838.791666666664</v>
      </c>
      <c r="B748" s="1" t="s">
        <v>72</v>
      </c>
      <c r="C748" s="1">
        <v>18875.830000000002</v>
      </c>
      <c r="D748" s="1">
        <v>8618.26</v>
      </c>
    </row>
    <row r="749" spans="1:4" x14ac:dyDescent="0.25">
      <c r="A749" s="7">
        <v>43838.791666666664</v>
      </c>
      <c r="B749" s="1" t="s">
        <v>73</v>
      </c>
      <c r="C749" s="1">
        <v>13094.22</v>
      </c>
      <c r="D749" s="1">
        <v>2155.4299999999998</v>
      </c>
    </row>
    <row r="750" spans="1:4" x14ac:dyDescent="0.25">
      <c r="A750" s="7">
        <v>43838.833333333336</v>
      </c>
      <c r="B750" s="1" t="s">
        <v>75</v>
      </c>
      <c r="C750" s="1">
        <v>2431.6999999999998</v>
      </c>
      <c r="D750" s="1">
        <v>858.28</v>
      </c>
    </row>
    <row r="751" spans="1:4" x14ac:dyDescent="0.25">
      <c r="A751" s="7">
        <v>43838.833333333336</v>
      </c>
      <c r="B751" s="1" t="s">
        <v>74</v>
      </c>
      <c r="C751" s="1">
        <v>18654.311000000002</v>
      </c>
      <c r="D751" s="1">
        <v>3867.11</v>
      </c>
    </row>
    <row r="752" spans="1:4" x14ac:dyDescent="0.25">
      <c r="A752" s="7">
        <v>43838.833333333336</v>
      </c>
      <c r="B752" s="1" t="s">
        <v>76</v>
      </c>
      <c r="C752" s="1">
        <v>26728.631000000001</v>
      </c>
      <c r="D752" s="1">
        <v>4456.08</v>
      </c>
    </row>
    <row r="753" spans="1:4" x14ac:dyDescent="0.25">
      <c r="A753" s="7">
        <v>43838.833333333336</v>
      </c>
      <c r="B753" s="1" t="s">
        <v>73</v>
      </c>
      <c r="C753" s="1">
        <v>13454.71</v>
      </c>
      <c r="D753" s="1">
        <v>2211.16</v>
      </c>
    </row>
    <row r="754" spans="1:4" x14ac:dyDescent="0.25">
      <c r="A754" s="7">
        <v>43838.833333333336</v>
      </c>
      <c r="B754" s="1" t="s">
        <v>72</v>
      </c>
      <c r="C754" s="1">
        <v>19225.580000000002</v>
      </c>
      <c r="D754" s="1">
        <v>8779</v>
      </c>
    </row>
    <row r="755" spans="1:4" x14ac:dyDescent="0.25">
      <c r="A755" s="7">
        <v>43838.833333333336</v>
      </c>
      <c r="B755" s="1" t="s">
        <v>68</v>
      </c>
      <c r="C755" s="1">
        <v>17068.919999999998</v>
      </c>
      <c r="D755" s="1">
        <v>5433.77</v>
      </c>
    </row>
    <row r="756" spans="1:4" x14ac:dyDescent="0.25">
      <c r="A756" s="7">
        <v>43838.833333333336</v>
      </c>
      <c r="B756" s="1" t="s">
        <v>77</v>
      </c>
      <c r="C756" s="1">
        <v>23452.381000000001</v>
      </c>
      <c r="D756" s="1">
        <v>5417.88</v>
      </c>
    </row>
    <row r="757" spans="1:4" x14ac:dyDescent="0.25">
      <c r="A757" s="7">
        <v>43838.833333333336</v>
      </c>
      <c r="B757" s="1" t="s">
        <v>71</v>
      </c>
      <c r="C757" s="1">
        <v>22408.49</v>
      </c>
      <c r="D757" s="1">
        <v>5808.9</v>
      </c>
    </row>
    <row r="758" spans="1:4" x14ac:dyDescent="0.25">
      <c r="A758" s="7">
        <v>43838.833333333336</v>
      </c>
      <c r="B758" s="1" t="s">
        <v>70</v>
      </c>
      <c r="C758" s="1">
        <v>16129.09</v>
      </c>
      <c r="D758" s="1">
        <v>5343.35</v>
      </c>
    </row>
    <row r="759" spans="1:4" x14ac:dyDescent="0.25">
      <c r="A759" s="7">
        <v>43838.833333333336</v>
      </c>
      <c r="B759" s="1" t="s">
        <v>69</v>
      </c>
      <c r="C759" s="1">
        <v>13813.91</v>
      </c>
      <c r="D759" s="1">
        <v>7424.47</v>
      </c>
    </row>
    <row r="760" spans="1:4" x14ac:dyDescent="0.25">
      <c r="A760" s="7">
        <v>43838.833333333336</v>
      </c>
      <c r="B760" s="1" t="s">
        <v>78</v>
      </c>
      <c r="C760" s="1">
        <v>5097.54</v>
      </c>
      <c r="D760" s="1">
        <v>2300.73</v>
      </c>
    </row>
    <row r="761" spans="1:4" x14ac:dyDescent="0.25">
      <c r="A761" s="7">
        <v>43838.875</v>
      </c>
      <c r="B761" s="1" t="s">
        <v>75</v>
      </c>
      <c r="C761" s="1">
        <v>2273.92</v>
      </c>
      <c r="D761" s="1">
        <v>783.9</v>
      </c>
    </row>
    <row r="762" spans="1:4" x14ac:dyDescent="0.25">
      <c r="A762" s="7">
        <v>43838.875</v>
      </c>
      <c r="B762" s="1" t="s">
        <v>74</v>
      </c>
      <c r="C762" s="1">
        <v>15970.55</v>
      </c>
      <c r="D762" s="1">
        <v>3364.82</v>
      </c>
    </row>
    <row r="763" spans="1:4" x14ac:dyDescent="0.25">
      <c r="A763" s="7">
        <v>43838.875</v>
      </c>
      <c r="B763" s="1" t="s">
        <v>76</v>
      </c>
      <c r="C763" s="1">
        <v>23699.34</v>
      </c>
      <c r="D763" s="1">
        <v>3861.11</v>
      </c>
    </row>
    <row r="764" spans="1:4" x14ac:dyDescent="0.25">
      <c r="A764" s="7">
        <v>43838.875</v>
      </c>
      <c r="B764" s="1" t="s">
        <v>72</v>
      </c>
      <c r="C764" s="1">
        <v>17383.039000000001</v>
      </c>
      <c r="D764" s="1">
        <v>7881.23</v>
      </c>
    </row>
    <row r="765" spans="1:4" x14ac:dyDescent="0.25">
      <c r="A765" s="7">
        <v>43838.875</v>
      </c>
      <c r="B765" s="1" t="s">
        <v>73</v>
      </c>
      <c r="C765" s="1">
        <v>11755.91</v>
      </c>
      <c r="D765" s="1">
        <v>1929.13</v>
      </c>
    </row>
    <row r="766" spans="1:4" x14ac:dyDescent="0.25">
      <c r="A766" s="7">
        <v>43838.875</v>
      </c>
      <c r="B766" s="1" t="s">
        <v>68</v>
      </c>
      <c r="C766" s="1">
        <v>14751.95</v>
      </c>
      <c r="D766" s="1">
        <v>4710.6499999999996</v>
      </c>
    </row>
    <row r="767" spans="1:4" x14ac:dyDescent="0.25">
      <c r="A767" s="7">
        <v>43838.875</v>
      </c>
      <c r="B767" s="1" t="s">
        <v>77</v>
      </c>
      <c r="C767" s="1">
        <v>19791.811000000002</v>
      </c>
      <c r="D767" s="1">
        <v>4606.08</v>
      </c>
    </row>
    <row r="768" spans="1:4" x14ac:dyDescent="0.25">
      <c r="A768" s="7">
        <v>43838.875</v>
      </c>
      <c r="B768" s="1" t="s">
        <v>71</v>
      </c>
      <c r="C768" s="1">
        <v>18843.34</v>
      </c>
      <c r="D768" s="1">
        <v>4989.88</v>
      </c>
    </row>
    <row r="769" spans="1:4" x14ac:dyDescent="0.25">
      <c r="A769" s="7">
        <v>43838.875</v>
      </c>
      <c r="B769" s="1" t="s">
        <v>70</v>
      </c>
      <c r="C769" s="1">
        <v>14090.85</v>
      </c>
      <c r="D769" s="1">
        <v>4697.55</v>
      </c>
    </row>
    <row r="770" spans="1:4" x14ac:dyDescent="0.25">
      <c r="A770" s="7">
        <v>43838.875</v>
      </c>
      <c r="B770" s="1" t="s">
        <v>78</v>
      </c>
      <c r="C770" s="1">
        <v>4719.66</v>
      </c>
      <c r="D770" s="1">
        <v>2098.2600000000002</v>
      </c>
    </row>
    <row r="771" spans="1:4" x14ac:dyDescent="0.25">
      <c r="A771" s="7">
        <v>43838.875</v>
      </c>
      <c r="B771" s="1" t="s">
        <v>69</v>
      </c>
      <c r="C771" s="1">
        <v>12442.12</v>
      </c>
      <c r="D771" s="1">
        <v>6689.74</v>
      </c>
    </row>
    <row r="772" spans="1:4" x14ac:dyDescent="0.25">
      <c r="A772" s="7">
        <v>43838.916666666664</v>
      </c>
      <c r="B772" s="1" t="s">
        <v>75</v>
      </c>
      <c r="C772" s="1">
        <v>1636.56</v>
      </c>
      <c r="D772" s="1">
        <v>609.29999999999995</v>
      </c>
    </row>
    <row r="773" spans="1:4" x14ac:dyDescent="0.25">
      <c r="A773" s="7">
        <v>43838.916666666664</v>
      </c>
      <c r="B773" s="1" t="s">
        <v>74</v>
      </c>
      <c r="C773" s="1">
        <v>9763.67</v>
      </c>
      <c r="D773" s="1">
        <v>2269.85</v>
      </c>
    </row>
    <row r="774" spans="1:4" x14ac:dyDescent="0.25">
      <c r="A774" s="7">
        <v>43838.916666666664</v>
      </c>
      <c r="B774" s="1" t="s">
        <v>68</v>
      </c>
      <c r="C774" s="1">
        <v>9545.74</v>
      </c>
      <c r="D774" s="1">
        <v>3357.62</v>
      </c>
    </row>
    <row r="775" spans="1:4" x14ac:dyDescent="0.25">
      <c r="A775" s="7">
        <v>43838.916666666664</v>
      </c>
      <c r="B775" s="1" t="s">
        <v>77</v>
      </c>
      <c r="C775" s="1">
        <v>12854.54</v>
      </c>
      <c r="D775" s="1">
        <v>3121.81</v>
      </c>
    </row>
    <row r="776" spans="1:4" x14ac:dyDescent="0.25">
      <c r="A776" s="7">
        <v>43838.916666666664</v>
      </c>
      <c r="B776" s="1" t="s">
        <v>71</v>
      </c>
      <c r="C776" s="1">
        <v>11341.08</v>
      </c>
      <c r="D776" s="1">
        <v>3407.71</v>
      </c>
    </row>
    <row r="777" spans="1:4" x14ac:dyDescent="0.25">
      <c r="A777" s="7">
        <v>43838.916666666664</v>
      </c>
      <c r="B777" s="1" t="s">
        <v>70</v>
      </c>
      <c r="C777" s="1">
        <v>8898.17</v>
      </c>
      <c r="D777" s="1">
        <v>3224.28</v>
      </c>
    </row>
    <row r="778" spans="1:4" x14ac:dyDescent="0.25">
      <c r="A778" s="7">
        <v>43838.916666666664</v>
      </c>
      <c r="B778" s="1" t="s">
        <v>69</v>
      </c>
      <c r="C778" s="1">
        <v>8930.14</v>
      </c>
      <c r="D778" s="1">
        <v>5017.79</v>
      </c>
    </row>
    <row r="779" spans="1:4" x14ac:dyDescent="0.25">
      <c r="A779" s="7">
        <v>43838.916666666664</v>
      </c>
      <c r="B779" s="1" t="s">
        <v>78</v>
      </c>
      <c r="C779" s="1">
        <v>3333.75</v>
      </c>
      <c r="D779" s="1">
        <v>1550.74</v>
      </c>
    </row>
    <row r="780" spans="1:4" x14ac:dyDescent="0.25">
      <c r="A780" s="7">
        <v>43838.916666666664</v>
      </c>
      <c r="B780" s="1" t="s">
        <v>76</v>
      </c>
      <c r="C780" s="1">
        <v>16111.6</v>
      </c>
      <c r="D780" s="1">
        <v>2758.58</v>
      </c>
    </row>
    <row r="781" spans="1:4" x14ac:dyDescent="0.25">
      <c r="A781" s="7">
        <v>43838.916666666664</v>
      </c>
      <c r="B781" s="1" t="s">
        <v>72</v>
      </c>
      <c r="C781" s="1">
        <v>12283.77</v>
      </c>
      <c r="D781" s="1">
        <v>5797.87</v>
      </c>
    </row>
    <row r="782" spans="1:4" x14ac:dyDescent="0.25">
      <c r="A782" s="7">
        <v>43838.916666666664</v>
      </c>
      <c r="B782" s="1" t="s">
        <v>73</v>
      </c>
      <c r="C782" s="1">
        <v>7682.21</v>
      </c>
      <c r="D782" s="1">
        <v>1361.64</v>
      </c>
    </row>
    <row r="783" spans="1:4" x14ac:dyDescent="0.25">
      <c r="A783" s="7">
        <v>43838.958333333336</v>
      </c>
      <c r="B783" s="1" t="s">
        <v>75</v>
      </c>
      <c r="C783" s="1">
        <v>832.59</v>
      </c>
      <c r="D783" s="1">
        <v>369.29</v>
      </c>
    </row>
    <row r="784" spans="1:4" x14ac:dyDescent="0.25">
      <c r="A784" s="7">
        <v>43838.958333333336</v>
      </c>
      <c r="B784" s="1" t="s">
        <v>74</v>
      </c>
      <c r="C784" s="1">
        <v>3973.57</v>
      </c>
      <c r="D784" s="1">
        <v>1148.42</v>
      </c>
    </row>
    <row r="785" spans="1:4" x14ac:dyDescent="0.25">
      <c r="A785" s="7">
        <v>43838.958333333336</v>
      </c>
      <c r="B785" s="1" t="s">
        <v>78</v>
      </c>
      <c r="C785" s="1">
        <v>1648.51</v>
      </c>
      <c r="D785" s="1">
        <v>866.68</v>
      </c>
    </row>
    <row r="786" spans="1:4" x14ac:dyDescent="0.25">
      <c r="A786" s="7">
        <v>43838.958333333336</v>
      </c>
      <c r="B786" s="1" t="s">
        <v>69</v>
      </c>
      <c r="C786" s="1">
        <v>4495.03</v>
      </c>
      <c r="D786" s="1">
        <v>2826.72</v>
      </c>
    </row>
    <row r="787" spans="1:4" x14ac:dyDescent="0.25">
      <c r="A787" s="7">
        <v>43838.958333333336</v>
      </c>
      <c r="B787" s="1" t="s">
        <v>76</v>
      </c>
      <c r="C787" s="1">
        <v>7277.93</v>
      </c>
      <c r="D787" s="1">
        <v>1449.14</v>
      </c>
    </row>
    <row r="788" spans="1:4" x14ac:dyDescent="0.25">
      <c r="A788" s="7">
        <v>43838.958333333336</v>
      </c>
      <c r="B788" s="1" t="s">
        <v>73</v>
      </c>
      <c r="C788" s="1">
        <v>3407.46</v>
      </c>
      <c r="D788" s="1">
        <v>722.96</v>
      </c>
    </row>
    <row r="789" spans="1:4" x14ac:dyDescent="0.25">
      <c r="A789" s="7">
        <v>43838.958333333336</v>
      </c>
      <c r="B789" s="1" t="s">
        <v>72</v>
      </c>
      <c r="C789" s="1">
        <v>6186.96</v>
      </c>
      <c r="D789" s="1">
        <v>3307.91</v>
      </c>
    </row>
    <row r="790" spans="1:4" x14ac:dyDescent="0.25">
      <c r="A790" s="7">
        <v>43838.958333333336</v>
      </c>
      <c r="B790" s="1" t="s">
        <v>68</v>
      </c>
      <c r="C790" s="1">
        <v>4037.64</v>
      </c>
      <c r="D790" s="1">
        <v>1796.9</v>
      </c>
    </row>
    <row r="791" spans="1:4" x14ac:dyDescent="0.25">
      <c r="A791" s="7">
        <v>43838.958333333336</v>
      </c>
      <c r="B791" s="1" t="s">
        <v>77</v>
      </c>
      <c r="C791" s="1">
        <v>5814.75</v>
      </c>
      <c r="D791" s="1">
        <v>1580.87</v>
      </c>
    </row>
    <row r="792" spans="1:4" x14ac:dyDescent="0.25">
      <c r="A792" s="7">
        <v>43838.958333333336</v>
      </c>
      <c r="B792" s="1" t="s">
        <v>71</v>
      </c>
      <c r="C792" s="1">
        <v>4556.24</v>
      </c>
      <c r="D792" s="1">
        <v>1741.69</v>
      </c>
    </row>
    <row r="793" spans="1:4" x14ac:dyDescent="0.25">
      <c r="A793" s="7">
        <v>43838.958333333336</v>
      </c>
      <c r="B793" s="1" t="s">
        <v>70</v>
      </c>
      <c r="C793" s="1">
        <v>4036.09</v>
      </c>
      <c r="D793" s="1">
        <v>1676.39</v>
      </c>
    </row>
    <row r="794" spans="1:4" x14ac:dyDescent="0.25">
      <c r="A794" s="7">
        <v>43869</v>
      </c>
      <c r="B794" s="1" t="s">
        <v>75</v>
      </c>
      <c r="C794" s="1">
        <v>366.43</v>
      </c>
      <c r="D794" s="1">
        <v>195.37</v>
      </c>
    </row>
    <row r="795" spans="1:4" x14ac:dyDescent="0.25">
      <c r="A795" s="7">
        <v>43869</v>
      </c>
      <c r="B795" s="1" t="s">
        <v>74</v>
      </c>
      <c r="C795" s="1">
        <v>1439.92</v>
      </c>
      <c r="D795" s="1">
        <v>503.18</v>
      </c>
    </row>
    <row r="796" spans="1:4" x14ac:dyDescent="0.25">
      <c r="A796" s="7">
        <v>43869</v>
      </c>
      <c r="B796" s="1" t="s">
        <v>72</v>
      </c>
      <c r="C796" s="1">
        <v>2695.09</v>
      </c>
      <c r="D796" s="1">
        <v>1651.45</v>
      </c>
    </row>
    <row r="797" spans="1:4" x14ac:dyDescent="0.25">
      <c r="A797" s="7">
        <v>43869</v>
      </c>
      <c r="B797" s="1" t="s">
        <v>73</v>
      </c>
      <c r="C797" s="1">
        <v>1275.82</v>
      </c>
      <c r="D797" s="1">
        <v>328.72</v>
      </c>
    </row>
    <row r="798" spans="1:4" x14ac:dyDescent="0.25">
      <c r="A798" s="7">
        <v>43869</v>
      </c>
      <c r="B798" s="1" t="s">
        <v>68</v>
      </c>
      <c r="C798" s="1">
        <v>1518.76</v>
      </c>
      <c r="D798" s="1">
        <v>821</v>
      </c>
    </row>
    <row r="799" spans="1:4" x14ac:dyDescent="0.25">
      <c r="A799" s="7">
        <v>43869</v>
      </c>
      <c r="B799" s="1" t="s">
        <v>71</v>
      </c>
      <c r="C799" s="1">
        <v>1766.68</v>
      </c>
      <c r="D799" s="1">
        <v>778.52</v>
      </c>
    </row>
    <row r="800" spans="1:4" x14ac:dyDescent="0.25">
      <c r="A800" s="7">
        <v>43869</v>
      </c>
      <c r="B800" s="1" t="s">
        <v>69</v>
      </c>
      <c r="C800" s="1">
        <v>1865.89</v>
      </c>
      <c r="D800" s="1">
        <v>1329.82</v>
      </c>
    </row>
    <row r="801" spans="1:4" x14ac:dyDescent="0.25">
      <c r="A801" s="7">
        <v>43869</v>
      </c>
      <c r="B801" s="1" t="s">
        <v>70</v>
      </c>
      <c r="C801" s="1">
        <v>1612.18</v>
      </c>
      <c r="D801" s="1">
        <v>782.4</v>
      </c>
    </row>
    <row r="802" spans="1:4" x14ac:dyDescent="0.25">
      <c r="A802" s="7">
        <v>43869</v>
      </c>
      <c r="B802" s="1" t="s">
        <v>78</v>
      </c>
      <c r="C802" s="1">
        <v>666.88</v>
      </c>
      <c r="D802" s="1">
        <v>402.86</v>
      </c>
    </row>
    <row r="803" spans="1:4" x14ac:dyDescent="0.25">
      <c r="A803" s="7">
        <v>43869</v>
      </c>
      <c r="B803" s="1" t="s">
        <v>76</v>
      </c>
      <c r="C803" s="1">
        <v>2800.84</v>
      </c>
      <c r="D803" s="1">
        <v>637.86</v>
      </c>
    </row>
    <row r="804" spans="1:4" x14ac:dyDescent="0.25">
      <c r="A804" s="7">
        <v>43869</v>
      </c>
      <c r="B804" s="1" t="s">
        <v>77</v>
      </c>
      <c r="C804" s="1">
        <v>2321.85</v>
      </c>
      <c r="D804" s="1">
        <v>739.62</v>
      </c>
    </row>
    <row r="805" spans="1:4" x14ac:dyDescent="0.25">
      <c r="A805" s="7">
        <v>43869.041666666664</v>
      </c>
      <c r="B805" s="1" t="s">
        <v>75</v>
      </c>
      <c r="C805" s="1">
        <v>168.64</v>
      </c>
      <c r="D805" s="1">
        <v>104.93</v>
      </c>
    </row>
    <row r="806" spans="1:4" x14ac:dyDescent="0.25">
      <c r="A806" s="7">
        <v>43869.041666666664</v>
      </c>
      <c r="B806" s="1" t="s">
        <v>74</v>
      </c>
      <c r="C806" s="1">
        <v>587.54999999999995</v>
      </c>
      <c r="D806" s="1">
        <v>225.43</v>
      </c>
    </row>
    <row r="807" spans="1:4" x14ac:dyDescent="0.25">
      <c r="A807" s="7">
        <v>43869.041666666664</v>
      </c>
      <c r="B807" s="1" t="s">
        <v>76</v>
      </c>
      <c r="C807" s="1">
        <v>1190.22</v>
      </c>
      <c r="D807" s="1">
        <v>290.20999999999998</v>
      </c>
    </row>
    <row r="808" spans="1:4" x14ac:dyDescent="0.25">
      <c r="A808" s="7">
        <v>43869.041666666664</v>
      </c>
      <c r="B808" s="1" t="s">
        <v>72</v>
      </c>
      <c r="C808" s="1">
        <v>1200.8599999999999</v>
      </c>
      <c r="D808" s="1">
        <v>782.24</v>
      </c>
    </row>
    <row r="809" spans="1:4" x14ac:dyDescent="0.25">
      <c r="A809" s="7">
        <v>43869.041666666664</v>
      </c>
      <c r="B809" s="1" t="s">
        <v>73</v>
      </c>
      <c r="C809" s="1">
        <v>528.17999999999995</v>
      </c>
      <c r="D809" s="1">
        <v>129.47999999999999</v>
      </c>
    </row>
    <row r="810" spans="1:4" x14ac:dyDescent="0.25">
      <c r="A810" s="7">
        <v>43869.041666666664</v>
      </c>
      <c r="B810" s="1" t="s">
        <v>68</v>
      </c>
      <c r="C810" s="1">
        <v>620.27</v>
      </c>
      <c r="D810" s="1">
        <v>357</v>
      </c>
    </row>
    <row r="811" spans="1:4" x14ac:dyDescent="0.25">
      <c r="A811" s="7">
        <v>43869.041666666664</v>
      </c>
      <c r="B811" s="1" t="s">
        <v>71</v>
      </c>
      <c r="C811" s="1">
        <v>743.93</v>
      </c>
      <c r="D811" s="1">
        <v>328.9</v>
      </c>
    </row>
    <row r="812" spans="1:4" x14ac:dyDescent="0.25">
      <c r="A812" s="7">
        <v>43869.041666666664</v>
      </c>
      <c r="B812" s="1" t="s">
        <v>70</v>
      </c>
      <c r="C812" s="1">
        <v>702.06</v>
      </c>
      <c r="D812" s="1">
        <v>357.91</v>
      </c>
    </row>
    <row r="813" spans="1:4" x14ac:dyDescent="0.25">
      <c r="A813" s="7">
        <v>43869.041666666664</v>
      </c>
      <c r="B813" s="1" t="s">
        <v>78</v>
      </c>
      <c r="C813" s="1">
        <v>261.36</v>
      </c>
      <c r="D813" s="1">
        <v>193.86</v>
      </c>
    </row>
    <row r="814" spans="1:4" x14ac:dyDescent="0.25">
      <c r="A814" s="7">
        <v>43869.041666666664</v>
      </c>
      <c r="B814" s="1" t="s">
        <v>77</v>
      </c>
      <c r="C814" s="1">
        <v>1039.74</v>
      </c>
      <c r="D814" s="1">
        <v>313.06</v>
      </c>
    </row>
    <row r="815" spans="1:4" x14ac:dyDescent="0.25">
      <c r="A815" s="7">
        <v>43869.041666666664</v>
      </c>
      <c r="B815" s="1" t="s">
        <v>69</v>
      </c>
      <c r="C815" s="1">
        <v>804.16</v>
      </c>
      <c r="D815" s="1">
        <v>600.6</v>
      </c>
    </row>
    <row r="816" spans="1:4" x14ac:dyDescent="0.25">
      <c r="A816" s="7">
        <v>43869.083333333336</v>
      </c>
      <c r="B816" s="1" t="s">
        <v>75</v>
      </c>
      <c r="C816" s="1">
        <v>74.75</v>
      </c>
      <c r="D816" s="1">
        <v>46.39</v>
      </c>
    </row>
    <row r="817" spans="1:4" x14ac:dyDescent="0.25">
      <c r="A817" s="7">
        <v>43869.083333333336</v>
      </c>
      <c r="B817" s="1" t="s">
        <v>74</v>
      </c>
      <c r="C817" s="1">
        <v>299.44</v>
      </c>
      <c r="D817" s="1">
        <v>107.57</v>
      </c>
    </row>
    <row r="818" spans="1:4" x14ac:dyDescent="0.25">
      <c r="A818" s="7">
        <v>43869.083333333336</v>
      </c>
      <c r="B818" s="1" t="s">
        <v>76</v>
      </c>
      <c r="C818" s="1">
        <v>543.39</v>
      </c>
      <c r="D818" s="1">
        <v>131.63999999999999</v>
      </c>
    </row>
    <row r="819" spans="1:4" x14ac:dyDescent="0.25">
      <c r="A819" s="7">
        <v>43869.083333333336</v>
      </c>
      <c r="B819" s="1" t="s">
        <v>68</v>
      </c>
      <c r="C819" s="1">
        <v>311.49</v>
      </c>
      <c r="D819" s="1">
        <v>167.44</v>
      </c>
    </row>
    <row r="820" spans="1:4" x14ac:dyDescent="0.25">
      <c r="A820" s="7">
        <v>43869.083333333336</v>
      </c>
      <c r="B820" s="1" t="s">
        <v>77</v>
      </c>
      <c r="C820" s="1">
        <v>502.62</v>
      </c>
      <c r="D820" s="1">
        <v>157.6</v>
      </c>
    </row>
    <row r="821" spans="1:4" x14ac:dyDescent="0.25">
      <c r="A821" s="7">
        <v>43869.083333333336</v>
      </c>
      <c r="B821" s="1" t="s">
        <v>71</v>
      </c>
      <c r="C821" s="1">
        <v>355.95</v>
      </c>
      <c r="D821" s="1">
        <v>160.15</v>
      </c>
    </row>
    <row r="822" spans="1:4" x14ac:dyDescent="0.25">
      <c r="A822" s="7">
        <v>43869.083333333336</v>
      </c>
      <c r="B822" s="1" t="s">
        <v>70</v>
      </c>
      <c r="C822" s="1">
        <v>356.38</v>
      </c>
      <c r="D822" s="1">
        <v>170.65</v>
      </c>
    </row>
    <row r="823" spans="1:4" x14ac:dyDescent="0.25">
      <c r="A823" s="7">
        <v>43869.083333333336</v>
      </c>
      <c r="B823" s="1" t="s">
        <v>78</v>
      </c>
      <c r="C823" s="1">
        <v>131.28</v>
      </c>
      <c r="D823" s="1">
        <v>88.5</v>
      </c>
    </row>
    <row r="824" spans="1:4" x14ac:dyDescent="0.25">
      <c r="A824" s="7">
        <v>43869.083333333336</v>
      </c>
      <c r="B824" s="1" t="s">
        <v>73</v>
      </c>
      <c r="C824" s="1">
        <v>240.43</v>
      </c>
      <c r="D824" s="1">
        <v>63.47</v>
      </c>
    </row>
    <row r="825" spans="1:4" x14ac:dyDescent="0.25">
      <c r="A825" s="7">
        <v>43869.083333333336</v>
      </c>
      <c r="B825" s="1" t="s">
        <v>72</v>
      </c>
      <c r="C825" s="1">
        <v>558.91999999999996</v>
      </c>
      <c r="D825" s="1">
        <v>392.5</v>
      </c>
    </row>
    <row r="826" spans="1:4" x14ac:dyDescent="0.25">
      <c r="A826" s="7">
        <v>43869.083333333336</v>
      </c>
      <c r="B826" s="1" t="s">
        <v>69</v>
      </c>
      <c r="C826" s="1">
        <v>382.07</v>
      </c>
      <c r="D826" s="1">
        <v>304.42</v>
      </c>
    </row>
    <row r="827" spans="1:4" x14ac:dyDescent="0.25">
      <c r="A827" s="7">
        <v>43869.125</v>
      </c>
      <c r="B827" s="1" t="s">
        <v>75</v>
      </c>
      <c r="C827" s="1">
        <v>37.67</v>
      </c>
      <c r="D827" s="1">
        <v>19.28</v>
      </c>
    </row>
    <row r="828" spans="1:4" x14ac:dyDescent="0.25">
      <c r="A828" s="7">
        <v>43869.125</v>
      </c>
      <c r="B828" s="1" t="s">
        <v>74</v>
      </c>
      <c r="C828" s="1">
        <v>183.76</v>
      </c>
      <c r="D828" s="1">
        <v>56.7</v>
      </c>
    </row>
    <row r="829" spans="1:4" x14ac:dyDescent="0.25">
      <c r="A829" s="7">
        <v>43869.125</v>
      </c>
      <c r="B829" s="1" t="s">
        <v>76</v>
      </c>
      <c r="C829" s="1">
        <v>309.27</v>
      </c>
      <c r="D829" s="1">
        <v>69.849999999999994</v>
      </c>
    </row>
    <row r="830" spans="1:4" x14ac:dyDescent="0.25">
      <c r="A830" s="7">
        <v>43869.125</v>
      </c>
      <c r="B830" s="1" t="s">
        <v>68</v>
      </c>
      <c r="C830" s="1">
        <v>169.03</v>
      </c>
      <c r="D830" s="1">
        <v>88.62</v>
      </c>
    </row>
    <row r="831" spans="1:4" x14ac:dyDescent="0.25">
      <c r="A831" s="7">
        <v>43869.125</v>
      </c>
      <c r="B831" s="1" t="s">
        <v>77</v>
      </c>
      <c r="C831" s="1">
        <v>313.47000000000003</v>
      </c>
      <c r="D831" s="1">
        <v>91.86</v>
      </c>
    </row>
    <row r="832" spans="1:4" x14ac:dyDescent="0.25">
      <c r="A832" s="7">
        <v>43869.125</v>
      </c>
      <c r="B832" s="1" t="s">
        <v>71</v>
      </c>
      <c r="C832" s="1">
        <v>219.61</v>
      </c>
      <c r="D832" s="1">
        <v>85.94</v>
      </c>
    </row>
    <row r="833" spans="1:4" x14ac:dyDescent="0.25">
      <c r="A833" s="7">
        <v>43869.125</v>
      </c>
      <c r="B833" s="1" t="s">
        <v>70</v>
      </c>
      <c r="C833" s="1">
        <v>190.06</v>
      </c>
      <c r="D833" s="1">
        <v>90.41</v>
      </c>
    </row>
    <row r="834" spans="1:4" x14ac:dyDescent="0.25">
      <c r="A834" s="7">
        <v>43869.125</v>
      </c>
      <c r="B834" s="1" t="s">
        <v>78</v>
      </c>
      <c r="C834" s="1">
        <v>68.88</v>
      </c>
      <c r="D834" s="1">
        <v>41.39</v>
      </c>
    </row>
    <row r="835" spans="1:4" x14ac:dyDescent="0.25">
      <c r="A835" s="7">
        <v>43869.125</v>
      </c>
      <c r="B835" s="1" t="s">
        <v>72</v>
      </c>
      <c r="C835" s="1">
        <v>304.52999999999997</v>
      </c>
      <c r="D835" s="1">
        <v>200.9</v>
      </c>
    </row>
    <row r="836" spans="1:4" x14ac:dyDescent="0.25">
      <c r="A836" s="7">
        <v>43869.125</v>
      </c>
      <c r="B836" s="1" t="s">
        <v>73</v>
      </c>
      <c r="C836" s="1">
        <v>142.97</v>
      </c>
      <c r="D836" s="1">
        <v>36.97</v>
      </c>
    </row>
    <row r="837" spans="1:4" x14ac:dyDescent="0.25">
      <c r="A837" s="7">
        <v>43869.125</v>
      </c>
      <c r="B837" s="1" t="s">
        <v>69</v>
      </c>
      <c r="C837" s="1">
        <v>220</v>
      </c>
      <c r="D837" s="1">
        <v>157.93</v>
      </c>
    </row>
    <row r="838" spans="1:4" x14ac:dyDescent="0.25">
      <c r="A838" s="7">
        <v>43869.166666666664</v>
      </c>
      <c r="B838" s="1" t="s">
        <v>75</v>
      </c>
      <c r="C838" s="1">
        <v>23.46</v>
      </c>
      <c r="D838" s="1">
        <v>11.99</v>
      </c>
    </row>
    <row r="839" spans="1:4" x14ac:dyDescent="0.25">
      <c r="A839" s="7">
        <v>43869.166666666664</v>
      </c>
      <c r="B839" s="1" t="s">
        <v>74</v>
      </c>
      <c r="C839" s="1">
        <v>158.38</v>
      </c>
      <c r="D839" s="1">
        <v>40.4</v>
      </c>
    </row>
    <row r="840" spans="1:4" x14ac:dyDescent="0.25">
      <c r="A840" s="7">
        <v>43869.166666666664</v>
      </c>
      <c r="B840" s="1" t="s">
        <v>78</v>
      </c>
      <c r="C840" s="1">
        <v>49.09</v>
      </c>
      <c r="D840" s="1">
        <v>25.86</v>
      </c>
    </row>
    <row r="841" spans="1:4" x14ac:dyDescent="0.25">
      <c r="A841" s="7">
        <v>43869.166666666664</v>
      </c>
      <c r="B841" s="1" t="s">
        <v>73</v>
      </c>
      <c r="C841" s="1">
        <v>126.58</v>
      </c>
      <c r="D841" s="1">
        <v>29.2</v>
      </c>
    </row>
    <row r="842" spans="1:4" x14ac:dyDescent="0.25">
      <c r="A842" s="7">
        <v>43869.166666666664</v>
      </c>
      <c r="B842" s="1" t="s">
        <v>68</v>
      </c>
      <c r="C842" s="1">
        <v>158.33000000000001</v>
      </c>
      <c r="D842" s="1">
        <v>65.239999999999995</v>
      </c>
    </row>
    <row r="843" spans="1:4" x14ac:dyDescent="0.25">
      <c r="A843" s="7">
        <v>43869.166666666664</v>
      </c>
      <c r="B843" s="1" t="s">
        <v>77</v>
      </c>
      <c r="C843" s="1">
        <v>250.6</v>
      </c>
      <c r="D843" s="1">
        <v>65.260000000000005</v>
      </c>
    </row>
    <row r="844" spans="1:4" x14ac:dyDescent="0.25">
      <c r="A844" s="7">
        <v>43869.166666666664</v>
      </c>
      <c r="B844" s="1" t="s">
        <v>71</v>
      </c>
      <c r="C844" s="1">
        <v>229.28</v>
      </c>
      <c r="D844" s="1">
        <v>61.17</v>
      </c>
    </row>
    <row r="845" spans="1:4" x14ac:dyDescent="0.25">
      <c r="A845" s="7">
        <v>43869.166666666664</v>
      </c>
      <c r="B845" s="1" t="s">
        <v>70</v>
      </c>
      <c r="C845" s="1">
        <v>172.63</v>
      </c>
      <c r="D845" s="1">
        <v>64.08</v>
      </c>
    </row>
    <row r="846" spans="1:4" x14ac:dyDescent="0.25">
      <c r="A846" s="7">
        <v>43869.166666666664</v>
      </c>
      <c r="B846" s="1" t="s">
        <v>69</v>
      </c>
      <c r="C846" s="1">
        <v>164.92</v>
      </c>
      <c r="D846" s="1">
        <v>107.64</v>
      </c>
    </row>
    <row r="847" spans="1:4" x14ac:dyDescent="0.25">
      <c r="A847" s="7">
        <v>43869.166666666664</v>
      </c>
      <c r="B847" s="1" t="s">
        <v>76</v>
      </c>
      <c r="C847" s="1">
        <v>238.39</v>
      </c>
      <c r="D847" s="1">
        <v>45.6</v>
      </c>
    </row>
    <row r="848" spans="1:4" x14ac:dyDescent="0.25">
      <c r="A848" s="7">
        <v>43869.166666666664</v>
      </c>
      <c r="B848" s="1" t="s">
        <v>72</v>
      </c>
      <c r="C848" s="1">
        <v>237.09</v>
      </c>
      <c r="D848" s="1">
        <v>120.15</v>
      </c>
    </row>
    <row r="849" spans="1:4" x14ac:dyDescent="0.25">
      <c r="A849" s="7">
        <v>43869.208333333336</v>
      </c>
      <c r="B849" s="1" t="s">
        <v>75</v>
      </c>
      <c r="C849" s="1">
        <v>60.71</v>
      </c>
      <c r="D849" s="1">
        <v>20.2</v>
      </c>
    </row>
    <row r="850" spans="1:4" x14ac:dyDescent="0.25">
      <c r="A850" s="7">
        <v>43869.208333333336</v>
      </c>
      <c r="B850" s="1" t="s">
        <v>74</v>
      </c>
      <c r="C850" s="1">
        <v>521.80999999999995</v>
      </c>
      <c r="D850" s="1">
        <v>91.97</v>
      </c>
    </row>
    <row r="851" spans="1:4" x14ac:dyDescent="0.25">
      <c r="A851" s="7">
        <v>43869.208333333336</v>
      </c>
      <c r="B851" s="1" t="s">
        <v>78</v>
      </c>
      <c r="C851" s="1">
        <v>113.16</v>
      </c>
      <c r="D851" s="1">
        <v>38.96</v>
      </c>
    </row>
    <row r="852" spans="1:4" x14ac:dyDescent="0.25">
      <c r="A852" s="7">
        <v>43869.208333333336</v>
      </c>
      <c r="B852" s="1" t="s">
        <v>73</v>
      </c>
      <c r="C852" s="1">
        <v>422.78</v>
      </c>
      <c r="D852" s="1">
        <v>55.69</v>
      </c>
    </row>
    <row r="853" spans="1:4" x14ac:dyDescent="0.25">
      <c r="A853" s="7">
        <v>43869.208333333336</v>
      </c>
      <c r="B853" s="1" t="s">
        <v>72</v>
      </c>
      <c r="C853" s="1">
        <v>539.94000000000005</v>
      </c>
      <c r="D853" s="1">
        <v>192.29</v>
      </c>
    </row>
    <row r="854" spans="1:4" x14ac:dyDescent="0.25">
      <c r="A854" s="7">
        <v>43869.208333333336</v>
      </c>
      <c r="B854" s="1" t="s">
        <v>71</v>
      </c>
      <c r="C854" s="1">
        <v>1163.26</v>
      </c>
      <c r="D854" s="1">
        <v>161.97</v>
      </c>
    </row>
    <row r="855" spans="1:4" x14ac:dyDescent="0.25">
      <c r="A855" s="7">
        <v>43869.208333333336</v>
      </c>
      <c r="B855" s="1" t="s">
        <v>70</v>
      </c>
      <c r="C855" s="1">
        <v>460.16</v>
      </c>
      <c r="D855" s="1">
        <v>134.19</v>
      </c>
    </row>
    <row r="856" spans="1:4" x14ac:dyDescent="0.25">
      <c r="A856" s="7">
        <v>43869.208333333336</v>
      </c>
      <c r="B856" s="1" t="s">
        <v>69</v>
      </c>
      <c r="C856" s="1">
        <v>396.43</v>
      </c>
      <c r="D856" s="1">
        <v>153.63999999999999</v>
      </c>
    </row>
    <row r="857" spans="1:4" x14ac:dyDescent="0.25">
      <c r="A857" s="7">
        <v>43869.208333333336</v>
      </c>
      <c r="B857" s="1" t="s">
        <v>76</v>
      </c>
      <c r="C857" s="1">
        <v>724.9</v>
      </c>
      <c r="D857" s="1">
        <v>102.41</v>
      </c>
    </row>
    <row r="858" spans="1:4" x14ac:dyDescent="0.25">
      <c r="A858" s="7">
        <v>43869.208333333336</v>
      </c>
      <c r="B858" s="1" t="s">
        <v>68</v>
      </c>
      <c r="C858" s="1">
        <v>745.27</v>
      </c>
      <c r="D858" s="1">
        <v>148.99</v>
      </c>
    </row>
    <row r="859" spans="1:4" x14ac:dyDescent="0.25">
      <c r="A859" s="7">
        <v>43869.208333333336</v>
      </c>
      <c r="B859" s="1" t="s">
        <v>77</v>
      </c>
      <c r="C859" s="1">
        <v>662.68</v>
      </c>
      <c r="D859" s="1">
        <v>134.46</v>
      </c>
    </row>
    <row r="860" spans="1:4" x14ac:dyDescent="0.25">
      <c r="A860" s="7">
        <v>43869.25</v>
      </c>
      <c r="B860" s="1" t="s">
        <v>75</v>
      </c>
      <c r="C860" s="1">
        <v>215.75</v>
      </c>
      <c r="D860" s="1">
        <v>46.58</v>
      </c>
    </row>
    <row r="861" spans="1:4" x14ac:dyDescent="0.25">
      <c r="A861" s="7">
        <v>43869.25</v>
      </c>
      <c r="B861" s="1" t="s">
        <v>74</v>
      </c>
      <c r="C861" s="1">
        <v>2598.94</v>
      </c>
      <c r="D861" s="1">
        <v>350.72</v>
      </c>
    </row>
    <row r="862" spans="1:4" x14ac:dyDescent="0.25">
      <c r="A862" s="7">
        <v>43869.25</v>
      </c>
      <c r="B862" s="1" t="s">
        <v>76</v>
      </c>
      <c r="C862" s="1">
        <v>3399.33</v>
      </c>
      <c r="D862" s="1">
        <v>367.17</v>
      </c>
    </row>
    <row r="863" spans="1:4" x14ac:dyDescent="0.25">
      <c r="A863" s="7">
        <v>43869.25</v>
      </c>
      <c r="B863" s="1" t="s">
        <v>72</v>
      </c>
      <c r="C863" s="1">
        <v>1400.28</v>
      </c>
      <c r="D863" s="1">
        <v>441.85</v>
      </c>
    </row>
    <row r="864" spans="1:4" x14ac:dyDescent="0.25">
      <c r="A864" s="7">
        <v>43869.25</v>
      </c>
      <c r="B864" s="1" t="s">
        <v>73</v>
      </c>
      <c r="C864" s="1">
        <v>1722.43</v>
      </c>
      <c r="D864" s="1">
        <v>193.09</v>
      </c>
    </row>
    <row r="865" spans="1:4" x14ac:dyDescent="0.25">
      <c r="A865" s="7">
        <v>43869.25</v>
      </c>
      <c r="B865" s="1" t="s">
        <v>68</v>
      </c>
      <c r="C865" s="1">
        <v>2890.96</v>
      </c>
      <c r="D865" s="1">
        <v>551.9</v>
      </c>
    </row>
    <row r="866" spans="1:4" x14ac:dyDescent="0.25">
      <c r="A866" s="7">
        <v>43869.25</v>
      </c>
      <c r="B866" s="1" t="s">
        <v>71</v>
      </c>
      <c r="C866" s="1">
        <v>4598.01</v>
      </c>
      <c r="D866" s="1">
        <v>674.02</v>
      </c>
    </row>
    <row r="867" spans="1:4" x14ac:dyDescent="0.25">
      <c r="A867" s="7">
        <v>43869.25</v>
      </c>
      <c r="B867" s="1" t="s">
        <v>70</v>
      </c>
      <c r="C867" s="1">
        <v>1458.21</v>
      </c>
      <c r="D867" s="1">
        <v>390.74</v>
      </c>
    </row>
    <row r="868" spans="1:4" x14ac:dyDescent="0.25">
      <c r="A868" s="7">
        <v>43869.25</v>
      </c>
      <c r="B868" s="1" t="s">
        <v>78</v>
      </c>
      <c r="C868" s="1">
        <v>360.82</v>
      </c>
      <c r="D868" s="1">
        <v>100.09</v>
      </c>
    </row>
    <row r="869" spans="1:4" x14ac:dyDescent="0.25">
      <c r="A869" s="7">
        <v>43869.25</v>
      </c>
      <c r="B869" s="1" t="s">
        <v>77</v>
      </c>
      <c r="C869" s="1">
        <v>2335.63</v>
      </c>
      <c r="D869" s="1">
        <v>396.86</v>
      </c>
    </row>
    <row r="870" spans="1:4" x14ac:dyDescent="0.25">
      <c r="A870" s="7">
        <v>43869.25</v>
      </c>
      <c r="B870" s="1" t="s">
        <v>69</v>
      </c>
      <c r="C870" s="1">
        <v>993.52</v>
      </c>
      <c r="D870" s="1">
        <v>340.06</v>
      </c>
    </row>
    <row r="871" spans="1:4" x14ac:dyDescent="0.25">
      <c r="A871" s="7">
        <v>43869.291666666664</v>
      </c>
      <c r="B871" s="1" t="s">
        <v>75</v>
      </c>
      <c r="C871" s="1">
        <v>495.55</v>
      </c>
      <c r="D871" s="1">
        <v>104.29</v>
      </c>
    </row>
    <row r="872" spans="1:4" x14ac:dyDescent="0.25">
      <c r="A872" s="7">
        <v>43869.291666666664</v>
      </c>
      <c r="B872" s="1" t="s">
        <v>74</v>
      </c>
      <c r="C872" s="1">
        <v>6262.33</v>
      </c>
      <c r="D872" s="1">
        <v>861.46</v>
      </c>
    </row>
    <row r="873" spans="1:4" x14ac:dyDescent="0.25">
      <c r="A873" s="7">
        <v>43869.291666666664</v>
      </c>
      <c r="B873" s="1" t="s">
        <v>76</v>
      </c>
      <c r="C873" s="1">
        <v>8105.53</v>
      </c>
      <c r="D873" s="1">
        <v>902.35</v>
      </c>
    </row>
    <row r="874" spans="1:4" x14ac:dyDescent="0.25">
      <c r="A874" s="7">
        <v>43869.291666666664</v>
      </c>
      <c r="B874" s="1" t="s">
        <v>68</v>
      </c>
      <c r="C874" s="1">
        <v>5651.93</v>
      </c>
      <c r="D874" s="1">
        <v>1198.55</v>
      </c>
    </row>
    <row r="875" spans="1:4" x14ac:dyDescent="0.25">
      <c r="A875" s="7">
        <v>43869.291666666664</v>
      </c>
      <c r="B875" s="1" t="s">
        <v>77</v>
      </c>
      <c r="C875" s="1">
        <v>5232.78</v>
      </c>
      <c r="D875" s="1">
        <v>932.53</v>
      </c>
    </row>
    <row r="876" spans="1:4" x14ac:dyDescent="0.25">
      <c r="A876" s="7">
        <v>43869.291666666664</v>
      </c>
      <c r="B876" s="1" t="s">
        <v>71</v>
      </c>
      <c r="C876" s="1">
        <v>8388.65</v>
      </c>
      <c r="D876" s="1">
        <v>1443.7</v>
      </c>
    </row>
    <row r="877" spans="1:4" x14ac:dyDescent="0.25">
      <c r="A877" s="7">
        <v>43869.291666666664</v>
      </c>
      <c r="B877" s="1" t="s">
        <v>69</v>
      </c>
      <c r="C877" s="1">
        <v>2217.91</v>
      </c>
      <c r="D877" s="1">
        <v>699.17</v>
      </c>
    </row>
    <row r="878" spans="1:4" x14ac:dyDescent="0.25">
      <c r="A878" s="7">
        <v>43869.291666666664</v>
      </c>
      <c r="B878" s="1" t="s">
        <v>70</v>
      </c>
      <c r="C878" s="1">
        <v>3285.23</v>
      </c>
      <c r="D878" s="1">
        <v>854.18</v>
      </c>
    </row>
    <row r="879" spans="1:4" x14ac:dyDescent="0.25">
      <c r="A879" s="7">
        <v>43869.291666666664</v>
      </c>
      <c r="B879" s="1" t="s">
        <v>78</v>
      </c>
      <c r="C879" s="1">
        <v>833.72</v>
      </c>
      <c r="D879" s="1">
        <v>220.74</v>
      </c>
    </row>
    <row r="880" spans="1:4" x14ac:dyDescent="0.25">
      <c r="A880" s="7">
        <v>43869.291666666664</v>
      </c>
      <c r="B880" s="1" t="s">
        <v>72</v>
      </c>
      <c r="C880" s="1">
        <v>3045.05</v>
      </c>
      <c r="D880" s="1">
        <v>1002.02</v>
      </c>
    </row>
    <row r="881" spans="1:4" x14ac:dyDescent="0.25">
      <c r="A881" s="7">
        <v>43869.291666666664</v>
      </c>
      <c r="B881" s="1" t="s">
        <v>73</v>
      </c>
      <c r="C881" s="1">
        <v>3821.12</v>
      </c>
      <c r="D881" s="1">
        <v>424.2</v>
      </c>
    </row>
    <row r="882" spans="1:4" x14ac:dyDescent="0.25">
      <c r="A882" s="7">
        <v>43869.333333333336</v>
      </c>
      <c r="B882" s="1" t="s">
        <v>74</v>
      </c>
      <c r="C882" s="1">
        <v>9351.2199999999993</v>
      </c>
      <c r="D882" s="1">
        <v>1469.84</v>
      </c>
    </row>
    <row r="883" spans="1:4" x14ac:dyDescent="0.25">
      <c r="A883" s="7">
        <v>43869.333333333336</v>
      </c>
      <c r="B883" s="1" t="s">
        <v>75</v>
      </c>
      <c r="C883" s="1">
        <v>822.88</v>
      </c>
      <c r="D883" s="1">
        <v>198.27</v>
      </c>
    </row>
    <row r="884" spans="1:4" x14ac:dyDescent="0.25">
      <c r="A884" s="7">
        <v>43869.333333333336</v>
      </c>
      <c r="B884" s="1" t="s">
        <v>76</v>
      </c>
      <c r="C884" s="1">
        <v>12612.81</v>
      </c>
      <c r="D884" s="1">
        <v>1594.25</v>
      </c>
    </row>
    <row r="885" spans="1:4" x14ac:dyDescent="0.25">
      <c r="A885" s="7">
        <v>43869.333333333336</v>
      </c>
      <c r="B885" s="1" t="s">
        <v>68</v>
      </c>
      <c r="C885" s="1">
        <v>8297.52</v>
      </c>
      <c r="D885" s="1">
        <v>1969.24</v>
      </c>
    </row>
    <row r="886" spans="1:4" x14ac:dyDescent="0.25">
      <c r="A886" s="7">
        <v>43869.333333333336</v>
      </c>
      <c r="B886" s="1" t="s">
        <v>77</v>
      </c>
      <c r="C886" s="1">
        <v>8991.5499999999993</v>
      </c>
      <c r="D886" s="1">
        <v>1700.72</v>
      </c>
    </row>
    <row r="887" spans="1:4" x14ac:dyDescent="0.25">
      <c r="A887" s="7">
        <v>43869.333333333336</v>
      </c>
      <c r="B887" s="1" t="s">
        <v>70</v>
      </c>
      <c r="C887" s="1">
        <v>5730.52</v>
      </c>
      <c r="D887" s="1">
        <v>1618.94</v>
      </c>
    </row>
    <row r="888" spans="1:4" x14ac:dyDescent="0.25">
      <c r="A888" s="7">
        <v>43869.333333333336</v>
      </c>
      <c r="B888" s="1" t="s">
        <v>69</v>
      </c>
      <c r="C888" s="1">
        <v>4173.46</v>
      </c>
      <c r="D888" s="1">
        <v>1425.15</v>
      </c>
    </row>
    <row r="889" spans="1:4" x14ac:dyDescent="0.25">
      <c r="A889" s="7">
        <v>43869.333333333336</v>
      </c>
      <c r="B889" s="1" t="s">
        <v>78</v>
      </c>
      <c r="C889" s="1">
        <v>1504.88</v>
      </c>
      <c r="D889" s="1">
        <v>470.97</v>
      </c>
    </row>
    <row r="890" spans="1:4" x14ac:dyDescent="0.25">
      <c r="A890" s="7">
        <v>43869.333333333336</v>
      </c>
      <c r="B890" s="1" t="s">
        <v>73</v>
      </c>
      <c r="C890" s="1">
        <v>6146.4</v>
      </c>
      <c r="D890" s="1">
        <v>788.57</v>
      </c>
    </row>
    <row r="891" spans="1:4" x14ac:dyDescent="0.25">
      <c r="A891" s="7">
        <v>43869.333333333336</v>
      </c>
      <c r="B891" s="1" t="s">
        <v>72</v>
      </c>
      <c r="C891" s="1">
        <v>5826.27</v>
      </c>
      <c r="D891" s="1">
        <v>2020.86</v>
      </c>
    </row>
    <row r="892" spans="1:4" x14ac:dyDescent="0.25">
      <c r="A892" s="7">
        <v>43869.333333333336</v>
      </c>
      <c r="B892" s="1" t="s">
        <v>71</v>
      </c>
      <c r="C892" s="1">
        <v>11410.38</v>
      </c>
      <c r="D892" s="1">
        <v>2266.2199999999998</v>
      </c>
    </row>
    <row r="893" spans="1:4" x14ac:dyDescent="0.25">
      <c r="A893" s="7">
        <v>43869.375</v>
      </c>
      <c r="B893" s="1" t="s">
        <v>75</v>
      </c>
      <c r="C893" s="1">
        <v>1100.69</v>
      </c>
      <c r="D893" s="1">
        <v>325.99</v>
      </c>
    </row>
    <row r="894" spans="1:4" x14ac:dyDescent="0.25">
      <c r="A894" s="7">
        <v>43869.375</v>
      </c>
      <c r="B894" s="1" t="s">
        <v>74</v>
      </c>
      <c r="C894" s="1">
        <v>11172.76</v>
      </c>
      <c r="D894" s="1">
        <v>2017.72</v>
      </c>
    </row>
    <row r="895" spans="1:4" x14ac:dyDescent="0.25">
      <c r="A895" s="7">
        <v>43869.375</v>
      </c>
      <c r="B895" s="1" t="s">
        <v>76</v>
      </c>
      <c r="C895" s="1">
        <v>15880.83</v>
      </c>
      <c r="D895" s="1">
        <v>2287.23</v>
      </c>
    </row>
    <row r="896" spans="1:4" x14ac:dyDescent="0.25">
      <c r="A896" s="7">
        <v>43869.375</v>
      </c>
      <c r="B896" s="1" t="s">
        <v>72</v>
      </c>
      <c r="C896" s="1">
        <v>8928.64</v>
      </c>
      <c r="D896" s="1">
        <v>3376.32</v>
      </c>
    </row>
    <row r="897" spans="1:4" x14ac:dyDescent="0.25">
      <c r="A897" s="7">
        <v>43869.375</v>
      </c>
      <c r="B897" s="1" t="s">
        <v>73</v>
      </c>
      <c r="C897" s="1">
        <v>7764.47</v>
      </c>
      <c r="D897" s="1">
        <v>1144.44</v>
      </c>
    </row>
    <row r="898" spans="1:4" x14ac:dyDescent="0.25">
      <c r="A898" s="7">
        <v>43869.375</v>
      </c>
      <c r="B898" s="1" t="s">
        <v>68</v>
      </c>
      <c r="C898" s="1">
        <v>9921.09</v>
      </c>
      <c r="D898" s="1">
        <v>2696.94</v>
      </c>
    </row>
    <row r="899" spans="1:4" x14ac:dyDescent="0.25">
      <c r="A899" s="7">
        <v>43869.375</v>
      </c>
      <c r="B899" s="1" t="s">
        <v>77</v>
      </c>
      <c r="C899" s="1">
        <v>12298.13</v>
      </c>
      <c r="D899" s="1">
        <v>2585.88</v>
      </c>
    </row>
    <row r="900" spans="1:4" x14ac:dyDescent="0.25">
      <c r="A900" s="7">
        <v>43869.375</v>
      </c>
      <c r="B900" s="1" t="s">
        <v>71</v>
      </c>
      <c r="C900" s="1">
        <v>13131.98</v>
      </c>
      <c r="D900" s="1">
        <v>3003.52</v>
      </c>
    </row>
    <row r="901" spans="1:4" x14ac:dyDescent="0.25">
      <c r="A901" s="7">
        <v>43869.375</v>
      </c>
      <c r="B901" s="1" t="s">
        <v>70</v>
      </c>
      <c r="C901" s="1">
        <v>8089.33</v>
      </c>
      <c r="D901" s="1">
        <v>2443.71</v>
      </c>
    </row>
    <row r="902" spans="1:4" x14ac:dyDescent="0.25">
      <c r="A902" s="7">
        <v>43869.375</v>
      </c>
      <c r="B902" s="1" t="s">
        <v>69</v>
      </c>
      <c r="C902" s="1">
        <v>6375.21</v>
      </c>
      <c r="D902" s="1">
        <v>2563.11</v>
      </c>
    </row>
    <row r="903" spans="1:4" x14ac:dyDescent="0.25">
      <c r="A903" s="7">
        <v>43869.375</v>
      </c>
      <c r="B903" s="1" t="s">
        <v>78</v>
      </c>
      <c r="C903" s="1">
        <v>2304.91</v>
      </c>
      <c r="D903" s="1">
        <v>856.37</v>
      </c>
    </row>
    <row r="904" spans="1:4" x14ac:dyDescent="0.25">
      <c r="A904" s="7">
        <v>43869.416666666664</v>
      </c>
      <c r="B904" s="1" t="s">
        <v>75</v>
      </c>
      <c r="C904" s="1">
        <v>1264.77</v>
      </c>
      <c r="D904" s="1">
        <v>427.42</v>
      </c>
    </row>
    <row r="905" spans="1:4" x14ac:dyDescent="0.25">
      <c r="A905" s="7">
        <v>43869.416666666664</v>
      </c>
      <c r="B905" s="1" t="s">
        <v>74</v>
      </c>
      <c r="C905" s="1">
        <v>11507.48</v>
      </c>
      <c r="D905" s="1">
        <v>2334.4499999999998</v>
      </c>
    </row>
    <row r="906" spans="1:4" x14ac:dyDescent="0.25">
      <c r="A906" s="7">
        <v>43869.416666666664</v>
      </c>
      <c r="B906" s="1" t="s">
        <v>78</v>
      </c>
      <c r="C906" s="1">
        <v>2883.42</v>
      </c>
      <c r="D906" s="1">
        <v>1206.97</v>
      </c>
    </row>
    <row r="907" spans="1:4" x14ac:dyDescent="0.25">
      <c r="A907" s="7">
        <v>43869.416666666664</v>
      </c>
      <c r="B907" s="1" t="s">
        <v>72</v>
      </c>
      <c r="C907" s="1">
        <v>11220.35</v>
      </c>
      <c r="D907" s="1">
        <v>4756.66</v>
      </c>
    </row>
    <row r="908" spans="1:4" x14ac:dyDescent="0.25">
      <c r="A908" s="7">
        <v>43869.416666666664</v>
      </c>
      <c r="B908" s="1" t="s">
        <v>73</v>
      </c>
      <c r="C908" s="1">
        <v>8192.73</v>
      </c>
      <c r="D908" s="1">
        <v>1386.63</v>
      </c>
    </row>
    <row r="909" spans="1:4" x14ac:dyDescent="0.25">
      <c r="A909" s="7">
        <v>43869.416666666664</v>
      </c>
      <c r="B909" s="1" t="s">
        <v>77</v>
      </c>
      <c r="C909" s="1">
        <v>13953.94</v>
      </c>
      <c r="D909" s="1">
        <v>3211.91</v>
      </c>
    </row>
    <row r="910" spans="1:4" x14ac:dyDescent="0.25">
      <c r="A910" s="7">
        <v>43869.416666666664</v>
      </c>
      <c r="B910" s="1" t="s">
        <v>71</v>
      </c>
      <c r="C910" s="1">
        <v>13325.92</v>
      </c>
      <c r="D910" s="1">
        <v>3463.75</v>
      </c>
    </row>
    <row r="911" spans="1:4" x14ac:dyDescent="0.25">
      <c r="A911" s="7">
        <v>43869.416666666664</v>
      </c>
      <c r="B911" s="1" t="s">
        <v>76</v>
      </c>
      <c r="C911" s="1">
        <v>17115.98</v>
      </c>
      <c r="D911" s="1">
        <v>2696.16</v>
      </c>
    </row>
    <row r="912" spans="1:4" x14ac:dyDescent="0.25">
      <c r="A912" s="7">
        <v>43869.416666666664</v>
      </c>
      <c r="B912" s="1" t="s">
        <v>68</v>
      </c>
      <c r="C912" s="1">
        <v>10245.950000000001</v>
      </c>
      <c r="D912" s="1">
        <v>3178.55</v>
      </c>
    </row>
    <row r="913" spans="1:4" x14ac:dyDescent="0.25">
      <c r="A913" s="7">
        <v>43869.416666666664</v>
      </c>
      <c r="B913" s="1" t="s">
        <v>69</v>
      </c>
      <c r="C913" s="1">
        <v>7956.7</v>
      </c>
      <c r="D913" s="1">
        <v>3753.33</v>
      </c>
    </row>
    <row r="914" spans="1:4" x14ac:dyDescent="0.25">
      <c r="A914" s="7">
        <v>43869.416666666664</v>
      </c>
      <c r="B914" s="1" t="s">
        <v>70</v>
      </c>
      <c r="C914" s="1">
        <v>9333.27</v>
      </c>
      <c r="D914" s="1">
        <v>3091.23</v>
      </c>
    </row>
    <row r="915" spans="1:4" x14ac:dyDescent="0.25">
      <c r="A915" s="7">
        <v>43869.458333333336</v>
      </c>
      <c r="B915" s="1" t="s">
        <v>75</v>
      </c>
      <c r="C915" s="1">
        <v>1299.26</v>
      </c>
      <c r="D915" s="1">
        <v>463.22</v>
      </c>
    </row>
    <row r="916" spans="1:4" x14ac:dyDescent="0.25">
      <c r="A916" s="7">
        <v>43869.458333333336</v>
      </c>
      <c r="B916" s="1" t="s">
        <v>74</v>
      </c>
      <c r="C916" s="1">
        <v>10681.64</v>
      </c>
      <c r="D916" s="1">
        <v>2323.98</v>
      </c>
    </row>
    <row r="917" spans="1:4" x14ac:dyDescent="0.25">
      <c r="A917" s="7">
        <v>43869.458333333336</v>
      </c>
      <c r="B917" s="1" t="s">
        <v>78</v>
      </c>
      <c r="C917" s="1">
        <v>3079.77</v>
      </c>
      <c r="D917" s="1">
        <v>1363.22</v>
      </c>
    </row>
    <row r="918" spans="1:4" x14ac:dyDescent="0.25">
      <c r="A918" s="7">
        <v>43869.458333333336</v>
      </c>
      <c r="B918" s="1" t="s">
        <v>68</v>
      </c>
      <c r="C918" s="1">
        <v>9489.58</v>
      </c>
      <c r="D918" s="1">
        <v>3153.13</v>
      </c>
    </row>
    <row r="919" spans="1:4" x14ac:dyDescent="0.25">
      <c r="A919" s="7">
        <v>43869.458333333336</v>
      </c>
      <c r="B919" s="1" t="s">
        <v>71</v>
      </c>
      <c r="C919" s="1">
        <v>12217.71</v>
      </c>
      <c r="D919" s="1">
        <v>3368.72</v>
      </c>
    </row>
    <row r="920" spans="1:4" x14ac:dyDescent="0.25">
      <c r="A920" s="7">
        <v>43869.458333333336</v>
      </c>
      <c r="B920" s="1" t="s">
        <v>70</v>
      </c>
      <c r="C920" s="1">
        <v>9198.1299999999992</v>
      </c>
      <c r="D920" s="1">
        <v>3222.95</v>
      </c>
    </row>
    <row r="921" spans="1:4" x14ac:dyDescent="0.25">
      <c r="A921" s="7">
        <v>43869.458333333336</v>
      </c>
      <c r="B921" s="1" t="s">
        <v>76</v>
      </c>
      <c r="C921" s="1">
        <v>16303.32</v>
      </c>
      <c r="D921" s="1">
        <v>2727.81</v>
      </c>
    </row>
    <row r="922" spans="1:4" x14ac:dyDescent="0.25">
      <c r="A922" s="7">
        <v>43869.458333333336</v>
      </c>
      <c r="B922" s="1" t="s">
        <v>73</v>
      </c>
      <c r="C922" s="1">
        <v>7810.85</v>
      </c>
      <c r="D922" s="1">
        <v>1370.56</v>
      </c>
    </row>
    <row r="923" spans="1:4" x14ac:dyDescent="0.25">
      <c r="A923" s="7">
        <v>43869.458333333336</v>
      </c>
      <c r="B923" s="1" t="s">
        <v>72</v>
      </c>
      <c r="C923" s="1">
        <v>11807.57</v>
      </c>
      <c r="D923" s="1">
        <v>5438.27</v>
      </c>
    </row>
    <row r="924" spans="1:4" x14ac:dyDescent="0.25">
      <c r="A924" s="7">
        <v>43869.458333333336</v>
      </c>
      <c r="B924" s="1" t="s">
        <v>77</v>
      </c>
      <c r="C924" s="1">
        <v>13670.66</v>
      </c>
      <c r="D924" s="1">
        <v>3276.67</v>
      </c>
    </row>
    <row r="925" spans="1:4" x14ac:dyDescent="0.25">
      <c r="A925" s="7">
        <v>43869.458333333336</v>
      </c>
      <c r="B925" s="1" t="s">
        <v>69</v>
      </c>
      <c r="C925" s="1">
        <v>8495.2000000000007</v>
      </c>
      <c r="D925" s="1">
        <v>4533.1000000000004</v>
      </c>
    </row>
    <row r="926" spans="1:4" x14ac:dyDescent="0.25">
      <c r="A926" s="7">
        <v>43869.5</v>
      </c>
      <c r="B926" s="1" t="s">
        <v>75</v>
      </c>
      <c r="C926" s="1">
        <v>1200.25</v>
      </c>
      <c r="D926" s="1">
        <v>453.22</v>
      </c>
    </row>
    <row r="927" spans="1:4" x14ac:dyDescent="0.25">
      <c r="A927" s="7">
        <v>43869.5</v>
      </c>
      <c r="B927" s="1" t="s">
        <v>74</v>
      </c>
      <c r="C927" s="1">
        <v>9491.64</v>
      </c>
      <c r="D927" s="1">
        <v>2071.61</v>
      </c>
    </row>
    <row r="928" spans="1:4" x14ac:dyDescent="0.25">
      <c r="A928" s="7">
        <v>43869.5</v>
      </c>
      <c r="B928" s="1" t="s">
        <v>76</v>
      </c>
      <c r="C928" s="1">
        <v>14493.18</v>
      </c>
      <c r="D928" s="1">
        <v>2490.23</v>
      </c>
    </row>
    <row r="929" spans="1:4" x14ac:dyDescent="0.25">
      <c r="A929" s="7">
        <v>43869.5</v>
      </c>
      <c r="B929" s="1" t="s">
        <v>68</v>
      </c>
      <c r="C929" s="1">
        <v>8294.2000000000007</v>
      </c>
      <c r="D929" s="1">
        <v>2817.81</v>
      </c>
    </row>
    <row r="930" spans="1:4" x14ac:dyDescent="0.25">
      <c r="A930" s="7">
        <v>43869.5</v>
      </c>
      <c r="B930" s="1" t="s">
        <v>77</v>
      </c>
      <c r="C930" s="1">
        <v>12230.7</v>
      </c>
      <c r="D930" s="1">
        <v>2965.99</v>
      </c>
    </row>
    <row r="931" spans="1:4" x14ac:dyDescent="0.25">
      <c r="A931" s="7">
        <v>43869.5</v>
      </c>
      <c r="B931" s="1" t="s">
        <v>69</v>
      </c>
      <c r="C931" s="1">
        <v>7941.27</v>
      </c>
      <c r="D931" s="1">
        <v>4453.42</v>
      </c>
    </row>
    <row r="932" spans="1:4" x14ac:dyDescent="0.25">
      <c r="A932" s="7">
        <v>43869.5</v>
      </c>
      <c r="B932" s="1" t="s">
        <v>70</v>
      </c>
      <c r="C932" s="1">
        <v>8437.82</v>
      </c>
      <c r="D932" s="1">
        <v>2972.24</v>
      </c>
    </row>
    <row r="933" spans="1:4" x14ac:dyDescent="0.25">
      <c r="A933" s="7">
        <v>43869.5</v>
      </c>
      <c r="B933" s="1" t="s">
        <v>78</v>
      </c>
      <c r="C933" s="1">
        <v>2873.16</v>
      </c>
      <c r="D933" s="1">
        <v>1314.24</v>
      </c>
    </row>
    <row r="934" spans="1:4" x14ac:dyDescent="0.25">
      <c r="A934" s="7">
        <v>43869.5</v>
      </c>
      <c r="B934" s="1" t="s">
        <v>72</v>
      </c>
      <c r="C934" s="1">
        <v>11001.77</v>
      </c>
      <c r="D934" s="1">
        <v>5286.98</v>
      </c>
    </row>
    <row r="935" spans="1:4" x14ac:dyDescent="0.25">
      <c r="A935" s="7">
        <v>43869.5</v>
      </c>
      <c r="B935" s="1" t="s">
        <v>73</v>
      </c>
      <c r="C935" s="1">
        <v>6961.48</v>
      </c>
      <c r="D935" s="1">
        <v>1220.19</v>
      </c>
    </row>
    <row r="936" spans="1:4" x14ac:dyDescent="0.25">
      <c r="A936" s="7">
        <v>43869.5</v>
      </c>
      <c r="B936" s="1" t="s">
        <v>71</v>
      </c>
      <c r="C936" s="1">
        <v>10736.27</v>
      </c>
      <c r="D936" s="1">
        <v>3000.75</v>
      </c>
    </row>
    <row r="937" spans="1:4" x14ac:dyDescent="0.25">
      <c r="A937" s="7">
        <v>43869.541666666664</v>
      </c>
      <c r="B937" s="1" t="s">
        <v>75</v>
      </c>
      <c r="C937" s="1">
        <v>1014.32</v>
      </c>
      <c r="D937" s="1">
        <v>378.03</v>
      </c>
    </row>
    <row r="938" spans="1:4" x14ac:dyDescent="0.25">
      <c r="A938" s="7">
        <v>43869.541666666664</v>
      </c>
      <c r="B938" s="1" t="s">
        <v>74</v>
      </c>
      <c r="C938" s="1">
        <v>7771.16</v>
      </c>
      <c r="D938" s="1">
        <v>1667.79</v>
      </c>
    </row>
    <row r="939" spans="1:4" x14ac:dyDescent="0.25">
      <c r="A939" s="7">
        <v>43869.541666666664</v>
      </c>
      <c r="B939" s="1" t="s">
        <v>76</v>
      </c>
      <c r="C939" s="1">
        <v>12138.11</v>
      </c>
      <c r="D939" s="1">
        <v>2068.08</v>
      </c>
    </row>
    <row r="940" spans="1:4" x14ac:dyDescent="0.25">
      <c r="A940" s="7">
        <v>43869.541666666664</v>
      </c>
      <c r="B940" s="1" t="s">
        <v>72</v>
      </c>
      <c r="C940" s="1">
        <v>8807.73</v>
      </c>
      <c r="D940" s="1">
        <v>4271.79</v>
      </c>
    </row>
    <row r="941" spans="1:4" x14ac:dyDescent="0.25">
      <c r="A941" s="7">
        <v>43869.541666666664</v>
      </c>
      <c r="B941" s="1" t="s">
        <v>73</v>
      </c>
      <c r="C941" s="1">
        <v>5313.06</v>
      </c>
      <c r="D941" s="1">
        <v>892.81</v>
      </c>
    </row>
    <row r="942" spans="1:4" x14ac:dyDescent="0.25">
      <c r="A942" s="7">
        <v>43869.541666666664</v>
      </c>
      <c r="B942" s="1" t="s">
        <v>68</v>
      </c>
      <c r="C942" s="1">
        <v>6448.6</v>
      </c>
      <c r="D942" s="1">
        <v>2119.17</v>
      </c>
    </row>
    <row r="943" spans="1:4" x14ac:dyDescent="0.25">
      <c r="A943" s="7">
        <v>43869.541666666664</v>
      </c>
      <c r="B943" s="1" t="s">
        <v>77</v>
      </c>
      <c r="C943" s="1">
        <v>9986.56</v>
      </c>
      <c r="D943" s="1">
        <v>2414.38</v>
      </c>
    </row>
    <row r="944" spans="1:4" x14ac:dyDescent="0.25">
      <c r="A944" s="7">
        <v>43869.541666666664</v>
      </c>
      <c r="B944" s="1" t="s">
        <v>71</v>
      </c>
      <c r="C944" s="1">
        <v>8710.66</v>
      </c>
      <c r="D944" s="1">
        <v>2317.14</v>
      </c>
    </row>
    <row r="945" spans="1:4" x14ac:dyDescent="0.25">
      <c r="A945" s="7">
        <v>43869.541666666664</v>
      </c>
      <c r="B945" s="1" t="s">
        <v>69</v>
      </c>
      <c r="C945" s="1">
        <v>6376.79</v>
      </c>
      <c r="D945" s="1">
        <v>3518.72</v>
      </c>
    </row>
    <row r="946" spans="1:4" x14ac:dyDescent="0.25">
      <c r="A946" s="7">
        <v>43869.541666666664</v>
      </c>
      <c r="B946" s="1" t="s">
        <v>70</v>
      </c>
      <c r="C946" s="1">
        <v>6487.13</v>
      </c>
      <c r="D946" s="1">
        <v>2310.5</v>
      </c>
    </row>
    <row r="947" spans="1:4" x14ac:dyDescent="0.25">
      <c r="A947" s="7">
        <v>43869.541666666664</v>
      </c>
      <c r="B947" s="1" t="s">
        <v>78</v>
      </c>
      <c r="C947" s="1">
        <v>2228.38</v>
      </c>
      <c r="D947" s="1">
        <v>996.13</v>
      </c>
    </row>
    <row r="948" spans="1:4" x14ac:dyDescent="0.25">
      <c r="A948" s="7">
        <v>43869.583333333336</v>
      </c>
      <c r="B948" s="1" t="s">
        <v>75</v>
      </c>
      <c r="C948" s="1">
        <v>995.43</v>
      </c>
      <c r="D948" s="1">
        <v>351.67</v>
      </c>
    </row>
    <row r="949" spans="1:4" x14ac:dyDescent="0.25">
      <c r="A949" s="7">
        <v>43869.583333333336</v>
      </c>
      <c r="B949" s="1" t="s">
        <v>74</v>
      </c>
      <c r="C949" s="1">
        <v>7738.67</v>
      </c>
      <c r="D949" s="1">
        <v>1575.53</v>
      </c>
    </row>
    <row r="950" spans="1:4" x14ac:dyDescent="0.25">
      <c r="A950" s="7">
        <v>43869.583333333336</v>
      </c>
      <c r="B950" s="1" t="s">
        <v>76</v>
      </c>
      <c r="C950" s="1">
        <v>11607.01</v>
      </c>
      <c r="D950" s="1">
        <v>1950.96</v>
      </c>
    </row>
    <row r="951" spans="1:4" x14ac:dyDescent="0.25">
      <c r="A951" s="7">
        <v>43869.583333333336</v>
      </c>
      <c r="B951" s="1" t="s">
        <v>73</v>
      </c>
      <c r="C951" s="1">
        <v>5106.97</v>
      </c>
      <c r="D951" s="1">
        <v>773.69</v>
      </c>
    </row>
    <row r="952" spans="1:4" x14ac:dyDescent="0.25">
      <c r="A952" s="7">
        <v>43869.583333333336</v>
      </c>
      <c r="B952" s="1" t="s">
        <v>72</v>
      </c>
      <c r="C952" s="1">
        <v>8671.6200000000008</v>
      </c>
      <c r="D952" s="1">
        <v>3973.56</v>
      </c>
    </row>
    <row r="953" spans="1:4" x14ac:dyDescent="0.25">
      <c r="A953" s="7">
        <v>43869.583333333336</v>
      </c>
      <c r="B953" s="1" t="s">
        <v>68</v>
      </c>
      <c r="C953" s="1">
        <v>6473.32</v>
      </c>
      <c r="D953" s="1">
        <v>1900</v>
      </c>
    </row>
    <row r="954" spans="1:4" x14ac:dyDescent="0.25">
      <c r="A954" s="7">
        <v>43869.583333333336</v>
      </c>
      <c r="B954" s="1" t="s">
        <v>77</v>
      </c>
      <c r="C954" s="1">
        <v>9497.6200000000008</v>
      </c>
      <c r="D954" s="1">
        <v>2249.96</v>
      </c>
    </row>
    <row r="955" spans="1:4" x14ac:dyDescent="0.25">
      <c r="A955" s="7">
        <v>43869.583333333336</v>
      </c>
      <c r="B955" s="1" t="s">
        <v>71</v>
      </c>
      <c r="C955" s="1">
        <v>8894.83</v>
      </c>
      <c r="D955" s="1">
        <v>2167.34</v>
      </c>
    </row>
    <row r="956" spans="1:4" x14ac:dyDescent="0.25">
      <c r="A956" s="7">
        <v>43869.583333333336</v>
      </c>
      <c r="B956" s="1" t="s">
        <v>69</v>
      </c>
      <c r="C956" s="1">
        <v>6229.24</v>
      </c>
      <c r="D956" s="1">
        <v>3187.19</v>
      </c>
    </row>
    <row r="957" spans="1:4" x14ac:dyDescent="0.25">
      <c r="A957" s="7">
        <v>43869.583333333336</v>
      </c>
      <c r="B957" s="1" t="s">
        <v>70</v>
      </c>
      <c r="C957" s="1">
        <v>6507.29</v>
      </c>
      <c r="D957" s="1">
        <v>2123.42</v>
      </c>
    </row>
    <row r="958" spans="1:4" x14ac:dyDescent="0.25">
      <c r="A958" s="7">
        <v>43869.583333333336</v>
      </c>
      <c r="B958" s="1" t="s">
        <v>78</v>
      </c>
      <c r="C958" s="1">
        <v>2246.33</v>
      </c>
      <c r="D958" s="1">
        <v>928.02</v>
      </c>
    </row>
    <row r="959" spans="1:4" x14ac:dyDescent="0.25">
      <c r="A959" s="7">
        <v>43869.625</v>
      </c>
      <c r="B959" s="1" t="s">
        <v>75</v>
      </c>
      <c r="C959" s="1">
        <v>1041</v>
      </c>
      <c r="D959" s="1">
        <v>368.56</v>
      </c>
    </row>
    <row r="960" spans="1:4" x14ac:dyDescent="0.25">
      <c r="A960" s="7">
        <v>43869.625</v>
      </c>
      <c r="B960" s="1" t="s">
        <v>74</v>
      </c>
      <c r="C960" s="1">
        <v>8110.81</v>
      </c>
      <c r="D960" s="1">
        <v>1675.56</v>
      </c>
    </row>
    <row r="961" spans="1:4" x14ac:dyDescent="0.25">
      <c r="A961" s="7">
        <v>43869.625</v>
      </c>
      <c r="B961" s="1" t="s">
        <v>73</v>
      </c>
      <c r="C961" s="1">
        <v>5780.25</v>
      </c>
      <c r="D961" s="1">
        <v>914.98</v>
      </c>
    </row>
    <row r="962" spans="1:4" x14ac:dyDescent="0.25">
      <c r="A962" s="7">
        <v>43869.625</v>
      </c>
      <c r="B962" s="1" t="s">
        <v>71</v>
      </c>
      <c r="C962" s="1">
        <v>9574.7900000000009</v>
      </c>
      <c r="D962" s="1">
        <v>2376.2800000000002</v>
      </c>
    </row>
    <row r="963" spans="1:4" x14ac:dyDescent="0.25">
      <c r="A963" s="7">
        <v>43869.625</v>
      </c>
      <c r="B963" s="1" t="s">
        <v>77</v>
      </c>
      <c r="C963" s="1">
        <v>9773.76</v>
      </c>
      <c r="D963" s="1">
        <v>2280.6999999999998</v>
      </c>
    </row>
    <row r="964" spans="1:4" x14ac:dyDescent="0.25">
      <c r="A964" s="7">
        <v>43869.625</v>
      </c>
      <c r="B964" s="1" t="s">
        <v>70</v>
      </c>
      <c r="C964" s="1">
        <v>7121.81</v>
      </c>
      <c r="D964" s="1">
        <v>2350.23</v>
      </c>
    </row>
    <row r="965" spans="1:4" x14ac:dyDescent="0.25">
      <c r="A965" s="7">
        <v>43869.625</v>
      </c>
      <c r="B965" s="1" t="s">
        <v>78</v>
      </c>
      <c r="C965" s="1">
        <v>2304.5</v>
      </c>
      <c r="D965" s="1">
        <v>950.14</v>
      </c>
    </row>
    <row r="966" spans="1:4" x14ac:dyDescent="0.25">
      <c r="A966" s="7">
        <v>43869.625</v>
      </c>
      <c r="B966" s="1" t="s">
        <v>76</v>
      </c>
      <c r="C966" s="1">
        <v>12057.07</v>
      </c>
      <c r="D966" s="1">
        <v>2000.54</v>
      </c>
    </row>
    <row r="967" spans="1:4" x14ac:dyDescent="0.25">
      <c r="A967" s="7">
        <v>43869.625</v>
      </c>
      <c r="B967" s="1" t="s">
        <v>72</v>
      </c>
      <c r="C967" s="1">
        <v>8841.84</v>
      </c>
      <c r="D967" s="1">
        <v>4002.76</v>
      </c>
    </row>
    <row r="968" spans="1:4" x14ac:dyDescent="0.25">
      <c r="A968" s="7">
        <v>43869.625</v>
      </c>
      <c r="B968" s="1" t="s">
        <v>68</v>
      </c>
      <c r="C968" s="1">
        <v>7094.33</v>
      </c>
      <c r="D968" s="1">
        <v>2087.81</v>
      </c>
    </row>
    <row r="969" spans="1:4" x14ac:dyDescent="0.25">
      <c r="A969" s="7">
        <v>43869.625</v>
      </c>
      <c r="B969" s="1" t="s">
        <v>69</v>
      </c>
      <c r="C969" s="1">
        <v>6326.06</v>
      </c>
      <c r="D969" s="1">
        <v>3165.23</v>
      </c>
    </row>
    <row r="970" spans="1:4" x14ac:dyDescent="0.25">
      <c r="A970" s="7">
        <v>43869.666666666664</v>
      </c>
      <c r="B970" s="1" t="s">
        <v>75</v>
      </c>
      <c r="C970" s="1">
        <v>1102.49</v>
      </c>
      <c r="D970" s="1">
        <v>398.88</v>
      </c>
    </row>
    <row r="971" spans="1:4" x14ac:dyDescent="0.25">
      <c r="A971" s="7">
        <v>43869.666666666664</v>
      </c>
      <c r="B971" s="1" t="s">
        <v>74</v>
      </c>
      <c r="C971" s="1">
        <v>8582.7900000000009</v>
      </c>
      <c r="D971" s="1">
        <v>1848.6</v>
      </c>
    </row>
    <row r="972" spans="1:4" x14ac:dyDescent="0.25">
      <c r="A972" s="7">
        <v>43869.666666666664</v>
      </c>
      <c r="B972" s="1" t="s">
        <v>78</v>
      </c>
      <c r="C972" s="1">
        <v>2277.86</v>
      </c>
      <c r="D972" s="1">
        <v>949</v>
      </c>
    </row>
    <row r="973" spans="1:4" x14ac:dyDescent="0.25">
      <c r="A973" s="7">
        <v>43869.666666666664</v>
      </c>
      <c r="B973" s="1" t="s">
        <v>71</v>
      </c>
      <c r="C973" s="1">
        <v>10054.049999999999</v>
      </c>
      <c r="D973" s="1">
        <v>2728.77</v>
      </c>
    </row>
    <row r="974" spans="1:4" x14ac:dyDescent="0.25">
      <c r="A974" s="7">
        <v>43869.666666666664</v>
      </c>
      <c r="B974" s="1" t="s">
        <v>69</v>
      </c>
      <c r="C974" s="1">
        <v>6391.22</v>
      </c>
      <c r="D974" s="1">
        <v>3243.59</v>
      </c>
    </row>
    <row r="975" spans="1:4" x14ac:dyDescent="0.25">
      <c r="A975" s="7">
        <v>43869.666666666664</v>
      </c>
      <c r="B975" s="1" t="s">
        <v>70</v>
      </c>
      <c r="C975" s="1">
        <v>7288.01</v>
      </c>
      <c r="D975" s="1">
        <v>2615.5300000000002</v>
      </c>
    </row>
    <row r="976" spans="1:4" x14ac:dyDescent="0.25">
      <c r="A976" s="7">
        <v>43869.666666666664</v>
      </c>
      <c r="B976" s="1" t="s">
        <v>76</v>
      </c>
      <c r="C976" s="1">
        <v>12915.1</v>
      </c>
      <c r="D976" s="1">
        <v>2243.54</v>
      </c>
    </row>
    <row r="977" spans="1:4" x14ac:dyDescent="0.25">
      <c r="A977" s="7">
        <v>43869.666666666664</v>
      </c>
      <c r="B977" s="1" t="s">
        <v>72</v>
      </c>
      <c r="C977" s="1">
        <v>9108.32</v>
      </c>
      <c r="D977" s="1">
        <v>4221.03</v>
      </c>
    </row>
    <row r="978" spans="1:4" x14ac:dyDescent="0.25">
      <c r="A978" s="7">
        <v>43869.666666666664</v>
      </c>
      <c r="B978" s="1" t="s">
        <v>73</v>
      </c>
      <c r="C978" s="1">
        <v>6428.7</v>
      </c>
      <c r="D978" s="1">
        <v>1126.2</v>
      </c>
    </row>
    <row r="979" spans="1:4" x14ac:dyDescent="0.25">
      <c r="A979" s="7">
        <v>43869.666666666664</v>
      </c>
      <c r="B979" s="1" t="s">
        <v>68</v>
      </c>
      <c r="C979" s="1">
        <v>7462.66</v>
      </c>
      <c r="D979" s="1">
        <v>2435.25</v>
      </c>
    </row>
    <row r="980" spans="1:4" x14ac:dyDescent="0.25">
      <c r="A980" s="7">
        <v>43869.666666666664</v>
      </c>
      <c r="B980" s="1" t="s">
        <v>77</v>
      </c>
      <c r="C980" s="1">
        <v>10305.57</v>
      </c>
      <c r="D980" s="1">
        <v>2479.0300000000002</v>
      </c>
    </row>
    <row r="981" spans="1:4" x14ac:dyDescent="0.25">
      <c r="A981" s="7">
        <v>43869.708333333336</v>
      </c>
      <c r="B981" s="1" t="s">
        <v>75</v>
      </c>
      <c r="C981" s="1">
        <v>1124.25</v>
      </c>
      <c r="D981" s="1">
        <v>438.84</v>
      </c>
    </row>
    <row r="982" spans="1:4" x14ac:dyDescent="0.25">
      <c r="A982" s="7">
        <v>43869.708333333336</v>
      </c>
      <c r="B982" s="1" t="s">
        <v>74</v>
      </c>
      <c r="C982" s="1">
        <v>9047.94</v>
      </c>
      <c r="D982" s="1">
        <v>2072.61</v>
      </c>
    </row>
    <row r="983" spans="1:4" x14ac:dyDescent="0.25">
      <c r="A983" s="7">
        <v>43869.708333333336</v>
      </c>
      <c r="B983" s="1" t="s">
        <v>78</v>
      </c>
      <c r="C983" s="1">
        <v>2542.0500000000002</v>
      </c>
      <c r="D983" s="1">
        <v>1109.69</v>
      </c>
    </row>
    <row r="984" spans="1:4" x14ac:dyDescent="0.25">
      <c r="A984" s="7">
        <v>43869.708333333336</v>
      </c>
      <c r="B984" s="1" t="s">
        <v>68</v>
      </c>
      <c r="C984" s="1">
        <v>7943.68</v>
      </c>
      <c r="D984" s="1">
        <v>2870.62</v>
      </c>
    </row>
    <row r="985" spans="1:4" x14ac:dyDescent="0.25">
      <c r="A985" s="7">
        <v>43869.708333333336</v>
      </c>
      <c r="B985" s="1" t="s">
        <v>69</v>
      </c>
      <c r="C985" s="1">
        <v>6692.88</v>
      </c>
      <c r="D985" s="1">
        <v>3470.74</v>
      </c>
    </row>
    <row r="986" spans="1:4" x14ac:dyDescent="0.25">
      <c r="A986" s="7">
        <v>43869.708333333336</v>
      </c>
      <c r="B986" s="1" t="s">
        <v>70</v>
      </c>
      <c r="C986" s="1">
        <v>7596.77</v>
      </c>
      <c r="D986" s="1">
        <v>2850.85</v>
      </c>
    </row>
    <row r="987" spans="1:4" x14ac:dyDescent="0.25">
      <c r="A987" s="7">
        <v>43869.708333333336</v>
      </c>
      <c r="B987" s="1" t="s">
        <v>76</v>
      </c>
      <c r="C987" s="1">
        <v>13736.3</v>
      </c>
      <c r="D987" s="1">
        <v>2541.89</v>
      </c>
    </row>
    <row r="988" spans="1:4" x14ac:dyDescent="0.25">
      <c r="A988" s="7">
        <v>43869.708333333336</v>
      </c>
      <c r="B988" s="1" t="s">
        <v>73</v>
      </c>
      <c r="C988" s="1">
        <v>6800.1</v>
      </c>
      <c r="D988" s="1">
        <v>1313.82</v>
      </c>
    </row>
    <row r="989" spans="1:4" x14ac:dyDescent="0.25">
      <c r="A989" s="7">
        <v>43869.708333333336</v>
      </c>
      <c r="B989" s="1" t="s">
        <v>72</v>
      </c>
      <c r="C989" s="1">
        <v>9666.18</v>
      </c>
      <c r="D989" s="1">
        <v>4751.43</v>
      </c>
    </row>
    <row r="990" spans="1:4" x14ac:dyDescent="0.25">
      <c r="A990" s="7">
        <v>43869.708333333336</v>
      </c>
      <c r="B990" s="1" t="s">
        <v>77</v>
      </c>
      <c r="C990" s="1">
        <v>10935.84</v>
      </c>
      <c r="D990" s="1">
        <v>2747.88</v>
      </c>
    </row>
    <row r="991" spans="1:4" x14ac:dyDescent="0.25">
      <c r="A991" s="7">
        <v>43869.708333333336</v>
      </c>
      <c r="B991" s="1" t="s">
        <v>71</v>
      </c>
      <c r="C991" s="1">
        <v>10397.15</v>
      </c>
      <c r="D991" s="1">
        <v>3167.48</v>
      </c>
    </row>
    <row r="992" spans="1:4" x14ac:dyDescent="0.25">
      <c r="A992" s="7">
        <v>43869.75</v>
      </c>
      <c r="B992" s="1" t="s">
        <v>75</v>
      </c>
      <c r="C992" s="1">
        <v>1147.3699999999999</v>
      </c>
      <c r="D992" s="1">
        <v>433.5</v>
      </c>
    </row>
    <row r="993" spans="1:4" x14ac:dyDescent="0.25">
      <c r="A993" s="7">
        <v>43869.75</v>
      </c>
      <c r="B993" s="1" t="s">
        <v>74</v>
      </c>
      <c r="C993" s="1">
        <v>9832.2900000000009</v>
      </c>
      <c r="D993" s="1">
        <v>2329.88</v>
      </c>
    </row>
    <row r="994" spans="1:4" x14ac:dyDescent="0.25">
      <c r="A994" s="7">
        <v>43869.75</v>
      </c>
      <c r="B994" s="1" t="s">
        <v>72</v>
      </c>
      <c r="C994" s="1">
        <v>10180.52</v>
      </c>
      <c r="D994" s="1">
        <v>5029.16</v>
      </c>
    </row>
    <row r="995" spans="1:4" x14ac:dyDescent="0.25">
      <c r="A995" s="7">
        <v>43869.75</v>
      </c>
      <c r="B995" s="1" t="s">
        <v>76</v>
      </c>
      <c r="C995" s="1">
        <v>14565.86</v>
      </c>
      <c r="D995" s="1">
        <v>2740.71</v>
      </c>
    </row>
    <row r="996" spans="1:4" x14ac:dyDescent="0.25">
      <c r="A996" s="7">
        <v>43869.75</v>
      </c>
      <c r="B996" s="1" t="s">
        <v>68</v>
      </c>
      <c r="C996" s="1">
        <v>8658.99</v>
      </c>
      <c r="D996" s="1">
        <v>3228.19</v>
      </c>
    </row>
    <row r="997" spans="1:4" x14ac:dyDescent="0.25">
      <c r="A997" s="7">
        <v>43869.75</v>
      </c>
      <c r="B997" s="1" t="s">
        <v>77</v>
      </c>
      <c r="C997" s="1">
        <v>11680.19</v>
      </c>
      <c r="D997" s="1">
        <v>2941.51</v>
      </c>
    </row>
    <row r="998" spans="1:4" x14ac:dyDescent="0.25">
      <c r="A998" s="7">
        <v>43869.75</v>
      </c>
      <c r="B998" s="1" t="s">
        <v>71</v>
      </c>
      <c r="C998" s="1">
        <v>11070.83</v>
      </c>
      <c r="D998" s="1">
        <v>3416.28</v>
      </c>
    </row>
    <row r="999" spans="1:4" x14ac:dyDescent="0.25">
      <c r="A999" s="7">
        <v>43869.75</v>
      </c>
      <c r="B999" s="1" t="s">
        <v>69</v>
      </c>
      <c r="C999" s="1">
        <v>7198.53</v>
      </c>
      <c r="D999" s="1">
        <v>3804.35</v>
      </c>
    </row>
    <row r="1000" spans="1:4" x14ac:dyDescent="0.25">
      <c r="A1000" s="7">
        <v>43869.75</v>
      </c>
      <c r="B1000" s="1" t="s">
        <v>70</v>
      </c>
      <c r="C1000" s="1">
        <v>7908.85</v>
      </c>
      <c r="D1000" s="1">
        <v>2935.4</v>
      </c>
    </row>
    <row r="1001" spans="1:4" x14ac:dyDescent="0.25">
      <c r="A1001" s="7">
        <v>43869.75</v>
      </c>
      <c r="B1001" s="1" t="s">
        <v>78</v>
      </c>
      <c r="C1001" s="1">
        <v>2614.2600000000002</v>
      </c>
      <c r="D1001" s="1">
        <v>1143.03</v>
      </c>
    </row>
    <row r="1002" spans="1:4" x14ac:dyDescent="0.25">
      <c r="A1002" s="7">
        <v>43869.75</v>
      </c>
      <c r="B1002" s="1" t="s">
        <v>73</v>
      </c>
      <c r="C1002" s="1">
        <v>7060.8</v>
      </c>
      <c r="D1002" s="1">
        <v>1443.24</v>
      </c>
    </row>
    <row r="1003" spans="1:4" x14ac:dyDescent="0.25">
      <c r="A1003" s="7">
        <v>43869.791666666664</v>
      </c>
      <c r="B1003" s="1" t="s">
        <v>74</v>
      </c>
      <c r="C1003" s="1">
        <v>14293.39</v>
      </c>
      <c r="D1003" s="1">
        <v>3103.17</v>
      </c>
    </row>
    <row r="1004" spans="1:4" x14ac:dyDescent="0.25">
      <c r="A1004" s="7">
        <v>43869.791666666664</v>
      </c>
      <c r="B1004" s="1" t="s">
        <v>75</v>
      </c>
      <c r="C1004" s="1">
        <v>1944.38</v>
      </c>
      <c r="D1004" s="1">
        <v>655.42</v>
      </c>
    </row>
    <row r="1005" spans="1:4" x14ac:dyDescent="0.25">
      <c r="A1005" s="7">
        <v>43869.791666666664</v>
      </c>
      <c r="B1005" s="1" t="s">
        <v>76</v>
      </c>
      <c r="C1005" s="1">
        <v>21820.289000000001</v>
      </c>
      <c r="D1005" s="1">
        <v>3774.37</v>
      </c>
    </row>
    <row r="1006" spans="1:4" x14ac:dyDescent="0.25">
      <c r="A1006" s="7">
        <v>43869.791666666664</v>
      </c>
      <c r="B1006" s="1" t="s">
        <v>72</v>
      </c>
      <c r="C1006" s="1">
        <v>15312.06</v>
      </c>
      <c r="D1006" s="1">
        <v>6824.45</v>
      </c>
    </row>
    <row r="1007" spans="1:4" x14ac:dyDescent="0.25">
      <c r="A1007" s="7">
        <v>43869.791666666664</v>
      </c>
      <c r="B1007" s="1" t="s">
        <v>73</v>
      </c>
      <c r="C1007" s="1">
        <v>11458.15</v>
      </c>
      <c r="D1007" s="1">
        <v>1935.56</v>
      </c>
    </row>
    <row r="1008" spans="1:4" x14ac:dyDescent="0.25">
      <c r="A1008" s="7">
        <v>43869.791666666664</v>
      </c>
      <c r="B1008" s="1" t="s">
        <v>68</v>
      </c>
      <c r="C1008" s="1">
        <v>14378.02</v>
      </c>
      <c r="D1008" s="1">
        <v>4576.5600000000004</v>
      </c>
    </row>
    <row r="1009" spans="1:4" x14ac:dyDescent="0.25">
      <c r="A1009" s="7">
        <v>43869.791666666664</v>
      </c>
      <c r="B1009" s="1" t="s">
        <v>77</v>
      </c>
      <c r="C1009" s="1">
        <v>18100.210999999999</v>
      </c>
      <c r="D1009" s="1">
        <v>4223.7</v>
      </c>
    </row>
    <row r="1010" spans="1:4" x14ac:dyDescent="0.25">
      <c r="A1010" s="7">
        <v>43869.791666666664</v>
      </c>
      <c r="B1010" s="1" t="s">
        <v>71</v>
      </c>
      <c r="C1010" s="1">
        <v>18246.919999999998</v>
      </c>
      <c r="D1010" s="1">
        <v>4868.95</v>
      </c>
    </row>
    <row r="1011" spans="1:4" x14ac:dyDescent="0.25">
      <c r="A1011" s="7">
        <v>43869.791666666664</v>
      </c>
      <c r="B1011" s="1" t="s">
        <v>70</v>
      </c>
      <c r="C1011" s="1">
        <v>13465.86</v>
      </c>
      <c r="D1011" s="1">
        <v>4512.72</v>
      </c>
    </row>
    <row r="1012" spans="1:4" x14ac:dyDescent="0.25">
      <c r="A1012" s="7">
        <v>43869.791666666664</v>
      </c>
      <c r="B1012" s="1" t="s">
        <v>78</v>
      </c>
      <c r="C1012" s="1">
        <v>4178.53</v>
      </c>
      <c r="D1012" s="1">
        <v>1800.15</v>
      </c>
    </row>
    <row r="1013" spans="1:4" x14ac:dyDescent="0.25">
      <c r="A1013" s="7">
        <v>43869.791666666664</v>
      </c>
      <c r="B1013" s="1" t="s">
        <v>69</v>
      </c>
      <c r="C1013" s="1">
        <v>10475.51</v>
      </c>
      <c r="D1013" s="1">
        <v>5232.4799999999996</v>
      </c>
    </row>
    <row r="1014" spans="1:4" x14ac:dyDescent="0.25">
      <c r="A1014" s="7">
        <v>43869.833333333336</v>
      </c>
      <c r="B1014" s="1" t="s">
        <v>75</v>
      </c>
      <c r="C1014" s="1">
        <v>2051.09</v>
      </c>
      <c r="D1014" s="1">
        <v>736.67</v>
      </c>
    </row>
    <row r="1015" spans="1:4" x14ac:dyDescent="0.25">
      <c r="A1015" s="7">
        <v>43869.833333333336</v>
      </c>
      <c r="B1015" s="1" t="s">
        <v>74</v>
      </c>
      <c r="C1015" s="1">
        <v>15495.65</v>
      </c>
      <c r="D1015" s="1">
        <v>3296.31</v>
      </c>
    </row>
    <row r="1016" spans="1:4" x14ac:dyDescent="0.25">
      <c r="A1016" s="7">
        <v>43869.833333333336</v>
      </c>
      <c r="B1016" s="1" t="s">
        <v>76</v>
      </c>
      <c r="C1016" s="1">
        <v>22994.23</v>
      </c>
      <c r="D1016" s="1">
        <v>3862.59</v>
      </c>
    </row>
    <row r="1017" spans="1:4" x14ac:dyDescent="0.25">
      <c r="A1017" s="7">
        <v>43869.833333333336</v>
      </c>
      <c r="B1017" s="1" t="s">
        <v>68</v>
      </c>
      <c r="C1017" s="1">
        <v>15208.45</v>
      </c>
      <c r="D1017" s="1">
        <v>4935.92</v>
      </c>
    </row>
    <row r="1018" spans="1:4" x14ac:dyDescent="0.25">
      <c r="A1018" s="7">
        <v>43869.833333333336</v>
      </c>
      <c r="B1018" s="1" t="s">
        <v>77</v>
      </c>
      <c r="C1018" s="1">
        <v>18419.75</v>
      </c>
      <c r="D1018" s="1">
        <v>4350.25</v>
      </c>
    </row>
    <row r="1019" spans="1:4" x14ac:dyDescent="0.25">
      <c r="A1019" s="7">
        <v>43869.833333333336</v>
      </c>
      <c r="B1019" s="1" t="s">
        <v>71</v>
      </c>
      <c r="C1019" s="1">
        <v>19071.278999999999</v>
      </c>
      <c r="D1019" s="1">
        <v>5093.97</v>
      </c>
    </row>
    <row r="1020" spans="1:4" x14ac:dyDescent="0.25">
      <c r="A1020" s="7">
        <v>43869.833333333336</v>
      </c>
      <c r="B1020" s="1" t="s">
        <v>70</v>
      </c>
      <c r="C1020" s="1">
        <v>13552.67</v>
      </c>
      <c r="D1020" s="1">
        <v>4486.57</v>
      </c>
    </row>
    <row r="1021" spans="1:4" x14ac:dyDescent="0.25">
      <c r="A1021" s="7">
        <v>43869.833333333336</v>
      </c>
      <c r="B1021" s="1" t="s">
        <v>78</v>
      </c>
      <c r="C1021" s="1">
        <v>4320.6400000000003</v>
      </c>
      <c r="D1021" s="1">
        <v>1946.21</v>
      </c>
    </row>
    <row r="1022" spans="1:4" x14ac:dyDescent="0.25">
      <c r="A1022" s="7">
        <v>43869.833333333336</v>
      </c>
      <c r="B1022" s="1" t="s">
        <v>73</v>
      </c>
      <c r="C1022" s="1">
        <v>11700.89</v>
      </c>
      <c r="D1022" s="1">
        <v>2000.9</v>
      </c>
    </row>
    <row r="1023" spans="1:4" x14ac:dyDescent="0.25">
      <c r="A1023" s="7">
        <v>43869.833333333336</v>
      </c>
      <c r="B1023" s="1" t="s">
        <v>72</v>
      </c>
      <c r="C1023" s="1">
        <v>15518.66</v>
      </c>
      <c r="D1023" s="1">
        <v>7068.57</v>
      </c>
    </row>
    <row r="1024" spans="1:4" x14ac:dyDescent="0.25">
      <c r="A1024" s="7">
        <v>43869.833333333336</v>
      </c>
      <c r="B1024" s="1" t="s">
        <v>69</v>
      </c>
      <c r="C1024" s="1">
        <v>10945.46</v>
      </c>
      <c r="D1024" s="1">
        <v>5662.02</v>
      </c>
    </row>
    <row r="1025" spans="1:4" x14ac:dyDescent="0.25">
      <c r="A1025" s="7">
        <v>43869.875</v>
      </c>
      <c r="B1025" s="1" t="s">
        <v>75</v>
      </c>
      <c r="C1025" s="1">
        <v>1927</v>
      </c>
      <c r="D1025" s="1">
        <v>686.14</v>
      </c>
    </row>
    <row r="1026" spans="1:4" x14ac:dyDescent="0.25">
      <c r="A1026" s="7">
        <v>43869.875</v>
      </c>
      <c r="B1026" s="1" t="s">
        <v>74</v>
      </c>
      <c r="C1026" s="1">
        <v>13648.46</v>
      </c>
      <c r="D1026" s="1">
        <v>2942.98</v>
      </c>
    </row>
    <row r="1027" spans="1:4" x14ac:dyDescent="0.25">
      <c r="A1027" s="7">
        <v>43869.875</v>
      </c>
      <c r="B1027" s="1" t="s">
        <v>78</v>
      </c>
      <c r="C1027" s="1">
        <v>3975.3</v>
      </c>
      <c r="D1027" s="1">
        <v>1791.41</v>
      </c>
    </row>
    <row r="1028" spans="1:4" x14ac:dyDescent="0.25">
      <c r="A1028" s="7">
        <v>43869.875</v>
      </c>
      <c r="B1028" s="1" t="s">
        <v>68</v>
      </c>
      <c r="C1028" s="1">
        <v>13534.94</v>
      </c>
      <c r="D1028" s="1">
        <v>4371.6000000000004</v>
      </c>
    </row>
    <row r="1029" spans="1:4" x14ac:dyDescent="0.25">
      <c r="A1029" s="7">
        <v>43869.875</v>
      </c>
      <c r="B1029" s="1" t="s">
        <v>77</v>
      </c>
      <c r="C1029" s="1">
        <v>16258.47</v>
      </c>
      <c r="D1029" s="1">
        <v>3830.71</v>
      </c>
    </row>
    <row r="1030" spans="1:4" x14ac:dyDescent="0.25">
      <c r="A1030" s="7">
        <v>43869.875</v>
      </c>
      <c r="B1030" s="1" t="s">
        <v>70</v>
      </c>
      <c r="C1030" s="1">
        <v>12306.39</v>
      </c>
      <c r="D1030" s="1">
        <v>4093.72</v>
      </c>
    </row>
    <row r="1031" spans="1:4" x14ac:dyDescent="0.25">
      <c r="A1031" s="7">
        <v>43869.875</v>
      </c>
      <c r="B1031" s="1" t="s">
        <v>69</v>
      </c>
      <c r="C1031" s="1">
        <v>10030.82</v>
      </c>
      <c r="D1031" s="1">
        <v>5256.68</v>
      </c>
    </row>
    <row r="1032" spans="1:4" x14ac:dyDescent="0.25">
      <c r="A1032" s="7">
        <v>43869.875</v>
      </c>
      <c r="B1032" s="1" t="s">
        <v>76</v>
      </c>
      <c r="C1032" s="1">
        <v>20699.900000000001</v>
      </c>
      <c r="D1032" s="1">
        <v>3501.91</v>
      </c>
    </row>
    <row r="1033" spans="1:4" x14ac:dyDescent="0.25">
      <c r="A1033" s="7">
        <v>43869.875</v>
      </c>
      <c r="B1033" s="1" t="s">
        <v>72</v>
      </c>
      <c r="C1033" s="1">
        <v>14389.48</v>
      </c>
      <c r="D1033" s="1">
        <v>6504.1</v>
      </c>
    </row>
    <row r="1034" spans="1:4" x14ac:dyDescent="0.25">
      <c r="A1034" s="7">
        <v>43869.875</v>
      </c>
      <c r="B1034" s="1" t="s">
        <v>73</v>
      </c>
      <c r="C1034" s="1">
        <v>10547.6</v>
      </c>
      <c r="D1034" s="1">
        <v>1752.64</v>
      </c>
    </row>
    <row r="1035" spans="1:4" x14ac:dyDescent="0.25">
      <c r="A1035" s="7">
        <v>43869.875</v>
      </c>
      <c r="B1035" s="1" t="s">
        <v>71</v>
      </c>
      <c r="C1035" s="1">
        <v>16439.311000000002</v>
      </c>
      <c r="D1035" s="1">
        <v>4412.74</v>
      </c>
    </row>
    <row r="1036" spans="1:4" x14ac:dyDescent="0.25">
      <c r="A1036" s="7">
        <v>43869.916666666664</v>
      </c>
      <c r="B1036" s="1" t="s">
        <v>75</v>
      </c>
      <c r="C1036" s="1">
        <v>1442.21</v>
      </c>
      <c r="D1036" s="1">
        <v>533.38</v>
      </c>
    </row>
    <row r="1037" spans="1:4" x14ac:dyDescent="0.25">
      <c r="A1037" s="7">
        <v>43869.916666666664</v>
      </c>
      <c r="B1037" s="1" t="s">
        <v>74</v>
      </c>
      <c r="C1037" s="1">
        <v>9048.84</v>
      </c>
      <c r="D1037" s="1">
        <v>2137.2800000000002</v>
      </c>
    </row>
    <row r="1038" spans="1:4" x14ac:dyDescent="0.25">
      <c r="A1038" s="7">
        <v>43869.916666666664</v>
      </c>
      <c r="B1038" s="1" t="s">
        <v>78</v>
      </c>
      <c r="C1038" s="1">
        <v>2860.11</v>
      </c>
      <c r="D1038" s="1">
        <v>1292.1199999999999</v>
      </c>
    </row>
    <row r="1039" spans="1:4" x14ac:dyDescent="0.25">
      <c r="A1039" s="7">
        <v>43869.916666666664</v>
      </c>
      <c r="B1039" s="1" t="s">
        <v>72</v>
      </c>
      <c r="C1039" s="1">
        <v>10596.01</v>
      </c>
      <c r="D1039" s="1">
        <v>4949.01</v>
      </c>
    </row>
    <row r="1040" spans="1:4" x14ac:dyDescent="0.25">
      <c r="A1040" s="7">
        <v>43869.916666666664</v>
      </c>
      <c r="B1040" s="1" t="s">
        <v>73</v>
      </c>
      <c r="C1040" s="1">
        <v>7345.09</v>
      </c>
      <c r="D1040" s="1">
        <v>1271.58</v>
      </c>
    </row>
    <row r="1041" spans="1:4" x14ac:dyDescent="0.25">
      <c r="A1041" s="7">
        <v>43869.916666666664</v>
      </c>
      <c r="B1041" s="1" t="s">
        <v>71</v>
      </c>
      <c r="C1041" s="1">
        <v>10427.68</v>
      </c>
      <c r="D1041" s="1">
        <v>3116.26</v>
      </c>
    </row>
    <row r="1042" spans="1:4" x14ac:dyDescent="0.25">
      <c r="A1042" s="7">
        <v>43869.916666666664</v>
      </c>
      <c r="B1042" s="1" t="s">
        <v>69</v>
      </c>
      <c r="C1042" s="1">
        <v>7506.05</v>
      </c>
      <c r="D1042" s="1">
        <v>4065.05</v>
      </c>
    </row>
    <row r="1043" spans="1:4" x14ac:dyDescent="0.25">
      <c r="A1043" s="7">
        <v>43869.916666666664</v>
      </c>
      <c r="B1043" s="1" t="s">
        <v>70</v>
      </c>
      <c r="C1043" s="1">
        <v>8578.85</v>
      </c>
      <c r="D1043" s="1">
        <v>2982.46</v>
      </c>
    </row>
    <row r="1044" spans="1:4" x14ac:dyDescent="0.25">
      <c r="A1044" s="7">
        <v>43869.916666666664</v>
      </c>
      <c r="B1044" s="1" t="s">
        <v>76</v>
      </c>
      <c r="C1044" s="1">
        <v>14734.53</v>
      </c>
      <c r="D1044" s="1">
        <v>2555.37</v>
      </c>
    </row>
    <row r="1045" spans="1:4" x14ac:dyDescent="0.25">
      <c r="A1045" s="7">
        <v>43869.916666666664</v>
      </c>
      <c r="B1045" s="1" t="s">
        <v>68</v>
      </c>
      <c r="C1045" s="1">
        <v>9276.1200000000008</v>
      </c>
      <c r="D1045" s="1">
        <v>3304.85</v>
      </c>
    </row>
    <row r="1046" spans="1:4" x14ac:dyDescent="0.25">
      <c r="A1046" s="7">
        <v>43869.916666666664</v>
      </c>
      <c r="B1046" s="1" t="s">
        <v>77</v>
      </c>
      <c r="C1046" s="1">
        <v>11206.25</v>
      </c>
      <c r="D1046" s="1">
        <v>2761.22</v>
      </c>
    </row>
    <row r="1047" spans="1:4" x14ac:dyDescent="0.25">
      <c r="A1047" s="7">
        <v>43869.958333333336</v>
      </c>
      <c r="B1047" s="1" t="s">
        <v>75</v>
      </c>
      <c r="C1047" s="1">
        <v>855.59</v>
      </c>
      <c r="D1047" s="1">
        <v>377.79</v>
      </c>
    </row>
    <row r="1048" spans="1:4" x14ac:dyDescent="0.25">
      <c r="A1048" s="7">
        <v>43869.958333333336</v>
      </c>
      <c r="B1048" s="1" t="s">
        <v>74</v>
      </c>
      <c r="C1048" s="1">
        <v>4266.9399999999996</v>
      </c>
      <c r="D1048" s="1">
        <v>1165.78</v>
      </c>
    </row>
    <row r="1049" spans="1:4" x14ac:dyDescent="0.25">
      <c r="A1049" s="7">
        <v>43869.958333333336</v>
      </c>
      <c r="B1049" s="1" t="s">
        <v>73</v>
      </c>
      <c r="C1049" s="1">
        <v>3682.18</v>
      </c>
      <c r="D1049" s="1">
        <v>727.23</v>
      </c>
    </row>
    <row r="1050" spans="1:4" x14ac:dyDescent="0.25">
      <c r="A1050" s="7">
        <v>43869.958333333336</v>
      </c>
      <c r="B1050" s="1" t="s">
        <v>72</v>
      </c>
      <c r="C1050" s="1">
        <v>5967.56</v>
      </c>
      <c r="D1050" s="1">
        <v>3126.18</v>
      </c>
    </row>
    <row r="1051" spans="1:4" x14ac:dyDescent="0.25">
      <c r="A1051" s="7">
        <v>43869.958333333336</v>
      </c>
      <c r="B1051" s="1" t="s">
        <v>68</v>
      </c>
      <c r="C1051" s="1">
        <v>4570.8100000000004</v>
      </c>
      <c r="D1051" s="1">
        <v>2007.25</v>
      </c>
    </row>
    <row r="1052" spans="1:4" x14ac:dyDescent="0.25">
      <c r="A1052" s="7">
        <v>43869.958333333336</v>
      </c>
      <c r="B1052" s="1" t="s">
        <v>71</v>
      </c>
      <c r="C1052" s="1">
        <v>4841.13</v>
      </c>
      <c r="D1052" s="1">
        <v>1742.5</v>
      </c>
    </row>
    <row r="1053" spans="1:4" x14ac:dyDescent="0.25">
      <c r="A1053" s="7">
        <v>43869.958333333336</v>
      </c>
      <c r="B1053" s="1" t="s">
        <v>70</v>
      </c>
      <c r="C1053" s="1">
        <v>4470.22</v>
      </c>
      <c r="D1053" s="1">
        <v>1818.1</v>
      </c>
    </row>
    <row r="1054" spans="1:4" x14ac:dyDescent="0.25">
      <c r="A1054" s="7">
        <v>43869.958333333336</v>
      </c>
      <c r="B1054" s="1" t="s">
        <v>78</v>
      </c>
      <c r="C1054" s="1">
        <v>1610.62</v>
      </c>
      <c r="D1054" s="1">
        <v>842.37</v>
      </c>
    </row>
    <row r="1055" spans="1:4" x14ac:dyDescent="0.25">
      <c r="A1055" s="7">
        <v>43869.958333333336</v>
      </c>
      <c r="B1055" s="1" t="s">
        <v>76</v>
      </c>
      <c r="C1055" s="1">
        <v>7628.23</v>
      </c>
      <c r="D1055" s="1">
        <v>1471.61</v>
      </c>
    </row>
    <row r="1056" spans="1:4" x14ac:dyDescent="0.25">
      <c r="A1056" s="7">
        <v>43869.958333333336</v>
      </c>
      <c r="B1056" s="1" t="s">
        <v>77</v>
      </c>
      <c r="C1056" s="1">
        <v>5831.43</v>
      </c>
      <c r="D1056" s="1">
        <v>1557.61</v>
      </c>
    </row>
    <row r="1057" spans="1:4" x14ac:dyDescent="0.25">
      <c r="A1057" s="7">
        <v>43869.958333333336</v>
      </c>
      <c r="B1057" s="1" t="s">
        <v>69</v>
      </c>
      <c r="C1057" s="1">
        <v>4175.46</v>
      </c>
      <c r="D1057" s="1">
        <v>2498.9</v>
      </c>
    </row>
    <row r="1058" spans="1:4" x14ac:dyDescent="0.25">
      <c r="A1058" s="7">
        <v>43898</v>
      </c>
      <c r="B1058" s="1" t="s">
        <v>75</v>
      </c>
      <c r="C1058" s="1">
        <v>427.54</v>
      </c>
      <c r="D1058" s="1">
        <v>208.39</v>
      </c>
    </row>
    <row r="1059" spans="1:4" x14ac:dyDescent="0.25">
      <c r="A1059" s="7">
        <v>43898</v>
      </c>
      <c r="B1059" s="1" t="s">
        <v>74</v>
      </c>
      <c r="C1059" s="1">
        <v>1809.61</v>
      </c>
      <c r="D1059" s="1">
        <v>597.01</v>
      </c>
    </row>
    <row r="1060" spans="1:4" x14ac:dyDescent="0.25">
      <c r="A1060" s="7">
        <v>43898</v>
      </c>
      <c r="B1060" s="1" t="s">
        <v>76</v>
      </c>
      <c r="C1060" s="1">
        <v>3298.28</v>
      </c>
      <c r="D1060" s="1">
        <v>730.87</v>
      </c>
    </row>
    <row r="1061" spans="1:4" x14ac:dyDescent="0.25">
      <c r="A1061" s="7">
        <v>43898</v>
      </c>
      <c r="B1061" s="1" t="s">
        <v>73</v>
      </c>
      <c r="C1061" s="1">
        <v>1591.09</v>
      </c>
      <c r="D1061" s="1">
        <v>368.68</v>
      </c>
    </row>
    <row r="1062" spans="1:4" x14ac:dyDescent="0.25">
      <c r="A1062" s="7">
        <v>43898</v>
      </c>
      <c r="B1062" s="1" t="s">
        <v>68</v>
      </c>
      <c r="C1062" s="1">
        <v>2005.99</v>
      </c>
      <c r="D1062" s="1">
        <v>1041.47</v>
      </c>
    </row>
    <row r="1063" spans="1:4" x14ac:dyDescent="0.25">
      <c r="A1063" s="7">
        <v>43898</v>
      </c>
      <c r="B1063" s="1" t="s">
        <v>77</v>
      </c>
      <c r="C1063" s="1">
        <v>2668.55</v>
      </c>
      <c r="D1063" s="1">
        <v>794.14</v>
      </c>
    </row>
    <row r="1064" spans="1:4" x14ac:dyDescent="0.25">
      <c r="A1064" s="7">
        <v>43898</v>
      </c>
      <c r="B1064" s="1" t="s">
        <v>71</v>
      </c>
      <c r="C1064" s="1">
        <v>2040.84</v>
      </c>
      <c r="D1064" s="1">
        <v>860.51</v>
      </c>
    </row>
    <row r="1065" spans="1:4" x14ac:dyDescent="0.25">
      <c r="A1065" s="7">
        <v>43898</v>
      </c>
      <c r="B1065" s="1" t="s">
        <v>70</v>
      </c>
      <c r="C1065" s="1">
        <v>2045.24</v>
      </c>
      <c r="D1065" s="1">
        <v>923.15</v>
      </c>
    </row>
    <row r="1066" spans="1:4" x14ac:dyDescent="0.25">
      <c r="A1066" s="7">
        <v>43898</v>
      </c>
      <c r="B1066" s="1" t="s">
        <v>78</v>
      </c>
      <c r="C1066" s="1">
        <v>734.74</v>
      </c>
      <c r="D1066" s="1">
        <v>458.26</v>
      </c>
    </row>
    <row r="1067" spans="1:4" x14ac:dyDescent="0.25">
      <c r="A1067" s="7">
        <v>43898</v>
      </c>
      <c r="B1067" s="1" t="s">
        <v>72</v>
      </c>
      <c r="C1067" s="1">
        <v>2916.4</v>
      </c>
      <c r="D1067" s="1">
        <v>1726.51</v>
      </c>
    </row>
    <row r="1068" spans="1:4" x14ac:dyDescent="0.25">
      <c r="A1068" s="7">
        <v>43898</v>
      </c>
      <c r="B1068" s="1" t="s">
        <v>69</v>
      </c>
      <c r="C1068" s="1">
        <v>1995.57</v>
      </c>
      <c r="D1068" s="1">
        <v>1310.45</v>
      </c>
    </row>
    <row r="1069" spans="1:4" x14ac:dyDescent="0.25">
      <c r="A1069" s="7">
        <v>43898.041666666664</v>
      </c>
      <c r="B1069" s="1" t="s">
        <v>74</v>
      </c>
      <c r="C1069" s="1">
        <v>846.68</v>
      </c>
      <c r="D1069" s="1">
        <v>282.85000000000002</v>
      </c>
    </row>
    <row r="1070" spans="1:4" x14ac:dyDescent="0.25">
      <c r="A1070" s="7">
        <v>43898.041666666664</v>
      </c>
      <c r="B1070" s="1" t="s">
        <v>75</v>
      </c>
      <c r="C1070" s="1">
        <v>210.4</v>
      </c>
      <c r="D1070" s="1">
        <v>119.7</v>
      </c>
    </row>
    <row r="1071" spans="1:4" x14ac:dyDescent="0.25">
      <c r="A1071" s="7">
        <v>43898.041666666664</v>
      </c>
      <c r="B1071" s="1" t="s">
        <v>76</v>
      </c>
      <c r="C1071" s="1">
        <v>1465.89</v>
      </c>
      <c r="D1071" s="1">
        <v>342.51</v>
      </c>
    </row>
    <row r="1072" spans="1:4" x14ac:dyDescent="0.25">
      <c r="A1072" s="7">
        <v>43898.041666666664</v>
      </c>
      <c r="B1072" s="1" t="s">
        <v>68</v>
      </c>
      <c r="C1072" s="1">
        <v>906.5</v>
      </c>
      <c r="D1072" s="1">
        <v>508.21</v>
      </c>
    </row>
    <row r="1073" spans="1:4" x14ac:dyDescent="0.25">
      <c r="A1073" s="7">
        <v>43898.041666666664</v>
      </c>
      <c r="B1073" s="1" t="s">
        <v>77</v>
      </c>
      <c r="C1073" s="1">
        <v>1256.72</v>
      </c>
      <c r="D1073" s="1">
        <v>406.34</v>
      </c>
    </row>
    <row r="1074" spans="1:4" x14ac:dyDescent="0.25">
      <c r="A1074" s="7">
        <v>43898.041666666664</v>
      </c>
      <c r="B1074" s="1" t="s">
        <v>71</v>
      </c>
      <c r="C1074" s="1">
        <v>917.94</v>
      </c>
      <c r="D1074" s="1">
        <v>421.09</v>
      </c>
    </row>
    <row r="1075" spans="1:4" x14ac:dyDescent="0.25">
      <c r="A1075" s="7">
        <v>43898.041666666664</v>
      </c>
      <c r="B1075" s="1" t="s">
        <v>69</v>
      </c>
      <c r="C1075" s="1">
        <v>964</v>
      </c>
      <c r="D1075" s="1">
        <v>706.12</v>
      </c>
    </row>
    <row r="1076" spans="1:4" x14ac:dyDescent="0.25">
      <c r="A1076" s="7">
        <v>43898.041666666664</v>
      </c>
      <c r="B1076" s="1" t="s">
        <v>70</v>
      </c>
      <c r="C1076" s="1">
        <v>921.92</v>
      </c>
      <c r="D1076" s="1">
        <v>467.71</v>
      </c>
    </row>
    <row r="1077" spans="1:4" x14ac:dyDescent="0.25">
      <c r="A1077" s="7">
        <v>43898.041666666664</v>
      </c>
      <c r="B1077" s="1" t="s">
        <v>78</v>
      </c>
      <c r="C1077" s="1">
        <v>325.97000000000003</v>
      </c>
      <c r="D1077" s="1">
        <v>218.52</v>
      </c>
    </row>
    <row r="1078" spans="1:4" x14ac:dyDescent="0.25">
      <c r="A1078" s="7">
        <v>43898.041666666664</v>
      </c>
      <c r="B1078" s="1" t="s">
        <v>72</v>
      </c>
      <c r="C1078" s="1">
        <v>1428.42</v>
      </c>
      <c r="D1078" s="1">
        <v>936.26</v>
      </c>
    </row>
    <row r="1079" spans="1:4" x14ac:dyDescent="0.25">
      <c r="A1079" s="7">
        <v>43898.041666666664</v>
      </c>
      <c r="B1079" s="1" t="s">
        <v>73</v>
      </c>
      <c r="C1079" s="1">
        <v>687.68</v>
      </c>
      <c r="D1079" s="1">
        <v>172.91</v>
      </c>
    </row>
    <row r="1080" spans="1:4" x14ac:dyDescent="0.25">
      <c r="A1080" s="7">
        <v>43898.083333333336</v>
      </c>
      <c r="B1080" s="1" t="s">
        <v>75</v>
      </c>
      <c r="C1080" s="1">
        <v>108.62</v>
      </c>
      <c r="D1080" s="1">
        <v>59.56</v>
      </c>
    </row>
    <row r="1081" spans="1:4" x14ac:dyDescent="0.25">
      <c r="A1081" s="7">
        <v>43898.083333333336</v>
      </c>
      <c r="B1081" s="1" t="s">
        <v>74</v>
      </c>
      <c r="C1081" s="1">
        <v>403.45</v>
      </c>
      <c r="D1081" s="1">
        <v>133.27000000000001</v>
      </c>
    </row>
    <row r="1082" spans="1:4" x14ac:dyDescent="0.25">
      <c r="A1082" s="7">
        <v>43898.083333333336</v>
      </c>
      <c r="B1082" s="1" t="s">
        <v>76</v>
      </c>
      <c r="C1082" s="1">
        <v>694.81</v>
      </c>
      <c r="D1082" s="1">
        <v>171</v>
      </c>
    </row>
    <row r="1083" spans="1:4" x14ac:dyDescent="0.25">
      <c r="A1083" s="7">
        <v>43898.083333333336</v>
      </c>
      <c r="B1083" s="1" t="s">
        <v>68</v>
      </c>
      <c r="C1083" s="1">
        <v>435.34</v>
      </c>
      <c r="D1083" s="1">
        <v>232.29</v>
      </c>
    </row>
    <row r="1084" spans="1:4" x14ac:dyDescent="0.25">
      <c r="A1084" s="7">
        <v>43898.083333333336</v>
      </c>
      <c r="B1084" s="1" t="s">
        <v>77</v>
      </c>
      <c r="C1084" s="1">
        <v>630.07000000000005</v>
      </c>
      <c r="D1084" s="1">
        <v>209.53</v>
      </c>
    </row>
    <row r="1085" spans="1:4" x14ac:dyDescent="0.25">
      <c r="A1085" s="7">
        <v>43898.083333333336</v>
      </c>
      <c r="B1085" s="1" t="s">
        <v>71</v>
      </c>
      <c r="C1085" s="1">
        <v>438.41</v>
      </c>
      <c r="D1085" s="1">
        <v>203.76</v>
      </c>
    </row>
    <row r="1086" spans="1:4" x14ac:dyDescent="0.25">
      <c r="A1086" s="7">
        <v>43898.083333333336</v>
      </c>
      <c r="B1086" s="1" t="s">
        <v>70</v>
      </c>
      <c r="C1086" s="1">
        <v>424.86</v>
      </c>
      <c r="D1086" s="1">
        <v>231.72</v>
      </c>
    </row>
    <row r="1087" spans="1:4" x14ac:dyDescent="0.25">
      <c r="A1087" s="7">
        <v>43898.083333333336</v>
      </c>
      <c r="B1087" s="1" t="s">
        <v>69</v>
      </c>
      <c r="C1087" s="1">
        <v>470.18</v>
      </c>
      <c r="D1087" s="1">
        <v>378.33</v>
      </c>
    </row>
    <row r="1088" spans="1:4" x14ac:dyDescent="0.25">
      <c r="A1088" s="7">
        <v>43898.083333333336</v>
      </c>
      <c r="B1088" s="1" t="s">
        <v>78</v>
      </c>
      <c r="C1088" s="1">
        <v>156.51</v>
      </c>
      <c r="D1088" s="1">
        <v>112.6</v>
      </c>
    </row>
    <row r="1089" spans="1:4" x14ac:dyDescent="0.25">
      <c r="A1089" s="7">
        <v>43898.083333333336</v>
      </c>
      <c r="B1089" s="1" t="s">
        <v>73</v>
      </c>
      <c r="C1089" s="1">
        <v>322.99</v>
      </c>
      <c r="D1089" s="1">
        <v>83.5</v>
      </c>
    </row>
    <row r="1090" spans="1:4" x14ac:dyDescent="0.25">
      <c r="A1090" s="7">
        <v>43898.083333333336</v>
      </c>
      <c r="B1090" s="1" t="s">
        <v>72</v>
      </c>
      <c r="C1090" s="1">
        <v>685.44</v>
      </c>
      <c r="D1090" s="1">
        <v>473.48</v>
      </c>
    </row>
    <row r="1091" spans="1:4" x14ac:dyDescent="0.25">
      <c r="A1091" s="7">
        <v>43898.125</v>
      </c>
      <c r="B1091" s="1" t="s">
        <v>75</v>
      </c>
      <c r="C1091" s="1">
        <v>61.73</v>
      </c>
      <c r="D1091" s="1">
        <v>32.89</v>
      </c>
    </row>
    <row r="1092" spans="1:4" x14ac:dyDescent="0.25">
      <c r="A1092" s="7">
        <v>43898.125</v>
      </c>
      <c r="B1092" s="1" t="s">
        <v>74</v>
      </c>
      <c r="C1092" s="1">
        <v>219.29</v>
      </c>
      <c r="D1092" s="1">
        <v>58.69</v>
      </c>
    </row>
    <row r="1093" spans="1:4" x14ac:dyDescent="0.25">
      <c r="A1093" s="7">
        <v>43898.125</v>
      </c>
      <c r="B1093" s="1" t="s">
        <v>78</v>
      </c>
      <c r="C1093" s="1">
        <v>84.69</v>
      </c>
      <c r="D1093" s="1">
        <v>63.72</v>
      </c>
    </row>
    <row r="1094" spans="1:4" x14ac:dyDescent="0.25">
      <c r="A1094" s="7">
        <v>43898.125</v>
      </c>
      <c r="B1094" s="1" t="s">
        <v>73</v>
      </c>
      <c r="C1094" s="1">
        <v>201.98</v>
      </c>
      <c r="D1094" s="1">
        <v>46.05</v>
      </c>
    </row>
    <row r="1095" spans="1:4" x14ac:dyDescent="0.25">
      <c r="A1095" s="7">
        <v>43898.125</v>
      </c>
      <c r="B1095" s="1" t="s">
        <v>77</v>
      </c>
      <c r="C1095" s="1">
        <v>341.75</v>
      </c>
      <c r="D1095" s="1">
        <v>119.18</v>
      </c>
    </row>
    <row r="1096" spans="1:4" x14ac:dyDescent="0.25">
      <c r="A1096" s="7">
        <v>43898.125</v>
      </c>
      <c r="B1096" s="1" t="s">
        <v>71</v>
      </c>
      <c r="C1096" s="1">
        <v>268.99</v>
      </c>
      <c r="D1096" s="1">
        <v>107.46</v>
      </c>
    </row>
    <row r="1097" spans="1:4" x14ac:dyDescent="0.25">
      <c r="A1097" s="7">
        <v>43898.125</v>
      </c>
      <c r="B1097" s="1" t="s">
        <v>69</v>
      </c>
      <c r="C1097" s="1">
        <v>243.23</v>
      </c>
      <c r="D1097" s="1">
        <v>181.06</v>
      </c>
    </row>
    <row r="1098" spans="1:4" x14ac:dyDescent="0.25">
      <c r="A1098" s="7">
        <v>43898.125</v>
      </c>
      <c r="B1098" s="1" t="s">
        <v>76</v>
      </c>
      <c r="C1098" s="1">
        <v>378.38</v>
      </c>
      <c r="D1098" s="1">
        <v>82.03</v>
      </c>
    </row>
    <row r="1099" spans="1:4" x14ac:dyDescent="0.25">
      <c r="A1099" s="7">
        <v>43898.125</v>
      </c>
      <c r="B1099" s="1" t="s">
        <v>72</v>
      </c>
      <c r="C1099" s="1">
        <v>387.07</v>
      </c>
      <c r="D1099" s="1">
        <v>237.39</v>
      </c>
    </row>
    <row r="1100" spans="1:4" x14ac:dyDescent="0.25">
      <c r="A1100" s="7">
        <v>43898.125</v>
      </c>
      <c r="B1100" s="1" t="s">
        <v>68</v>
      </c>
      <c r="C1100" s="1">
        <v>213.03</v>
      </c>
      <c r="D1100" s="1">
        <v>105.94</v>
      </c>
    </row>
    <row r="1101" spans="1:4" x14ac:dyDescent="0.25">
      <c r="A1101" s="7">
        <v>43898.125</v>
      </c>
      <c r="B1101" s="1" t="s">
        <v>70</v>
      </c>
      <c r="C1101" s="1">
        <v>252.84</v>
      </c>
      <c r="D1101" s="1">
        <v>122.24</v>
      </c>
    </row>
    <row r="1102" spans="1:4" x14ac:dyDescent="0.25">
      <c r="A1102" s="7">
        <v>43898.166666666664</v>
      </c>
      <c r="B1102" s="1" t="s">
        <v>75</v>
      </c>
      <c r="C1102" s="1">
        <v>36.64</v>
      </c>
      <c r="D1102" s="1">
        <v>20.38</v>
      </c>
    </row>
    <row r="1103" spans="1:4" x14ac:dyDescent="0.25">
      <c r="A1103" s="7">
        <v>43898.166666666664</v>
      </c>
      <c r="B1103" s="1" t="s">
        <v>74</v>
      </c>
      <c r="C1103" s="1">
        <v>176.43</v>
      </c>
      <c r="D1103" s="1">
        <v>43.37</v>
      </c>
    </row>
    <row r="1104" spans="1:4" x14ac:dyDescent="0.25">
      <c r="A1104" s="7">
        <v>43898.166666666664</v>
      </c>
      <c r="B1104" s="1" t="s">
        <v>78</v>
      </c>
      <c r="C1104" s="1">
        <v>57.99</v>
      </c>
      <c r="D1104" s="1">
        <v>34.29</v>
      </c>
    </row>
    <row r="1105" spans="1:4" x14ac:dyDescent="0.25">
      <c r="A1105" s="7">
        <v>43898.166666666664</v>
      </c>
      <c r="B1105" s="1" t="s">
        <v>72</v>
      </c>
      <c r="C1105" s="1">
        <v>264.82</v>
      </c>
      <c r="D1105" s="1">
        <v>166.6</v>
      </c>
    </row>
    <row r="1106" spans="1:4" x14ac:dyDescent="0.25">
      <c r="A1106" s="7">
        <v>43898.166666666664</v>
      </c>
      <c r="B1106" s="1" t="s">
        <v>73</v>
      </c>
      <c r="C1106" s="1">
        <v>184.75</v>
      </c>
      <c r="D1106" s="1">
        <v>29.69</v>
      </c>
    </row>
    <row r="1107" spans="1:4" x14ac:dyDescent="0.25">
      <c r="A1107" s="7">
        <v>43898.166666666664</v>
      </c>
      <c r="B1107" s="1" t="s">
        <v>68</v>
      </c>
      <c r="C1107" s="1">
        <v>193.5</v>
      </c>
      <c r="D1107" s="1">
        <v>69.959999999999994</v>
      </c>
    </row>
    <row r="1108" spans="1:4" x14ac:dyDescent="0.25">
      <c r="A1108" s="7">
        <v>43898.166666666664</v>
      </c>
      <c r="B1108" s="1" t="s">
        <v>71</v>
      </c>
      <c r="C1108" s="1">
        <v>230.74</v>
      </c>
      <c r="D1108" s="1">
        <v>69.92</v>
      </c>
    </row>
    <row r="1109" spans="1:4" x14ac:dyDescent="0.25">
      <c r="A1109" s="7">
        <v>43898.166666666664</v>
      </c>
      <c r="B1109" s="1" t="s">
        <v>70</v>
      </c>
      <c r="C1109" s="1">
        <v>201.15</v>
      </c>
      <c r="D1109" s="1">
        <v>78.77</v>
      </c>
    </row>
    <row r="1110" spans="1:4" x14ac:dyDescent="0.25">
      <c r="A1110" s="7">
        <v>43898.166666666664</v>
      </c>
      <c r="B1110" s="1" t="s">
        <v>76</v>
      </c>
      <c r="C1110" s="1">
        <v>256.2</v>
      </c>
      <c r="D1110" s="1">
        <v>51.69</v>
      </c>
    </row>
    <row r="1111" spans="1:4" x14ac:dyDescent="0.25">
      <c r="A1111" s="7">
        <v>43898.166666666664</v>
      </c>
      <c r="B1111" s="1" t="s">
        <v>77</v>
      </c>
      <c r="C1111" s="1">
        <v>266.33</v>
      </c>
      <c r="D1111" s="1">
        <v>67.400000000000006</v>
      </c>
    </row>
    <row r="1112" spans="1:4" x14ac:dyDescent="0.25">
      <c r="A1112" s="7">
        <v>43898.166666666664</v>
      </c>
      <c r="B1112" s="1" t="s">
        <v>69</v>
      </c>
      <c r="C1112" s="1">
        <v>191.75</v>
      </c>
      <c r="D1112" s="1">
        <v>109.53</v>
      </c>
    </row>
    <row r="1113" spans="1:4" x14ac:dyDescent="0.25">
      <c r="A1113" s="7">
        <v>43898.208333333336</v>
      </c>
      <c r="B1113" s="1" t="s">
        <v>75</v>
      </c>
      <c r="C1113" s="1">
        <v>62.94</v>
      </c>
      <c r="D1113" s="1">
        <v>21.04</v>
      </c>
    </row>
    <row r="1114" spans="1:4" x14ac:dyDescent="0.25">
      <c r="A1114" s="7">
        <v>43898.208333333336</v>
      </c>
      <c r="B1114" s="1" t="s">
        <v>74</v>
      </c>
      <c r="C1114" s="1">
        <v>550.04</v>
      </c>
      <c r="D1114" s="1">
        <v>97.97</v>
      </c>
    </row>
    <row r="1115" spans="1:4" x14ac:dyDescent="0.25">
      <c r="A1115" s="7">
        <v>43898.208333333336</v>
      </c>
      <c r="B1115" s="1" t="s">
        <v>76</v>
      </c>
      <c r="C1115" s="1">
        <v>690.52</v>
      </c>
      <c r="D1115" s="1">
        <v>97.01</v>
      </c>
    </row>
    <row r="1116" spans="1:4" x14ac:dyDescent="0.25">
      <c r="A1116" s="7">
        <v>43898.208333333336</v>
      </c>
      <c r="B1116" s="1" t="s">
        <v>68</v>
      </c>
      <c r="C1116" s="1">
        <v>831.69</v>
      </c>
      <c r="D1116" s="1">
        <v>167.61</v>
      </c>
    </row>
    <row r="1117" spans="1:4" x14ac:dyDescent="0.25">
      <c r="A1117" s="7">
        <v>43898.208333333336</v>
      </c>
      <c r="B1117" s="1" t="s">
        <v>77</v>
      </c>
      <c r="C1117" s="1">
        <v>622.16999999999996</v>
      </c>
      <c r="D1117" s="1">
        <v>139.22999999999999</v>
      </c>
    </row>
    <row r="1118" spans="1:4" x14ac:dyDescent="0.25">
      <c r="A1118" s="7">
        <v>43898.208333333336</v>
      </c>
      <c r="B1118" s="1" t="s">
        <v>71</v>
      </c>
      <c r="C1118" s="1">
        <v>1070.05</v>
      </c>
      <c r="D1118" s="1">
        <v>170.55</v>
      </c>
    </row>
    <row r="1119" spans="1:4" x14ac:dyDescent="0.25">
      <c r="A1119" s="7">
        <v>43898.208333333336</v>
      </c>
      <c r="B1119" s="1" t="s">
        <v>70</v>
      </c>
      <c r="C1119" s="1">
        <v>570.41</v>
      </c>
      <c r="D1119" s="1">
        <v>158.44999999999999</v>
      </c>
    </row>
    <row r="1120" spans="1:4" x14ac:dyDescent="0.25">
      <c r="A1120" s="7">
        <v>43898.208333333336</v>
      </c>
      <c r="B1120" s="1" t="s">
        <v>78</v>
      </c>
      <c r="C1120" s="1">
        <v>116.8</v>
      </c>
      <c r="D1120" s="1">
        <v>41.22</v>
      </c>
    </row>
    <row r="1121" spans="1:4" x14ac:dyDescent="0.25">
      <c r="A1121" s="7">
        <v>43898.208333333336</v>
      </c>
      <c r="B1121" s="1" t="s">
        <v>73</v>
      </c>
      <c r="C1121" s="1">
        <v>529.85</v>
      </c>
      <c r="D1121" s="1">
        <v>73.98</v>
      </c>
    </row>
    <row r="1122" spans="1:4" x14ac:dyDescent="0.25">
      <c r="A1122" s="7">
        <v>43898.208333333336</v>
      </c>
      <c r="B1122" s="1" t="s">
        <v>72</v>
      </c>
      <c r="C1122" s="1">
        <v>563.55999999999995</v>
      </c>
      <c r="D1122" s="1">
        <v>224.84</v>
      </c>
    </row>
    <row r="1123" spans="1:4" x14ac:dyDescent="0.25">
      <c r="A1123" s="7">
        <v>43898.208333333336</v>
      </c>
      <c r="B1123" s="1" t="s">
        <v>69</v>
      </c>
      <c r="C1123" s="1">
        <v>401.46</v>
      </c>
      <c r="D1123" s="1">
        <v>165.87</v>
      </c>
    </row>
    <row r="1124" spans="1:4" x14ac:dyDescent="0.25">
      <c r="A1124" s="7">
        <v>43898.25</v>
      </c>
      <c r="B1124" s="1" t="s">
        <v>75</v>
      </c>
      <c r="C1124" s="1">
        <v>197.9</v>
      </c>
      <c r="D1124" s="1">
        <v>46.61</v>
      </c>
    </row>
    <row r="1125" spans="1:4" x14ac:dyDescent="0.25">
      <c r="A1125" s="7">
        <v>43898.25</v>
      </c>
      <c r="B1125" s="1" t="s">
        <v>74</v>
      </c>
      <c r="C1125" s="1">
        <v>2385.4899999999998</v>
      </c>
      <c r="D1125" s="1">
        <v>334.86</v>
      </c>
    </row>
    <row r="1126" spans="1:4" x14ac:dyDescent="0.25">
      <c r="A1126" s="7">
        <v>43898.25</v>
      </c>
      <c r="B1126" s="1" t="s">
        <v>76</v>
      </c>
      <c r="C1126" s="1">
        <v>2764.35</v>
      </c>
      <c r="D1126" s="1">
        <v>312.13</v>
      </c>
    </row>
    <row r="1127" spans="1:4" x14ac:dyDescent="0.25">
      <c r="A1127" s="7">
        <v>43898.25</v>
      </c>
      <c r="B1127" s="1" t="s">
        <v>68</v>
      </c>
      <c r="C1127" s="1">
        <v>2851.81</v>
      </c>
      <c r="D1127" s="1">
        <v>540.9</v>
      </c>
    </row>
    <row r="1128" spans="1:4" x14ac:dyDescent="0.25">
      <c r="A1128" s="7">
        <v>43898.25</v>
      </c>
      <c r="B1128" s="1" t="s">
        <v>77</v>
      </c>
      <c r="C1128" s="1">
        <v>2007.48</v>
      </c>
      <c r="D1128" s="1">
        <v>365.02</v>
      </c>
    </row>
    <row r="1129" spans="1:4" x14ac:dyDescent="0.25">
      <c r="A1129" s="7">
        <v>43898.25</v>
      </c>
      <c r="B1129" s="1" t="s">
        <v>69</v>
      </c>
      <c r="C1129" s="1">
        <v>993.3</v>
      </c>
      <c r="D1129" s="1">
        <v>334.95</v>
      </c>
    </row>
    <row r="1130" spans="1:4" x14ac:dyDescent="0.25">
      <c r="A1130" s="7">
        <v>43898.25</v>
      </c>
      <c r="B1130" s="1" t="s">
        <v>70</v>
      </c>
      <c r="C1130" s="1">
        <v>1805.3</v>
      </c>
      <c r="D1130" s="1">
        <v>481.93</v>
      </c>
    </row>
    <row r="1131" spans="1:4" x14ac:dyDescent="0.25">
      <c r="A1131" s="7">
        <v>43898.25</v>
      </c>
      <c r="B1131" s="1" t="s">
        <v>78</v>
      </c>
      <c r="C1131" s="1">
        <v>335.85</v>
      </c>
      <c r="D1131" s="1">
        <v>98.01</v>
      </c>
    </row>
    <row r="1132" spans="1:4" x14ac:dyDescent="0.25">
      <c r="A1132" s="7">
        <v>43898.25</v>
      </c>
      <c r="B1132" s="1" t="s">
        <v>72</v>
      </c>
      <c r="C1132" s="1">
        <v>1431.55</v>
      </c>
      <c r="D1132" s="1">
        <v>473.45</v>
      </c>
    </row>
    <row r="1133" spans="1:4" x14ac:dyDescent="0.25">
      <c r="A1133" s="7">
        <v>43898.25</v>
      </c>
      <c r="B1133" s="1" t="s">
        <v>73</v>
      </c>
      <c r="C1133" s="1">
        <v>1939.56</v>
      </c>
      <c r="D1133" s="1">
        <v>206.6</v>
      </c>
    </row>
    <row r="1134" spans="1:4" x14ac:dyDescent="0.25">
      <c r="A1134" s="7">
        <v>43898.25</v>
      </c>
      <c r="B1134" s="1" t="s">
        <v>71</v>
      </c>
      <c r="C1134" s="1">
        <v>3902.56</v>
      </c>
      <c r="D1134" s="1">
        <v>633.19000000000005</v>
      </c>
    </row>
    <row r="1135" spans="1:4" x14ac:dyDescent="0.25">
      <c r="A1135" s="7">
        <v>43898.291666666664</v>
      </c>
      <c r="B1135" s="1" t="s">
        <v>75</v>
      </c>
      <c r="C1135" s="1">
        <v>431</v>
      </c>
      <c r="D1135" s="1">
        <v>107.38</v>
      </c>
    </row>
    <row r="1136" spans="1:4" x14ac:dyDescent="0.25">
      <c r="A1136" s="7">
        <v>43898.291666666664</v>
      </c>
      <c r="B1136" s="1" t="s">
        <v>74</v>
      </c>
      <c r="C1136" s="1">
        <v>5410.59</v>
      </c>
      <c r="D1136" s="1">
        <v>819.75</v>
      </c>
    </row>
    <row r="1137" spans="1:4" x14ac:dyDescent="0.25">
      <c r="A1137" s="7">
        <v>43898.291666666664</v>
      </c>
      <c r="B1137" s="1" t="s">
        <v>76</v>
      </c>
      <c r="C1137" s="1">
        <v>6517.78</v>
      </c>
      <c r="D1137" s="1">
        <v>784.72</v>
      </c>
    </row>
    <row r="1138" spans="1:4" x14ac:dyDescent="0.25">
      <c r="A1138" s="7">
        <v>43898.291666666664</v>
      </c>
      <c r="B1138" s="1" t="s">
        <v>72</v>
      </c>
      <c r="C1138" s="1">
        <v>3157.26</v>
      </c>
      <c r="D1138" s="1">
        <v>1042.3900000000001</v>
      </c>
    </row>
    <row r="1139" spans="1:4" x14ac:dyDescent="0.25">
      <c r="A1139" s="7">
        <v>43898.291666666664</v>
      </c>
      <c r="B1139" s="1" t="s">
        <v>73</v>
      </c>
      <c r="C1139" s="1">
        <v>4053.81</v>
      </c>
      <c r="D1139" s="1">
        <v>482.24</v>
      </c>
    </row>
    <row r="1140" spans="1:4" x14ac:dyDescent="0.25">
      <c r="A1140" s="7">
        <v>43898.291666666664</v>
      </c>
      <c r="B1140" s="1" t="s">
        <v>68</v>
      </c>
      <c r="C1140" s="1">
        <v>5381.02</v>
      </c>
      <c r="D1140" s="1">
        <v>1154.72</v>
      </c>
    </row>
    <row r="1141" spans="1:4" x14ac:dyDescent="0.25">
      <c r="A1141" s="7">
        <v>43898.291666666664</v>
      </c>
      <c r="B1141" s="1" t="s">
        <v>77</v>
      </c>
      <c r="C1141" s="1">
        <v>4519.47</v>
      </c>
      <c r="D1141" s="1">
        <v>842.96</v>
      </c>
    </row>
    <row r="1142" spans="1:4" x14ac:dyDescent="0.25">
      <c r="A1142" s="7">
        <v>43898.291666666664</v>
      </c>
      <c r="B1142" s="1" t="s">
        <v>71</v>
      </c>
      <c r="C1142" s="1">
        <v>7124.31</v>
      </c>
      <c r="D1142" s="1">
        <v>1329.23</v>
      </c>
    </row>
    <row r="1143" spans="1:4" x14ac:dyDescent="0.25">
      <c r="A1143" s="7">
        <v>43898.291666666664</v>
      </c>
      <c r="B1143" s="1" t="s">
        <v>70</v>
      </c>
      <c r="C1143" s="1">
        <v>3757.14</v>
      </c>
      <c r="D1143" s="1">
        <v>1022.4</v>
      </c>
    </row>
    <row r="1144" spans="1:4" x14ac:dyDescent="0.25">
      <c r="A1144" s="7">
        <v>43898.291666666664</v>
      </c>
      <c r="B1144" s="1" t="s">
        <v>69</v>
      </c>
      <c r="C1144" s="1">
        <v>2186.5100000000002</v>
      </c>
      <c r="D1144" s="1">
        <v>704.99</v>
      </c>
    </row>
    <row r="1145" spans="1:4" x14ac:dyDescent="0.25">
      <c r="A1145" s="7">
        <v>43898.291666666664</v>
      </c>
      <c r="B1145" s="1" t="s">
        <v>78</v>
      </c>
      <c r="C1145" s="1">
        <v>729.3</v>
      </c>
      <c r="D1145" s="1">
        <v>215.61</v>
      </c>
    </row>
    <row r="1146" spans="1:4" x14ac:dyDescent="0.25">
      <c r="A1146" s="7">
        <v>43898.333333333336</v>
      </c>
      <c r="B1146" s="1" t="s">
        <v>75</v>
      </c>
      <c r="C1146" s="1">
        <v>751.2</v>
      </c>
      <c r="D1146" s="1">
        <v>192.64</v>
      </c>
    </row>
    <row r="1147" spans="1:4" x14ac:dyDescent="0.25">
      <c r="A1147" s="7">
        <v>43898.333333333336</v>
      </c>
      <c r="B1147" s="1" t="s">
        <v>74</v>
      </c>
      <c r="C1147" s="1">
        <v>8197.52</v>
      </c>
      <c r="D1147" s="1">
        <v>1357.79</v>
      </c>
    </row>
    <row r="1148" spans="1:4" x14ac:dyDescent="0.25">
      <c r="A1148" s="7">
        <v>43898.333333333336</v>
      </c>
      <c r="B1148" s="1" t="s">
        <v>78</v>
      </c>
      <c r="C1148" s="1">
        <v>1345.85</v>
      </c>
      <c r="D1148" s="1">
        <v>448.08</v>
      </c>
    </row>
    <row r="1149" spans="1:4" x14ac:dyDescent="0.25">
      <c r="A1149" s="7">
        <v>43898.333333333336</v>
      </c>
      <c r="B1149" s="1" t="s">
        <v>73</v>
      </c>
      <c r="C1149" s="1">
        <v>6095.59</v>
      </c>
      <c r="D1149" s="1">
        <v>811.68</v>
      </c>
    </row>
    <row r="1150" spans="1:4" x14ac:dyDescent="0.25">
      <c r="A1150" s="7">
        <v>43898.333333333336</v>
      </c>
      <c r="B1150" s="1" t="s">
        <v>72</v>
      </c>
      <c r="C1150" s="1">
        <v>5633.96</v>
      </c>
      <c r="D1150" s="1">
        <v>2000.91</v>
      </c>
    </row>
    <row r="1151" spans="1:4" x14ac:dyDescent="0.25">
      <c r="A1151" s="7">
        <v>43898.333333333336</v>
      </c>
      <c r="B1151" s="1" t="s">
        <v>77</v>
      </c>
      <c r="C1151" s="1">
        <v>7777.83</v>
      </c>
      <c r="D1151" s="1">
        <v>1558.6</v>
      </c>
    </row>
    <row r="1152" spans="1:4" x14ac:dyDescent="0.25">
      <c r="A1152" s="7">
        <v>43898.333333333336</v>
      </c>
      <c r="B1152" s="1" t="s">
        <v>71</v>
      </c>
      <c r="C1152" s="1">
        <v>9810.35</v>
      </c>
      <c r="D1152" s="1">
        <v>2085</v>
      </c>
    </row>
    <row r="1153" spans="1:4" x14ac:dyDescent="0.25">
      <c r="A1153" s="7">
        <v>43898.333333333336</v>
      </c>
      <c r="B1153" s="1" t="s">
        <v>70</v>
      </c>
      <c r="C1153" s="1">
        <v>5986.74</v>
      </c>
      <c r="D1153" s="1">
        <v>1757.69</v>
      </c>
    </row>
    <row r="1154" spans="1:4" x14ac:dyDescent="0.25">
      <c r="A1154" s="7">
        <v>43898.333333333336</v>
      </c>
      <c r="B1154" s="1" t="s">
        <v>76</v>
      </c>
      <c r="C1154" s="1">
        <v>10621.16</v>
      </c>
      <c r="D1154" s="1">
        <v>1402.9</v>
      </c>
    </row>
    <row r="1155" spans="1:4" x14ac:dyDescent="0.25">
      <c r="A1155" s="7">
        <v>43898.333333333336</v>
      </c>
      <c r="B1155" s="1" t="s">
        <v>68</v>
      </c>
      <c r="C1155" s="1">
        <v>7533.37</v>
      </c>
      <c r="D1155" s="1">
        <v>1870.67</v>
      </c>
    </row>
    <row r="1156" spans="1:4" x14ac:dyDescent="0.25">
      <c r="A1156" s="7">
        <v>43898.333333333336</v>
      </c>
      <c r="B1156" s="1" t="s">
        <v>69</v>
      </c>
      <c r="C1156" s="1">
        <v>3901.61</v>
      </c>
      <c r="D1156" s="1">
        <v>1427.52</v>
      </c>
    </row>
    <row r="1157" spans="1:4" x14ac:dyDescent="0.25">
      <c r="A1157" s="7">
        <v>43898.375</v>
      </c>
      <c r="B1157" s="1" t="s">
        <v>75</v>
      </c>
      <c r="C1157" s="1">
        <v>1037.75</v>
      </c>
      <c r="D1157" s="1">
        <v>316.81</v>
      </c>
    </row>
    <row r="1158" spans="1:4" x14ac:dyDescent="0.25">
      <c r="A1158" s="7">
        <v>43898.375</v>
      </c>
      <c r="B1158" s="1" t="s">
        <v>74</v>
      </c>
      <c r="C1158" s="1">
        <v>9979.83</v>
      </c>
      <c r="D1158" s="1">
        <v>1929.85</v>
      </c>
    </row>
    <row r="1159" spans="1:4" x14ac:dyDescent="0.25">
      <c r="A1159" s="7">
        <v>43898.375</v>
      </c>
      <c r="B1159" s="1" t="s">
        <v>78</v>
      </c>
      <c r="C1159" s="1">
        <v>2097.34</v>
      </c>
      <c r="D1159" s="1">
        <v>822.98</v>
      </c>
    </row>
    <row r="1160" spans="1:4" x14ac:dyDescent="0.25">
      <c r="A1160" s="7">
        <v>43898.375</v>
      </c>
      <c r="B1160" s="1" t="s">
        <v>71</v>
      </c>
      <c r="C1160" s="1">
        <v>11584.12</v>
      </c>
      <c r="D1160" s="1">
        <v>2835.25</v>
      </c>
    </row>
    <row r="1161" spans="1:4" x14ac:dyDescent="0.25">
      <c r="A1161" s="7">
        <v>43898.375</v>
      </c>
      <c r="B1161" s="1" t="s">
        <v>76</v>
      </c>
      <c r="C1161" s="1">
        <v>13988.44</v>
      </c>
      <c r="D1161" s="1">
        <v>2072.63</v>
      </c>
    </row>
    <row r="1162" spans="1:4" x14ac:dyDescent="0.25">
      <c r="A1162" s="7">
        <v>43898.375</v>
      </c>
      <c r="B1162" s="1" t="s">
        <v>72</v>
      </c>
      <c r="C1162" s="1">
        <v>8244.4599999999991</v>
      </c>
      <c r="D1162" s="1">
        <v>3318.48</v>
      </c>
    </row>
    <row r="1163" spans="1:4" x14ac:dyDescent="0.25">
      <c r="A1163" s="7">
        <v>43898.375</v>
      </c>
      <c r="B1163" s="1" t="s">
        <v>73</v>
      </c>
      <c r="C1163" s="1">
        <v>7441.91</v>
      </c>
      <c r="D1163" s="1">
        <v>1151.47</v>
      </c>
    </row>
    <row r="1164" spans="1:4" x14ac:dyDescent="0.25">
      <c r="A1164" s="7">
        <v>43898.375</v>
      </c>
      <c r="B1164" s="1" t="s">
        <v>68</v>
      </c>
      <c r="C1164" s="1">
        <v>9153.98</v>
      </c>
      <c r="D1164" s="1">
        <v>2594.81</v>
      </c>
    </row>
    <row r="1165" spans="1:4" x14ac:dyDescent="0.25">
      <c r="A1165" s="7">
        <v>43898.375</v>
      </c>
      <c r="B1165" s="1" t="s">
        <v>77</v>
      </c>
      <c r="C1165" s="1">
        <v>10693.88</v>
      </c>
      <c r="D1165" s="1">
        <v>2306.9499999999998</v>
      </c>
    </row>
    <row r="1166" spans="1:4" x14ac:dyDescent="0.25">
      <c r="A1166" s="7">
        <v>43898.375</v>
      </c>
      <c r="B1166" s="1" t="s">
        <v>69</v>
      </c>
      <c r="C1166" s="1">
        <v>5742.08</v>
      </c>
      <c r="D1166" s="1">
        <v>2440.4</v>
      </c>
    </row>
    <row r="1167" spans="1:4" x14ac:dyDescent="0.25">
      <c r="A1167" s="7">
        <v>43898.375</v>
      </c>
      <c r="B1167" s="1" t="s">
        <v>70</v>
      </c>
      <c r="C1167" s="1">
        <v>7974.13</v>
      </c>
      <c r="D1167" s="1">
        <v>2574.6</v>
      </c>
    </row>
    <row r="1168" spans="1:4" x14ac:dyDescent="0.25">
      <c r="A1168" s="7">
        <v>43898.416666666664</v>
      </c>
      <c r="B1168" s="1" t="s">
        <v>75</v>
      </c>
      <c r="C1168" s="1">
        <v>1187.02</v>
      </c>
      <c r="D1168" s="1">
        <v>413.94</v>
      </c>
    </row>
    <row r="1169" spans="1:4" x14ac:dyDescent="0.25">
      <c r="A1169" s="7">
        <v>43898.416666666664</v>
      </c>
      <c r="B1169" s="1" t="s">
        <v>74</v>
      </c>
      <c r="C1169" s="1">
        <v>10526.94</v>
      </c>
      <c r="D1169" s="1">
        <v>2292.04</v>
      </c>
    </row>
    <row r="1170" spans="1:4" x14ac:dyDescent="0.25">
      <c r="A1170" s="7">
        <v>43898.416666666664</v>
      </c>
      <c r="B1170" s="1" t="s">
        <v>78</v>
      </c>
      <c r="C1170" s="1">
        <v>2710.53</v>
      </c>
      <c r="D1170" s="1">
        <v>1207.3</v>
      </c>
    </row>
    <row r="1171" spans="1:4" x14ac:dyDescent="0.25">
      <c r="A1171" s="7">
        <v>43898.416666666664</v>
      </c>
      <c r="B1171" s="1" t="s">
        <v>68</v>
      </c>
      <c r="C1171" s="1">
        <v>9519.34</v>
      </c>
      <c r="D1171" s="1">
        <v>3097.85</v>
      </c>
    </row>
    <row r="1172" spans="1:4" x14ac:dyDescent="0.25">
      <c r="A1172" s="7">
        <v>43898.416666666664</v>
      </c>
      <c r="B1172" s="1" t="s">
        <v>70</v>
      </c>
      <c r="C1172" s="1">
        <v>8808.2000000000007</v>
      </c>
      <c r="D1172" s="1">
        <v>3092.14</v>
      </c>
    </row>
    <row r="1173" spans="1:4" x14ac:dyDescent="0.25">
      <c r="A1173" s="7">
        <v>43898.416666666664</v>
      </c>
      <c r="B1173" s="1" t="s">
        <v>69</v>
      </c>
      <c r="C1173" s="1">
        <v>7337</v>
      </c>
      <c r="D1173" s="1">
        <v>3622.33</v>
      </c>
    </row>
    <row r="1174" spans="1:4" x14ac:dyDescent="0.25">
      <c r="A1174" s="7">
        <v>43898.416666666664</v>
      </c>
      <c r="B1174" s="1" t="s">
        <v>76</v>
      </c>
      <c r="C1174" s="1">
        <v>15804.91</v>
      </c>
      <c r="D1174" s="1">
        <v>2599.23</v>
      </c>
    </row>
    <row r="1175" spans="1:4" x14ac:dyDescent="0.25">
      <c r="A1175" s="7">
        <v>43898.416666666664</v>
      </c>
      <c r="B1175" s="1" t="s">
        <v>72</v>
      </c>
      <c r="C1175" s="1">
        <v>10270.98</v>
      </c>
      <c r="D1175" s="1">
        <v>4625.13</v>
      </c>
    </row>
    <row r="1176" spans="1:4" x14ac:dyDescent="0.25">
      <c r="A1176" s="7">
        <v>43898.416666666664</v>
      </c>
      <c r="B1176" s="1" t="s">
        <v>73</v>
      </c>
      <c r="C1176" s="1">
        <v>7771.65</v>
      </c>
      <c r="D1176" s="1">
        <v>1342.27</v>
      </c>
    </row>
    <row r="1177" spans="1:4" x14ac:dyDescent="0.25">
      <c r="A1177" s="7">
        <v>43898.416666666664</v>
      </c>
      <c r="B1177" s="1" t="s">
        <v>77</v>
      </c>
      <c r="C1177" s="1">
        <v>12225.29</v>
      </c>
      <c r="D1177" s="1">
        <v>2892.92</v>
      </c>
    </row>
    <row r="1178" spans="1:4" x14ac:dyDescent="0.25">
      <c r="A1178" s="7">
        <v>43898.416666666664</v>
      </c>
      <c r="B1178" s="1" t="s">
        <v>71</v>
      </c>
      <c r="C1178" s="1">
        <v>11964.03</v>
      </c>
      <c r="D1178" s="1">
        <v>3354.06</v>
      </c>
    </row>
    <row r="1179" spans="1:4" x14ac:dyDescent="0.25">
      <c r="A1179" s="7">
        <v>43898.458333333336</v>
      </c>
      <c r="B1179" s="1" t="s">
        <v>75</v>
      </c>
      <c r="C1179" s="1">
        <v>1240.3399999999999</v>
      </c>
      <c r="D1179" s="1">
        <v>471.38</v>
      </c>
    </row>
    <row r="1180" spans="1:4" x14ac:dyDescent="0.25">
      <c r="A1180" s="7">
        <v>43898.458333333336</v>
      </c>
      <c r="B1180" s="1" t="s">
        <v>74</v>
      </c>
      <c r="C1180" s="1">
        <v>9929.93</v>
      </c>
      <c r="D1180" s="1">
        <v>2266.8000000000002</v>
      </c>
    </row>
    <row r="1181" spans="1:4" x14ac:dyDescent="0.25">
      <c r="A1181" s="7">
        <v>43898.458333333336</v>
      </c>
      <c r="B1181" s="1" t="s">
        <v>68</v>
      </c>
      <c r="C1181" s="1">
        <v>8826.2800000000007</v>
      </c>
      <c r="D1181" s="1">
        <v>3073.76</v>
      </c>
    </row>
    <row r="1182" spans="1:4" x14ac:dyDescent="0.25">
      <c r="A1182" s="7">
        <v>43898.458333333336</v>
      </c>
      <c r="B1182" s="1" t="s">
        <v>71</v>
      </c>
      <c r="C1182" s="1">
        <v>11169.78</v>
      </c>
      <c r="D1182" s="1">
        <v>3220.7</v>
      </c>
    </row>
    <row r="1183" spans="1:4" x14ac:dyDescent="0.25">
      <c r="A1183" s="7">
        <v>43898.458333333336</v>
      </c>
      <c r="B1183" s="1" t="s">
        <v>69</v>
      </c>
      <c r="C1183" s="1">
        <v>7727.81</v>
      </c>
      <c r="D1183" s="1">
        <v>4343.38</v>
      </c>
    </row>
    <row r="1184" spans="1:4" x14ac:dyDescent="0.25">
      <c r="A1184" s="7">
        <v>43898.458333333336</v>
      </c>
      <c r="B1184" s="1" t="s">
        <v>70</v>
      </c>
      <c r="C1184" s="1">
        <v>8530.26</v>
      </c>
      <c r="D1184" s="1">
        <v>3115.99</v>
      </c>
    </row>
    <row r="1185" spans="1:4" x14ac:dyDescent="0.25">
      <c r="A1185" s="7">
        <v>43898.458333333336</v>
      </c>
      <c r="B1185" s="1" t="s">
        <v>78</v>
      </c>
      <c r="C1185" s="1">
        <v>2840.06</v>
      </c>
      <c r="D1185" s="1">
        <v>1365.9</v>
      </c>
    </row>
    <row r="1186" spans="1:4" x14ac:dyDescent="0.25">
      <c r="A1186" s="7">
        <v>43898.458333333336</v>
      </c>
      <c r="B1186" s="1" t="s">
        <v>76</v>
      </c>
      <c r="C1186" s="1">
        <v>15512.35</v>
      </c>
      <c r="D1186" s="1">
        <v>2734.07</v>
      </c>
    </row>
    <row r="1187" spans="1:4" x14ac:dyDescent="0.25">
      <c r="A1187" s="7">
        <v>43898.458333333336</v>
      </c>
      <c r="B1187" s="1" t="s">
        <v>72</v>
      </c>
      <c r="C1187" s="1">
        <v>10818.91</v>
      </c>
      <c r="D1187" s="1">
        <v>5258.77</v>
      </c>
    </row>
    <row r="1188" spans="1:4" x14ac:dyDescent="0.25">
      <c r="A1188" s="7">
        <v>43898.458333333336</v>
      </c>
      <c r="B1188" s="1" t="s">
        <v>73</v>
      </c>
      <c r="C1188" s="1">
        <v>7298.78</v>
      </c>
      <c r="D1188" s="1">
        <v>1347.94</v>
      </c>
    </row>
    <row r="1189" spans="1:4" x14ac:dyDescent="0.25">
      <c r="A1189" s="7">
        <v>43898.458333333336</v>
      </c>
      <c r="B1189" s="1" t="s">
        <v>77</v>
      </c>
      <c r="C1189" s="1">
        <v>12111.13</v>
      </c>
      <c r="D1189" s="1">
        <v>3025.93</v>
      </c>
    </row>
    <row r="1190" spans="1:4" x14ac:dyDescent="0.25">
      <c r="A1190" s="7">
        <v>43898.5</v>
      </c>
      <c r="B1190" s="1" t="s">
        <v>74</v>
      </c>
      <c r="C1190" s="1">
        <v>8854.32</v>
      </c>
      <c r="D1190" s="1">
        <v>2039.65</v>
      </c>
    </row>
    <row r="1191" spans="1:4" x14ac:dyDescent="0.25">
      <c r="A1191" s="7">
        <v>43898.5</v>
      </c>
      <c r="B1191" s="1" t="s">
        <v>75</v>
      </c>
      <c r="C1191" s="1">
        <v>1144.53</v>
      </c>
      <c r="D1191" s="1">
        <v>452.04</v>
      </c>
    </row>
    <row r="1192" spans="1:4" x14ac:dyDescent="0.25">
      <c r="A1192" s="7">
        <v>43898.5</v>
      </c>
      <c r="B1192" s="1" t="s">
        <v>72</v>
      </c>
      <c r="C1192" s="1">
        <v>10012.98</v>
      </c>
      <c r="D1192" s="1">
        <v>5045.63</v>
      </c>
    </row>
    <row r="1193" spans="1:4" x14ac:dyDescent="0.25">
      <c r="A1193" s="7">
        <v>43898.5</v>
      </c>
      <c r="B1193" s="1" t="s">
        <v>76</v>
      </c>
      <c r="C1193" s="1">
        <v>14055.62</v>
      </c>
      <c r="D1193" s="1">
        <v>2518.7600000000002</v>
      </c>
    </row>
    <row r="1194" spans="1:4" x14ac:dyDescent="0.25">
      <c r="A1194" s="7">
        <v>43898.5</v>
      </c>
      <c r="B1194" s="1" t="s">
        <v>73</v>
      </c>
      <c r="C1194" s="1">
        <v>6388.31</v>
      </c>
      <c r="D1194" s="1">
        <v>1186.83</v>
      </c>
    </row>
    <row r="1195" spans="1:4" x14ac:dyDescent="0.25">
      <c r="A1195" s="7">
        <v>43898.5</v>
      </c>
      <c r="B1195" s="1" t="s">
        <v>68</v>
      </c>
      <c r="C1195" s="1">
        <v>7716.04</v>
      </c>
      <c r="D1195" s="1">
        <v>2694.43</v>
      </c>
    </row>
    <row r="1196" spans="1:4" x14ac:dyDescent="0.25">
      <c r="A1196" s="7">
        <v>43898.5</v>
      </c>
      <c r="B1196" s="1" t="s">
        <v>77</v>
      </c>
      <c r="C1196" s="1">
        <v>10812.37</v>
      </c>
      <c r="D1196" s="1">
        <v>2708.01</v>
      </c>
    </row>
    <row r="1197" spans="1:4" x14ac:dyDescent="0.25">
      <c r="A1197" s="7">
        <v>43898.5</v>
      </c>
      <c r="B1197" s="1" t="s">
        <v>71</v>
      </c>
      <c r="C1197" s="1">
        <v>9912.1200000000008</v>
      </c>
      <c r="D1197" s="1">
        <v>2826.26</v>
      </c>
    </row>
    <row r="1198" spans="1:4" x14ac:dyDescent="0.25">
      <c r="A1198" s="7">
        <v>43898.5</v>
      </c>
      <c r="B1198" s="1" t="s">
        <v>69</v>
      </c>
      <c r="C1198" s="1">
        <v>7235.95</v>
      </c>
      <c r="D1198" s="1">
        <v>4234.3999999999996</v>
      </c>
    </row>
    <row r="1199" spans="1:4" x14ac:dyDescent="0.25">
      <c r="A1199" s="7">
        <v>43898.5</v>
      </c>
      <c r="B1199" s="1" t="s">
        <v>70</v>
      </c>
      <c r="C1199" s="1">
        <v>7693.14</v>
      </c>
      <c r="D1199" s="1">
        <v>2813.69</v>
      </c>
    </row>
    <row r="1200" spans="1:4" x14ac:dyDescent="0.25">
      <c r="A1200" s="7">
        <v>43898.5</v>
      </c>
      <c r="B1200" s="1" t="s">
        <v>78</v>
      </c>
      <c r="C1200" s="1">
        <v>2654.07</v>
      </c>
      <c r="D1200" s="1">
        <v>1290.73</v>
      </c>
    </row>
    <row r="1201" spans="1:4" x14ac:dyDescent="0.25">
      <c r="A1201" s="7">
        <v>43898.541666666664</v>
      </c>
      <c r="B1201" s="1" t="s">
        <v>75</v>
      </c>
      <c r="C1201" s="1">
        <v>986.84</v>
      </c>
      <c r="D1201" s="1">
        <v>378.41</v>
      </c>
    </row>
    <row r="1202" spans="1:4" x14ac:dyDescent="0.25">
      <c r="A1202" s="7">
        <v>43898.541666666664</v>
      </c>
      <c r="B1202" s="1" t="s">
        <v>74</v>
      </c>
      <c r="C1202" s="1">
        <v>7319.77</v>
      </c>
      <c r="D1202" s="1">
        <v>1653.57</v>
      </c>
    </row>
    <row r="1203" spans="1:4" x14ac:dyDescent="0.25">
      <c r="A1203" s="7">
        <v>43898.541666666664</v>
      </c>
      <c r="B1203" s="1" t="s">
        <v>76</v>
      </c>
      <c r="C1203" s="1">
        <v>11697.9</v>
      </c>
      <c r="D1203" s="1">
        <v>2067.73</v>
      </c>
    </row>
    <row r="1204" spans="1:4" x14ac:dyDescent="0.25">
      <c r="A1204" s="7">
        <v>43898.541666666664</v>
      </c>
      <c r="B1204" s="1" t="s">
        <v>73</v>
      </c>
      <c r="C1204" s="1">
        <v>4955.22</v>
      </c>
      <c r="D1204" s="1">
        <v>886.46</v>
      </c>
    </row>
    <row r="1205" spans="1:4" x14ac:dyDescent="0.25">
      <c r="A1205" s="7">
        <v>43898.541666666664</v>
      </c>
      <c r="B1205" s="1" t="s">
        <v>68</v>
      </c>
      <c r="C1205" s="1">
        <v>6047.7</v>
      </c>
      <c r="D1205" s="1">
        <v>2033.25</v>
      </c>
    </row>
    <row r="1206" spans="1:4" x14ac:dyDescent="0.25">
      <c r="A1206" s="7">
        <v>43898.541666666664</v>
      </c>
      <c r="B1206" s="1" t="s">
        <v>77</v>
      </c>
      <c r="C1206" s="1">
        <v>9036.41</v>
      </c>
      <c r="D1206" s="1">
        <v>2233</v>
      </c>
    </row>
    <row r="1207" spans="1:4" x14ac:dyDescent="0.25">
      <c r="A1207" s="7">
        <v>43898.541666666664</v>
      </c>
      <c r="B1207" s="1" t="s">
        <v>71</v>
      </c>
      <c r="C1207" s="1">
        <v>8023.32</v>
      </c>
      <c r="D1207" s="1">
        <v>2196.38</v>
      </c>
    </row>
    <row r="1208" spans="1:4" x14ac:dyDescent="0.25">
      <c r="A1208" s="7">
        <v>43898.541666666664</v>
      </c>
      <c r="B1208" s="1" t="s">
        <v>70</v>
      </c>
      <c r="C1208" s="1">
        <v>6005.1</v>
      </c>
      <c r="D1208" s="1">
        <v>2146.7399999999998</v>
      </c>
    </row>
    <row r="1209" spans="1:4" x14ac:dyDescent="0.25">
      <c r="A1209" s="7">
        <v>43898.541666666664</v>
      </c>
      <c r="B1209" s="1" t="s">
        <v>78</v>
      </c>
      <c r="C1209" s="1">
        <v>2093.27</v>
      </c>
      <c r="D1209" s="1">
        <v>985.53</v>
      </c>
    </row>
    <row r="1210" spans="1:4" x14ac:dyDescent="0.25">
      <c r="A1210" s="7">
        <v>43898.541666666664</v>
      </c>
      <c r="B1210" s="1" t="s">
        <v>72</v>
      </c>
      <c r="C1210" s="1">
        <v>8081.83</v>
      </c>
      <c r="D1210" s="1">
        <v>4047.16</v>
      </c>
    </row>
    <row r="1211" spans="1:4" x14ac:dyDescent="0.25">
      <c r="A1211" s="7">
        <v>43898.541666666664</v>
      </c>
      <c r="B1211" s="1" t="s">
        <v>69</v>
      </c>
      <c r="C1211" s="1">
        <v>5807.8</v>
      </c>
      <c r="D1211" s="1">
        <v>3390.52</v>
      </c>
    </row>
    <row r="1212" spans="1:4" x14ac:dyDescent="0.25">
      <c r="A1212" s="7">
        <v>43898.583333333336</v>
      </c>
      <c r="B1212" s="1" t="s">
        <v>75</v>
      </c>
      <c r="C1212" s="1">
        <v>956.01</v>
      </c>
      <c r="D1212" s="1">
        <v>358.78</v>
      </c>
    </row>
    <row r="1213" spans="1:4" x14ac:dyDescent="0.25">
      <c r="A1213" s="7">
        <v>43898.583333333336</v>
      </c>
      <c r="B1213" s="1" t="s">
        <v>74</v>
      </c>
      <c r="C1213" s="1">
        <v>7211.31</v>
      </c>
      <c r="D1213" s="1">
        <v>1536.11</v>
      </c>
    </row>
    <row r="1214" spans="1:4" x14ac:dyDescent="0.25">
      <c r="A1214" s="7">
        <v>43898.583333333336</v>
      </c>
      <c r="B1214" s="1" t="s">
        <v>78</v>
      </c>
      <c r="C1214" s="1">
        <v>2205.11</v>
      </c>
      <c r="D1214" s="1">
        <v>949.24</v>
      </c>
    </row>
    <row r="1215" spans="1:4" x14ac:dyDescent="0.25">
      <c r="A1215" s="7">
        <v>43898.583333333336</v>
      </c>
      <c r="B1215" s="1" t="s">
        <v>68</v>
      </c>
      <c r="C1215" s="1">
        <v>6142.81</v>
      </c>
      <c r="D1215" s="1">
        <v>1853.66</v>
      </c>
    </row>
    <row r="1216" spans="1:4" x14ac:dyDescent="0.25">
      <c r="A1216" s="7">
        <v>43898.583333333336</v>
      </c>
      <c r="B1216" s="1" t="s">
        <v>77</v>
      </c>
      <c r="C1216" s="1">
        <v>8662.91</v>
      </c>
      <c r="D1216" s="1">
        <v>2062.64</v>
      </c>
    </row>
    <row r="1217" spans="1:4" x14ac:dyDescent="0.25">
      <c r="A1217" s="7">
        <v>43898.583333333336</v>
      </c>
      <c r="B1217" s="1" t="s">
        <v>71</v>
      </c>
      <c r="C1217" s="1">
        <v>8092.11</v>
      </c>
      <c r="D1217" s="1">
        <v>2022.56</v>
      </c>
    </row>
    <row r="1218" spans="1:4" x14ac:dyDescent="0.25">
      <c r="A1218" s="7">
        <v>43898.583333333336</v>
      </c>
      <c r="B1218" s="1" t="s">
        <v>69</v>
      </c>
      <c r="C1218" s="1">
        <v>5705.02</v>
      </c>
      <c r="D1218" s="1">
        <v>3090.32</v>
      </c>
    </row>
    <row r="1219" spans="1:4" x14ac:dyDescent="0.25">
      <c r="A1219" s="7">
        <v>43898.583333333336</v>
      </c>
      <c r="B1219" s="1" t="s">
        <v>70</v>
      </c>
      <c r="C1219" s="1">
        <v>5996.81</v>
      </c>
      <c r="D1219" s="1">
        <v>2035.83</v>
      </c>
    </row>
    <row r="1220" spans="1:4" x14ac:dyDescent="0.25">
      <c r="A1220" s="7">
        <v>43898.583333333336</v>
      </c>
      <c r="B1220" s="1" t="s">
        <v>72</v>
      </c>
      <c r="C1220" s="1">
        <v>7885.01</v>
      </c>
      <c r="D1220" s="1">
        <v>3740.52</v>
      </c>
    </row>
    <row r="1221" spans="1:4" x14ac:dyDescent="0.25">
      <c r="A1221" s="7">
        <v>43898.583333333336</v>
      </c>
      <c r="B1221" s="1" t="s">
        <v>76</v>
      </c>
      <c r="C1221" s="1">
        <v>11119.56</v>
      </c>
      <c r="D1221" s="1">
        <v>1935.09</v>
      </c>
    </row>
    <row r="1222" spans="1:4" x14ac:dyDescent="0.25">
      <c r="A1222" s="7">
        <v>43898.583333333336</v>
      </c>
      <c r="B1222" s="1" t="s">
        <v>73</v>
      </c>
      <c r="C1222" s="1">
        <v>4850.8100000000004</v>
      </c>
      <c r="D1222" s="1">
        <v>767.29</v>
      </c>
    </row>
    <row r="1223" spans="1:4" x14ac:dyDescent="0.25">
      <c r="A1223" s="7">
        <v>43898.625</v>
      </c>
      <c r="B1223" s="1" t="s">
        <v>75</v>
      </c>
      <c r="C1223" s="1">
        <v>958.76</v>
      </c>
      <c r="D1223" s="1">
        <v>360.01</v>
      </c>
    </row>
    <row r="1224" spans="1:4" x14ac:dyDescent="0.25">
      <c r="A1224" s="7">
        <v>43898.625</v>
      </c>
      <c r="B1224" s="1" t="s">
        <v>74</v>
      </c>
      <c r="C1224" s="1">
        <v>7403.91</v>
      </c>
      <c r="D1224" s="1">
        <v>1602.67</v>
      </c>
    </row>
    <row r="1225" spans="1:4" x14ac:dyDescent="0.25">
      <c r="A1225" s="7">
        <v>43898.625</v>
      </c>
      <c r="B1225" s="1" t="s">
        <v>78</v>
      </c>
      <c r="C1225" s="1">
        <v>2213.6999999999998</v>
      </c>
      <c r="D1225" s="1">
        <v>969.59</v>
      </c>
    </row>
    <row r="1226" spans="1:4" x14ac:dyDescent="0.25">
      <c r="A1226" s="7">
        <v>43898.625</v>
      </c>
      <c r="B1226" s="1" t="s">
        <v>69</v>
      </c>
      <c r="C1226" s="1">
        <v>5675.94</v>
      </c>
      <c r="D1226" s="1">
        <v>3021.44</v>
      </c>
    </row>
    <row r="1227" spans="1:4" x14ac:dyDescent="0.25">
      <c r="A1227" s="7">
        <v>43898.625</v>
      </c>
      <c r="B1227" s="1" t="s">
        <v>70</v>
      </c>
      <c r="C1227" s="1">
        <v>6499.38</v>
      </c>
      <c r="D1227" s="1">
        <v>2227.7199999999998</v>
      </c>
    </row>
    <row r="1228" spans="1:4" x14ac:dyDescent="0.25">
      <c r="A1228" s="7">
        <v>43898.625</v>
      </c>
      <c r="B1228" s="1" t="s">
        <v>76</v>
      </c>
      <c r="C1228" s="1">
        <v>11205.49</v>
      </c>
      <c r="D1228" s="1">
        <v>1911.22</v>
      </c>
    </row>
    <row r="1229" spans="1:4" x14ac:dyDescent="0.25">
      <c r="A1229" s="7">
        <v>43898.625</v>
      </c>
      <c r="B1229" s="1" t="s">
        <v>72</v>
      </c>
      <c r="C1229" s="1">
        <v>7965.99</v>
      </c>
      <c r="D1229" s="1">
        <v>3680.71</v>
      </c>
    </row>
    <row r="1230" spans="1:4" x14ac:dyDescent="0.25">
      <c r="A1230" s="7">
        <v>43898.625</v>
      </c>
      <c r="B1230" s="1" t="s">
        <v>73</v>
      </c>
      <c r="C1230" s="1">
        <v>5501.29</v>
      </c>
      <c r="D1230" s="1">
        <v>866.17</v>
      </c>
    </row>
    <row r="1231" spans="1:4" x14ac:dyDescent="0.25">
      <c r="A1231" s="7">
        <v>43898.625</v>
      </c>
      <c r="B1231" s="1" t="s">
        <v>68</v>
      </c>
      <c r="C1231" s="1">
        <v>6650.38</v>
      </c>
      <c r="D1231" s="1">
        <v>2003.21</v>
      </c>
    </row>
    <row r="1232" spans="1:4" x14ac:dyDescent="0.25">
      <c r="A1232" s="7">
        <v>43898.625</v>
      </c>
      <c r="B1232" s="1" t="s">
        <v>77</v>
      </c>
      <c r="C1232" s="1">
        <v>8622.36</v>
      </c>
      <c r="D1232" s="1">
        <v>2092.48</v>
      </c>
    </row>
    <row r="1233" spans="1:4" x14ac:dyDescent="0.25">
      <c r="A1233" s="7">
        <v>43898.625</v>
      </c>
      <c r="B1233" s="1" t="s">
        <v>71</v>
      </c>
      <c r="C1233" s="1">
        <v>8625.25</v>
      </c>
      <c r="D1233" s="1">
        <v>2196.52</v>
      </c>
    </row>
    <row r="1234" spans="1:4" x14ac:dyDescent="0.25">
      <c r="A1234" s="7">
        <v>43898.666666666664</v>
      </c>
      <c r="B1234" s="1" t="s">
        <v>75</v>
      </c>
      <c r="C1234" s="1">
        <v>998.85</v>
      </c>
      <c r="D1234" s="1">
        <v>375.36</v>
      </c>
    </row>
    <row r="1235" spans="1:4" x14ac:dyDescent="0.25">
      <c r="A1235" s="7">
        <v>43898.666666666664</v>
      </c>
      <c r="B1235" s="1" t="s">
        <v>74</v>
      </c>
      <c r="C1235" s="1">
        <v>7850.51</v>
      </c>
      <c r="D1235" s="1">
        <v>1757.34</v>
      </c>
    </row>
    <row r="1236" spans="1:4" x14ac:dyDescent="0.25">
      <c r="A1236" s="7">
        <v>43898.666666666664</v>
      </c>
      <c r="B1236" s="1" t="s">
        <v>72</v>
      </c>
      <c r="C1236" s="1">
        <v>7990.31</v>
      </c>
      <c r="D1236" s="1">
        <v>3825.57</v>
      </c>
    </row>
    <row r="1237" spans="1:4" x14ac:dyDescent="0.25">
      <c r="A1237" s="7">
        <v>43898.666666666664</v>
      </c>
      <c r="B1237" s="1" t="s">
        <v>73</v>
      </c>
      <c r="C1237" s="1">
        <v>6004.94</v>
      </c>
      <c r="D1237" s="1">
        <v>1062.23</v>
      </c>
    </row>
    <row r="1238" spans="1:4" x14ac:dyDescent="0.25">
      <c r="A1238" s="7">
        <v>43898.666666666664</v>
      </c>
      <c r="B1238" s="1" t="s">
        <v>68</v>
      </c>
      <c r="C1238" s="1">
        <v>6983.64</v>
      </c>
      <c r="D1238" s="1">
        <v>2261.08</v>
      </c>
    </row>
    <row r="1239" spans="1:4" x14ac:dyDescent="0.25">
      <c r="A1239" s="7">
        <v>43898.666666666664</v>
      </c>
      <c r="B1239" s="1" t="s">
        <v>71</v>
      </c>
      <c r="C1239" s="1">
        <v>8966.89</v>
      </c>
      <c r="D1239" s="1">
        <v>2547.41</v>
      </c>
    </row>
    <row r="1240" spans="1:4" x14ac:dyDescent="0.25">
      <c r="A1240" s="7">
        <v>43898.666666666664</v>
      </c>
      <c r="B1240" s="1" t="s">
        <v>70</v>
      </c>
      <c r="C1240" s="1">
        <v>6674.48</v>
      </c>
      <c r="D1240" s="1">
        <v>2383.13</v>
      </c>
    </row>
    <row r="1241" spans="1:4" x14ac:dyDescent="0.25">
      <c r="A1241" s="7">
        <v>43898.666666666664</v>
      </c>
      <c r="B1241" s="1" t="s">
        <v>69</v>
      </c>
      <c r="C1241" s="1">
        <v>5569.97</v>
      </c>
      <c r="D1241" s="1">
        <v>2996.43</v>
      </c>
    </row>
    <row r="1242" spans="1:4" x14ac:dyDescent="0.25">
      <c r="A1242" s="7">
        <v>43898.666666666664</v>
      </c>
      <c r="B1242" s="1" t="s">
        <v>78</v>
      </c>
      <c r="C1242" s="1">
        <v>2108.6799999999998</v>
      </c>
      <c r="D1242" s="1">
        <v>933.68</v>
      </c>
    </row>
    <row r="1243" spans="1:4" x14ac:dyDescent="0.25">
      <c r="A1243" s="7">
        <v>43898.666666666664</v>
      </c>
      <c r="B1243" s="1" t="s">
        <v>76</v>
      </c>
      <c r="C1243" s="1">
        <v>11885.85</v>
      </c>
      <c r="D1243" s="1">
        <v>2127.79</v>
      </c>
    </row>
    <row r="1244" spans="1:4" x14ac:dyDescent="0.25">
      <c r="A1244" s="7">
        <v>43898.666666666664</v>
      </c>
      <c r="B1244" s="1" t="s">
        <v>77</v>
      </c>
      <c r="C1244" s="1">
        <v>8984.33</v>
      </c>
      <c r="D1244" s="1">
        <v>2248.1</v>
      </c>
    </row>
    <row r="1245" spans="1:4" x14ac:dyDescent="0.25">
      <c r="A1245" s="7">
        <v>43898.708333333336</v>
      </c>
      <c r="B1245" s="1" t="s">
        <v>75</v>
      </c>
      <c r="C1245" s="1">
        <v>1013.9</v>
      </c>
      <c r="D1245" s="1">
        <v>405.24</v>
      </c>
    </row>
    <row r="1246" spans="1:4" x14ac:dyDescent="0.25">
      <c r="A1246" s="7">
        <v>43898.708333333336</v>
      </c>
      <c r="B1246" s="1" t="s">
        <v>74</v>
      </c>
      <c r="C1246" s="1">
        <v>8543.9699999999993</v>
      </c>
      <c r="D1246" s="1">
        <v>2012.08</v>
      </c>
    </row>
    <row r="1247" spans="1:4" x14ac:dyDescent="0.25">
      <c r="A1247" s="7">
        <v>43898.708333333336</v>
      </c>
      <c r="B1247" s="1" t="s">
        <v>76</v>
      </c>
      <c r="C1247" s="1">
        <v>13095.12</v>
      </c>
      <c r="D1247" s="1">
        <v>2470.41</v>
      </c>
    </row>
    <row r="1248" spans="1:4" x14ac:dyDescent="0.25">
      <c r="A1248" s="7">
        <v>43898.708333333336</v>
      </c>
      <c r="B1248" s="1" t="s">
        <v>73</v>
      </c>
      <c r="C1248" s="1">
        <v>6541.45</v>
      </c>
      <c r="D1248" s="1">
        <v>1254.26</v>
      </c>
    </row>
    <row r="1249" spans="1:4" x14ac:dyDescent="0.25">
      <c r="A1249" s="7">
        <v>43898.708333333336</v>
      </c>
      <c r="B1249" s="1" t="s">
        <v>72</v>
      </c>
      <c r="C1249" s="1">
        <v>8518.33</v>
      </c>
      <c r="D1249" s="1">
        <v>4268.34</v>
      </c>
    </row>
    <row r="1250" spans="1:4" x14ac:dyDescent="0.25">
      <c r="A1250" s="7">
        <v>43898.708333333336</v>
      </c>
      <c r="B1250" s="1" t="s">
        <v>71</v>
      </c>
      <c r="C1250" s="1">
        <v>9384.9699999999993</v>
      </c>
      <c r="D1250" s="1">
        <v>2940.12</v>
      </c>
    </row>
    <row r="1251" spans="1:4" x14ac:dyDescent="0.25">
      <c r="A1251" s="7">
        <v>43898.708333333336</v>
      </c>
      <c r="B1251" s="1" t="s">
        <v>68</v>
      </c>
      <c r="C1251" s="1">
        <v>7452.81</v>
      </c>
      <c r="D1251" s="1">
        <v>2680.47</v>
      </c>
    </row>
    <row r="1252" spans="1:4" x14ac:dyDescent="0.25">
      <c r="A1252" s="7">
        <v>43898.708333333336</v>
      </c>
      <c r="B1252" s="1" t="s">
        <v>77</v>
      </c>
      <c r="C1252" s="1">
        <v>9709.6</v>
      </c>
      <c r="D1252" s="1">
        <v>2516.62</v>
      </c>
    </row>
    <row r="1253" spans="1:4" x14ac:dyDescent="0.25">
      <c r="A1253" s="7">
        <v>43898.708333333336</v>
      </c>
      <c r="B1253" s="1" t="s">
        <v>70</v>
      </c>
      <c r="C1253" s="1">
        <v>7070.97</v>
      </c>
      <c r="D1253" s="1">
        <v>2692.34</v>
      </c>
    </row>
    <row r="1254" spans="1:4" x14ac:dyDescent="0.25">
      <c r="A1254" s="7">
        <v>43898.708333333336</v>
      </c>
      <c r="B1254" s="1" t="s">
        <v>78</v>
      </c>
      <c r="C1254" s="1">
        <v>2352.0700000000002</v>
      </c>
      <c r="D1254" s="1">
        <v>1055.02</v>
      </c>
    </row>
    <row r="1255" spans="1:4" x14ac:dyDescent="0.25">
      <c r="A1255" s="7">
        <v>43898.708333333336</v>
      </c>
      <c r="B1255" s="1" t="s">
        <v>69</v>
      </c>
      <c r="C1255" s="1">
        <v>5858.09</v>
      </c>
      <c r="D1255" s="1">
        <v>3200.18</v>
      </c>
    </row>
    <row r="1256" spans="1:4" x14ac:dyDescent="0.25">
      <c r="A1256" s="7">
        <v>43898.75</v>
      </c>
      <c r="B1256" s="1" t="s">
        <v>74</v>
      </c>
      <c r="C1256" s="1">
        <v>9508.99</v>
      </c>
      <c r="D1256" s="1">
        <v>2278.9299999999998</v>
      </c>
    </row>
    <row r="1257" spans="1:4" x14ac:dyDescent="0.25">
      <c r="A1257" s="7">
        <v>43898.75</v>
      </c>
      <c r="B1257" s="1" t="s">
        <v>75</v>
      </c>
      <c r="C1257" s="1">
        <v>1061.31</v>
      </c>
      <c r="D1257" s="1">
        <v>440.55</v>
      </c>
    </row>
    <row r="1258" spans="1:4" x14ac:dyDescent="0.25">
      <c r="A1258" s="7">
        <v>43898.75</v>
      </c>
      <c r="B1258" s="1" t="s">
        <v>76</v>
      </c>
      <c r="C1258" s="1">
        <v>14086.99</v>
      </c>
      <c r="D1258" s="1">
        <v>2766.91</v>
      </c>
    </row>
    <row r="1259" spans="1:4" x14ac:dyDescent="0.25">
      <c r="A1259" s="7">
        <v>43898.75</v>
      </c>
      <c r="B1259" s="1" t="s">
        <v>68</v>
      </c>
      <c r="C1259" s="1">
        <v>8228.2800000000007</v>
      </c>
      <c r="D1259" s="1">
        <v>3129.7</v>
      </c>
    </row>
    <row r="1260" spans="1:4" x14ac:dyDescent="0.25">
      <c r="A1260" s="7">
        <v>43898.75</v>
      </c>
      <c r="B1260" s="1" t="s">
        <v>77</v>
      </c>
      <c r="C1260" s="1">
        <v>10544.87</v>
      </c>
      <c r="D1260" s="1">
        <v>2801.2</v>
      </c>
    </row>
    <row r="1261" spans="1:4" x14ac:dyDescent="0.25">
      <c r="A1261" s="7">
        <v>43898.75</v>
      </c>
      <c r="B1261" s="1" t="s">
        <v>71</v>
      </c>
      <c r="C1261" s="1">
        <v>10205.09</v>
      </c>
      <c r="D1261" s="1">
        <v>3298.09</v>
      </c>
    </row>
    <row r="1262" spans="1:4" x14ac:dyDescent="0.25">
      <c r="A1262" s="7">
        <v>43898.75</v>
      </c>
      <c r="B1262" s="1" t="s">
        <v>70</v>
      </c>
      <c r="C1262" s="1">
        <v>7432.24</v>
      </c>
      <c r="D1262" s="1">
        <v>2851.12</v>
      </c>
    </row>
    <row r="1263" spans="1:4" x14ac:dyDescent="0.25">
      <c r="A1263" s="7">
        <v>43898.75</v>
      </c>
      <c r="B1263" s="1" t="s">
        <v>69</v>
      </c>
      <c r="C1263" s="1">
        <v>6412.09</v>
      </c>
      <c r="D1263" s="1">
        <v>3570.6</v>
      </c>
    </row>
    <row r="1264" spans="1:4" x14ac:dyDescent="0.25">
      <c r="A1264" s="7">
        <v>43898.75</v>
      </c>
      <c r="B1264" s="1" t="s">
        <v>78</v>
      </c>
      <c r="C1264" s="1">
        <v>2477.86</v>
      </c>
      <c r="D1264" s="1">
        <v>1148.04</v>
      </c>
    </row>
    <row r="1265" spans="1:4" x14ac:dyDescent="0.25">
      <c r="A1265" s="7">
        <v>43898.75</v>
      </c>
      <c r="B1265" s="1" t="s">
        <v>72</v>
      </c>
      <c r="C1265" s="1">
        <v>9241.35</v>
      </c>
      <c r="D1265" s="1">
        <v>4637.0600000000004</v>
      </c>
    </row>
    <row r="1266" spans="1:4" x14ac:dyDescent="0.25">
      <c r="A1266" s="7">
        <v>43898.75</v>
      </c>
      <c r="B1266" s="1" t="s">
        <v>73</v>
      </c>
      <c r="C1266" s="1">
        <v>6944.77</v>
      </c>
      <c r="D1266" s="1">
        <v>1404.29</v>
      </c>
    </row>
    <row r="1267" spans="1:4" x14ac:dyDescent="0.25">
      <c r="A1267" s="7">
        <v>43898.791666666664</v>
      </c>
      <c r="B1267" s="1" t="s">
        <v>75</v>
      </c>
      <c r="C1267" s="1">
        <v>1813.39</v>
      </c>
      <c r="D1267" s="1">
        <v>662.91</v>
      </c>
    </row>
    <row r="1268" spans="1:4" x14ac:dyDescent="0.25">
      <c r="A1268" s="7">
        <v>43898.791666666664</v>
      </c>
      <c r="B1268" s="1" t="s">
        <v>74</v>
      </c>
      <c r="C1268" s="1">
        <v>13998.19</v>
      </c>
      <c r="D1268" s="1">
        <v>3098.71</v>
      </c>
    </row>
    <row r="1269" spans="1:4" x14ac:dyDescent="0.25">
      <c r="A1269" s="7">
        <v>43898.791666666664</v>
      </c>
      <c r="B1269" s="1" t="s">
        <v>76</v>
      </c>
      <c r="C1269" s="1">
        <v>21561.25</v>
      </c>
      <c r="D1269" s="1">
        <v>3832.08</v>
      </c>
    </row>
    <row r="1270" spans="1:4" x14ac:dyDescent="0.25">
      <c r="A1270" s="7">
        <v>43898.791666666664</v>
      </c>
      <c r="B1270" s="1" t="s">
        <v>68</v>
      </c>
      <c r="C1270" s="1">
        <v>13988.24</v>
      </c>
      <c r="D1270" s="1">
        <v>4540.2700000000004</v>
      </c>
    </row>
    <row r="1271" spans="1:4" x14ac:dyDescent="0.25">
      <c r="A1271" s="7">
        <v>43898.791666666664</v>
      </c>
      <c r="B1271" s="1" t="s">
        <v>77</v>
      </c>
      <c r="C1271" s="1">
        <v>16644.641</v>
      </c>
      <c r="D1271" s="1">
        <v>4092.94</v>
      </c>
    </row>
    <row r="1272" spans="1:4" x14ac:dyDescent="0.25">
      <c r="A1272" s="7">
        <v>43898.791666666664</v>
      </c>
      <c r="B1272" s="1" t="s">
        <v>70</v>
      </c>
      <c r="C1272" s="1">
        <v>12718.01</v>
      </c>
      <c r="D1272" s="1">
        <v>4308.18</v>
      </c>
    </row>
    <row r="1273" spans="1:4" x14ac:dyDescent="0.25">
      <c r="A1273" s="7">
        <v>43898.791666666664</v>
      </c>
      <c r="B1273" s="1" t="s">
        <v>69</v>
      </c>
      <c r="C1273" s="1">
        <v>9627.0400000000009</v>
      </c>
      <c r="D1273" s="1">
        <v>5020.12</v>
      </c>
    </row>
    <row r="1274" spans="1:4" x14ac:dyDescent="0.25">
      <c r="A1274" s="7">
        <v>43898.791666666664</v>
      </c>
      <c r="B1274" s="1" t="s">
        <v>78</v>
      </c>
      <c r="C1274" s="1">
        <v>3995.02</v>
      </c>
      <c r="D1274" s="1">
        <v>1765.23</v>
      </c>
    </row>
    <row r="1275" spans="1:4" x14ac:dyDescent="0.25">
      <c r="A1275" s="7">
        <v>43898.791666666664</v>
      </c>
      <c r="B1275" s="1" t="s">
        <v>72</v>
      </c>
      <c r="C1275" s="1">
        <v>14153.02</v>
      </c>
      <c r="D1275" s="1">
        <v>6523.1</v>
      </c>
    </row>
    <row r="1276" spans="1:4" x14ac:dyDescent="0.25">
      <c r="A1276" s="7">
        <v>43898.791666666664</v>
      </c>
      <c r="B1276" s="1" t="s">
        <v>73</v>
      </c>
      <c r="C1276" s="1">
        <v>11276.05</v>
      </c>
      <c r="D1276" s="1">
        <v>1948.56</v>
      </c>
    </row>
    <row r="1277" spans="1:4" x14ac:dyDescent="0.25">
      <c r="A1277" s="7">
        <v>43898.791666666664</v>
      </c>
      <c r="B1277" s="1" t="s">
        <v>71</v>
      </c>
      <c r="C1277" s="1">
        <v>17123.300999999999</v>
      </c>
      <c r="D1277" s="1">
        <v>4726.2700000000004</v>
      </c>
    </row>
    <row r="1278" spans="1:4" x14ac:dyDescent="0.25">
      <c r="A1278" s="7">
        <v>43898.833333333336</v>
      </c>
      <c r="B1278" s="1" t="s">
        <v>75</v>
      </c>
      <c r="C1278" s="1">
        <v>1937.75</v>
      </c>
      <c r="D1278" s="1">
        <v>707.2</v>
      </c>
    </row>
    <row r="1279" spans="1:4" x14ac:dyDescent="0.25">
      <c r="A1279" s="7">
        <v>43898.833333333336</v>
      </c>
      <c r="B1279" s="1" t="s">
        <v>74</v>
      </c>
      <c r="C1279" s="1">
        <v>14588.27</v>
      </c>
      <c r="D1279" s="1">
        <v>3191.2</v>
      </c>
    </row>
    <row r="1280" spans="1:4" x14ac:dyDescent="0.25">
      <c r="A1280" s="7">
        <v>43898.833333333336</v>
      </c>
      <c r="B1280" s="1" t="s">
        <v>78</v>
      </c>
      <c r="C1280" s="1">
        <v>4025.65</v>
      </c>
      <c r="D1280" s="1">
        <v>1882.01</v>
      </c>
    </row>
    <row r="1281" spans="1:4" x14ac:dyDescent="0.25">
      <c r="A1281" s="7">
        <v>43898.833333333336</v>
      </c>
      <c r="B1281" s="1" t="s">
        <v>77</v>
      </c>
      <c r="C1281" s="1">
        <v>17077.5</v>
      </c>
      <c r="D1281" s="1">
        <v>4247.67</v>
      </c>
    </row>
    <row r="1282" spans="1:4" x14ac:dyDescent="0.25">
      <c r="A1282" s="7">
        <v>43898.833333333336</v>
      </c>
      <c r="B1282" s="1" t="s">
        <v>71</v>
      </c>
      <c r="C1282" s="1">
        <v>18209.550999999999</v>
      </c>
      <c r="D1282" s="1">
        <v>5051.9399999999996</v>
      </c>
    </row>
    <row r="1283" spans="1:4" x14ac:dyDescent="0.25">
      <c r="A1283" s="7">
        <v>43898.833333333336</v>
      </c>
      <c r="B1283" s="1" t="s">
        <v>69</v>
      </c>
      <c r="C1283" s="1">
        <v>10138.530000000001</v>
      </c>
      <c r="D1283" s="1">
        <v>5477.85</v>
      </c>
    </row>
    <row r="1284" spans="1:4" x14ac:dyDescent="0.25">
      <c r="A1284" s="7">
        <v>43898.833333333336</v>
      </c>
      <c r="B1284" s="1" t="s">
        <v>76</v>
      </c>
      <c r="C1284" s="1">
        <v>22137.67</v>
      </c>
      <c r="D1284" s="1">
        <v>3806.43</v>
      </c>
    </row>
    <row r="1285" spans="1:4" x14ac:dyDescent="0.25">
      <c r="A1285" s="7">
        <v>43898.833333333336</v>
      </c>
      <c r="B1285" s="1" t="s">
        <v>72</v>
      </c>
      <c r="C1285" s="1">
        <v>14424.71</v>
      </c>
      <c r="D1285" s="1">
        <v>6774.73</v>
      </c>
    </row>
    <row r="1286" spans="1:4" x14ac:dyDescent="0.25">
      <c r="A1286" s="7">
        <v>43898.833333333336</v>
      </c>
      <c r="B1286" s="1" t="s">
        <v>73</v>
      </c>
      <c r="C1286" s="1">
        <v>11436.16</v>
      </c>
      <c r="D1286" s="1">
        <v>1978.59</v>
      </c>
    </row>
    <row r="1287" spans="1:4" x14ac:dyDescent="0.25">
      <c r="A1287" s="7">
        <v>43898.833333333336</v>
      </c>
      <c r="B1287" s="1" t="s">
        <v>68</v>
      </c>
      <c r="C1287" s="1">
        <v>14520.39</v>
      </c>
      <c r="D1287" s="1">
        <v>4867.47</v>
      </c>
    </row>
    <row r="1288" spans="1:4" x14ac:dyDescent="0.25">
      <c r="A1288" s="7">
        <v>43898.833333333336</v>
      </c>
      <c r="B1288" s="1" t="s">
        <v>70</v>
      </c>
      <c r="C1288" s="1">
        <v>12710.31</v>
      </c>
      <c r="D1288" s="1">
        <v>4340.3900000000003</v>
      </c>
    </row>
    <row r="1289" spans="1:4" x14ac:dyDescent="0.25">
      <c r="A1289" s="7">
        <v>43898.875</v>
      </c>
      <c r="B1289" s="1" t="s">
        <v>75</v>
      </c>
      <c r="C1289" s="1">
        <v>1816.76</v>
      </c>
      <c r="D1289" s="1">
        <v>654.62</v>
      </c>
    </row>
    <row r="1290" spans="1:4" x14ac:dyDescent="0.25">
      <c r="A1290" s="7">
        <v>43898.875</v>
      </c>
      <c r="B1290" s="1" t="s">
        <v>74</v>
      </c>
      <c r="C1290" s="1">
        <v>12628.11</v>
      </c>
      <c r="D1290" s="1">
        <v>2779.69</v>
      </c>
    </row>
    <row r="1291" spans="1:4" x14ac:dyDescent="0.25">
      <c r="A1291" s="7">
        <v>43898.875</v>
      </c>
      <c r="B1291" s="1" t="s">
        <v>78</v>
      </c>
      <c r="C1291" s="1">
        <v>3706.35</v>
      </c>
      <c r="D1291" s="1">
        <v>1741.28</v>
      </c>
    </row>
    <row r="1292" spans="1:4" x14ac:dyDescent="0.25">
      <c r="A1292" s="7">
        <v>43898.875</v>
      </c>
      <c r="B1292" s="1" t="s">
        <v>72</v>
      </c>
      <c r="C1292" s="1">
        <v>13242.83</v>
      </c>
      <c r="D1292" s="1">
        <v>6254.48</v>
      </c>
    </row>
    <row r="1293" spans="1:4" x14ac:dyDescent="0.25">
      <c r="A1293" s="7">
        <v>43898.875</v>
      </c>
      <c r="B1293" s="1" t="s">
        <v>73</v>
      </c>
      <c r="C1293" s="1">
        <v>10158.69</v>
      </c>
      <c r="D1293" s="1">
        <v>1704.88</v>
      </c>
    </row>
    <row r="1294" spans="1:4" x14ac:dyDescent="0.25">
      <c r="A1294" s="7">
        <v>43898.875</v>
      </c>
      <c r="B1294" s="1" t="s">
        <v>68</v>
      </c>
      <c r="C1294" s="1">
        <v>12410.02</v>
      </c>
      <c r="D1294" s="1">
        <v>4176.45</v>
      </c>
    </row>
    <row r="1295" spans="1:4" x14ac:dyDescent="0.25">
      <c r="A1295" s="7">
        <v>43898.875</v>
      </c>
      <c r="B1295" s="1" t="s">
        <v>71</v>
      </c>
      <c r="C1295" s="1">
        <v>15393.96</v>
      </c>
      <c r="D1295" s="1">
        <v>4335.3599999999997</v>
      </c>
    </row>
    <row r="1296" spans="1:4" x14ac:dyDescent="0.25">
      <c r="A1296" s="7">
        <v>43898.875</v>
      </c>
      <c r="B1296" s="1" t="s">
        <v>70</v>
      </c>
      <c r="C1296" s="1">
        <v>11479.39</v>
      </c>
      <c r="D1296" s="1">
        <v>3824.37</v>
      </c>
    </row>
    <row r="1297" spans="1:4" x14ac:dyDescent="0.25">
      <c r="A1297" s="7">
        <v>43898.875</v>
      </c>
      <c r="B1297" s="1" t="s">
        <v>76</v>
      </c>
      <c r="C1297" s="1">
        <v>19606.210999999999</v>
      </c>
      <c r="D1297" s="1">
        <v>3374.47</v>
      </c>
    </row>
    <row r="1298" spans="1:4" x14ac:dyDescent="0.25">
      <c r="A1298" s="7">
        <v>43898.875</v>
      </c>
      <c r="B1298" s="1" t="s">
        <v>77</v>
      </c>
      <c r="C1298" s="1">
        <v>14928.23</v>
      </c>
      <c r="D1298" s="1">
        <v>3677.75</v>
      </c>
    </row>
    <row r="1299" spans="1:4" x14ac:dyDescent="0.25">
      <c r="A1299" s="7">
        <v>43898.875</v>
      </c>
      <c r="B1299" s="1" t="s">
        <v>69</v>
      </c>
      <c r="C1299" s="1">
        <v>9248.0400000000009</v>
      </c>
      <c r="D1299" s="1">
        <v>5091.75</v>
      </c>
    </row>
    <row r="1300" spans="1:4" x14ac:dyDescent="0.25">
      <c r="A1300" s="7">
        <v>43898.916666666664</v>
      </c>
      <c r="B1300" s="1" t="s">
        <v>75</v>
      </c>
      <c r="C1300" s="1">
        <v>1382</v>
      </c>
      <c r="D1300" s="1">
        <v>528.41999999999996</v>
      </c>
    </row>
    <row r="1301" spans="1:4" x14ac:dyDescent="0.25">
      <c r="A1301" s="7">
        <v>43898.916666666664</v>
      </c>
      <c r="B1301" s="1" t="s">
        <v>74</v>
      </c>
      <c r="C1301" s="1">
        <v>7994.34</v>
      </c>
      <c r="D1301" s="1">
        <v>1975</v>
      </c>
    </row>
    <row r="1302" spans="1:4" x14ac:dyDescent="0.25">
      <c r="A1302" s="7">
        <v>43898.916666666664</v>
      </c>
      <c r="B1302" s="1" t="s">
        <v>73</v>
      </c>
      <c r="C1302" s="1">
        <v>6867.41</v>
      </c>
      <c r="D1302" s="1">
        <v>1220.82</v>
      </c>
    </row>
    <row r="1303" spans="1:4" x14ac:dyDescent="0.25">
      <c r="A1303" s="7">
        <v>43898.916666666664</v>
      </c>
      <c r="B1303" s="1" t="s">
        <v>71</v>
      </c>
      <c r="C1303" s="1">
        <v>9538.5400000000009</v>
      </c>
      <c r="D1303" s="1">
        <v>2977.29</v>
      </c>
    </row>
    <row r="1304" spans="1:4" x14ac:dyDescent="0.25">
      <c r="A1304" s="7">
        <v>43898.916666666664</v>
      </c>
      <c r="B1304" s="1" t="s">
        <v>68</v>
      </c>
      <c r="C1304" s="1">
        <v>8377.44</v>
      </c>
      <c r="D1304" s="1">
        <v>3034.65</v>
      </c>
    </row>
    <row r="1305" spans="1:4" x14ac:dyDescent="0.25">
      <c r="A1305" s="7">
        <v>43898.916666666664</v>
      </c>
      <c r="B1305" s="1" t="s">
        <v>70</v>
      </c>
      <c r="C1305" s="1">
        <v>7884.04</v>
      </c>
      <c r="D1305" s="1">
        <v>2813.22</v>
      </c>
    </row>
    <row r="1306" spans="1:4" x14ac:dyDescent="0.25">
      <c r="A1306" s="7">
        <v>43898.916666666664</v>
      </c>
      <c r="B1306" s="1" t="s">
        <v>78</v>
      </c>
      <c r="C1306" s="1">
        <v>2654.91</v>
      </c>
      <c r="D1306" s="1">
        <v>1274.19</v>
      </c>
    </row>
    <row r="1307" spans="1:4" x14ac:dyDescent="0.25">
      <c r="A1307" s="7">
        <v>43898.916666666664</v>
      </c>
      <c r="B1307" s="1" t="s">
        <v>76</v>
      </c>
      <c r="C1307" s="1">
        <v>13542.35</v>
      </c>
      <c r="D1307" s="1">
        <v>2456.06</v>
      </c>
    </row>
    <row r="1308" spans="1:4" x14ac:dyDescent="0.25">
      <c r="A1308" s="7">
        <v>43898.916666666664</v>
      </c>
      <c r="B1308" s="1" t="s">
        <v>72</v>
      </c>
      <c r="C1308" s="1">
        <v>9701.2199999999993</v>
      </c>
      <c r="D1308" s="1">
        <v>4766.2299999999996</v>
      </c>
    </row>
    <row r="1309" spans="1:4" x14ac:dyDescent="0.25">
      <c r="A1309" s="7">
        <v>43898.916666666664</v>
      </c>
      <c r="B1309" s="1" t="s">
        <v>77</v>
      </c>
      <c r="C1309" s="1">
        <v>10287.459999999999</v>
      </c>
      <c r="D1309" s="1">
        <v>2635.1</v>
      </c>
    </row>
    <row r="1310" spans="1:4" x14ac:dyDescent="0.25">
      <c r="A1310" s="7">
        <v>43898.916666666664</v>
      </c>
      <c r="B1310" s="1" t="s">
        <v>69</v>
      </c>
      <c r="C1310" s="1">
        <v>6790.77</v>
      </c>
      <c r="D1310" s="1">
        <v>3923.38</v>
      </c>
    </row>
    <row r="1311" spans="1:4" x14ac:dyDescent="0.25">
      <c r="A1311" s="7">
        <v>43898.958333333336</v>
      </c>
      <c r="B1311" s="1" t="s">
        <v>75</v>
      </c>
      <c r="C1311" s="1">
        <v>835.58</v>
      </c>
      <c r="D1311" s="1">
        <v>372.85</v>
      </c>
    </row>
    <row r="1312" spans="1:4" x14ac:dyDescent="0.25">
      <c r="A1312" s="7">
        <v>43898.958333333336</v>
      </c>
      <c r="B1312" s="1" t="s">
        <v>74</v>
      </c>
      <c r="C1312" s="1">
        <v>3749.82</v>
      </c>
      <c r="D1312" s="1">
        <v>1071.1300000000001</v>
      </c>
    </row>
    <row r="1313" spans="1:4" x14ac:dyDescent="0.25">
      <c r="A1313" s="7">
        <v>43898.958333333336</v>
      </c>
      <c r="B1313" s="1" t="s">
        <v>76</v>
      </c>
      <c r="C1313" s="1">
        <v>6833.29</v>
      </c>
      <c r="D1313" s="1">
        <v>1375.86</v>
      </c>
    </row>
    <row r="1314" spans="1:4" x14ac:dyDescent="0.25">
      <c r="A1314" s="7">
        <v>43898.958333333336</v>
      </c>
      <c r="B1314" s="1" t="s">
        <v>68</v>
      </c>
      <c r="C1314" s="1">
        <v>4029.31</v>
      </c>
      <c r="D1314" s="1">
        <v>1795.67</v>
      </c>
    </row>
    <row r="1315" spans="1:4" x14ac:dyDescent="0.25">
      <c r="A1315" s="7">
        <v>43898.958333333336</v>
      </c>
      <c r="B1315" s="1" t="s">
        <v>77</v>
      </c>
      <c r="C1315" s="1">
        <v>5325.25</v>
      </c>
      <c r="D1315" s="1">
        <v>1524.12</v>
      </c>
    </row>
    <row r="1316" spans="1:4" x14ac:dyDescent="0.25">
      <c r="A1316" s="7">
        <v>43898.958333333336</v>
      </c>
      <c r="B1316" s="1" t="s">
        <v>71</v>
      </c>
      <c r="C1316" s="1">
        <v>4410.1899999999996</v>
      </c>
      <c r="D1316" s="1">
        <v>1594.13</v>
      </c>
    </row>
    <row r="1317" spans="1:4" x14ac:dyDescent="0.25">
      <c r="A1317" s="7">
        <v>43898.958333333336</v>
      </c>
      <c r="B1317" s="1" t="s">
        <v>69</v>
      </c>
      <c r="C1317" s="1">
        <v>3752.68</v>
      </c>
      <c r="D1317" s="1">
        <v>2342.9299999999998</v>
      </c>
    </row>
    <row r="1318" spans="1:4" x14ac:dyDescent="0.25">
      <c r="A1318" s="7">
        <v>43898.958333333336</v>
      </c>
      <c r="B1318" s="1" t="s">
        <v>70</v>
      </c>
      <c r="C1318" s="1">
        <v>4069.48</v>
      </c>
      <c r="D1318" s="1">
        <v>1611.91</v>
      </c>
    </row>
    <row r="1319" spans="1:4" x14ac:dyDescent="0.25">
      <c r="A1319" s="7">
        <v>43898.958333333336</v>
      </c>
      <c r="B1319" s="1" t="s">
        <v>78</v>
      </c>
      <c r="C1319" s="1">
        <v>1455.8</v>
      </c>
      <c r="D1319" s="1">
        <v>801.38</v>
      </c>
    </row>
    <row r="1320" spans="1:4" x14ac:dyDescent="0.25">
      <c r="A1320" s="7">
        <v>43898.958333333336</v>
      </c>
      <c r="B1320" s="1" t="s">
        <v>72</v>
      </c>
      <c r="C1320" s="1">
        <v>5453.4</v>
      </c>
      <c r="D1320" s="1">
        <v>2980.75</v>
      </c>
    </row>
    <row r="1321" spans="1:4" x14ac:dyDescent="0.25">
      <c r="A1321" s="7">
        <v>43898.958333333336</v>
      </c>
      <c r="B1321" s="1" t="s">
        <v>73</v>
      </c>
      <c r="C1321" s="1">
        <v>3391.04</v>
      </c>
      <c r="D1321" s="1">
        <v>730.56</v>
      </c>
    </row>
    <row r="1322" spans="1:4" x14ac:dyDescent="0.25">
      <c r="A1322" s="7">
        <v>43929</v>
      </c>
      <c r="B1322" s="1" t="s">
        <v>75</v>
      </c>
      <c r="C1322" s="1">
        <v>416.75</v>
      </c>
      <c r="D1322" s="1">
        <v>218.42</v>
      </c>
    </row>
    <row r="1323" spans="1:4" x14ac:dyDescent="0.25">
      <c r="A1323" s="7">
        <v>43929</v>
      </c>
      <c r="B1323" s="1" t="s">
        <v>74</v>
      </c>
      <c r="C1323" s="1">
        <v>1606.53</v>
      </c>
      <c r="D1323" s="1">
        <v>533.27</v>
      </c>
    </row>
    <row r="1324" spans="1:4" x14ac:dyDescent="0.25">
      <c r="A1324" s="7">
        <v>43929</v>
      </c>
      <c r="B1324" s="1" t="s">
        <v>76</v>
      </c>
      <c r="C1324" s="1">
        <v>2963.64</v>
      </c>
      <c r="D1324" s="1">
        <v>642.87</v>
      </c>
    </row>
    <row r="1325" spans="1:4" x14ac:dyDescent="0.25">
      <c r="A1325" s="7">
        <v>43929</v>
      </c>
      <c r="B1325" s="1" t="s">
        <v>68</v>
      </c>
      <c r="C1325" s="1">
        <v>1726.25</v>
      </c>
      <c r="D1325" s="1">
        <v>915.41</v>
      </c>
    </row>
    <row r="1326" spans="1:4" x14ac:dyDescent="0.25">
      <c r="A1326" s="7">
        <v>43929</v>
      </c>
      <c r="B1326" s="1" t="s">
        <v>77</v>
      </c>
      <c r="C1326" s="1">
        <v>2405.23</v>
      </c>
      <c r="D1326" s="1">
        <v>741.74</v>
      </c>
    </row>
    <row r="1327" spans="1:4" x14ac:dyDescent="0.25">
      <c r="A1327" s="7">
        <v>43929</v>
      </c>
      <c r="B1327" s="1" t="s">
        <v>70</v>
      </c>
      <c r="C1327" s="1">
        <v>1782.17</v>
      </c>
      <c r="D1327" s="1">
        <v>847.03</v>
      </c>
    </row>
    <row r="1328" spans="1:4" x14ac:dyDescent="0.25">
      <c r="A1328" s="7">
        <v>43929</v>
      </c>
      <c r="B1328" s="1" t="s">
        <v>69</v>
      </c>
      <c r="C1328" s="1">
        <v>1810.03</v>
      </c>
      <c r="D1328" s="1">
        <v>1242.3399999999999</v>
      </c>
    </row>
    <row r="1329" spans="1:4" x14ac:dyDescent="0.25">
      <c r="A1329" s="7">
        <v>43929</v>
      </c>
      <c r="B1329" s="1" t="s">
        <v>78</v>
      </c>
      <c r="C1329" s="1">
        <v>689</v>
      </c>
      <c r="D1329" s="1">
        <v>397.06</v>
      </c>
    </row>
    <row r="1330" spans="1:4" x14ac:dyDescent="0.25">
      <c r="A1330" s="7">
        <v>43929</v>
      </c>
      <c r="B1330" s="1" t="s">
        <v>72</v>
      </c>
      <c r="C1330" s="1">
        <v>2612.9299999999998</v>
      </c>
      <c r="D1330" s="1">
        <v>1567.44</v>
      </c>
    </row>
    <row r="1331" spans="1:4" x14ac:dyDescent="0.25">
      <c r="A1331" s="7">
        <v>43929</v>
      </c>
      <c r="B1331" s="1" t="s">
        <v>73</v>
      </c>
      <c r="C1331" s="1">
        <v>1448.65</v>
      </c>
      <c r="D1331" s="1">
        <v>353.25</v>
      </c>
    </row>
    <row r="1332" spans="1:4" x14ac:dyDescent="0.25">
      <c r="A1332" s="7">
        <v>43929</v>
      </c>
      <c r="B1332" s="1" t="s">
        <v>71</v>
      </c>
      <c r="C1332" s="1">
        <v>1873.6</v>
      </c>
      <c r="D1332" s="1">
        <v>794.24</v>
      </c>
    </row>
    <row r="1333" spans="1:4" x14ac:dyDescent="0.25">
      <c r="A1333" s="7">
        <v>43929.041666666664</v>
      </c>
      <c r="B1333" s="1" t="s">
        <v>75</v>
      </c>
      <c r="C1333" s="1">
        <v>211.33</v>
      </c>
      <c r="D1333" s="1">
        <v>120.53</v>
      </c>
    </row>
    <row r="1334" spans="1:4" x14ac:dyDescent="0.25">
      <c r="A1334" s="7">
        <v>43929.041666666664</v>
      </c>
      <c r="B1334" s="1" t="s">
        <v>74</v>
      </c>
      <c r="C1334" s="1">
        <v>742.24</v>
      </c>
      <c r="D1334" s="1">
        <v>255.35</v>
      </c>
    </row>
    <row r="1335" spans="1:4" x14ac:dyDescent="0.25">
      <c r="A1335" s="7">
        <v>43929.041666666664</v>
      </c>
      <c r="B1335" s="1" t="s">
        <v>72</v>
      </c>
      <c r="C1335" s="1">
        <v>1251.48</v>
      </c>
      <c r="D1335" s="1">
        <v>822.1</v>
      </c>
    </row>
    <row r="1336" spans="1:4" x14ac:dyDescent="0.25">
      <c r="A1336" s="7">
        <v>43929.041666666664</v>
      </c>
      <c r="B1336" s="1" t="s">
        <v>73</v>
      </c>
      <c r="C1336" s="1">
        <v>627.13</v>
      </c>
      <c r="D1336" s="1">
        <v>163.69999999999999</v>
      </c>
    </row>
    <row r="1337" spans="1:4" x14ac:dyDescent="0.25">
      <c r="A1337" s="7">
        <v>43929.041666666664</v>
      </c>
      <c r="B1337" s="1" t="s">
        <v>68</v>
      </c>
      <c r="C1337" s="1">
        <v>781.03</v>
      </c>
      <c r="D1337" s="1">
        <v>441.12</v>
      </c>
    </row>
    <row r="1338" spans="1:4" x14ac:dyDescent="0.25">
      <c r="A1338" s="7">
        <v>43929.041666666664</v>
      </c>
      <c r="B1338" s="1" t="s">
        <v>77</v>
      </c>
      <c r="C1338" s="1">
        <v>1145.23</v>
      </c>
      <c r="D1338" s="1">
        <v>375.32</v>
      </c>
    </row>
    <row r="1339" spans="1:4" x14ac:dyDescent="0.25">
      <c r="A1339" s="7">
        <v>43929.041666666664</v>
      </c>
      <c r="B1339" s="1" t="s">
        <v>71</v>
      </c>
      <c r="C1339" s="1">
        <v>845.62</v>
      </c>
      <c r="D1339" s="1">
        <v>361.09</v>
      </c>
    </row>
    <row r="1340" spans="1:4" x14ac:dyDescent="0.25">
      <c r="A1340" s="7">
        <v>43929.041666666664</v>
      </c>
      <c r="B1340" s="1" t="s">
        <v>70</v>
      </c>
      <c r="C1340" s="1">
        <v>773.59</v>
      </c>
      <c r="D1340" s="1">
        <v>395.46</v>
      </c>
    </row>
    <row r="1341" spans="1:4" x14ac:dyDescent="0.25">
      <c r="A1341" s="7">
        <v>43929.041666666664</v>
      </c>
      <c r="B1341" s="1" t="s">
        <v>69</v>
      </c>
      <c r="C1341" s="1">
        <v>860.54</v>
      </c>
      <c r="D1341" s="1">
        <v>628</v>
      </c>
    </row>
    <row r="1342" spans="1:4" x14ac:dyDescent="0.25">
      <c r="A1342" s="7">
        <v>43929.041666666664</v>
      </c>
      <c r="B1342" s="1" t="s">
        <v>78</v>
      </c>
      <c r="C1342" s="1">
        <v>348.3</v>
      </c>
      <c r="D1342" s="1">
        <v>211.6</v>
      </c>
    </row>
    <row r="1343" spans="1:4" x14ac:dyDescent="0.25">
      <c r="A1343" s="7">
        <v>43929.041666666664</v>
      </c>
      <c r="B1343" s="1" t="s">
        <v>76</v>
      </c>
      <c r="C1343" s="1">
        <v>1315.49</v>
      </c>
      <c r="D1343" s="1">
        <v>326.45</v>
      </c>
    </row>
    <row r="1344" spans="1:4" x14ac:dyDescent="0.25">
      <c r="A1344" s="7">
        <v>43929.083333333336</v>
      </c>
      <c r="B1344" s="1" t="s">
        <v>75</v>
      </c>
      <c r="C1344" s="1">
        <v>99.49</v>
      </c>
      <c r="D1344" s="1">
        <v>54.19</v>
      </c>
    </row>
    <row r="1345" spans="1:4" x14ac:dyDescent="0.25">
      <c r="A1345" s="7">
        <v>43929.083333333336</v>
      </c>
      <c r="B1345" s="1" t="s">
        <v>74</v>
      </c>
      <c r="C1345" s="1">
        <v>377.99</v>
      </c>
      <c r="D1345" s="1">
        <v>139.51</v>
      </c>
    </row>
    <row r="1346" spans="1:4" x14ac:dyDescent="0.25">
      <c r="A1346" s="7">
        <v>43929.083333333336</v>
      </c>
      <c r="B1346" s="1" t="s">
        <v>78</v>
      </c>
      <c r="C1346" s="1">
        <v>171.97</v>
      </c>
      <c r="D1346" s="1">
        <v>104.55</v>
      </c>
    </row>
    <row r="1347" spans="1:4" x14ac:dyDescent="0.25">
      <c r="A1347" s="7">
        <v>43929.083333333336</v>
      </c>
      <c r="B1347" s="1" t="s">
        <v>73</v>
      </c>
      <c r="C1347" s="1">
        <v>338.46</v>
      </c>
      <c r="D1347" s="1">
        <v>91.86</v>
      </c>
    </row>
    <row r="1348" spans="1:4" x14ac:dyDescent="0.25">
      <c r="A1348" s="7">
        <v>43929.083333333336</v>
      </c>
      <c r="B1348" s="1" t="s">
        <v>72</v>
      </c>
      <c r="C1348" s="1">
        <v>635.87</v>
      </c>
      <c r="D1348" s="1">
        <v>425.77</v>
      </c>
    </row>
    <row r="1349" spans="1:4" x14ac:dyDescent="0.25">
      <c r="A1349" s="7">
        <v>43929.083333333336</v>
      </c>
      <c r="B1349" s="1" t="s">
        <v>71</v>
      </c>
      <c r="C1349" s="1">
        <v>401.71</v>
      </c>
      <c r="D1349" s="1">
        <v>183.88</v>
      </c>
    </row>
    <row r="1350" spans="1:4" x14ac:dyDescent="0.25">
      <c r="A1350" s="7">
        <v>43929.083333333336</v>
      </c>
      <c r="B1350" s="1" t="s">
        <v>70</v>
      </c>
      <c r="C1350" s="1">
        <v>381.61</v>
      </c>
      <c r="D1350" s="1">
        <v>197.59</v>
      </c>
    </row>
    <row r="1351" spans="1:4" x14ac:dyDescent="0.25">
      <c r="A1351" s="7">
        <v>43929.083333333336</v>
      </c>
      <c r="B1351" s="1" t="s">
        <v>76</v>
      </c>
      <c r="C1351" s="1">
        <v>627.24</v>
      </c>
      <c r="D1351" s="1">
        <v>154.72</v>
      </c>
    </row>
    <row r="1352" spans="1:4" x14ac:dyDescent="0.25">
      <c r="A1352" s="7">
        <v>43929.083333333336</v>
      </c>
      <c r="B1352" s="1" t="s">
        <v>68</v>
      </c>
      <c r="C1352" s="1">
        <v>368.64</v>
      </c>
      <c r="D1352" s="1">
        <v>214.16</v>
      </c>
    </row>
    <row r="1353" spans="1:4" x14ac:dyDescent="0.25">
      <c r="A1353" s="7">
        <v>43929.083333333336</v>
      </c>
      <c r="B1353" s="1" t="s">
        <v>77</v>
      </c>
      <c r="C1353" s="1">
        <v>578.51</v>
      </c>
      <c r="D1353" s="1">
        <v>191.36</v>
      </c>
    </row>
    <row r="1354" spans="1:4" x14ac:dyDescent="0.25">
      <c r="A1354" s="7">
        <v>43929.083333333336</v>
      </c>
      <c r="B1354" s="1" t="s">
        <v>69</v>
      </c>
      <c r="C1354" s="1">
        <v>421.42</v>
      </c>
      <c r="D1354" s="1">
        <v>296.63</v>
      </c>
    </row>
    <row r="1355" spans="1:4" x14ac:dyDescent="0.25">
      <c r="A1355" s="7">
        <v>43929.125</v>
      </c>
      <c r="B1355" s="1" t="s">
        <v>75</v>
      </c>
      <c r="C1355" s="1">
        <v>44.29</v>
      </c>
      <c r="D1355" s="1">
        <v>36.46</v>
      </c>
    </row>
    <row r="1356" spans="1:4" x14ac:dyDescent="0.25">
      <c r="A1356" s="7">
        <v>43929.125</v>
      </c>
      <c r="B1356" s="1" t="s">
        <v>74</v>
      </c>
      <c r="C1356" s="1">
        <v>217.24</v>
      </c>
      <c r="D1356" s="1">
        <v>74.069999999999993</v>
      </c>
    </row>
    <row r="1357" spans="1:4" x14ac:dyDescent="0.25">
      <c r="A1357" s="7">
        <v>43929.125</v>
      </c>
      <c r="B1357" s="1" t="s">
        <v>78</v>
      </c>
      <c r="C1357" s="1">
        <v>101.4</v>
      </c>
      <c r="D1357" s="1">
        <v>52.06</v>
      </c>
    </row>
    <row r="1358" spans="1:4" x14ac:dyDescent="0.25">
      <c r="A1358" s="7">
        <v>43929.125</v>
      </c>
      <c r="B1358" s="1" t="s">
        <v>72</v>
      </c>
      <c r="C1358" s="1">
        <v>364.31</v>
      </c>
      <c r="D1358" s="1">
        <v>233.28</v>
      </c>
    </row>
    <row r="1359" spans="1:4" x14ac:dyDescent="0.25">
      <c r="A1359" s="7">
        <v>43929.125</v>
      </c>
      <c r="B1359" s="1" t="s">
        <v>68</v>
      </c>
      <c r="C1359" s="1">
        <v>192.83</v>
      </c>
      <c r="D1359" s="1">
        <v>98.28</v>
      </c>
    </row>
    <row r="1360" spans="1:4" x14ac:dyDescent="0.25">
      <c r="A1360" s="7">
        <v>43929.125</v>
      </c>
      <c r="B1360" s="1" t="s">
        <v>71</v>
      </c>
      <c r="C1360" s="1">
        <v>274.89</v>
      </c>
      <c r="D1360" s="1">
        <v>98.31</v>
      </c>
    </row>
    <row r="1361" spans="1:4" x14ac:dyDescent="0.25">
      <c r="A1361" s="7">
        <v>43929.125</v>
      </c>
      <c r="B1361" s="1" t="s">
        <v>69</v>
      </c>
      <c r="C1361" s="1">
        <v>238.92</v>
      </c>
      <c r="D1361" s="1">
        <v>160.02000000000001</v>
      </c>
    </row>
    <row r="1362" spans="1:4" x14ac:dyDescent="0.25">
      <c r="A1362" s="7">
        <v>43929.125</v>
      </c>
      <c r="B1362" s="1" t="s">
        <v>70</v>
      </c>
      <c r="C1362" s="1">
        <v>234.42</v>
      </c>
      <c r="D1362" s="1">
        <v>104.05</v>
      </c>
    </row>
    <row r="1363" spans="1:4" x14ac:dyDescent="0.25">
      <c r="A1363" s="7">
        <v>43929.125</v>
      </c>
      <c r="B1363" s="1" t="s">
        <v>76</v>
      </c>
      <c r="C1363" s="1">
        <v>338.61</v>
      </c>
      <c r="D1363" s="1">
        <v>81.290000000000006</v>
      </c>
    </row>
    <row r="1364" spans="1:4" x14ac:dyDescent="0.25">
      <c r="A1364" s="7">
        <v>43929.125</v>
      </c>
      <c r="B1364" s="1" t="s">
        <v>73</v>
      </c>
      <c r="C1364" s="1">
        <v>267.57</v>
      </c>
      <c r="D1364" s="1">
        <v>52.66</v>
      </c>
    </row>
    <row r="1365" spans="1:4" x14ac:dyDescent="0.25">
      <c r="A1365" s="7">
        <v>43929.125</v>
      </c>
      <c r="B1365" s="1" t="s">
        <v>77</v>
      </c>
      <c r="C1365" s="1">
        <v>326.83999999999997</v>
      </c>
      <c r="D1365" s="1">
        <v>109.13</v>
      </c>
    </row>
    <row r="1366" spans="1:4" x14ac:dyDescent="0.25">
      <c r="A1366" s="7">
        <v>43929.166666666664</v>
      </c>
      <c r="B1366" s="1" t="s">
        <v>75</v>
      </c>
      <c r="C1366" s="1">
        <v>29.18</v>
      </c>
      <c r="D1366" s="1">
        <v>22.02</v>
      </c>
    </row>
    <row r="1367" spans="1:4" x14ac:dyDescent="0.25">
      <c r="A1367" s="7">
        <v>43929.166666666664</v>
      </c>
      <c r="B1367" s="1" t="s">
        <v>74</v>
      </c>
      <c r="C1367" s="1">
        <v>177.44</v>
      </c>
      <c r="D1367" s="1">
        <v>51.26</v>
      </c>
    </row>
    <row r="1368" spans="1:4" x14ac:dyDescent="0.25">
      <c r="A1368" s="7">
        <v>43929.166666666664</v>
      </c>
      <c r="B1368" s="1" t="s">
        <v>76</v>
      </c>
      <c r="C1368" s="1">
        <v>223.96</v>
      </c>
      <c r="D1368" s="1">
        <v>48.44</v>
      </c>
    </row>
    <row r="1369" spans="1:4" x14ac:dyDescent="0.25">
      <c r="A1369" s="7">
        <v>43929.166666666664</v>
      </c>
      <c r="B1369" s="1" t="s">
        <v>68</v>
      </c>
      <c r="C1369" s="1">
        <v>214.38</v>
      </c>
      <c r="D1369" s="1">
        <v>67.260000000000005</v>
      </c>
    </row>
    <row r="1370" spans="1:4" x14ac:dyDescent="0.25">
      <c r="A1370" s="7">
        <v>43929.166666666664</v>
      </c>
      <c r="B1370" s="1" t="s">
        <v>77</v>
      </c>
      <c r="C1370" s="1">
        <v>252.06</v>
      </c>
      <c r="D1370" s="1">
        <v>71.28</v>
      </c>
    </row>
    <row r="1371" spans="1:4" x14ac:dyDescent="0.25">
      <c r="A1371" s="7">
        <v>43929.166666666664</v>
      </c>
      <c r="B1371" s="1" t="s">
        <v>70</v>
      </c>
      <c r="C1371" s="1">
        <v>183.02</v>
      </c>
      <c r="D1371" s="1">
        <v>70.11</v>
      </c>
    </row>
    <row r="1372" spans="1:4" x14ac:dyDescent="0.25">
      <c r="A1372" s="7">
        <v>43929.166666666664</v>
      </c>
      <c r="B1372" s="1" t="s">
        <v>69</v>
      </c>
      <c r="C1372" s="1">
        <v>162.71</v>
      </c>
      <c r="D1372" s="1">
        <v>102.12</v>
      </c>
    </row>
    <row r="1373" spans="1:4" x14ac:dyDescent="0.25">
      <c r="A1373" s="7">
        <v>43929.166666666664</v>
      </c>
      <c r="B1373" s="1" t="s">
        <v>78</v>
      </c>
      <c r="C1373" s="1">
        <v>76.400000000000006</v>
      </c>
      <c r="D1373" s="1">
        <v>30.2</v>
      </c>
    </row>
    <row r="1374" spans="1:4" x14ac:dyDescent="0.25">
      <c r="A1374" s="7">
        <v>43929.166666666664</v>
      </c>
      <c r="B1374" s="1" t="s">
        <v>72</v>
      </c>
      <c r="C1374" s="1">
        <v>253.69</v>
      </c>
      <c r="D1374" s="1">
        <v>139.22999999999999</v>
      </c>
    </row>
    <row r="1375" spans="1:4" x14ac:dyDescent="0.25">
      <c r="A1375" s="7">
        <v>43929.166666666664</v>
      </c>
      <c r="B1375" s="1" t="s">
        <v>73</v>
      </c>
      <c r="C1375" s="1">
        <v>251.23</v>
      </c>
      <c r="D1375" s="1">
        <v>54.57</v>
      </c>
    </row>
    <row r="1376" spans="1:4" x14ac:dyDescent="0.25">
      <c r="A1376" s="7">
        <v>43929.166666666664</v>
      </c>
      <c r="B1376" s="1" t="s">
        <v>71</v>
      </c>
      <c r="C1376" s="1">
        <v>234.25</v>
      </c>
      <c r="D1376" s="1">
        <v>69.12</v>
      </c>
    </row>
    <row r="1377" spans="1:4" x14ac:dyDescent="0.25">
      <c r="A1377" s="7">
        <v>43929.208333333336</v>
      </c>
      <c r="B1377" s="1" t="s">
        <v>75</v>
      </c>
      <c r="C1377" s="1">
        <v>59.64</v>
      </c>
      <c r="D1377" s="1">
        <v>22.2</v>
      </c>
    </row>
    <row r="1378" spans="1:4" x14ac:dyDescent="0.25">
      <c r="A1378" s="7">
        <v>43929.208333333336</v>
      </c>
      <c r="B1378" s="1" t="s">
        <v>74</v>
      </c>
      <c r="C1378" s="1">
        <v>551.82000000000005</v>
      </c>
      <c r="D1378" s="1">
        <v>91.84</v>
      </c>
    </row>
    <row r="1379" spans="1:4" x14ac:dyDescent="0.25">
      <c r="A1379" s="7">
        <v>43929.208333333336</v>
      </c>
      <c r="B1379" s="1" t="s">
        <v>76</v>
      </c>
      <c r="C1379" s="1">
        <v>720.66</v>
      </c>
      <c r="D1379" s="1">
        <v>100.08</v>
      </c>
    </row>
    <row r="1380" spans="1:4" x14ac:dyDescent="0.25">
      <c r="A1380" s="7">
        <v>43929.208333333336</v>
      </c>
      <c r="B1380" s="1" t="s">
        <v>73</v>
      </c>
      <c r="C1380" s="1">
        <v>344.21</v>
      </c>
      <c r="D1380" s="1">
        <v>46.79</v>
      </c>
    </row>
    <row r="1381" spans="1:4" x14ac:dyDescent="0.25">
      <c r="A1381" s="7">
        <v>43929.208333333336</v>
      </c>
      <c r="B1381" s="1" t="s">
        <v>72</v>
      </c>
      <c r="C1381" s="1">
        <v>463.21</v>
      </c>
      <c r="D1381" s="1">
        <v>188.11</v>
      </c>
    </row>
    <row r="1382" spans="1:4" x14ac:dyDescent="0.25">
      <c r="A1382" s="7">
        <v>43929.208333333336</v>
      </c>
      <c r="B1382" s="1" t="s">
        <v>68</v>
      </c>
      <c r="C1382" s="1">
        <v>482.54</v>
      </c>
      <c r="D1382" s="1">
        <v>111.21</v>
      </c>
    </row>
    <row r="1383" spans="1:4" x14ac:dyDescent="0.25">
      <c r="A1383" s="7">
        <v>43929.208333333336</v>
      </c>
      <c r="B1383" s="1" t="s">
        <v>77</v>
      </c>
      <c r="C1383" s="1">
        <v>592.64</v>
      </c>
      <c r="D1383" s="1">
        <v>114.32</v>
      </c>
    </row>
    <row r="1384" spans="1:4" x14ac:dyDescent="0.25">
      <c r="A1384" s="7">
        <v>43929.208333333336</v>
      </c>
      <c r="B1384" s="1" t="s">
        <v>71</v>
      </c>
      <c r="C1384" s="1">
        <v>782.74</v>
      </c>
      <c r="D1384" s="1">
        <v>136.31</v>
      </c>
    </row>
    <row r="1385" spans="1:4" x14ac:dyDescent="0.25">
      <c r="A1385" s="7">
        <v>43929.208333333336</v>
      </c>
      <c r="B1385" s="1" t="s">
        <v>70</v>
      </c>
      <c r="C1385" s="1">
        <v>477.84</v>
      </c>
      <c r="D1385" s="1">
        <v>145.03</v>
      </c>
    </row>
    <row r="1386" spans="1:4" x14ac:dyDescent="0.25">
      <c r="A1386" s="7">
        <v>43929.208333333336</v>
      </c>
      <c r="B1386" s="1" t="s">
        <v>69</v>
      </c>
      <c r="C1386" s="1">
        <v>324.88</v>
      </c>
      <c r="D1386" s="1">
        <v>135.41999999999999</v>
      </c>
    </row>
    <row r="1387" spans="1:4" x14ac:dyDescent="0.25">
      <c r="A1387" s="7">
        <v>43929.208333333336</v>
      </c>
      <c r="B1387" s="1" t="s">
        <v>78</v>
      </c>
      <c r="C1387" s="1">
        <v>111.07</v>
      </c>
      <c r="D1387" s="1">
        <v>46.24</v>
      </c>
    </row>
    <row r="1388" spans="1:4" x14ac:dyDescent="0.25">
      <c r="A1388" s="7">
        <v>43929.25</v>
      </c>
      <c r="B1388" s="1" t="s">
        <v>75</v>
      </c>
      <c r="C1388" s="1">
        <v>173.61</v>
      </c>
      <c r="D1388" s="1">
        <v>46.56</v>
      </c>
    </row>
    <row r="1389" spans="1:4" x14ac:dyDescent="0.25">
      <c r="A1389" s="7">
        <v>43929.25</v>
      </c>
      <c r="B1389" s="1" t="s">
        <v>74</v>
      </c>
      <c r="C1389" s="1">
        <v>2456.81</v>
      </c>
      <c r="D1389" s="1">
        <v>356.55</v>
      </c>
    </row>
    <row r="1390" spans="1:4" x14ac:dyDescent="0.25">
      <c r="A1390" s="7">
        <v>43929.25</v>
      </c>
      <c r="B1390" s="1" t="s">
        <v>72</v>
      </c>
      <c r="C1390" s="1">
        <v>1259.8699999999999</v>
      </c>
      <c r="D1390" s="1">
        <v>437.93</v>
      </c>
    </row>
    <row r="1391" spans="1:4" x14ac:dyDescent="0.25">
      <c r="A1391" s="7">
        <v>43929.25</v>
      </c>
      <c r="B1391" s="1" t="s">
        <v>76</v>
      </c>
      <c r="C1391" s="1">
        <v>3275.52</v>
      </c>
      <c r="D1391" s="1">
        <v>380.97</v>
      </c>
    </row>
    <row r="1392" spans="1:4" x14ac:dyDescent="0.25">
      <c r="A1392" s="7">
        <v>43929.25</v>
      </c>
      <c r="B1392" s="1" t="s">
        <v>73</v>
      </c>
      <c r="C1392" s="1">
        <v>1016.88</v>
      </c>
      <c r="D1392" s="1">
        <v>112.39</v>
      </c>
    </row>
    <row r="1393" spans="1:4" x14ac:dyDescent="0.25">
      <c r="A1393" s="7">
        <v>43929.25</v>
      </c>
      <c r="B1393" s="1" t="s">
        <v>68</v>
      </c>
      <c r="C1393" s="1">
        <v>1529.13</v>
      </c>
      <c r="D1393" s="1">
        <v>298.66000000000003</v>
      </c>
    </row>
    <row r="1394" spans="1:4" x14ac:dyDescent="0.25">
      <c r="A1394" s="7">
        <v>43929.25</v>
      </c>
      <c r="B1394" s="1" t="s">
        <v>77</v>
      </c>
      <c r="C1394" s="1">
        <v>2049.4299999999998</v>
      </c>
      <c r="D1394" s="1">
        <v>374.65</v>
      </c>
    </row>
    <row r="1395" spans="1:4" x14ac:dyDescent="0.25">
      <c r="A1395" s="7">
        <v>43929.25</v>
      </c>
      <c r="B1395" s="1" t="s">
        <v>71</v>
      </c>
      <c r="C1395" s="1">
        <v>2727.18</v>
      </c>
      <c r="D1395" s="1">
        <v>452.38</v>
      </c>
    </row>
    <row r="1396" spans="1:4" x14ac:dyDescent="0.25">
      <c r="A1396" s="7">
        <v>43929.25</v>
      </c>
      <c r="B1396" s="1" t="s">
        <v>70</v>
      </c>
      <c r="C1396" s="1">
        <v>1473</v>
      </c>
      <c r="D1396" s="1">
        <v>405.98</v>
      </c>
    </row>
    <row r="1397" spans="1:4" x14ac:dyDescent="0.25">
      <c r="A1397" s="7">
        <v>43929.25</v>
      </c>
      <c r="B1397" s="1" t="s">
        <v>78</v>
      </c>
      <c r="C1397" s="1">
        <v>283.24</v>
      </c>
      <c r="D1397" s="1">
        <v>85.12</v>
      </c>
    </row>
    <row r="1398" spans="1:4" x14ac:dyDescent="0.25">
      <c r="A1398" s="7">
        <v>43929.25</v>
      </c>
      <c r="B1398" s="1" t="s">
        <v>69</v>
      </c>
      <c r="C1398" s="1">
        <v>905.87</v>
      </c>
      <c r="D1398" s="1">
        <v>291.35000000000002</v>
      </c>
    </row>
    <row r="1399" spans="1:4" x14ac:dyDescent="0.25">
      <c r="A1399" s="7">
        <v>43929.291666666664</v>
      </c>
      <c r="B1399" s="1" t="s">
        <v>75</v>
      </c>
      <c r="C1399" s="1">
        <v>375.57</v>
      </c>
      <c r="D1399" s="1">
        <v>94.27</v>
      </c>
    </row>
    <row r="1400" spans="1:4" x14ac:dyDescent="0.25">
      <c r="A1400" s="7">
        <v>43929.291666666664</v>
      </c>
      <c r="B1400" s="1" t="s">
        <v>74</v>
      </c>
      <c r="C1400" s="1">
        <v>5282.3</v>
      </c>
      <c r="D1400" s="1">
        <v>806.14</v>
      </c>
    </row>
    <row r="1401" spans="1:4" x14ac:dyDescent="0.25">
      <c r="A1401" s="7">
        <v>43929.291666666664</v>
      </c>
      <c r="B1401" s="1" t="s">
        <v>78</v>
      </c>
      <c r="C1401" s="1">
        <v>629.44000000000005</v>
      </c>
      <c r="D1401" s="1">
        <v>179.91</v>
      </c>
    </row>
    <row r="1402" spans="1:4" x14ac:dyDescent="0.25">
      <c r="A1402" s="7">
        <v>43929.291666666664</v>
      </c>
      <c r="B1402" s="1" t="s">
        <v>73</v>
      </c>
      <c r="C1402" s="1">
        <v>2609.12</v>
      </c>
      <c r="D1402" s="1">
        <v>276.24</v>
      </c>
    </row>
    <row r="1403" spans="1:4" x14ac:dyDescent="0.25">
      <c r="A1403" s="7">
        <v>43929.291666666664</v>
      </c>
      <c r="B1403" s="1" t="s">
        <v>71</v>
      </c>
      <c r="C1403" s="1">
        <v>5268.09</v>
      </c>
      <c r="D1403" s="1">
        <v>977.33</v>
      </c>
    </row>
    <row r="1404" spans="1:4" x14ac:dyDescent="0.25">
      <c r="A1404" s="7">
        <v>43929.291666666664</v>
      </c>
      <c r="B1404" s="1" t="s">
        <v>68</v>
      </c>
      <c r="C1404" s="1">
        <v>3317.81</v>
      </c>
      <c r="D1404" s="1">
        <v>661.54</v>
      </c>
    </row>
    <row r="1405" spans="1:4" x14ac:dyDescent="0.25">
      <c r="A1405" s="7">
        <v>43929.291666666664</v>
      </c>
      <c r="B1405" s="1" t="s">
        <v>77</v>
      </c>
      <c r="C1405" s="1">
        <v>4593.6000000000004</v>
      </c>
      <c r="D1405" s="1">
        <v>876.54</v>
      </c>
    </row>
    <row r="1406" spans="1:4" x14ac:dyDescent="0.25">
      <c r="A1406" s="7">
        <v>43929.291666666664</v>
      </c>
      <c r="B1406" s="1" t="s">
        <v>76</v>
      </c>
      <c r="C1406" s="1">
        <v>7091.68</v>
      </c>
      <c r="D1406" s="1">
        <v>921.39</v>
      </c>
    </row>
    <row r="1407" spans="1:4" x14ac:dyDescent="0.25">
      <c r="A1407" s="7">
        <v>43929.291666666664</v>
      </c>
      <c r="B1407" s="1" t="s">
        <v>72</v>
      </c>
      <c r="C1407" s="1">
        <v>2718.07</v>
      </c>
      <c r="D1407" s="1">
        <v>938.91</v>
      </c>
    </row>
    <row r="1408" spans="1:4" x14ac:dyDescent="0.25">
      <c r="A1408" s="7">
        <v>43929.291666666664</v>
      </c>
      <c r="B1408" s="1" t="s">
        <v>69</v>
      </c>
      <c r="C1408" s="1">
        <v>1952.37</v>
      </c>
      <c r="D1408" s="1">
        <v>662.97</v>
      </c>
    </row>
    <row r="1409" spans="1:4" x14ac:dyDescent="0.25">
      <c r="A1409" s="7">
        <v>43929.291666666664</v>
      </c>
      <c r="B1409" s="1" t="s">
        <v>70</v>
      </c>
      <c r="C1409" s="1">
        <v>3081.59</v>
      </c>
      <c r="D1409" s="1">
        <v>853.68</v>
      </c>
    </row>
    <row r="1410" spans="1:4" x14ac:dyDescent="0.25">
      <c r="A1410" s="7">
        <v>43929.333333333336</v>
      </c>
      <c r="B1410" s="1" t="s">
        <v>75</v>
      </c>
      <c r="C1410" s="1">
        <v>675.4</v>
      </c>
      <c r="D1410" s="1">
        <v>188.21</v>
      </c>
    </row>
    <row r="1411" spans="1:4" x14ac:dyDescent="0.25">
      <c r="A1411" s="7">
        <v>43929.333333333336</v>
      </c>
      <c r="B1411" s="1" t="s">
        <v>74</v>
      </c>
      <c r="C1411" s="1">
        <v>7664.83</v>
      </c>
      <c r="D1411" s="1">
        <v>1347.89</v>
      </c>
    </row>
    <row r="1412" spans="1:4" x14ac:dyDescent="0.25">
      <c r="A1412" s="7">
        <v>43929.333333333336</v>
      </c>
      <c r="B1412" s="1" t="s">
        <v>78</v>
      </c>
      <c r="C1412" s="1">
        <v>1182.45</v>
      </c>
      <c r="D1412" s="1">
        <v>383.13</v>
      </c>
    </row>
    <row r="1413" spans="1:4" x14ac:dyDescent="0.25">
      <c r="A1413" s="7">
        <v>43929.333333333336</v>
      </c>
      <c r="B1413" s="1" t="s">
        <v>71</v>
      </c>
      <c r="C1413" s="1">
        <v>8192.16</v>
      </c>
      <c r="D1413" s="1">
        <v>1750.57</v>
      </c>
    </row>
    <row r="1414" spans="1:4" x14ac:dyDescent="0.25">
      <c r="A1414" s="7">
        <v>43929.333333333336</v>
      </c>
      <c r="B1414" s="1" t="s">
        <v>69</v>
      </c>
      <c r="C1414" s="1">
        <v>3429.45</v>
      </c>
      <c r="D1414" s="1">
        <v>1297.3800000000001</v>
      </c>
    </row>
    <row r="1415" spans="1:4" x14ac:dyDescent="0.25">
      <c r="A1415" s="7">
        <v>43929.333333333336</v>
      </c>
      <c r="B1415" s="1" t="s">
        <v>70</v>
      </c>
      <c r="C1415" s="1">
        <v>5113.04</v>
      </c>
      <c r="D1415" s="1">
        <v>1527.02</v>
      </c>
    </row>
    <row r="1416" spans="1:4" x14ac:dyDescent="0.25">
      <c r="A1416" s="7">
        <v>43929.333333333336</v>
      </c>
      <c r="B1416" s="1" t="s">
        <v>72</v>
      </c>
      <c r="C1416" s="1">
        <v>4981.95</v>
      </c>
      <c r="D1416" s="1">
        <v>1821.79</v>
      </c>
    </row>
    <row r="1417" spans="1:4" x14ac:dyDescent="0.25">
      <c r="A1417" s="7">
        <v>43929.333333333336</v>
      </c>
      <c r="B1417" s="1" t="s">
        <v>76</v>
      </c>
      <c r="C1417" s="1">
        <v>10844.3</v>
      </c>
      <c r="D1417" s="1">
        <v>1530.29</v>
      </c>
    </row>
    <row r="1418" spans="1:4" x14ac:dyDescent="0.25">
      <c r="A1418" s="7">
        <v>43929.333333333336</v>
      </c>
      <c r="B1418" s="1" t="s">
        <v>73</v>
      </c>
      <c r="C1418" s="1">
        <v>4668.1899999999996</v>
      </c>
      <c r="D1418" s="1">
        <v>562.57000000000005</v>
      </c>
    </row>
    <row r="1419" spans="1:4" x14ac:dyDescent="0.25">
      <c r="A1419" s="7">
        <v>43929.333333333336</v>
      </c>
      <c r="B1419" s="1" t="s">
        <v>77</v>
      </c>
      <c r="C1419" s="1">
        <v>7335.64</v>
      </c>
      <c r="D1419" s="1">
        <v>1563.82</v>
      </c>
    </row>
    <row r="1420" spans="1:4" x14ac:dyDescent="0.25">
      <c r="A1420" s="7">
        <v>43929.333333333336</v>
      </c>
      <c r="B1420" s="1" t="s">
        <v>68</v>
      </c>
      <c r="C1420" s="1">
        <v>5940.57</v>
      </c>
      <c r="D1420" s="1">
        <v>1319.5</v>
      </c>
    </row>
    <row r="1421" spans="1:4" x14ac:dyDescent="0.25">
      <c r="A1421" s="7">
        <v>43929.375</v>
      </c>
      <c r="B1421" s="1" t="s">
        <v>75</v>
      </c>
      <c r="C1421" s="1">
        <v>961.55</v>
      </c>
      <c r="D1421" s="1">
        <v>309.63</v>
      </c>
    </row>
    <row r="1422" spans="1:4" x14ac:dyDescent="0.25">
      <c r="A1422" s="7">
        <v>43929.375</v>
      </c>
      <c r="B1422" s="1" t="s">
        <v>74</v>
      </c>
      <c r="C1422" s="1">
        <v>9436.35</v>
      </c>
      <c r="D1422" s="1">
        <v>1871.6</v>
      </c>
    </row>
    <row r="1423" spans="1:4" x14ac:dyDescent="0.25">
      <c r="A1423" s="7">
        <v>43929.375</v>
      </c>
      <c r="B1423" s="1" t="s">
        <v>73</v>
      </c>
      <c r="C1423" s="1">
        <v>6271.97</v>
      </c>
      <c r="D1423" s="1">
        <v>880.72</v>
      </c>
    </row>
    <row r="1424" spans="1:4" x14ac:dyDescent="0.25">
      <c r="A1424" s="7">
        <v>43929.375</v>
      </c>
      <c r="B1424" s="1" t="s">
        <v>68</v>
      </c>
      <c r="C1424" s="1">
        <v>8218.39</v>
      </c>
      <c r="D1424" s="1">
        <v>2172.06</v>
      </c>
    </row>
    <row r="1425" spans="1:4" x14ac:dyDescent="0.25">
      <c r="A1425" s="7">
        <v>43929.375</v>
      </c>
      <c r="B1425" s="1" t="s">
        <v>71</v>
      </c>
      <c r="C1425" s="1">
        <v>10280.42</v>
      </c>
      <c r="D1425" s="1">
        <v>2542</v>
      </c>
    </row>
    <row r="1426" spans="1:4" x14ac:dyDescent="0.25">
      <c r="A1426" s="7">
        <v>43929.375</v>
      </c>
      <c r="B1426" s="1" t="s">
        <v>70</v>
      </c>
      <c r="C1426" s="1">
        <v>7002.23</v>
      </c>
      <c r="D1426" s="1">
        <v>2267.34</v>
      </c>
    </row>
    <row r="1427" spans="1:4" x14ac:dyDescent="0.25">
      <c r="A1427" s="7">
        <v>43929.375</v>
      </c>
      <c r="B1427" s="1" t="s">
        <v>69</v>
      </c>
      <c r="C1427" s="1">
        <v>5242.2</v>
      </c>
      <c r="D1427" s="1">
        <v>2373.6799999999998</v>
      </c>
    </row>
    <row r="1428" spans="1:4" x14ac:dyDescent="0.25">
      <c r="A1428" s="7">
        <v>43929.375</v>
      </c>
      <c r="B1428" s="1" t="s">
        <v>78</v>
      </c>
      <c r="C1428" s="1">
        <v>1932.37</v>
      </c>
      <c r="D1428" s="1">
        <v>759.73</v>
      </c>
    </row>
    <row r="1429" spans="1:4" x14ac:dyDescent="0.25">
      <c r="A1429" s="7">
        <v>43929.375</v>
      </c>
      <c r="B1429" s="1" t="s">
        <v>76</v>
      </c>
      <c r="C1429" s="1">
        <v>13656.02</v>
      </c>
      <c r="D1429" s="1">
        <v>2147.9899999999998</v>
      </c>
    </row>
    <row r="1430" spans="1:4" x14ac:dyDescent="0.25">
      <c r="A1430" s="7">
        <v>43929.375</v>
      </c>
      <c r="B1430" s="1" t="s">
        <v>72</v>
      </c>
      <c r="C1430" s="1">
        <v>7617.34</v>
      </c>
      <c r="D1430" s="1">
        <v>3141.47</v>
      </c>
    </row>
    <row r="1431" spans="1:4" x14ac:dyDescent="0.25">
      <c r="A1431" s="7">
        <v>43929.375</v>
      </c>
      <c r="B1431" s="1" t="s">
        <v>77</v>
      </c>
      <c r="C1431" s="1">
        <v>9955.5400000000009</v>
      </c>
      <c r="D1431" s="1">
        <v>2289.5</v>
      </c>
    </row>
    <row r="1432" spans="1:4" x14ac:dyDescent="0.25">
      <c r="A1432" s="7">
        <v>43929.416666666664</v>
      </c>
      <c r="B1432" s="1" t="s">
        <v>75</v>
      </c>
      <c r="C1432" s="1">
        <v>1136.8800000000001</v>
      </c>
      <c r="D1432" s="1">
        <v>417.79</v>
      </c>
    </row>
    <row r="1433" spans="1:4" x14ac:dyDescent="0.25">
      <c r="A1433" s="7">
        <v>43929.416666666664</v>
      </c>
      <c r="B1433" s="1" t="s">
        <v>74</v>
      </c>
      <c r="C1433" s="1">
        <v>9886.5400000000009</v>
      </c>
      <c r="D1433" s="1">
        <v>2244.4899999999998</v>
      </c>
    </row>
    <row r="1434" spans="1:4" x14ac:dyDescent="0.25">
      <c r="A1434" s="7">
        <v>43929.416666666664</v>
      </c>
      <c r="B1434" s="1" t="s">
        <v>76</v>
      </c>
      <c r="C1434" s="1">
        <v>14842.6</v>
      </c>
      <c r="D1434" s="1">
        <v>2588.46</v>
      </c>
    </row>
    <row r="1435" spans="1:4" x14ac:dyDescent="0.25">
      <c r="A1435" s="7">
        <v>43929.416666666664</v>
      </c>
      <c r="B1435" s="1" t="s">
        <v>72</v>
      </c>
      <c r="C1435" s="1">
        <v>9795.4599999999991</v>
      </c>
      <c r="D1435" s="1">
        <v>4616.13</v>
      </c>
    </row>
    <row r="1436" spans="1:4" x14ac:dyDescent="0.25">
      <c r="A1436" s="7">
        <v>43929.416666666664</v>
      </c>
      <c r="B1436" s="1" t="s">
        <v>73</v>
      </c>
      <c r="C1436" s="1">
        <v>7248.15</v>
      </c>
      <c r="D1436" s="1">
        <v>1127.6600000000001</v>
      </c>
    </row>
    <row r="1437" spans="1:4" x14ac:dyDescent="0.25">
      <c r="A1437" s="7">
        <v>43929.416666666664</v>
      </c>
      <c r="B1437" s="1" t="s">
        <v>77</v>
      </c>
      <c r="C1437" s="1">
        <v>11248.63</v>
      </c>
      <c r="D1437" s="1">
        <v>2858.59</v>
      </c>
    </row>
    <row r="1438" spans="1:4" x14ac:dyDescent="0.25">
      <c r="A1438" s="7">
        <v>43929.416666666664</v>
      </c>
      <c r="B1438" s="1" t="s">
        <v>70</v>
      </c>
      <c r="C1438" s="1">
        <v>8095.78</v>
      </c>
      <c r="D1438" s="1">
        <v>2833.29</v>
      </c>
    </row>
    <row r="1439" spans="1:4" x14ac:dyDescent="0.25">
      <c r="A1439" s="7">
        <v>43929.416666666664</v>
      </c>
      <c r="B1439" s="1" t="s">
        <v>69</v>
      </c>
      <c r="C1439" s="1">
        <v>6831.64</v>
      </c>
      <c r="D1439" s="1">
        <v>3660.31</v>
      </c>
    </row>
    <row r="1440" spans="1:4" x14ac:dyDescent="0.25">
      <c r="A1440" s="7">
        <v>43929.416666666664</v>
      </c>
      <c r="B1440" s="1" t="s">
        <v>78</v>
      </c>
      <c r="C1440" s="1">
        <v>2582.09</v>
      </c>
      <c r="D1440" s="1">
        <v>1208.5</v>
      </c>
    </row>
    <row r="1441" spans="1:4" x14ac:dyDescent="0.25">
      <c r="A1441" s="7">
        <v>43929.416666666664</v>
      </c>
      <c r="B1441" s="1" t="s">
        <v>68</v>
      </c>
      <c r="C1441" s="1">
        <v>9792.93</v>
      </c>
      <c r="D1441" s="1">
        <v>2950.85</v>
      </c>
    </row>
    <row r="1442" spans="1:4" x14ac:dyDescent="0.25">
      <c r="A1442" s="7">
        <v>43929.416666666664</v>
      </c>
      <c r="B1442" s="1" t="s">
        <v>71</v>
      </c>
      <c r="C1442" s="1">
        <v>11547.76</v>
      </c>
      <c r="D1442" s="1">
        <v>3148.74</v>
      </c>
    </row>
    <row r="1443" spans="1:4" x14ac:dyDescent="0.25">
      <c r="A1443" s="7">
        <v>43929.458333333336</v>
      </c>
      <c r="B1443" s="1" t="s">
        <v>74</v>
      </c>
      <c r="C1443" s="1">
        <v>9235.17</v>
      </c>
      <c r="D1443" s="1">
        <v>2216.96</v>
      </c>
    </row>
    <row r="1444" spans="1:4" x14ac:dyDescent="0.25">
      <c r="A1444" s="7">
        <v>43929.458333333336</v>
      </c>
      <c r="B1444" s="1" t="s">
        <v>75</v>
      </c>
      <c r="C1444" s="1">
        <v>1191.95</v>
      </c>
      <c r="D1444" s="1">
        <v>470.56</v>
      </c>
    </row>
    <row r="1445" spans="1:4" x14ac:dyDescent="0.25">
      <c r="A1445" s="7">
        <v>43929.458333333336</v>
      </c>
      <c r="B1445" s="1" t="s">
        <v>76</v>
      </c>
      <c r="C1445" s="1">
        <v>14177.94</v>
      </c>
      <c r="D1445" s="1">
        <v>2635.74</v>
      </c>
    </row>
    <row r="1446" spans="1:4" x14ac:dyDescent="0.25">
      <c r="A1446" s="7">
        <v>43929.458333333336</v>
      </c>
      <c r="B1446" s="1" t="s">
        <v>73</v>
      </c>
      <c r="C1446" s="1">
        <v>7322.26</v>
      </c>
      <c r="D1446" s="1">
        <v>1188.5899999999999</v>
      </c>
    </row>
    <row r="1447" spans="1:4" x14ac:dyDescent="0.25">
      <c r="A1447" s="7">
        <v>43929.458333333336</v>
      </c>
      <c r="B1447" s="1" t="s">
        <v>68</v>
      </c>
      <c r="C1447" s="1">
        <v>9719.26</v>
      </c>
      <c r="D1447" s="1">
        <v>3126.88</v>
      </c>
    </row>
    <row r="1448" spans="1:4" x14ac:dyDescent="0.25">
      <c r="A1448" s="7">
        <v>43929.458333333336</v>
      </c>
      <c r="B1448" s="1" t="s">
        <v>77</v>
      </c>
      <c r="C1448" s="1">
        <v>10716.78</v>
      </c>
      <c r="D1448" s="1">
        <v>2857.65</v>
      </c>
    </row>
    <row r="1449" spans="1:4" x14ac:dyDescent="0.25">
      <c r="A1449" s="7">
        <v>43929.458333333336</v>
      </c>
      <c r="B1449" s="1" t="s">
        <v>71</v>
      </c>
      <c r="C1449" s="1">
        <v>11418.56</v>
      </c>
      <c r="D1449" s="1">
        <v>3151.73</v>
      </c>
    </row>
    <row r="1450" spans="1:4" x14ac:dyDescent="0.25">
      <c r="A1450" s="7">
        <v>43929.458333333336</v>
      </c>
      <c r="B1450" s="1" t="s">
        <v>70</v>
      </c>
      <c r="C1450" s="1">
        <v>8295.06</v>
      </c>
      <c r="D1450" s="1">
        <v>3045.95</v>
      </c>
    </row>
    <row r="1451" spans="1:4" x14ac:dyDescent="0.25">
      <c r="A1451" s="7">
        <v>43929.458333333336</v>
      </c>
      <c r="B1451" s="1" t="s">
        <v>78</v>
      </c>
      <c r="C1451" s="1">
        <v>2781.12</v>
      </c>
      <c r="D1451" s="1">
        <v>1408.84</v>
      </c>
    </row>
    <row r="1452" spans="1:4" x14ac:dyDescent="0.25">
      <c r="A1452" s="7">
        <v>43929.458333333336</v>
      </c>
      <c r="B1452" s="1" t="s">
        <v>72</v>
      </c>
      <c r="C1452" s="1">
        <v>10441.42</v>
      </c>
      <c r="D1452" s="1">
        <v>5122.55</v>
      </c>
    </row>
    <row r="1453" spans="1:4" x14ac:dyDescent="0.25">
      <c r="A1453" s="7">
        <v>43929.458333333336</v>
      </c>
      <c r="B1453" s="1" t="s">
        <v>69</v>
      </c>
      <c r="C1453" s="1">
        <v>7066.28</v>
      </c>
      <c r="D1453" s="1">
        <v>4154.49</v>
      </c>
    </row>
    <row r="1454" spans="1:4" x14ac:dyDescent="0.25">
      <c r="A1454" s="7">
        <v>43929.5</v>
      </c>
      <c r="B1454" s="1" t="s">
        <v>75</v>
      </c>
      <c r="C1454" s="1">
        <v>1154.71</v>
      </c>
      <c r="D1454" s="1">
        <v>468.81</v>
      </c>
    </row>
    <row r="1455" spans="1:4" x14ac:dyDescent="0.25">
      <c r="A1455" s="7">
        <v>43929.5</v>
      </c>
      <c r="B1455" s="1" t="s">
        <v>74</v>
      </c>
      <c r="C1455" s="1">
        <v>8227.7000000000007</v>
      </c>
      <c r="D1455" s="1">
        <v>1980.12</v>
      </c>
    </row>
    <row r="1456" spans="1:4" x14ac:dyDescent="0.25">
      <c r="A1456" s="7">
        <v>43929.5</v>
      </c>
      <c r="B1456" s="1" t="s">
        <v>76</v>
      </c>
      <c r="C1456" s="1">
        <v>12905.19</v>
      </c>
      <c r="D1456" s="1">
        <v>2389.46</v>
      </c>
    </row>
    <row r="1457" spans="1:4" x14ac:dyDescent="0.25">
      <c r="A1457" s="7">
        <v>43929.5</v>
      </c>
      <c r="B1457" s="1" t="s">
        <v>68</v>
      </c>
      <c r="C1457" s="1">
        <v>8516.41</v>
      </c>
      <c r="D1457" s="1">
        <v>2765.85</v>
      </c>
    </row>
    <row r="1458" spans="1:4" x14ac:dyDescent="0.25">
      <c r="A1458" s="7">
        <v>43929.5</v>
      </c>
      <c r="B1458" s="1" t="s">
        <v>77</v>
      </c>
      <c r="C1458" s="1">
        <v>9954.49</v>
      </c>
      <c r="D1458" s="1">
        <v>2616.34</v>
      </c>
    </row>
    <row r="1459" spans="1:4" x14ac:dyDescent="0.25">
      <c r="A1459" s="7">
        <v>43929.5</v>
      </c>
      <c r="B1459" s="1" t="s">
        <v>71</v>
      </c>
      <c r="C1459" s="1">
        <v>10386.040000000001</v>
      </c>
      <c r="D1459" s="1">
        <v>2766.27</v>
      </c>
    </row>
    <row r="1460" spans="1:4" x14ac:dyDescent="0.25">
      <c r="A1460" s="7">
        <v>43929.5</v>
      </c>
      <c r="B1460" s="1" t="s">
        <v>69</v>
      </c>
      <c r="C1460" s="1">
        <v>6782.52</v>
      </c>
      <c r="D1460" s="1">
        <v>4126.8999999999996</v>
      </c>
    </row>
    <row r="1461" spans="1:4" x14ac:dyDescent="0.25">
      <c r="A1461" s="7">
        <v>43929.5</v>
      </c>
      <c r="B1461" s="1" t="s">
        <v>70</v>
      </c>
      <c r="C1461" s="1">
        <v>7676.01</v>
      </c>
      <c r="D1461" s="1">
        <v>2836.82</v>
      </c>
    </row>
    <row r="1462" spans="1:4" x14ac:dyDescent="0.25">
      <c r="A1462" s="7">
        <v>43929.5</v>
      </c>
      <c r="B1462" s="1" t="s">
        <v>78</v>
      </c>
      <c r="C1462" s="1">
        <v>2760.26</v>
      </c>
      <c r="D1462" s="1">
        <v>1363.24</v>
      </c>
    </row>
    <row r="1463" spans="1:4" x14ac:dyDescent="0.25">
      <c r="A1463" s="7">
        <v>43929.5</v>
      </c>
      <c r="B1463" s="1" t="s">
        <v>72</v>
      </c>
      <c r="C1463" s="1">
        <v>9781.58</v>
      </c>
      <c r="D1463" s="1">
        <v>5060.6899999999996</v>
      </c>
    </row>
    <row r="1464" spans="1:4" x14ac:dyDescent="0.25">
      <c r="A1464" s="7">
        <v>43929.5</v>
      </c>
      <c r="B1464" s="1" t="s">
        <v>73</v>
      </c>
      <c r="C1464" s="1">
        <v>6749.83</v>
      </c>
      <c r="D1464" s="1">
        <v>1085.01</v>
      </c>
    </row>
    <row r="1465" spans="1:4" x14ac:dyDescent="0.25">
      <c r="A1465" s="7">
        <v>43929.541666666664</v>
      </c>
      <c r="B1465" s="1" t="s">
        <v>75</v>
      </c>
      <c r="C1465" s="1">
        <v>997.4</v>
      </c>
      <c r="D1465" s="1">
        <v>399.86</v>
      </c>
    </row>
    <row r="1466" spans="1:4" x14ac:dyDescent="0.25">
      <c r="A1466" s="7">
        <v>43929.541666666664</v>
      </c>
      <c r="B1466" s="1" t="s">
        <v>74</v>
      </c>
      <c r="C1466" s="1">
        <v>6810.22</v>
      </c>
      <c r="D1466" s="1">
        <v>1576.87</v>
      </c>
    </row>
    <row r="1467" spans="1:4" x14ac:dyDescent="0.25">
      <c r="A1467" s="7">
        <v>43929.541666666664</v>
      </c>
      <c r="B1467" s="1" t="s">
        <v>78</v>
      </c>
      <c r="C1467" s="1">
        <v>2276.69</v>
      </c>
      <c r="D1467" s="1">
        <v>1111.69</v>
      </c>
    </row>
    <row r="1468" spans="1:4" x14ac:dyDescent="0.25">
      <c r="A1468" s="7">
        <v>43929.541666666664</v>
      </c>
      <c r="B1468" s="1" t="s">
        <v>77</v>
      </c>
      <c r="C1468" s="1">
        <v>8664.06</v>
      </c>
      <c r="D1468" s="1">
        <v>2267.34</v>
      </c>
    </row>
    <row r="1469" spans="1:4" x14ac:dyDescent="0.25">
      <c r="A1469" s="7">
        <v>43929.541666666664</v>
      </c>
      <c r="B1469" s="1" t="s">
        <v>69</v>
      </c>
      <c r="C1469" s="1">
        <v>5646.6</v>
      </c>
      <c r="D1469" s="1">
        <v>3437.26</v>
      </c>
    </row>
    <row r="1470" spans="1:4" x14ac:dyDescent="0.25">
      <c r="A1470" s="7">
        <v>43929.541666666664</v>
      </c>
      <c r="B1470" s="1" t="s">
        <v>76</v>
      </c>
      <c r="C1470" s="1">
        <v>11080.74</v>
      </c>
      <c r="D1470" s="1">
        <v>2054.86</v>
      </c>
    </row>
    <row r="1471" spans="1:4" x14ac:dyDescent="0.25">
      <c r="A1471" s="7">
        <v>43929.541666666664</v>
      </c>
      <c r="B1471" s="1" t="s">
        <v>73</v>
      </c>
      <c r="C1471" s="1">
        <v>5338.65</v>
      </c>
      <c r="D1471" s="1">
        <v>872.75</v>
      </c>
    </row>
    <row r="1472" spans="1:4" x14ac:dyDescent="0.25">
      <c r="A1472" s="7">
        <v>43929.541666666664</v>
      </c>
      <c r="B1472" s="1" t="s">
        <v>72</v>
      </c>
      <c r="C1472" s="1">
        <v>7872.82</v>
      </c>
      <c r="D1472" s="1">
        <v>4194.0600000000004</v>
      </c>
    </row>
    <row r="1473" spans="1:4" x14ac:dyDescent="0.25">
      <c r="A1473" s="7">
        <v>43929.541666666664</v>
      </c>
      <c r="B1473" s="1" t="s">
        <v>68</v>
      </c>
      <c r="C1473" s="1">
        <v>6531.36</v>
      </c>
      <c r="D1473" s="1">
        <v>2155.2800000000002</v>
      </c>
    </row>
    <row r="1474" spans="1:4" x14ac:dyDescent="0.25">
      <c r="A1474" s="7">
        <v>43929.541666666664</v>
      </c>
      <c r="B1474" s="1" t="s">
        <v>71</v>
      </c>
      <c r="C1474" s="1">
        <v>8612.08</v>
      </c>
      <c r="D1474" s="1">
        <v>2247.8200000000002</v>
      </c>
    </row>
    <row r="1475" spans="1:4" x14ac:dyDescent="0.25">
      <c r="A1475" s="7">
        <v>43929.541666666664</v>
      </c>
      <c r="B1475" s="1" t="s">
        <v>70</v>
      </c>
      <c r="C1475" s="1">
        <v>6090.75</v>
      </c>
      <c r="D1475" s="1">
        <v>2256.5700000000002</v>
      </c>
    </row>
    <row r="1476" spans="1:4" x14ac:dyDescent="0.25">
      <c r="A1476" s="7">
        <v>43929.583333333336</v>
      </c>
      <c r="B1476" s="1" t="s">
        <v>75</v>
      </c>
      <c r="C1476" s="1">
        <v>974.98</v>
      </c>
      <c r="D1476" s="1">
        <v>386.77</v>
      </c>
    </row>
    <row r="1477" spans="1:4" x14ac:dyDescent="0.25">
      <c r="A1477" s="7">
        <v>43929.583333333336</v>
      </c>
      <c r="B1477" s="1" t="s">
        <v>74</v>
      </c>
      <c r="C1477" s="1">
        <v>7197.72</v>
      </c>
      <c r="D1477" s="1">
        <v>1544.98</v>
      </c>
    </row>
    <row r="1478" spans="1:4" x14ac:dyDescent="0.25">
      <c r="A1478" s="7">
        <v>43929.583333333336</v>
      </c>
      <c r="B1478" s="1" t="s">
        <v>78</v>
      </c>
      <c r="C1478" s="1">
        <v>2256.7199999999998</v>
      </c>
      <c r="D1478" s="1">
        <v>1023.29</v>
      </c>
    </row>
    <row r="1479" spans="1:4" x14ac:dyDescent="0.25">
      <c r="A1479" s="7">
        <v>43929.583333333336</v>
      </c>
      <c r="B1479" s="1" t="s">
        <v>72</v>
      </c>
      <c r="C1479" s="1">
        <v>8072.43</v>
      </c>
      <c r="D1479" s="1">
        <v>3946.09</v>
      </c>
    </row>
    <row r="1480" spans="1:4" x14ac:dyDescent="0.25">
      <c r="A1480" s="7">
        <v>43929.583333333336</v>
      </c>
      <c r="B1480" s="1" t="s">
        <v>73</v>
      </c>
      <c r="C1480" s="1">
        <v>5282.62</v>
      </c>
      <c r="D1480" s="1">
        <v>799.36</v>
      </c>
    </row>
    <row r="1481" spans="1:4" x14ac:dyDescent="0.25">
      <c r="A1481" s="7">
        <v>43929.583333333336</v>
      </c>
      <c r="B1481" s="1" t="s">
        <v>68</v>
      </c>
      <c r="C1481" s="1">
        <v>6666.45</v>
      </c>
      <c r="D1481" s="1">
        <v>1990.57</v>
      </c>
    </row>
    <row r="1482" spans="1:4" x14ac:dyDescent="0.25">
      <c r="A1482" s="7">
        <v>43929.583333333336</v>
      </c>
      <c r="B1482" s="1" t="s">
        <v>71</v>
      </c>
      <c r="C1482" s="1">
        <v>8753.23</v>
      </c>
      <c r="D1482" s="1">
        <v>2146.08</v>
      </c>
    </row>
    <row r="1483" spans="1:4" x14ac:dyDescent="0.25">
      <c r="A1483" s="7">
        <v>43929.583333333336</v>
      </c>
      <c r="B1483" s="1" t="s">
        <v>69</v>
      </c>
      <c r="C1483" s="1">
        <v>5766.31</v>
      </c>
      <c r="D1483" s="1">
        <v>3277.63</v>
      </c>
    </row>
    <row r="1484" spans="1:4" x14ac:dyDescent="0.25">
      <c r="A1484" s="7">
        <v>43929.583333333336</v>
      </c>
      <c r="B1484" s="1" t="s">
        <v>70</v>
      </c>
      <c r="C1484" s="1">
        <v>6244.66</v>
      </c>
      <c r="D1484" s="1">
        <v>2140.44</v>
      </c>
    </row>
    <row r="1485" spans="1:4" x14ac:dyDescent="0.25">
      <c r="A1485" s="7">
        <v>43929.583333333336</v>
      </c>
      <c r="B1485" s="1" t="s">
        <v>76</v>
      </c>
      <c r="C1485" s="1">
        <v>10860.24</v>
      </c>
      <c r="D1485" s="1">
        <v>1957.71</v>
      </c>
    </row>
    <row r="1486" spans="1:4" x14ac:dyDescent="0.25">
      <c r="A1486" s="7">
        <v>43929.583333333336</v>
      </c>
      <c r="B1486" s="1" t="s">
        <v>77</v>
      </c>
      <c r="C1486" s="1">
        <v>8479</v>
      </c>
      <c r="D1486" s="1">
        <v>2128.91</v>
      </c>
    </row>
    <row r="1487" spans="1:4" x14ac:dyDescent="0.25">
      <c r="A1487" s="7">
        <v>43929.625</v>
      </c>
      <c r="B1487" s="1" t="s">
        <v>75</v>
      </c>
      <c r="C1487" s="1">
        <v>1010.63</v>
      </c>
      <c r="D1487" s="1">
        <v>398.44</v>
      </c>
    </row>
    <row r="1488" spans="1:4" x14ac:dyDescent="0.25">
      <c r="A1488" s="7">
        <v>43929.625</v>
      </c>
      <c r="B1488" s="1" t="s">
        <v>74</v>
      </c>
      <c r="C1488" s="1">
        <v>8107.52</v>
      </c>
      <c r="D1488" s="1">
        <v>1702.93</v>
      </c>
    </row>
    <row r="1489" spans="1:4" x14ac:dyDescent="0.25">
      <c r="A1489" s="7">
        <v>43929.625</v>
      </c>
      <c r="B1489" s="1" t="s">
        <v>72</v>
      </c>
      <c r="C1489" s="1">
        <v>8255.36</v>
      </c>
      <c r="D1489" s="1">
        <v>4014.06</v>
      </c>
    </row>
    <row r="1490" spans="1:4" x14ac:dyDescent="0.25">
      <c r="A1490" s="7">
        <v>43929.625</v>
      </c>
      <c r="B1490" s="1" t="s">
        <v>76</v>
      </c>
      <c r="C1490" s="1">
        <v>11507.16</v>
      </c>
      <c r="D1490" s="1">
        <v>2016.84</v>
      </c>
    </row>
    <row r="1491" spans="1:4" x14ac:dyDescent="0.25">
      <c r="A1491" s="7">
        <v>43929.625</v>
      </c>
      <c r="B1491" s="1" t="s">
        <v>73</v>
      </c>
      <c r="C1491" s="1">
        <v>6017.87</v>
      </c>
      <c r="D1491" s="1">
        <v>927.35</v>
      </c>
    </row>
    <row r="1492" spans="1:4" x14ac:dyDescent="0.25">
      <c r="A1492" s="7">
        <v>43929.625</v>
      </c>
      <c r="B1492" s="1" t="s">
        <v>68</v>
      </c>
      <c r="C1492" s="1">
        <v>7399.31</v>
      </c>
      <c r="D1492" s="1">
        <v>2179.1999999999998</v>
      </c>
    </row>
    <row r="1493" spans="1:4" x14ac:dyDescent="0.25">
      <c r="A1493" s="7">
        <v>43929.625</v>
      </c>
      <c r="B1493" s="1" t="s">
        <v>71</v>
      </c>
      <c r="C1493" s="1">
        <v>9219.18</v>
      </c>
      <c r="D1493" s="1">
        <v>2339.42</v>
      </c>
    </row>
    <row r="1494" spans="1:4" x14ac:dyDescent="0.25">
      <c r="A1494" s="7">
        <v>43929.625</v>
      </c>
      <c r="B1494" s="1" t="s">
        <v>70</v>
      </c>
      <c r="C1494" s="1">
        <v>6679.11</v>
      </c>
      <c r="D1494" s="1">
        <v>2297.6799999999998</v>
      </c>
    </row>
    <row r="1495" spans="1:4" x14ac:dyDescent="0.25">
      <c r="A1495" s="7">
        <v>43929.625</v>
      </c>
      <c r="B1495" s="1" t="s">
        <v>78</v>
      </c>
      <c r="C1495" s="1">
        <v>2271.44</v>
      </c>
      <c r="D1495" s="1">
        <v>1061.49</v>
      </c>
    </row>
    <row r="1496" spans="1:4" x14ac:dyDescent="0.25">
      <c r="A1496" s="7">
        <v>43929.625</v>
      </c>
      <c r="B1496" s="1" t="s">
        <v>77</v>
      </c>
      <c r="C1496" s="1">
        <v>8784.84</v>
      </c>
      <c r="D1496" s="1">
        <v>2201.15</v>
      </c>
    </row>
    <row r="1497" spans="1:4" x14ac:dyDescent="0.25">
      <c r="A1497" s="7">
        <v>43929.625</v>
      </c>
      <c r="B1497" s="1" t="s">
        <v>69</v>
      </c>
      <c r="C1497" s="1">
        <v>5792.6</v>
      </c>
      <c r="D1497" s="1">
        <v>3279.83</v>
      </c>
    </row>
    <row r="1498" spans="1:4" x14ac:dyDescent="0.25">
      <c r="A1498" s="7">
        <v>43929.666666666664</v>
      </c>
      <c r="B1498" s="1" t="s">
        <v>75</v>
      </c>
      <c r="C1498" s="1">
        <v>1028.4000000000001</v>
      </c>
      <c r="D1498" s="1">
        <v>425.76</v>
      </c>
    </row>
    <row r="1499" spans="1:4" x14ac:dyDescent="0.25">
      <c r="A1499" s="7">
        <v>43929.666666666664</v>
      </c>
      <c r="B1499" s="1" t="s">
        <v>74</v>
      </c>
      <c r="C1499" s="1">
        <v>8491.5</v>
      </c>
      <c r="D1499" s="1">
        <v>1867.37</v>
      </c>
    </row>
    <row r="1500" spans="1:4" x14ac:dyDescent="0.25">
      <c r="A1500" s="7">
        <v>43929.666666666664</v>
      </c>
      <c r="B1500" s="1" t="s">
        <v>76</v>
      </c>
      <c r="C1500" s="1">
        <v>12265.32</v>
      </c>
      <c r="D1500" s="1">
        <v>2278.58</v>
      </c>
    </row>
    <row r="1501" spans="1:4" x14ac:dyDescent="0.25">
      <c r="A1501" s="7">
        <v>43929.666666666664</v>
      </c>
      <c r="B1501" s="1" t="s">
        <v>68</v>
      </c>
      <c r="C1501" s="1">
        <v>7729.39</v>
      </c>
      <c r="D1501" s="1">
        <v>2473.54</v>
      </c>
    </row>
    <row r="1502" spans="1:4" x14ac:dyDescent="0.25">
      <c r="A1502" s="7">
        <v>43929.666666666664</v>
      </c>
      <c r="B1502" s="1" t="s">
        <v>77</v>
      </c>
      <c r="C1502" s="1">
        <v>9351.2099999999991</v>
      </c>
      <c r="D1502" s="1">
        <v>2440.9899999999998</v>
      </c>
    </row>
    <row r="1503" spans="1:4" x14ac:dyDescent="0.25">
      <c r="A1503" s="7">
        <v>43929.666666666664</v>
      </c>
      <c r="B1503" s="1" t="s">
        <v>71</v>
      </c>
      <c r="C1503" s="1">
        <v>9601.08</v>
      </c>
      <c r="D1503" s="1">
        <v>2694.71</v>
      </c>
    </row>
    <row r="1504" spans="1:4" x14ac:dyDescent="0.25">
      <c r="A1504" s="7">
        <v>43929.666666666664</v>
      </c>
      <c r="B1504" s="1" t="s">
        <v>69</v>
      </c>
      <c r="C1504" s="1">
        <v>5847.88</v>
      </c>
      <c r="D1504" s="1">
        <v>3358.07</v>
      </c>
    </row>
    <row r="1505" spans="1:4" x14ac:dyDescent="0.25">
      <c r="A1505" s="7">
        <v>43929.666666666664</v>
      </c>
      <c r="B1505" s="1" t="s">
        <v>70</v>
      </c>
      <c r="C1505" s="1">
        <v>6804.45</v>
      </c>
      <c r="D1505" s="1">
        <v>2473.9699999999998</v>
      </c>
    </row>
    <row r="1506" spans="1:4" x14ac:dyDescent="0.25">
      <c r="A1506" s="7">
        <v>43929.666666666664</v>
      </c>
      <c r="B1506" s="1" t="s">
        <v>78</v>
      </c>
      <c r="C1506" s="1">
        <v>2194.04</v>
      </c>
      <c r="D1506" s="1">
        <v>1028.8599999999999</v>
      </c>
    </row>
    <row r="1507" spans="1:4" x14ac:dyDescent="0.25">
      <c r="A1507" s="7">
        <v>43929.666666666664</v>
      </c>
      <c r="B1507" s="1" t="s">
        <v>73</v>
      </c>
      <c r="C1507" s="1">
        <v>6618.4</v>
      </c>
      <c r="D1507" s="1">
        <v>1140.77</v>
      </c>
    </row>
    <row r="1508" spans="1:4" x14ac:dyDescent="0.25">
      <c r="A1508" s="7">
        <v>43929.666666666664</v>
      </c>
      <c r="B1508" s="1" t="s">
        <v>72</v>
      </c>
      <c r="C1508" s="1">
        <v>8356.0499999999993</v>
      </c>
      <c r="D1508" s="1">
        <v>4185.74</v>
      </c>
    </row>
    <row r="1509" spans="1:4" x14ac:dyDescent="0.25">
      <c r="A1509" s="7">
        <v>43929.708333333336</v>
      </c>
      <c r="B1509" s="1" t="s">
        <v>74</v>
      </c>
      <c r="C1509" s="1">
        <v>9054.8799999999992</v>
      </c>
      <c r="D1509" s="1">
        <v>2096.2199999999998</v>
      </c>
    </row>
    <row r="1510" spans="1:4" x14ac:dyDescent="0.25">
      <c r="A1510" s="7">
        <v>43929.708333333336</v>
      </c>
      <c r="B1510" s="1" t="s">
        <v>75</v>
      </c>
      <c r="C1510" s="1">
        <v>1036.1199999999999</v>
      </c>
      <c r="D1510" s="1">
        <v>433.63</v>
      </c>
    </row>
    <row r="1511" spans="1:4" x14ac:dyDescent="0.25">
      <c r="A1511" s="7">
        <v>43929.708333333336</v>
      </c>
      <c r="B1511" s="1" t="s">
        <v>76</v>
      </c>
      <c r="C1511" s="1">
        <v>13125.48</v>
      </c>
      <c r="D1511" s="1">
        <v>2565.29</v>
      </c>
    </row>
    <row r="1512" spans="1:4" x14ac:dyDescent="0.25">
      <c r="A1512" s="7">
        <v>43929.708333333336</v>
      </c>
      <c r="B1512" s="1" t="s">
        <v>68</v>
      </c>
      <c r="C1512" s="1">
        <v>8232.41</v>
      </c>
      <c r="D1512" s="1">
        <v>2822.98</v>
      </c>
    </row>
    <row r="1513" spans="1:4" x14ac:dyDescent="0.25">
      <c r="A1513" s="7">
        <v>43929.708333333336</v>
      </c>
      <c r="B1513" s="1" t="s">
        <v>77</v>
      </c>
      <c r="C1513" s="1">
        <v>10068.33</v>
      </c>
      <c r="D1513" s="1">
        <v>2786.53</v>
      </c>
    </row>
    <row r="1514" spans="1:4" x14ac:dyDescent="0.25">
      <c r="A1514" s="7">
        <v>43929.708333333336</v>
      </c>
      <c r="B1514" s="1" t="s">
        <v>69</v>
      </c>
      <c r="C1514" s="1">
        <v>6238.03</v>
      </c>
      <c r="D1514" s="1">
        <v>3605.53</v>
      </c>
    </row>
    <row r="1515" spans="1:4" x14ac:dyDescent="0.25">
      <c r="A1515" s="7">
        <v>43929.708333333336</v>
      </c>
      <c r="B1515" s="1" t="s">
        <v>70</v>
      </c>
      <c r="C1515" s="1">
        <v>7167.77</v>
      </c>
      <c r="D1515" s="1">
        <v>2732.65</v>
      </c>
    </row>
    <row r="1516" spans="1:4" x14ac:dyDescent="0.25">
      <c r="A1516" s="7">
        <v>43929.708333333336</v>
      </c>
      <c r="B1516" s="1" t="s">
        <v>78</v>
      </c>
      <c r="C1516" s="1">
        <v>2380.8200000000002</v>
      </c>
      <c r="D1516" s="1">
        <v>1139.69</v>
      </c>
    </row>
    <row r="1517" spans="1:4" x14ac:dyDescent="0.25">
      <c r="A1517" s="7">
        <v>43929.708333333336</v>
      </c>
      <c r="B1517" s="1" t="s">
        <v>72</v>
      </c>
      <c r="C1517" s="1">
        <v>8889.81</v>
      </c>
      <c r="D1517" s="1">
        <v>4622.7299999999996</v>
      </c>
    </row>
    <row r="1518" spans="1:4" x14ac:dyDescent="0.25">
      <c r="A1518" s="7">
        <v>43929.708333333336</v>
      </c>
      <c r="B1518" s="1" t="s">
        <v>73</v>
      </c>
      <c r="C1518" s="1">
        <v>7038.46</v>
      </c>
      <c r="D1518" s="1">
        <v>1341.56</v>
      </c>
    </row>
    <row r="1519" spans="1:4" x14ac:dyDescent="0.25">
      <c r="A1519" s="7">
        <v>43929.708333333336</v>
      </c>
      <c r="B1519" s="1" t="s">
        <v>71</v>
      </c>
      <c r="C1519" s="1">
        <v>10052.81</v>
      </c>
      <c r="D1519" s="1">
        <v>3042.69</v>
      </c>
    </row>
    <row r="1520" spans="1:4" x14ac:dyDescent="0.25">
      <c r="A1520" s="7">
        <v>43929.75</v>
      </c>
      <c r="B1520" s="1" t="s">
        <v>75</v>
      </c>
      <c r="C1520" s="1">
        <v>1082.6500000000001</v>
      </c>
      <c r="D1520" s="1">
        <v>440.62</v>
      </c>
    </row>
    <row r="1521" spans="1:4" x14ac:dyDescent="0.25">
      <c r="A1521" s="7">
        <v>43929.75</v>
      </c>
      <c r="B1521" s="1" t="s">
        <v>74</v>
      </c>
      <c r="C1521" s="1">
        <v>9708.73</v>
      </c>
      <c r="D1521" s="1">
        <v>2307.7800000000002</v>
      </c>
    </row>
    <row r="1522" spans="1:4" x14ac:dyDescent="0.25">
      <c r="A1522" s="7">
        <v>43929.75</v>
      </c>
      <c r="B1522" s="1" t="s">
        <v>72</v>
      </c>
      <c r="C1522" s="1">
        <v>9467.31</v>
      </c>
      <c r="D1522" s="1">
        <v>4936.5600000000004</v>
      </c>
    </row>
    <row r="1523" spans="1:4" x14ac:dyDescent="0.25">
      <c r="A1523" s="7">
        <v>43929.75</v>
      </c>
      <c r="B1523" s="1" t="s">
        <v>71</v>
      </c>
      <c r="C1523" s="1">
        <v>10691.92</v>
      </c>
      <c r="D1523" s="1">
        <v>3318.75</v>
      </c>
    </row>
    <row r="1524" spans="1:4" x14ac:dyDescent="0.25">
      <c r="A1524" s="7">
        <v>43929.75</v>
      </c>
      <c r="B1524" s="1" t="s">
        <v>77</v>
      </c>
      <c r="C1524" s="1">
        <v>10752.08</v>
      </c>
      <c r="D1524" s="1">
        <v>3007.53</v>
      </c>
    </row>
    <row r="1525" spans="1:4" x14ac:dyDescent="0.25">
      <c r="A1525" s="7">
        <v>43929.75</v>
      </c>
      <c r="B1525" s="1" t="s">
        <v>69</v>
      </c>
      <c r="C1525" s="1">
        <v>6621.44</v>
      </c>
      <c r="D1525" s="1">
        <v>3853.88</v>
      </c>
    </row>
    <row r="1526" spans="1:4" x14ac:dyDescent="0.25">
      <c r="A1526" s="7">
        <v>43929.75</v>
      </c>
      <c r="B1526" s="1" t="s">
        <v>70</v>
      </c>
      <c r="C1526" s="1">
        <v>7408.13</v>
      </c>
      <c r="D1526" s="1">
        <v>2891.08</v>
      </c>
    </row>
    <row r="1527" spans="1:4" x14ac:dyDescent="0.25">
      <c r="A1527" s="7">
        <v>43929.75</v>
      </c>
      <c r="B1527" s="1" t="s">
        <v>78</v>
      </c>
      <c r="C1527" s="1">
        <v>2550.3000000000002</v>
      </c>
      <c r="D1527" s="1">
        <v>1205.3699999999999</v>
      </c>
    </row>
    <row r="1528" spans="1:4" x14ac:dyDescent="0.25">
      <c r="A1528" s="7">
        <v>43929.75</v>
      </c>
      <c r="B1528" s="1" t="s">
        <v>76</v>
      </c>
      <c r="C1528" s="1">
        <v>14004.33</v>
      </c>
      <c r="D1528" s="1">
        <v>2741.49</v>
      </c>
    </row>
    <row r="1529" spans="1:4" x14ac:dyDescent="0.25">
      <c r="A1529" s="7">
        <v>43929.75</v>
      </c>
      <c r="B1529" s="1" t="s">
        <v>73</v>
      </c>
      <c r="C1529" s="1">
        <v>7136.94</v>
      </c>
      <c r="D1529" s="1">
        <v>1404.36</v>
      </c>
    </row>
    <row r="1530" spans="1:4" x14ac:dyDescent="0.25">
      <c r="A1530" s="7">
        <v>43929.75</v>
      </c>
      <c r="B1530" s="1" t="s">
        <v>68</v>
      </c>
      <c r="C1530" s="1">
        <v>8774.3799999999992</v>
      </c>
      <c r="D1530" s="1">
        <v>3133.34</v>
      </c>
    </row>
    <row r="1531" spans="1:4" x14ac:dyDescent="0.25">
      <c r="A1531" s="7">
        <v>43929.791666666664</v>
      </c>
      <c r="B1531" s="1" t="s">
        <v>75</v>
      </c>
      <c r="C1531" s="1">
        <v>1886.59</v>
      </c>
      <c r="D1531" s="1">
        <v>710.95</v>
      </c>
    </row>
    <row r="1532" spans="1:4" x14ac:dyDescent="0.25">
      <c r="A1532" s="7">
        <v>43929.791666666664</v>
      </c>
      <c r="B1532" s="1" t="s">
        <v>74</v>
      </c>
      <c r="C1532" s="1">
        <v>14514.17</v>
      </c>
      <c r="D1532" s="1">
        <v>3081.58</v>
      </c>
    </row>
    <row r="1533" spans="1:4" x14ac:dyDescent="0.25">
      <c r="A1533" s="7">
        <v>43929.791666666664</v>
      </c>
      <c r="B1533" s="1" t="s">
        <v>78</v>
      </c>
      <c r="C1533" s="1">
        <v>4171.7700000000004</v>
      </c>
      <c r="D1533" s="1">
        <v>1920.75</v>
      </c>
    </row>
    <row r="1534" spans="1:4" x14ac:dyDescent="0.25">
      <c r="A1534" s="7">
        <v>43929.791666666664</v>
      </c>
      <c r="B1534" s="1" t="s">
        <v>73</v>
      </c>
      <c r="C1534" s="1">
        <v>11637.85</v>
      </c>
      <c r="D1534" s="1">
        <v>1927.78</v>
      </c>
    </row>
    <row r="1535" spans="1:4" x14ac:dyDescent="0.25">
      <c r="A1535" s="7">
        <v>43929.791666666664</v>
      </c>
      <c r="B1535" s="1" t="s">
        <v>72</v>
      </c>
      <c r="C1535" s="1">
        <v>14701.71</v>
      </c>
      <c r="D1535" s="1">
        <v>6944.69</v>
      </c>
    </row>
    <row r="1536" spans="1:4" x14ac:dyDescent="0.25">
      <c r="A1536" s="7">
        <v>43929.791666666664</v>
      </c>
      <c r="B1536" s="1" t="s">
        <v>71</v>
      </c>
      <c r="C1536" s="1">
        <v>17967.960999999999</v>
      </c>
      <c r="D1536" s="1">
        <v>4656.1899999999996</v>
      </c>
    </row>
    <row r="1537" spans="1:4" x14ac:dyDescent="0.25">
      <c r="A1537" s="7">
        <v>43929.791666666664</v>
      </c>
      <c r="B1537" s="1" t="s">
        <v>70</v>
      </c>
      <c r="C1537" s="1">
        <v>12972.8</v>
      </c>
      <c r="D1537" s="1">
        <v>4420.24</v>
      </c>
    </row>
    <row r="1538" spans="1:4" x14ac:dyDescent="0.25">
      <c r="A1538" s="7">
        <v>43929.791666666664</v>
      </c>
      <c r="B1538" s="1" t="s">
        <v>76</v>
      </c>
      <c r="C1538" s="1">
        <v>22107.01</v>
      </c>
      <c r="D1538" s="1">
        <v>3907.8</v>
      </c>
    </row>
    <row r="1539" spans="1:4" x14ac:dyDescent="0.25">
      <c r="A1539" s="7">
        <v>43929.791666666664</v>
      </c>
      <c r="B1539" s="1" t="s">
        <v>68</v>
      </c>
      <c r="C1539" s="1">
        <v>14491.27</v>
      </c>
      <c r="D1539" s="1">
        <v>4416.1000000000004</v>
      </c>
    </row>
    <row r="1540" spans="1:4" x14ac:dyDescent="0.25">
      <c r="A1540" s="7">
        <v>43929.791666666664</v>
      </c>
      <c r="B1540" s="1" t="s">
        <v>77</v>
      </c>
      <c r="C1540" s="1">
        <v>17233.449000000001</v>
      </c>
      <c r="D1540" s="1">
        <v>4405.76</v>
      </c>
    </row>
    <row r="1541" spans="1:4" x14ac:dyDescent="0.25">
      <c r="A1541" s="7">
        <v>43929.791666666664</v>
      </c>
      <c r="B1541" s="1" t="s">
        <v>69</v>
      </c>
      <c r="C1541" s="1">
        <v>10119.379999999999</v>
      </c>
      <c r="D1541" s="1">
        <v>5364.91</v>
      </c>
    </row>
    <row r="1542" spans="1:4" x14ac:dyDescent="0.25">
      <c r="A1542" s="7">
        <v>43929.833333333336</v>
      </c>
      <c r="B1542" s="1" t="s">
        <v>75</v>
      </c>
      <c r="C1542" s="1">
        <v>1976.51</v>
      </c>
      <c r="D1542" s="1">
        <v>755.65</v>
      </c>
    </row>
    <row r="1543" spans="1:4" x14ac:dyDescent="0.25">
      <c r="A1543" s="7">
        <v>43929.833333333336</v>
      </c>
      <c r="B1543" s="1" t="s">
        <v>74</v>
      </c>
      <c r="C1543" s="1">
        <v>14606.22</v>
      </c>
      <c r="D1543" s="1">
        <v>3090.38</v>
      </c>
    </row>
    <row r="1544" spans="1:4" x14ac:dyDescent="0.25">
      <c r="A1544" s="7">
        <v>43929.833333333336</v>
      </c>
      <c r="B1544" s="1" t="s">
        <v>78</v>
      </c>
      <c r="C1544" s="1">
        <v>4261.28</v>
      </c>
      <c r="D1544" s="1">
        <v>2001.75</v>
      </c>
    </row>
    <row r="1545" spans="1:4" x14ac:dyDescent="0.25">
      <c r="A1545" s="7">
        <v>43929.833333333336</v>
      </c>
      <c r="B1545" s="1" t="s">
        <v>73</v>
      </c>
      <c r="C1545" s="1">
        <v>11643.8</v>
      </c>
      <c r="D1545" s="1">
        <v>1949.56</v>
      </c>
    </row>
    <row r="1546" spans="1:4" x14ac:dyDescent="0.25">
      <c r="A1546" s="7">
        <v>43929.833333333336</v>
      </c>
      <c r="B1546" s="1" t="s">
        <v>68</v>
      </c>
      <c r="C1546" s="1">
        <v>14221</v>
      </c>
      <c r="D1546" s="1">
        <v>4459.16</v>
      </c>
    </row>
    <row r="1547" spans="1:4" x14ac:dyDescent="0.25">
      <c r="A1547" s="7">
        <v>43929.833333333336</v>
      </c>
      <c r="B1547" s="1" t="s">
        <v>71</v>
      </c>
      <c r="C1547" s="1">
        <v>18014.460999999999</v>
      </c>
      <c r="D1547" s="1">
        <v>4745.3100000000004</v>
      </c>
    </row>
    <row r="1548" spans="1:4" x14ac:dyDescent="0.25">
      <c r="A1548" s="7">
        <v>43929.833333333336</v>
      </c>
      <c r="B1548" s="1" t="s">
        <v>70</v>
      </c>
      <c r="C1548" s="1">
        <v>12614.81</v>
      </c>
      <c r="D1548" s="1">
        <v>4417.42</v>
      </c>
    </row>
    <row r="1549" spans="1:4" x14ac:dyDescent="0.25">
      <c r="A1549" s="7">
        <v>43929.833333333336</v>
      </c>
      <c r="B1549" s="1" t="s">
        <v>72</v>
      </c>
      <c r="C1549" s="1">
        <v>14653.94</v>
      </c>
      <c r="D1549" s="1">
        <v>7055.15</v>
      </c>
    </row>
    <row r="1550" spans="1:4" x14ac:dyDescent="0.25">
      <c r="A1550" s="7">
        <v>43929.833333333336</v>
      </c>
      <c r="B1550" s="1" t="s">
        <v>76</v>
      </c>
      <c r="C1550" s="1">
        <v>22447.77</v>
      </c>
      <c r="D1550" s="1">
        <v>3879.55</v>
      </c>
    </row>
    <row r="1551" spans="1:4" x14ac:dyDescent="0.25">
      <c r="A1551" s="7">
        <v>43929.833333333336</v>
      </c>
      <c r="B1551" s="1" t="s">
        <v>77</v>
      </c>
      <c r="C1551" s="1">
        <v>17205.289000000001</v>
      </c>
      <c r="D1551" s="1">
        <v>4397.8900000000003</v>
      </c>
    </row>
    <row r="1552" spans="1:4" x14ac:dyDescent="0.25">
      <c r="A1552" s="7">
        <v>43929.833333333336</v>
      </c>
      <c r="B1552" s="1" t="s">
        <v>69</v>
      </c>
      <c r="C1552" s="1">
        <v>10391.200000000001</v>
      </c>
      <c r="D1552" s="1">
        <v>5821.45</v>
      </c>
    </row>
    <row r="1553" spans="1:4" x14ac:dyDescent="0.25">
      <c r="A1553" s="7">
        <v>43929.875</v>
      </c>
      <c r="B1553" s="1" t="s">
        <v>75</v>
      </c>
      <c r="C1553" s="1">
        <v>1922.04</v>
      </c>
      <c r="D1553" s="1">
        <v>716.13</v>
      </c>
    </row>
    <row r="1554" spans="1:4" x14ac:dyDescent="0.25">
      <c r="A1554" s="7">
        <v>43929.875</v>
      </c>
      <c r="B1554" s="1" t="s">
        <v>74</v>
      </c>
      <c r="C1554" s="1">
        <v>12259.06</v>
      </c>
      <c r="D1554" s="1">
        <v>2697.89</v>
      </c>
    </row>
    <row r="1555" spans="1:4" x14ac:dyDescent="0.25">
      <c r="A1555" s="7">
        <v>43929.875</v>
      </c>
      <c r="B1555" s="1" t="s">
        <v>76</v>
      </c>
      <c r="C1555" s="1">
        <v>19982.359</v>
      </c>
      <c r="D1555" s="1">
        <v>3418.14</v>
      </c>
    </row>
    <row r="1556" spans="1:4" x14ac:dyDescent="0.25">
      <c r="A1556" s="7">
        <v>43929.875</v>
      </c>
      <c r="B1556" s="1" t="s">
        <v>71</v>
      </c>
      <c r="C1556" s="1">
        <v>15147.41</v>
      </c>
      <c r="D1556" s="1">
        <v>4132.41</v>
      </c>
    </row>
    <row r="1557" spans="1:4" x14ac:dyDescent="0.25">
      <c r="A1557" s="7">
        <v>43929.875</v>
      </c>
      <c r="B1557" s="1" t="s">
        <v>68</v>
      </c>
      <c r="C1557" s="1">
        <v>12658.95</v>
      </c>
      <c r="D1557" s="1">
        <v>3959.38</v>
      </c>
    </row>
    <row r="1558" spans="1:4" x14ac:dyDescent="0.25">
      <c r="A1558" s="7">
        <v>43929.875</v>
      </c>
      <c r="B1558" s="1" t="s">
        <v>77</v>
      </c>
      <c r="C1558" s="1">
        <v>15157.76</v>
      </c>
      <c r="D1558" s="1">
        <v>3893.69</v>
      </c>
    </row>
    <row r="1559" spans="1:4" x14ac:dyDescent="0.25">
      <c r="A1559" s="7">
        <v>43929.875</v>
      </c>
      <c r="B1559" s="1" t="s">
        <v>69</v>
      </c>
      <c r="C1559" s="1">
        <v>9582.19</v>
      </c>
      <c r="D1559" s="1">
        <v>5368.99</v>
      </c>
    </row>
    <row r="1560" spans="1:4" x14ac:dyDescent="0.25">
      <c r="A1560" s="7">
        <v>43929.875</v>
      </c>
      <c r="B1560" s="1" t="s">
        <v>70</v>
      </c>
      <c r="C1560" s="1">
        <v>11474.48</v>
      </c>
      <c r="D1560" s="1">
        <v>3895.04</v>
      </c>
    </row>
    <row r="1561" spans="1:4" x14ac:dyDescent="0.25">
      <c r="A1561" s="7">
        <v>43929.875</v>
      </c>
      <c r="B1561" s="1" t="s">
        <v>78</v>
      </c>
      <c r="C1561" s="1">
        <v>4027.84</v>
      </c>
      <c r="D1561" s="1">
        <v>1880.27</v>
      </c>
    </row>
    <row r="1562" spans="1:4" x14ac:dyDescent="0.25">
      <c r="A1562" s="7">
        <v>43929.875</v>
      </c>
      <c r="B1562" s="1" t="s">
        <v>72</v>
      </c>
      <c r="C1562" s="1">
        <v>13554.13</v>
      </c>
      <c r="D1562" s="1">
        <v>6424.44</v>
      </c>
    </row>
    <row r="1563" spans="1:4" x14ac:dyDescent="0.25">
      <c r="A1563" s="7">
        <v>43929.875</v>
      </c>
      <c r="B1563" s="1" t="s">
        <v>73</v>
      </c>
      <c r="C1563" s="1">
        <v>10398.120000000001</v>
      </c>
      <c r="D1563" s="1">
        <v>1720.34</v>
      </c>
    </row>
    <row r="1564" spans="1:4" x14ac:dyDescent="0.25">
      <c r="A1564" s="7">
        <v>43929.916666666664</v>
      </c>
      <c r="B1564" s="1" t="s">
        <v>75</v>
      </c>
      <c r="C1564" s="1">
        <v>1435.19</v>
      </c>
      <c r="D1564" s="1">
        <v>578.44000000000005</v>
      </c>
    </row>
    <row r="1565" spans="1:4" x14ac:dyDescent="0.25">
      <c r="A1565" s="7">
        <v>43929.916666666664</v>
      </c>
      <c r="B1565" s="1" t="s">
        <v>74</v>
      </c>
      <c r="C1565" s="1">
        <v>7562.86</v>
      </c>
      <c r="D1565" s="1">
        <v>1867.65</v>
      </c>
    </row>
    <row r="1566" spans="1:4" x14ac:dyDescent="0.25">
      <c r="A1566" s="7">
        <v>43929.916666666664</v>
      </c>
      <c r="B1566" s="1" t="s">
        <v>76</v>
      </c>
      <c r="C1566" s="1">
        <v>13366.99</v>
      </c>
      <c r="D1566" s="1">
        <v>2447.27</v>
      </c>
    </row>
    <row r="1567" spans="1:4" x14ac:dyDescent="0.25">
      <c r="A1567" s="7">
        <v>43929.916666666664</v>
      </c>
      <c r="B1567" s="1" t="s">
        <v>68</v>
      </c>
      <c r="C1567" s="1">
        <v>8334.58</v>
      </c>
      <c r="D1567" s="1">
        <v>2912.84</v>
      </c>
    </row>
    <row r="1568" spans="1:4" x14ac:dyDescent="0.25">
      <c r="A1568" s="7">
        <v>43929.916666666664</v>
      </c>
      <c r="B1568" s="1" t="s">
        <v>77</v>
      </c>
      <c r="C1568" s="1">
        <v>10126.049999999999</v>
      </c>
      <c r="D1568" s="1">
        <v>2797.01</v>
      </c>
    </row>
    <row r="1569" spans="1:4" x14ac:dyDescent="0.25">
      <c r="A1569" s="7">
        <v>43929.916666666664</v>
      </c>
      <c r="B1569" s="1" t="s">
        <v>70</v>
      </c>
      <c r="C1569" s="1">
        <v>7944.9</v>
      </c>
      <c r="D1569" s="1">
        <v>2841.07</v>
      </c>
    </row>
    <row r="1570" spans="1:4" x14ac:dyDescent="0.25">
      <c r="A1570" s="7">
        <v>43929.916666666664</v>
      </c>
      <c r="B1570" s="1" t="s">
        <v>69</v>
      </c>
      <c r="C1570" s="1">
        <v>6919.5</v>
      </c>
      <c r="D1570" s="1">
        <v>4118.08</v>
      </c>
    </row>
    <row r="1571" spans="1:4" x14ac:dyDescent="0.25">
      <c r="A1571" s="7">
        <v>43929.916666666664</v>
      </c>
      <c r="B1571" s="1" t="s">
        <v>78</v>
      </c>
      <c r="C1571" s="1">
        <v>2941.75</v>
      </c>
      <c r="D1571" s="1">
        <v>1454.02</v>
      </c>
    </row>
    <row r="1572" spans="1:4" x14ac:dyDescent="0.25">
      <c r="A1572" s="7">
        <v>43929.916666666664</v>
      </c>
      <c r="B1572" s="1" t="s">
        <v>73</v>
      </c>
      <c r="C1572" s="1">
        <v>7177.43</v>
      </c>
      <c r="D1572" s="1">
        <v>1258.58</v>
      </c>
    </row>
    <row r="1573" spans="1:4" x14ac:dyDescent="0.25">
      <c r="A1573" s="7">
        <v>43929.916666666664</v>
      </c>
      <c r="B1573" s="1" t="s">
        <v>72</v>
      </c>
      <c r="C1573" s="1">
        <v>9807.89</v>
      </c>
      <c r="D1573" s="1">
        <v>4844.63</v>
      </c>
    </row>
    <row r="1574" spans="1:4" x14ac:dyDescent="0.25">
      <c r="A1574" s="7">
        <v>43929.916666666664</v>
      </c>
      <c r="B1574" s="1" t="s">
        <v>71</v>
      </c>
      <c r="C1574" s="1">
        <v>9181.66</v>
      </c>
      <c r="D1574" s="1">
        <v>2821.7</v>
      </c>
    </row>
    <row r="1575" spans="1:4" x14ac:dyDescent="0.25">
      <c r="A1575" s="7">
        <v>43929.958333333336</v>
      </c>
      <c r="B1575" s="1" t="s">
        <v>75</v>
      </c>
      <c r="C1575" s="1">
        <v>870.86</v>
      </c>
      <c r="D1575" s="1">
        <v>386.01</v>
      </c>
    </row>
    <row r="1576" spans="1:4" x14ac:dyDescent="0.25">
      <c r="A1576" s="7">
        <v>43929.958333333336</v>
      </c>
      <c r="B1576" s="1" t="s">
        <v>74</v>
      </c>
      <c r="C1576" s="1">
        <v>3462.46</v>
      </c>
      <c r="D1576" s="1">
        <v>1054.3599999999999</v>
      </c>
    </row>
    <row r="1577" spans="1:4" x14ac:dyDescent="0.25">
      <c r="A1577" s="7">
        <v>43929.958333333336</v>
      </c>
      <c r="B1577" s="1" t="s">
        <v>76</v>
      </c>
      <c r="C1577" s="1">
        <v>6502.87</v>
      </c>
      <c r="D1577" s="1">
        <v>1336.75</v>
      </c>
    </row>
    <row r="1578" spans="1:4" x14ac:dyDescent="0.25">
      <c r="A1578" s="7">
        <v>43929.958333333336</v>
      </c>
      <c r="B1578" s="1" t="s">
        <v>72</v>
      </c>
      <c r="C1578" s="1">
        <v>5442.21</v>
      </c>
      <c r="D1578" s="1">
        <v>3033.78</v>
      </c>
    </row>
    <row r="1579" spans="1:4" x14ac:dyDescent="0.25">
      <c r="A1579" s="7">
        <v>43929.958333333336</v>
      </c>
      <c r="B1579" s="1" t="s">
        <v>73</v>
      </c>
      <c r="C1579" s="1">
        <v>3606.26</v>
      </c>
      <c r="D1579" s="1">
        <v>733</v>
      </c>
    </row>
    <row r="1580" spans="1:4" x14ac:dyDescent="0.25">
      <c r="A1580" s="7">
        <v>43929.958333333336</v>
      </c>
      <c r="B1580" s="1" t="s">
        <v>68</v>
      </c>
      <c r="C1580" s="1">
        <v>4131.1400000000003</v>
      </c>
      <c r="D1580" s="1">
        <v>1753.86</v>
      </c>
    </row>
    <row r="1581" spans="1:4" x14ac:dyDescent="0.25">
      <c r="A1581" s="7">
        <v>43929.958333333336</v>
      </c>
      <c r="B1581" s="1" t="s">
        <v>77</v>
      </c>
      <c r="C1581" s="1">
        <v>5057.68</v>
      </c>
      <c r="D1581" s="1">
        <v>1527.16</v>
      </c>
    </row>
    <row r="1582" spans="1:4" x14ac:dyDescent="0.25">
      <c r="A1582" s="7">
        <v>43929.958333333336</v>
      </c>
      <c r="B1582" s="1" t="s">
        <v>71</v>
      </c>
      <c r="C1582" s="1">
        <v>4229.84</v>
      </c>
      <c r="D1582" s="1">
        <v>1549.14</v>
      </c>
    </row>
    <row r="1583" spans="1:4" x14ac:dyDescent="0.25">
      <c r="A1583" s="7">
        <v>43929.958333333336</v>
      </c>
      <c r="B1583" s="1" t="s">
        <v>69</v>
      </c>
      <c r="C1583" s="1">
        <v>3774.25</v>
      </c>
      <c r="D1583" s="1">
        <v>2481</v>
      </c>
    </row>
    <row r="1584" spans="1:4" x14ac:dyDescent="0.25">
      <c r="A1584" s="7">
        <v>43929.958333333336</v>
      </c>
      <c r="B1584" s="1" t="s">
        <v>70</v>
      </c>
      <c r="C1584" s="1">
        <v>4063.1</v>
      </c>
      <c r="D1584" s="1">
        <v>1650.44</v>
      </c>
    </row>
    <row r="1585" spans="1:4" x14ac:dyDescent="0.25">
      <c r="A1585" s="7">
        <v>43929.958333333336</v>
      </c>
      <c r="B1585" s="1" t="s">
        <v>78</v>
      </c>
      <c r="C1585" s="1">
        <v>1629.88</v>
      </c>
      <c r="D1585" s="1">
        <v>896.75</v>
      </c>
    </row>
    <row r="1586" spans="1:4" x14ac:dyDescent="0.25">
      <c r="A1586" s="7">
        <v>43959</v>
      </c>
      <c r="B1586" s="1" t="s">
        <v>75</v>
      </c>
      <c r="C1586" s="1">
        <v>439.3</v>
      </c>
      <c r="D1586" s="1">
        <v>210.76</v>
      </c>
    </row>
    <row r="1587" spans="1:4" x14ac:dyDescent="0.25">
      <c r="A1587" s="7">
        <v>43959</v>
      </c>
      <c r="B1587" s="1" t="s">
        <v>74</v>
      </c>
      <c r="C1587" s="1">
        <v>1473.33</v>
      </c>
      <c r="D1587" s="1">
        <v>499.9</v>
      </c>
    </row>
    <row r="1588" spans="1:4" x14ac:dyDescent="0.25">
      <c r="A1588" s="7">
        <v>43959</v>
      </c>
      <c r="B1588" s="1" t="s">
        <v>72</v>
      </c>
      <c r="C1588" s="1">
        <v>2585.54</v>
      </c>
      <c r="D1588" s="1">
        <v>1689.21</v>
      </c>
    </row>
    <row r="1589" spans="1:4" x14ac:dyDescent="0.25">
      <c r="A1589" s="7">
        <v>43959</v>
      </c>
      <c r="B1589" s="1" t="s">
        <v>73</v>
      </c>
      <c r="C1589" s="1">
        <v>1527.26</v>
      </c>
      <c r="D1589" s="1">
        <v>362.38</v>
      </c>
    </row>
    <row r="1590" spans="1:4" x14ac:dyDescent="0.25">
      <c r="A1590" s="7">
        <v>43959</v>
      </c>
      <c r="B1590" s="1" t="s">
        <v>71</v>
      </c>
      <c r="C1590" s="1">
        <v>1847.57</v>
      </c>
      <c r="D1590" s="1">
        <v>767.77</v>
      </c>
    </row>
    <row r="1591" spans="1:4" x14ac:dyDescent="0.25">
      <c r="A1591" s="7">
        <v>43959</v>
      </c>
      <c r="B1591" s="1" t="s">
        <v>68</v>
      </c>
      <c r="C1591" s="1">
        <v>1820.85</v>
      </c>
      <c r="D1591" s="1">
        <v>923.26</v>
      </c>
    </row>
    <row r="1592" spans="1:4" x14ac:dyDescent="0.25">
      <c r="A1592" s="7">
        <v>43959</v>
      </c>
      <c r="B1592" s="1" t="s">
        <v>77</v>
      </c>
      <c r="C1592" s="1">
        <v>2335.2600000000002</v>
      </c>
      <c r="D1592" s="1">
        <v>760.95</v>
      </c>
    </row>
    <row r="1593" spans="1:4" x14ac:dyDescent="0.25">
      <c r="A1593" s="7">
        <v>43959</v>
      </c>
      <c r="B1593" s="1" t="s">
        <v>70</v>
      </c>
      <c r="C1593" s="1">
        <v>1829.88</v>
      </c>
      <c r="D1593" s="1">
        <v>828.81</v>
      </c>
    </row>
    <row r="1594" spans="1:4" x14ac:dyDescent="0.25">
      <c r="A1594" s="7">
        <v>43959</v>
      </c>
      <c r="B1594" s="1" t="s">
        <v>78</v>
      </c>
      <c r="C1594" s="1">
        <v>760.89</v>
      </c>
      <c r="D1594" s="1">
        <v>462.58</v>
      </c>
    </row>
    <row r="1595" spans="1:4" x14ac:dyDescent="0.25">
      <c r="A1595" s="7">
        <v>43959</v>
      </c>
      <c r="B1595" s="1" t="s">
        <v>76</v>
      </c>
      <c r="C1595" s="1">
        <v>2847.48</v>
      </c>
      <c r="D1595" s="1">
        <v>611.70000000000005</v>
      </c>
    </row>
    <row r="1596" spans="1:4" x14ac:dyDescent="0.25">
      <c r="A1596" s="7">
        <v>43959</v>
      </c>
      <c r="B1596" s="1" t="s">
        <v>69</v>
      </c>
      <c r="C1596" s="1">
        <v>1814.69</v>
      </c>
      <c r="D1596" s="1">
        <v>1260.28</v>
      </c>
    </row>
    <row r="1597" spans="1:4" x14ac:dyDescent="0.25">
      <c r="A1597" s="7">
        <v>43959.041666666664</v>
      </c>
      <c r="B1597" s="1" t="s">
        <v>75</v>
      </c>
      <c r="C1597" s="1">
        <v>220.61</v>
      </c>
      <c r="D1597" s="1">
        <v>110.91</v>
      </c>
    </row>
    <row r="1598" spans="1:4" x14ac:dyDescent="0.25">
      <c r="A1598" s="7">
        <v>43959.041666666664</v>
      </c>
      <c r="B1598" s="1" t="s">
        <v>74</v>
      </c>
      <c r="C1598" s="1">
        <v>678.53</v>
      </c>
      <c r="D1598" s="1">
        <v>254.28</v>
      </c>
    </row>
    <row r="1599" spans="1:4" x14ac:dyDescent="0.25">
      <c r="A1599" s="7">
        <v>43959.041666666664</v>
      </c>
      <c r="B1599" s="1" t="s">
        <v>78</v>
      </c>
      <c r="C1599" s="1">
        <v>331.69</v>
      </c>
      <c r="D1599" s="1">
        <v>238.14</v>
      </c>
    </row>
    <row r="1600" spans="1:4" x14ac:dyDescent="0.25">
      <c r="A1600" s="7">
        <v>43959.041666666664</v>
      </c>
      <c r="B1600" s="1" t="s">
        <v>71</v>
      </c>
      <c r="C1600" s="1">
        <v>852.05</v>
      </c>
      <c r="D1600" s="1">
        <v>345.1</v>
      </c>
    </row>
    <row r="1601" spans="1:4" x14ac:dyDescent="0.25">
      <c r="A1601" s="7">
        <v>43959.041666666664</v>
      </c>
      <c r="B1601" s="1" t="s">
        <v>69</v>
      </c>
      <c r="C1601" s="1">
        <v>870.93</v>
      </c>
      <c r="D1601" s="1">
        <v>620.25</v>
      </c>
    </row>
    <row r="1602" spans="1:4" x14ac:dyDescent="0.25">
      <c r="A1602" s="7">
        <v>43959.041666666664</v>
      </c>
      <c r="B1602" s="1" t="s">
        <v>70</v>
      </c>
      <c r="C1602" s="1">
        <v>840.28</v>
      </c>
      <c r="D1602" s="1">
        <v>424.32</v>
      </c>
    </row>
    <row r="1603" spans="1:4" x14ac:dyDescent="0.25">
      <c r="A1603" s="7">
        <v>43959.041666666664</v>
      </c>
      <c r="B1603" s="1" t="s">
        <v>76</v>
      </c>
      <c r="C1603" s="1">
        <v>1250.1099999999999</v>
      </c>
      <c r="D1603" s="1">
        <v>283.58</v>
      </c>
    </row>
    <row r="1604" spans="1:4" x14ac:dyDescent="0.25">
      <c r="A1604" s="7">
        <v>43959.041666666664</v>
      </c>
      <c r="B1604" s="1" t="s">
        <v>73</v>
      </c>
      <c r="C1604" s="1">
        <v>673.69</v>
      </c>
      <c r="D1604" s="1">
        <v>161.96</v>
      </c>
    </row>
    <row r="1605" spans="1:4" x14ac:dyDescent="0.25">
      <c r="A1605" s="7">
        <v>43959.041666666664</v>
      </c>
      <c r="B1605" s="1" t="s">
        <v>72</v>
      </c>
      <c r="C1605" s="1">
        <v>1240.79</v>
      </c>
      <c r="D1605" s="1">
        <v>838.68</v>
      </c>
    </row>
    <row r="1606" spans="1:4" x14ac:dyDescent="0.25">
      <c r="A1606" s="7">
        <v>43959.041666666664</v>
      </c>
      <c r="B1606" s="1" t="s">
        <v>68</v>
      </c>
      <c r="C1606" s="1">
        <v>845.01</v>
      </c>
      <c r="D1606" s="1">
        <v>415.29</v>
      </c>
    </row>
    <row r="1607" spans="1:4" x14ac:dyDescent="0.25">
      <c r="A1607" s="7">
        <v>43959.041666666664</v>
      </c>
      <c r="B1607" s="1" t="s">
        <v>77</v>
      </c>
      <c r="C1607" s="1">
        <v>1072.76</v>
      </c>
      <c r="D1607" s="1">
        <v>359.11</v>
      </c>
    </row>
    <row r="1608" spans="1:4" x14ac:dyDescent="0.25">
      <c r="A1608" s="7">
        <v>43959.083333333336</v>
      </c>
      <c r="B1608" s="1" t="s">
        <v>75</v>
      </c>
      <c r="C1608" s="1">
        <v>106.03</v>
      </c>
      <c r="D1608" s="1">
        <v>69.53</v>
      </c>
    </row>
    <row r="1609" spans="1:4" x14ac:dyDescent="0.25">
      <c r="A1609" s="7">
        <v>43959.083333333336</v>
      </c>
      <c r="B1609" s="1" t="s">
        <v>74</v>
      </c>
      <c r="C1609" s="1">
        <v>350.39</v>
      </c>
      <c r="D1609" s="1">
        <v>130.78</v>
      </c>
    </row>
    <row r="1610" spans="1:4" x14ac:dyDescent="0.25">
      <c r="A1610" s="7">
        <v>43959.083333333336</v>
      </c>
      <c r="B1610" s="1" t="s">
        <v>68</v>
      </c>
      <c r="C1610" s="1">
        <v>420.67</v>
      </c>
      <c r="D1610" s="1">
        <v>195.77</v>
      </c>
    </row>
    <row r="1611" spans="1:4" x14ac:dyDescent="0.25">
      <c r="A1611" s="7">
        <v>43959.083333333336</v>
      </c>
      <c r="B1611" s="1" t="s">
        <v>69</v>
      </c>
      <c r="C1611" s="1">
        <v>430.14</v>
      </c>
      <c r="D1611" s="1">
        <v>315.33</v>
      </c>
    </row>
    <row r="1612" spans="1:4" x14ac:dyDescent="0.25">
      <c r="A1612" s="7">
        <v>43959.083333333336</v>
      </c>
      <c r="B1612" s="1" t="s">
        <v>70</v>
      </c>
      <c r="C1612" s="1">
        <v>420.86</v>
      </c>
      <c r="D1612" s="1">
        <v>200.66</v>
      </c>
    </row>
    <row r="1613" spans="1:4" x14ac:dyDescent="0.25">
      <c r="A1613" s="7">
        <v>43959.083333333336</v>
      </c>
      <c r="B1613" s="1" t="s">
        <v>78</v>
      </c>
      <c r="C1613" s="1">
        <v>166.79</v>
      </c>
      <c r="D1613" s="1">
        <v>117.6</v>
      </c>
    </row>
    <row r="1614" spans="1:4" x14ac:dyDescent="0.25">
      <c r="A1614" s="7">
        <v>43959.083333333336</v>
      </c>
      <c r="B1614" s="1" t="s">
        <v>72</v>
      </c>
      <c r="C1614" s="1">
        <v>621.64</v>
      </c>
      <c r="D1614" s="1">
        <v>451.09</v>
      </c>
    </row>
    <row r="1615" spans="1:4" x14ac:dyDescent="0.25">
      <c r="A1615" s="7">
        <v>43959.083333333336</v>
      </c>
      <c r="B1615" s="1" t="s">
        <v>76</v>
      </c>
      <c r="C1615" s="1">
        <v>565.39</v>
      </c>
      <c r="D1615" s="1">
        <v>139.34</v>
      </c>
    </row>
    <row r="1616" spans="1:4" x14ac:dyDescent="0.25">
      <c r="A1616" s="7">
        <v>43959.083333333336</v>
      </c>
      <c r="B1616" s="1" t="s">
        <v>73</v>
      </c>
      <c r="C1616" s="1">
        <v>317.42</v>
      </c>
      <c r="D1616" s="1">
        <v>75.19</v>
      </c>
    </row>
    <row r="1617" spans="1:4" x14ac:dyDescent="0.25">
      <c r="A1617" s="7">
        <v>43959.083333333336</v>
      </c>
      <c r="B1617" s="1" t="s">
        <v>77</v>
      </c>
      <c r="C1617" s="1">
        <v>546.89</v>
      </c>
      <c r="D1617" s="1">
        <v>186.36</v>
      </c>
    </row>
    <row r="1618" spans="1:4" x14ac:dyDescent="0.25">
      <c r="A1618" s="7">
        <v>43959.083333333336</v>
      </c>
      <c r="B1618" s="1" t="s">
        <v>71</v>
      </c>
      <c r="C1618" s="1">
        <v>412.25</v>
      </c>
      <c r="D1618" s="1">
        <v>174.43</v>
      </c>
    </row>
    <row r="1619" spans="1:4" x14ac:dyDescent="0.25">
      <c r="A1619" s="7">
        <v>43959.125</v>
      </c>
      <c r="B1619" s="1" t="s">
        <v>75</v>
      </c>
      <c r="C1619" s="1">
        <v>51.51</v>
      </c>
      <c r="D1619" s="1">
        <v>26.47</v>
      </c>
    </row>
    <row r="1620" spans="1:4" x14ac:dyDescent="0.25">
      <c r="A1620" s="7">
        <v>43959.125</v>
      </c>
      <c r="B1620" s="1" t="s">
        <v>74</v>
      </c>
      <c r="C1620" s="1">
        <v>208.83</v>
      </c>
      <c r="D1620" s="1">
        <v>65.319999999999993</v>
      </c>
    </row>
    <row r="1621" spans="1:4" x14ac:dyDescent="0.25">
      <c r="A1621" s="7">
        <v>43959.125</v>
      </c>
      <c r="B1621" s="1" t="s">
        <v>76</v>
      </c>
      <c r="C1621" s="1">
        <v>310.39</v>
      </c>
      <c r="D1621" s="1">
        <v>75.599999999999994</v>
      </c>
    </row>
    <row r="1622" spans="1:4" x14ac:dyDescent="0.25">
      <c r="A1622" s="7">
        <v>43959.125</v>
      </c>
      <c r="B1622" s="1" t="s">
        <v>71</v>
      </c>
      <c r="C1622" s="1">
        <v>244.31</v>
      </c>
      <c r="D1622" s="1">
        <v>95.8</v>
      </c>
    </row>
    <row r="1623" spans="1:4" x14ac:dyDescent="0.25">
      <c r="A1623" s="7">
        <v>43959.125</v>
      </c>
      <c r="B1623" s="1" t="s">
        <v>68</v>
      </c>
      <c r="C1623" s="1">
        <v>233.21</v>
      </c>
      <c r="D1623" s="1">
        <v>100.73</v>
      </c>
    </row>
    <row r="1624" spans="1:4" x14ac:dyDescent="0.25">
      <c r="A1624" s="7">
        <v>43959.125</v>
      </c>
      <c r="B1624" s="1" t="s">
        <v>77</v>
      </c>
      <c r="C1624" s="1">
        <v>334.7</v>
      </c>
      <c r="D1624" s="1">
        <v>116.88</v>
      </c>
    </row>
    <row r="1625" spans="1:4" x14ac:dyDescent="0.25">
      <c r="A1625" s="7">
        <v>43959.125</v>
      </c>
      <c r="B1625" s="1" t="s">
        <v>70</v>
      </c>
      <c r="C1625" s="1">
        <v>243.93</v>
      </c>
      <c r="D1625" s="1">
        <v>115.02</v>
      </c>
    </row>
    <row r="1626" spans="1:4" x14ac:dyDescent="0.25">
      <c r="A1626" s="7">
        <v>43959.125</v>
      </c>
      <c r="B1626" s="1" t="s">
        <v>69</v>
      </c>
      <c r="C1626" s="1">
        <v>221.44</v>
      </c>
      <c r="D1626" s="1">
        <v>161.91999999999999</v>
      </c>
    </row>
    <row r="1627" spans="1:4" x14ac:dyDescent="0.25">
      <c r="A1627" s="7">
        <v>43959.125</v>
      </c>
      <c r="B1627" s="1" t="s">
        <v>78</v>
      </c>
      <c r="C1627" s="1">
        <v>84.64</v>
      </c>
      <c r="D1627" s="1">
        <v>55.8</v>
      </c>
    </row>
    <row r="1628" spans="1:4" x14ac:dyDescent="0.25">
      <c r="A1628" s="7">
        <v>43959.125</v>
      </c>
      <c r="B1628" s="1" t="s">
        <v>72</v>
      </c>
      <c r="C1628" s="1">
        <v>333.63</v>
      </c>
      <c r="D1628" s="1">
        <v>240.6</v>
      </c>
    </row>
    <row r="1629" spans="1:4" x14ac:dyDescent="0.25">
      <c r="A1629" s="7">
        <v>43959.125</v>
      </c>
      <c r="B1629" s="1" t="s">
        <v>73</v>
      </c>
      <c r="C1629" s="1">
        <v>167.31</v>
      </c>
      <c r="D1629" s="1">
        <v>37.729999999999997</v>
      </c>
    </row>
    <row r="1630" spans="1:4" x14ac:dyDescent="0.25">
      <c r="A1630" s="7">
        <v>43959.166666666664</v>
      </c>
      <c r="B1630" s="1" t="s">
        <v>74</v>
      </c>
      <c r="C1630" s="1">
        <v>174.38</v>
      </c>
      <c r="D1630" s="1">
        <v>46.62</v>
      </c>
    </row>
    <row r="1631" spans="1:4" x14ac:dyDescent="0.25">
      <c r="A1631" s="7">
        <v>43959.166666666664</v>
      </c>
      <c r="B1631" s="1" t="s">
        <v>75</v>
      </c>
      <c r="C1631" s="1">
        <v>33.299999999999997</v>
      </c>
      <c r="D1631" s="1">
        <v>12.48</v>
      </c>
    </row>
    <row r="1632" spans="1:4" x14ac:dyDescent="0.25">
      <c r="A1632" s="7">
        <v>43959.166666666664</v>
      </c>
      <c r="B1632" s="1" t="s">
        <v>76</v>
      </c>
      <c r="C1632" s="1">
        <v>233.36</v>
      </c>
      <c r="D1632" s="1">
        <v>56.79</v>
      </c>
    </row>
    <row r="1633" spans="1:4" x14ac:dyDescent="0.25">
      <c r="A1633" s="7">
        <v>43959.166666666664</v>
      </c>
      <c r="B1633" s="1" t="s">
        <v>73</v>
      </c>
      <c r="C1633" s="1">
        <v>147.91</v>
      </c>
      <c r="D1633" s="1">
        <v>22.85</v>
      </c>
    </row>
    <row r="1634" spans="1:4" x14ac:dyDescent="0.25">
      <c r="A1634" s="7">
        <v>43959.166666666664</v>
      </c>
      <c r="B1634" s="1" t="s">
        <v>72</v>
      </c>
      <c r="C1634" s="1">
        <v>251.81</v>
      </c>
      <c r="D1634" s="1">
        <v>140.04</v>
      </c>
    </row>
    <row r="1635" spans="1:4" x14ac:dyDescent="0.25">
      <c r="A1635" s="7">
        <v>43959.166666666664</v>
      </c>
      <c r="B1635" s="1" t="s">
        <v>68</v>
      </c>
      <c r="C1635" s="1">
        <v>203.67</v>
      </c>
      <c r="D1635" s="1">
        <v>69.36</v>
      </c>
    </row>
    <row r="1636" spans="1:4" x14ac:dyDescent="0.25">
      <c r="A1636" s="7">
        <v>43959.166666666664</v>
      </c>
      <c r="B1636" s="1" t="s">
        <v>77</v>
      </c>
      <c r="C1636" s="1">
        <v>251.2</v>
      </c>
      <c r="D1636" s="1">
        <v>80.86</v>
      </c>
    </row>
    <row r="1637" spans="1:4" x14ac:dyDescent="0.25">
      <c r="A1637" s="7">
        <v>43959.166666666664</v>
      </c>
      <c r="B1637" s="1" t="s">
        <v>71</v>
      </c>
      <c r="C1637" s="1">
        <v>231.67</v>
      </c>
      <c r="D1637" s="1">
        <v>62.56</v>
      </c>
    </row>
    <row r="1638" spans="1:4" x14ac:dyDescent="0.25">
      <c r="A1638" s="7">
        <v>43959.166666666664</v>
      </c>
      <c r="B1638" s="1" t="s">
        <v>70</v>
      </c>
      <c r="C1638" s="1">
        <v>198.43</v>
      </c>
      <c r="D1638" s="1">
        <v>79.900000000000006</v>
      </c>
    </row>
    <row r="1639" spans="1:4" x14ac:dyDescent="0.25">
      <c r="A1639" s="7">
        <v>43959.166666666664</v>
      </c>
      <c r="B1639" s="1" t="s">
        <v>78</v>
      </c>
      <c r="C1639" s="1">
        <v>63.33</v>
      </c>
      <c r="D1639" s="1">
        <v>31.65</v>
      </c>
    </row>
    <row r="1640" spans="1:4" x14ac:dyDescent="0.25">
      <c r="A1640" s="7">
        <v>43959.166666666664</v>
      </c>
      <c r="B1640" s="1" t="s">
        <v>69</v>
      </c>
      <c r="C1640" s="1">
        <v>166.25</v>
      </c>
      <c r="D1640" s="1">
        <v>109.36</v>
      </c>
    </row>
    <row r="1641" spans="1:4" x14ac:dyDescent="0.25">
      <c r="A1641" s="7">
        <v>43959.208333333336</v>
      </c>
      <c r="B1641" s="1" t="s">
        <v>75</v>
      </c>
      <c r="C1641" s="1">
        <v>55.44</v>
      </c>
      <c r="D1641" s="1">
        <v>21.31</v>
      </c>
    </row>
    <row r="1642" spans="1:4" x14ac:dyDescent="0.25">
      <c r="A1642" s="7">
        <v>43959.208333333336</v>
      </c>
      <c r="B1642" s="1" t="s">
        <v>74</v>
      </c>
      <c r="C1642" s="1">
        <v>584.32000000000005</v>
      </c>
      <c r="D1642" s="1">
        <v>92.17</v>
      </c>
    </row>
    <row r="1643" spans="1:4" x14ac:dyDescent="0.25">
      <c r="A1643" s="7">
        <v>43959.208333333336</v>
      </c>
      <c r="B1643" s="1" t="s">
        <v>76</v>
      </c>
      <c r="C1643" s="1">
        <v>714.29</v>
      </c>
      <c r="D1643" s="1">
        <v>101.13</v>
      </c>
    </row>
    <row r="1644" spans="1:4" x14ac:dyDescent="0.25">
      <c r="A1644" s="7">
        <v>43959.208333333336</v>
      </c>
      <c r="B1644" s="1" t="s">
        <v>73</v>
      </c>
      <c r="C1644" s="1">
        <v>429.07</v>
      </c>
      <c r="D1644" s="1">
        <v>50.78</v>
      </c>
    </row>
    <row r="1645" spans="1:4" x14ac:dyDescent="0.25">
      <c r="A1645" s="7">
        <v>43959.208333333336</v>
      </c>
      <c r="B1645" s="1" t="s">
        <v>68</v>
      </c>
      <c r="C1645" s="1">
        <v>723.25</v>
      </c>
      <c r="D1645" s="1">
        <v>139.15</v>
      </c>
    </row>
    <row r="1646" spans="1:4" x14ac:dyDescent="0.25">
      <c r="A1646" s="7">
        <v>43959.208333333336</v>
      </c>
      <c r="B1646" s="1" t="s">
        <v>77</v>
      </c>
      <c r="C1646" s="1">
        <v>575.63</v>
      </c>
      <c r="D1646" s="1">
        <v>131.08000000000001</v>
      </c>
    </row>
    <row r="1647" spans="1:4" x14ac:dyDescent="0.25">
      <c r="A1647" s="7">
        <v>43959.208333333336</v>
      </c>
      <c r="B1647" s="1" t="s">
        <v>71</v>
      </c>
      <c r="C1647" s="1">
        <v>940.35</v>
      </c>
      <c r="D1647" s="1">
        <v>154.99</v>
      </c>
    </row>
    <row r="1648" spans="1:4" x14ac:dyDescent="0.25">
      <c r="A1648" s="7">
        <v>43959.208333333336</v>
      </c>
      <c r="B1648" s="1" t="s">
        <v>70</v>
      </c>
      <c r="C1648" s="1">
        <v>474.35</v>
      </c>
      <c r="D1648" s="1">
        <v>143.57</v>
      </c>
    </row>
    <row r="1649" spans="1:4" x14ac:dyDescent="0.25">
      <c r="A1649" s="7">
        <v>43959.208333333336</v>
      </c>
      <c r="B1649" s="1" t="s">
        <v>78</v>
      </c>
      <c r="C1649" s="1">
        <v>127.75</v>
      </c>
      <c r="D1649" s="1">
        <v>45.36</v>
      </c>
    </row>
    <row r="1650" spans="1:4" x14ac:dyDescent="0.25">
      <c r="A1650" s="7">
        <v>43959.208333333336</v>
      </c>
      <c r="B1650" s="1" t="s">
        <v>72</v>
      </c>
      <c r="C1650" s="1">
        <v>466.48</v>
      </c>
      <c r="D1650" s="1">
        <v>173.39</v>
      </c>
    </row>
    <row r="1651" spans="1:4" x14ac:dyDescent="0.25">
      <c r="A1651" s="7">
        <v>43959.208333333336</v>
      </c>
      <c r="B1651" s="1" t="s">
        <v>69</v>
      </c>
      <c r="C1651" s="1">
        <v>305.89999999999998</v>
      </c>
      <c r="D1651" s="1">
        <v>135.96</v>
      </c>
    </row>
    <row r="1652" spans="1:4" x14ac:dyDescent="0.25">
      <c r="A1652" s="7">
        <v>43959.25</v>
      </c>
      <c r="B1652" s="1" t="s">
        <v>75</v>
      </c>
      <c r="C1652" s="1">
        <v>186.42</v>
      </c>
      <c r="D1652" s="1">
        <v>45.7</v>
      </c>
    </row>
    <row r="1653" spans="1:4" x14ac:dyDescent="0.25">
      <c r="A1653" s="7">
        <v>43959.25</v>
      </c>
      <c r="B1653" s="1" t="s">
        <v>74</v>
      </c>
      <c r="C1653" s="1">
        <v>2539.77</v>
      </c>
      <c r="D1653" s="1">
        <v>354.75</v>
      </c>
    </row>
    <row r="1654" spans="1:4" x14ac:dyDescent="0.25">
      <c r="A1654" s="7">
        <v>43959.25</v>
      </c>
      <c r="B1654" s="1" t="s">
        <v>78</v>
      </c>
      <c r="C1654" s="1">
        <v>331.27</v>
      </c>
      <c r="D1654" s="1">
        <v>108.63</v>
      </c>
    </row>
    <row r="1655" spans="1:4" x14ac:dyDescent="0.25">
      <c r="A1655" s="7">
        <v>43959.25</v>
      </c>
      <c r="B1655" s="1" t="s">
        <v>77</v>
      </c>
      <c r="C1655" s="1">
        <v>1983.06</v>
      </c>
      <c r="D1655" s="1">
        <v>387.11</v>
      </c>
    </row>
    <row r="1656" spans="1:4" x14ac:dyDescent="0.25">
      <c r="A1656" s="7">
        <v>43959.25</v>
      </c>
      <c r="B1656" s="1" t="s">
        <v>71</v>
      </c>
      <c r="C1656" s="1">
        <v>3573.28</v>
      </c>
      <c r="D1656" s="1">
        <v>592.74</v>
      </c>
    </row>
    <row r="1657" spans="1:4" x14ac:dyDescent="0.25">
      <c r="A1657" s="7">
        <v>43959.25</v>
      </c>
      <c r="B1657" s="1" t="s">
        <v>69</v>
      </c>
      <c r="C1657" s="1">
        <v>840.32</v>
      </c>
      <c r="D1657" s="1">
        <v>290.43</v>
      </c>
    </row>
    <row r="1658" spans="1:4" x14ac:dyDescent="0.25">
      <c r="A1658" s="7">
        <v>43959.25</v>
      </c>
      <c r="B1658" s="1" t="s">
        <v>76</v>
      </c>
      <c r="C1658" s="1">
        <v>3374.88</v>
      </c>
      <c r="D1658" s="1">
        <v>397.5</v>
      </c>
    </row>
    <row r="1659" spans="1:4" x14ac:dyDescent="0.25">
      <c r="A1659" s="7">
        <v>43959.25</v>
      </c>
      <c r="B1659" s="1" t="s">
        <v>72</v>
      </c>
      <c r="C1659" s="1">
        <v>1231.3699999999999</v>
      </c>
      <c r="D1659" s="1">
        <v>413.67</v>
      </c>
    </row>
    <row r="1660" spans="1:4" x14ac:dyDescent="0.25">
      <c r="A1660" s="7">
        <v>43959.25</v>
      </c>
      <c r="B1660" s="1" t="s">
        <v>73</v>
      </c>
      <c r="C1660" s="1">
        <v>1606.62</v>
      </c>
      <c r="D1660" s="1">
        <v>165.32</v>
      </c>
    </row>
    <row r="1661" spans="1:4" x14ac:dyDescent="0.25">
      <c r="A1661" s="7">
        <v>43959.25</v>
      </c>
      <c r="B1661" s="1" t="s">
        <v>68</v>
      </c>
      <c r="C1661" s="1">
        <v>2562.2600000000002</v>
      </c>
      <c r="D1661" s="1">
        <v>501.22</v>
      </c>
    </row>
    <row r="1662" spans="1:4" x14ac:dyDescent="0.25">
      <c r="A1662" s="7">
        <v>43959.25</v>
      </c>
      <c r="B1662" s="1" t="s">
        <v>70</v>
      </c>
      <c r="C1662" s="1">
        <v>1546.56</v>
      </c>
      <c r="D1662" s="1">
        <v>416.34</v>
      </c>
    </row>
    <row r="1663" spans="1:4" x14ac:dyDescent="0.25">
      <c r="A1663" s="7">
        <v>43959.291666666664</v>
      </c>
      <c r="B1663" s="1" t="s">
        <v>75</v>
      </c>
      <c r="C1663" s="1">
        <v>438.71</v>
      </c>
      <c r="D1663" s="1">
        <v>105.36</v>
      </c>
    </row>
    <row r="1664" spans="1:4" x14ac:dyDescent="0.25">
      <c r="A1664" s="7">
        <v>43959.291666666664</v>
      </c>
      <c r="B1664" s="1" t="s">
        <v>74</v>
      </c>
      <c r="C1664" s="1">
        <v>5341.09</v>
      </c>
      <c r="D1664" s="1">
        <v>795.54</v>
      </c>
    </row>
    <row r="1665" spans="1:4" x14ac:dyDescent="0.25">
      <c r="A1665" s="7">
        <v>43959.291666666664</v>
      </c>
      <c r="B1665" s="1" t="s">
        <v>78</v>
      </c>
      <c r="C1665" s="1">
        <v>761.68</v>
      </c>
      <c r="D1665" s="1">
        <v>259.08999999999997</v>
      </c>
    </row>
    <row r="1666" spans="1:4" x14ac:dyDescent="0.25">
      <c r="A1666" s="7">
        <v>43959.291666666664</v>
      </c>
      <c r="B1666" s="1" t="s">
        <v>68</v>
      </c>
      <c r="C1666" s="1">
        <v>4833.93</v>
      </c>
      <c r="D1666" s="1">
        <v>1032.0899999999999</v>
      </c>
    </row>
    <row r="1667" spans="1:4" x14ac:dyDescent="0.25">
      <c r="A1667" s="7">
        <v>43959.291666666664</v>
      </c>
      <c r="B1667" s="1" t="s">
        <v>69</v>
      </c>
      <c r="C1667" s="1">
        <v>1958.86</v>
      </c>
      <c r="D1667" s="1">
        <v>692.43</v>
      </c>
    </row>
    <row r="1668" spans="1:4" x14ac:dyDescent="0.25">
      <c r="A1668" s="7">
        <v>43959.291666666664</v>
      </c>
      <c r="B1668" s="1" t="s">
        <v>70</v>
      </c>
      <c r="C1668" s="1">
        <v>3363.28</v>
      </c>
      <c r="D1668" s="1">
        <v>935.36</v>
      </c>
    </row>
    <row r="1669" spans="1:4" x14ac:dyDescent="0.25">
      <c r="A1669" s="7">
        <v>43959.291666666664</v>
      </c>
      <c r="B1669" s="1" t="s">
        <v>76</v>
      </c>
      <c r="C1669" s="1">
        <v>7410.49</v>
      </c>
      <c r="D1669" s="1">
        <v>949.03</v>
      </c>
    </row>
    <row r="1670" spans="1:4" x14ac:dyDescent="0.25">
      <c r="A1670" s="7">
        <v>43959.291666666664</v>
      </c>
      <c r="B1670" s="1" t="s">
        <v>73</v>
      </c>
      <c r="C1670" s="1">
        <v>3609.85</v>
      </c>
      <c r="D1670" s="1">
        <v>404.28</v>
      </c>
    </row>
    <row r="1671" spans="1:4" x14ac:dyDescent="0.25">
      <c r="A1671" s="7">
        <v>43959.291666666664</v>
      </c>
      <c r="B1671" s="1" t="s">
        <v>72</v>
      </c>
      <c r="C1671" s="1">
        <v>2844.58</v>
      </c>
      <c r="D1671" s="1">
        <v>986.21</v>
      </c>
    </row>
    <row r="1672" spans="1:4" x14ac:dyDescent="0.25">
      <c r="A1672" s="7">
        <v>43959.291666666664</v>
      </c>
      <c r="B1672" s="1" t="s">
        <v>77</v>
      </c>
      <c r="C1672" s="1">
        <v>4640.83</v>
      </c>
      <c r="D1672" s="1">
        <v>960.27</v>
      </c>
    </row>
    <row r="1673" spans="1:4" x14ac:dyDescent="0.25">
      <c r="A1673" s="7">
        <v>43959.291666666664</v>
      </c>
      <c r="B1673" s="1" t="s">
        <v>71</v>
      </c>
      <c r="C1673" s="1">
        <v>6348.82</v>
      </c>
      <c r="D1673" s="1">
        <v>1226.0899999999999</v>
      </c>
    </row>
    <row r="1674" spans="1:4" x14ac:dyDescent="0.25">
      <c r="A1674" s="7">
        <v>43959.333333333336</v>
      </c>
      <c r="B1674" s="1" t="s">
        <v>75</v>
      </c>
      <c r="C1674" s="1">
        <v>732.81</v>
      </c>
      <c r="D1674" s="1">
        <v>213.5</v>
      </c>
    </row>
    <row r="1675" spans="1:4" x14ac:dyDescent="0.25">
      <c r="A1675" s="7">
        <v>43959.333333333336</v>
      </c>
      <c r="B1675" s="1" t="s">
        <v>74</v>
      </c>
      <c r="C1675" s="1">
        <v>7657.69</v>
      </c>
      <c r="D1675" s="1">
        <v>1320.97</v>
      </c>
    </row>
    <row r="1676" spans="1:4" x14ac:dyDescent="0.25">
      <c r="A1676" s="7">
        <v>43959.333333333336</v>
      </c>
      <c r="B1676" s="1" t="s">
        <v>72</v>
      </c>
      <c r="C1676" s="1">
        <v>5316.89</v>
      </c>
      <c r="D1676" s="1">
        <v>2056.98</v>
      </c>
    </row>
    <row r="1677" spans="1:4" x14ac:dyDescent="0.25">
      <c r="A1677" s="7">
        <v>43959.333333333336</v>
      </c>
      <c r="B1677" s="1" t="s">
        <v>73</v>
      </c>
      <c r="C1677" s="1">
        <v>5675.17</v>
      </c>
      <c r="D1677" s="1">
        <v>767.19</v>
      </c>
    </row>
    <row r="1678" spans="1:4" x14ac:dyDescent="0.25">
      <c r="A1678" s="7">
        <v>43959.333333333336</v>
      </c>
      <c r="B1678" s="1" t="s">
        <v>71</v>
      </c>
      <c r="C1678" s="1">
        <v>8716.86</v>
      </c>
      <c r="D1678" s="1">
        <v>2011.63</v>
      </c>
    </row>
    <row r="1679" spans="1:4" x14ac:dyDescent="0.25">
      <c r="A1679" s="7">
        <v>43959.333333333336</v>
      </c>
      <c r="B1679" s="1" t="s">
        <v>68</v>
      </c>
      <c r="C1679" s="1">
        <v>6919.1</v>
      </c>
      <c r="D1679" s="1">
        <v>1660.9</v>
      </c>
    </row>
    <row r="1680" spans="1:4" x14ac:dyDescent="0.25">
      <c r="A1680" s="7">
        <v>43959.333333333336</v>
      </c>
      <c r="B1680" s="1" t="s">
        <v>69</v>
      </c>
      <c r="C1680" s="1">
        <v>3608.73</v>
      </c>
      <c r="D1680" s="1">
        <v>1441.15</v>
      </c>
    </row>
    <row r="1681" spans="1:4" x14ac:dyDescent="0.25">
      <c r="A1681" s="7">
        <v>43959.333333333336</v>
      </c>
      <c r="B1681" s="1" t="s">
        <v>70</v>
      </c>
      <c r="C1681" s="1">
        <v>5515.19</v>
      </c>
      <c r="D1681" s="1">
        <v>1677.65</v>
      </c>
    </row>
    <row r="1682" spans="1:4" x14ac:dyDescent="0.25">
      <c r="A1682" s="7">
        <v>43959.333333333336</v>
      </c>
      <c r="B1682" s="1" t="s">
        <v>78</v>
      </c>
      <c r="C1682" s="1">
        <v>1248.8900000000001</v>
      </c>
      <c r="D1682" s="1">
        <v>474.6</v>
      </c>
    </row>
    <row r="1683" spans="1:4" x14ac:dyDescent="0.25">
      <c r="A1683" s="7">
        <v>43959.333333333336</v>
      </c>
      <c r="B1683" s="1" t="s">
        <v>76</v>
      </c>
      <c r="C1683" s="1">
        <v>11006.57</v>
      </c>
      <c r="D1683" s="1">
        <v>1574.44</v>
      </c>
    </row>
    <row r="1684" spans="1:4" x14ac:dyDescent="0.25">
      <c r="A1684" s="7">
        <v>43959.333333333336</v>
      </c>
      <c r="B1684" s="1" t="s">
        <v>77</v>
      </c>
      <c r="C1684" s="1">
        <v>7366.85</v>
      </c>
      <c r="D1684" s="1">
        <v>1653.72</v>
      </c>
    </row>
    <row r="1685" spans="1:4" x14ac:dyDescent="0.25">
      <c r="A1685" s="7">
        <v>43959.375</v>
      </c>
      <c r="B1685" s="1" t="s">
        <v>75</v>
      </c>
      <c r="C1685" s="1">
        <v>997.96</v>
      </c>
      <c r="D1685" s="1">
        <v>330.97</v>
      </c>
    </row>
    <row r="1686" spans="1:4" x14ac:dyDescent="0.25">
      <c r="A1686" s="7">
        <v>43959.375</v>
      </c>
      <c r="B1686" s="1" t="s">
        <v>74</v>
      </c>
      <c r="C1686" s="1">
        <v>9285.7800000000007</v>
      </c>
      <c r="D1686" s="1">
        <v>1872.54</v>
      </c>
    </row>
    <row r="1687" spans="1:4" x14ac:dyDescent="0.25">
      <c r="A1687" s="7">
        <v>43959.375</v>
      </c>
      <c r="B1687" s="1" t="s">
        <v>76</v>
      </c>
      <c r="C1687" s="1">
        <v>13833.75</v>
      </c>
      <c r="D1687" s="1">
        <v>2203.61</v>
      </c>
    </row>
    <row r="1688" spans="1:4" x14ac:dyDescent="0.25">
      <c r="A1688" s="7">
        <v>43959.375</v>
      </c>
      <c r="B1688" s="1" t="s">
        <v>73</v>
      </c>
      <c r="C1688" s="1">
        <v>7033.88</v>
      </c>
      <c r="D1688" s="1">
        <v>1095.82</v>
      </c>
    </row>
    <row r="1689" spans="1:4" x14ac:dyDescent="0.25">
      <c r="A1689" s="7">
        <v>43959.375</v>
      </c>
      <c r="B1689" s="1" t="s">
        <v>68</v>
      </c>
      <c r="C1689" s="1">
        <v>8502.69</v>
      </c>
      <c r="D1689" s="1">
        <v>2329.29</v>
      </c>
    </row>
    <row r="1690" spans="1:4" x14ac:dyDescent="0.25">
      <c r="A1690" s="7">
        <v>43959.375</v>
      </c>
      <c r="B1690" s="1" t="s">
        <v>77</v>
      </c>
      <c r="C1690" s="1">
        <v>10033.76</v>
      </c>
      <c r="D1690" s="1">
        <v>2491.88</v>
      </c>
    </row>
    <row r="1691" spans="1:4" x14ac:dyDescent="0.25">
      <c r="A1691" s="7">
        <v>43959.375</v>
      </c>
      <c r="B1691" s="1" t="s">
        <v>71</v>
      </c>
      <c r="C1691" s="1">
        <v>10465.07</v>
      </c>
      <c r="D1691" s="1">
        <v>2688.65</v>
      </c>
    </row>
    <row r="1692" spans="1:4" x14ac:dyDescent="0.25">
      <c r="A1692" s="7">
        <v>43959.375</v>
      </c>
      <c r="B1692" s="1" t="s">
        <v>70</v>
      </c>
      <c r="C1692" s="1">
        <v>7441.22</v>
      </c>
      <c r="D1692" s="1">
        <v>2477.9499999999998</v>
      </c>
    </row>
    <row r="1693" spans="1:4" x14ac:dyDescent="0.25">
      <c r="A1693" s="7">
        <v>43959.375</v>
      </c>
      <c r="B1693" s="1" t="s">
        <v>78</v>
      </c>
      <c r="C1693" s="1">
        <v>1930.67</v>
      </c>
      <c r="D1693" s="1">
        <v>855.83</v>
      </c>
    </row>
    <row r="1694" spans="1:4" x14ac:dyDescent="0.25">
      <c r="A1694" s="7">
        <v>43959.375</v>
      </c>
      <c r="B1694" s="1" t="s">
        <v>72</v>
      </c>
      <c r="C1694" s="1">
        <v>7912.97</v>
      </c>
      <c r="D1694" s="1">
        <v>3500.53</v>
      </c>
    </row>
    <row r="1695" spans="1:4" x14ac:dyDescent="0.25">
      <c r="A1695" s="7">
        <v>43959.375</v>
      </c>
      <c r="B1695" s="1" t="s">
        <v>69</v>
      </c>
      <c r="C1695" s="1">
        <v>5455.71</v>
      </c>
      <c r="D1695" s="1">
        <v>2655.97</v>
      </c>
    </row>
    <row r="1696" spans="1:4" x14ac:dyDescent="0.25">
      <c r="A1696" s="7">
        <v>43959.416666666664</v>
      </c>
      <c r="B1696" s="1" t="s">
        <v>75</v>
      </c>
      <c r="C1696" s="1">
        <v>1171.1099999999999</v>
      </c>
      <c r="D1696" s="1">
        <v>442.87</v>
      </c>
    </row>
    <row r="1697" spans="1:4" x14ac:dyDescent="0.25">
      <c r="A1697" s="7">
        <v>43959.416666666664</v>
      </c>
      <c r="B1697" s="1" t="s">
        <v>74</v>
      </c>
      <c r="C1697" s="1">
        <v>9859.14</v>
      </c>
      <c r="D1697" s="1">
        <v>2200.4899999999998</v>
      </c>
    </row>
    <row r="1698" spans="1:4" x14ac:dyDescent="0.25">
      <c r="A1698" s="7">
        <v>43959.416666666664</v>
      </c>
      <c r="B1698" s="1" t="s">
        <v>76</v>
      </c>
      <c r="C1698" s="1">
        <v>15162.77</v>
      </c>
      <c r="D1698" s="1">
        <v>2644.24</v>
      </c>
    </row>
    <row r="1699" spans="1:4" x14ac:dyDescent="0.25">
      <c r="A1699" s="7">
        <v>43959.416666666664</v>
      </c>
      <c r="B1699" s="1" t="s">
        <v>68</v>
      </c>
      <c r="C1699" s="1">
        <v>9020.67</v>
      </c>
      <c r="D1699" s="1">
        <v>2898.97</v>
      </c>
    </row>
    <row r="1700" spans="1:4" x14ac:dyDescent="0.25">
      <c r="A1700" s="7">
        <v>43959.416666666664</v>
      </c>
      <c r="B1700" s="1" t="s">
        <v>77</v>
      </c>
      <c r="C1700" s="1">
        <v>11392.85</v>
      </c>
      <c r="D1700" s="1">
        <v>3036.31</v>
      </c>
    </row>
    <row r="1701" spans="1:4" x14ac:dyDescent="0.25">
      <c r="A1701" s="7">
        <v>43959.416666666664</v>
      </c>
      <c r="B1701" s="1" t="s">
        <v>71</v>
      </c>
      <c r="C1701" s="1">
        <v>11045.41</v>
      </c>
      <c r="D1701" s="1">
        <v>3133.17</v>
      </c>
    </row>
    <row r="1702" spans="1:4" x14ac:dyDescent="0.25">
      <c r="A1702" s="7">
        <v>43959.416666666664</v>
      </c>
      <c r="B1702" s="1" t="s">
        <v>69</v>
      </c>
      <c r="C1702" s="1">
        <v>6857.12</v>
      </c>
      <c r="D1702" s="1">
        <v>3949.95</v>
      </c>
    </row>
    <row r="1703" spans="1:4" x14ac:dyDescent="0.25">
      <c r="A1703" s="7">
        <v>43959.416666666664</v>
      </c>
      <c r="B1703" s="1" t="s">
        <v>70</v>
      </c>
      <c r="C1703" s="1">
        <v>8379.94</v>
      </c>
      <c r="D1703" s="1">
        <v>2988.13</v>
      </c>
    </row>
    <row r="1704" spans="1:4" x14ac:dyDescent="0.25">
      <c r="A1704" s="7">
        <v>43959.416666666664</v>
      </c>
      <c r="B1704" s="1" t="s">
        <v>78</v>
      </c>
      <c r="C1704" s="1">
        <v>2497.06</v>
      </c>
      <c r="D1704" s="1">
        <v>1234.8399999999999</v>
      </c>
    </row>
    <row r="1705" spans="1:4" x14ac:dyDescent="0.25">
      <c r="A1705" s="7">
        <v>43959.416666666664</v>
      </c>
      <c r="B1705" s="1" t="s">
        <v>73</v>
      </c>
      <c r="C1705" s="1">
        <v>7453.16</v>
      </c>
      <c r="D1705" s="1">
        <v>1240.9000000000001</v>
      </c>
    </row>
    <row r="1706" spans="1:4" x14ac:dyDescent="0.25">
      <c r="A1706" s="7">
        <v>43959.416666666664</v>
      </c>
      <c r="B1706" s="1" t="s">
        <v>72</v>
      </c>
      <c r="C1706" s="1">
        <v>9934.4500000000007</v>
      </c>
      <c r="D1706" s="1">
        <v>4924.8999999999996</v>
      </c>
    </row>
    <row r="1707" spans="1:4" x14ac:dyDescent="0.25">
      <c r="A1707" s="7">
        <v>43959.458333333336</v>
      </c>
      <c r="B1707" s="1" t="s">
        <v>75</v>
      </c>
      <c r="C1707" s="1">
        <v>1198.48</v>
      </c>
      <c r="D1707" s="1">
        <v>480.06</v>
      </c>
    </row>
    <row r="1708" spans="1:4" x14ac:dyDescent="0.25">
      <c r="A1708" s="7">
        <v>43959.458333333336</v>
      </c>
      <c r="B1708" s="1" t="s">
        <v>74</v>
      </c>
      <c r="C1708" s="1">
        <v>9446.15</v>
      </c>
      <c r="D1708" s="1">
        <v>2215.81</v>
      </c>
    </row>
    <row r="1709" spans="1:4" x14ac:dyDescent="0.25">
      <c r="A1709" s="7">
        <v>43959.458333333336</v>
      </c>
      <c r="B1709" s="1" t="s">
        <v>76</v>
      </c>
      <c r="C1709" s="1">
        <v>14410.7</v>
      </c>
      <c r="D1709" s="1">
        <v>2694.77</v>
      </c>
    </row>
    <row r="1710" spans="1:4" x14ac:dyDescent="0.25">
      <c r="A1710" s="7">
        <v>43959.458333333336</v>
      </c>
      <c r="B1710" s="1" t="s">
        <v>77</v>
      </c>
      <c r="C1710" s="1">
        <v>11196.37</v>
      </c>
      <c r="D1710" s="1">
        <v>3064.36</v>
      </c>
    </row>
    <row r="1711" spans="1:4" x14ac:dyDescent="0.25">
      <c r="A1711" s="7">
        <v>43959.458333333336</v>
      </c>
      <c r="B1711" s="1" t="s">
        <v>69</v>
      </c>
      <c r="C1711" s="1">
        <v>7400.58</v>
      </c>
      <c r="D1711" s="1">
        <v>4636.8599999999997</v>
      </c>
    </row>
    <row r="1712" spans="1:4" x14ac:dyDescent="0.25">
      <c r="A1712" s="7">
        <v>43959.458333333336</v>
      </c>
      <c r="B1712" s="1" t="s">
        <v>70</v>
      </c>
      <c r="C1712" s="1">
        <v>8210.0300000000007</v>
      </c>
      <c r="D1712" s="1">
        <v>3090.19</v>
      </c>
    </row>
    <row r="1713" spans="1:4" x14ac:dyDescent="0.25">
      <c r="A1713" s="7">
        <v>43959.458333333336</v>
      </c>
      <c r="B1713" s="1" t="s">
        <v>78</v>
      </c>
      <c r="C1713" s="1">
        <v>2608.56</v>
      </c>
      <c r="D1713" s="1">
        <v>1420.91</v>
      </c>
    </row>
    <row r="1714" spans="1:4" x14ac:dyDescent="0.25">
      <c r="A1714" s="7">
        <v>43959.458333333336</v>
      </c>
      <c r="B1714" s="1" t="s">
        <v>72</v>
      </c>
      <c r="C1714" s="1">
        <v>10397.469999999999</v>
      </c>
      <c r="D1714" s="1">
        <v>5679.94</v>
      </c>
    </row>
    <row r="1715" spans="1:4" x14ac:dyDescent="0.25">
      <c r="A1715" s="7">
        <v>43959.458333333336</v>
      </c>
      <c r="B1715" s="1" t="s">
        <v>73</v>
      </c>
      <c r="C1715" s="1">
        <v>7056.26</v>
      </c>
      <c r="D1715" s="1">
        <v>1232.4100000000001</v>
      </c>
    </row>
    <row r="1716" spans="1:4" x14ac:dyDescent="0.25">
      <c r="A1716" s="7">
        <v>43959.458333333336</v>
      </c>
      <c r="B1716" s="1" t="s">
        <v>71</v>
      </c>
      <c r="C1716" s="1">
        <v>10446.98</v>
      </c>
      <c r="D1716" s="1">
        <v>3128.63</v>
      </c>
    </row>
    <row r="1717" spans="1:4" x14ac:dyDescent="0.25">
      <c r="A1717" s="7">
        <v>43959.458333333336</v>
      </c>
      <c r="B1717" s="1" t="s">
        <v>68</v>
      </c>
      <c r="C1717" s="1">
        <v>8581.9500000000007</v>
      </c>
      <c r="D1717" s="1">
        <v>3035.55</v>
      </c>
    </row>
    <row r="1718" spans="1:4" x14ac:dyDescent="0.25">
      <c r="A1718" s="7">
        <v>43959.5</v>
      </c>
      <c r="B1718" s="1" t="s">
        <v>75</v>
      </c>
      <c r="C1718" s="1">
        <v>1147.58</v>
      </c>
      <c r="D1718" s="1">
        <v>486.91</v>
      </c>
    </row>
    <row r="1719" spans="1:4" x14ac:dyDescent="0.25">
      <c r="A1719" s="7">
        <v>43959.5</v>
      </c>
      <c r="B1719" s="1" t="s">
        <v>74</v>
      </c>
      <c r="C1719" s="1">
        <v>8501.34</v>
      </c>
      <c r="D1719" s="1">
        <v>2050.16</v>
      </c>
    </row>
    <row r="1720" spans="1:4" x14ac:dyDescent="0.25">
      <c r="A1720" s="7">
        <v>43959.5</v>
      </c>
      <c r="B1720" s="1" t="s">
        <v>78</v>
      </c>
      <c r="C1720" s="1">
        <v>2523.3000000000002</v>
      </c>
      <c r="D1720" s="1">
        <v>1369.03</v>
      </c>
    </row>
    <row r="1721" spans="1:4" x14ac:dyDescent="0.25">
      <c r="A1721" s="7">
        <v>43959.5</v>
      </c>
      <c r="B1721" s="1" t="s">
        <v>72</v>
      </c>
      <c r="C1721" s="1">
        <v>9845.35</v>
      </c>
      <c r="D1721" s="1">
        <v>5512.89</v>
      </c>
    </row>
    <row r="1722" spans="1:4" x14ac:dyDescent="0.25">
      <c r="A1722" s="7">
        <v>43959.5</v>
      </c>
      <c r="B1722" s="1" t="s">
        <v>73</v>
      </c>
      <c r="C1722" s="1">
        <v>6353.48</v>
      </c>
      <c r="D1722" s="1">
        <v>1114.82</v>
      </c>
    </row>
    <row r="1723" spans="1:4" x14ac:dyDescent="0.25">
      <c r="A1723" s="7">
        <v>43959.5</v>
      </c>
      <c r="B1723" s="1" t="s">
        <v>71</v>
      </c>
      <c r="C1723" s="1">
        <v>9403.84</v>
      </c>
      <c r="D1723" s="1">
        <v>2783.41</v>
      </c>
    </row>
    <row r="1724" spans="1:4" x14ac:dyDescent="0.25">
      <c r="A1724" s="7">
        <v>43959.5</v>
      </c>
      <c r="B1724" s="1" t="s">
        <v>69</v>
      </c>
      <c r="C1724" s="1">
        <v>6965.95</v>
      </c>
      <c r="D1724" s="1">
        <v>4565.13</v>
      </c>
    </row>
    <row r="1725" spans="1:4" x14ac:dyDescent="0.25">
      <c r="A1725" s="7">
        <v>43959.5</v>
      </c>
      <c r="B1725" s="1" t="s">
        <v>76</v>
      </c>
      <c r="C1725" s="1">
        <v>13000.82</v>
      </c>
      <c r="D1725" s="1">
        <v>2505.62</v>
      </c>
    </row>
    <row r="1726" spans="1:4" x14ac:dyDescent="0.25">
      <c r="A1726" s="7">
        <v>43959.5</v>
      </c>
      <c r="B1726" s="1" t="s">
        <v>68</v>
      </c>
      <c r="C1726" s="1">
        <v>7705.35</v>
      </c>
      <c r="D1726" s="1">
        <v>2692.08</v>
      </c>
    </row>
    <row r="1727" spans="1:4" x14ac:dyDescent="0.25">
      <c r="A1727" s="7">
        <v>43959.5</v>
      </c>
      <c r="B1727" s="1" t="s">
        <v>77</v>
      </c>
      <c r="C1727" s="1">
        <v>10143.98</v>
      </c>
      <c r="D1727" s="1">
        <v>2868.55</v>
      </c>
    </row>
    <row r="1728" spans="1:4" x14ac:dyDescent="0.25">
      <c r="A1728" s="7">
        <v>43959.5</v>
      </c>
      <c r="B1728" s="1" t="s">
        <v>70</v>
      </c>
      <c r="C1728" s="1">
        <v>7387.21</v>
      </c>
      <c r="D1728" s="1">
        <v>2812.36</v>
      </c>
    </row>
    <row r="1729" spans="1:4" x14ac:dyDescent="0.25">
      <c r="A1729" s="7">
        <v>43959.541666666664</v>
      </c>
      <c r="B1729" s="1" t="s">
        <v>75</v>
      </c>
      <c r="C1729" s="1">
        <v>995.91</v>
      </c>
      <c r="D1729" s="1">
        <v>406.85</v>
      </c>
    </row>
    <row r="1730" spans="1:4" x14ac:dyDescent="0.25">
      <c r="A1730" s="7">
        <v>43959.541666666664</v>
      </c>
      <c r="B1730" s="1" t="s">
        <v>74</v>
      </c>
      <c r="C1730" s="1">
        <v>7360.7</v>
      </c>
      <c r="D1730" s="1">
        <v>1720.08</v>
      </c>
    </row>
    <row r="1731" spans="1:4" x14ac:dyDescent="0.25">
      <c r="A1731" s="7">
        <v>43959.541666666664</v>
      </c>
      <c r="B1731" s="1" t="s">
        <v>78</v>
      </c>
      <c r="C1731" s="1">
        <v>2167.67</v>
      </c>
      <c r="D1731" s="1">
        <v>1136.8699999999999</v>
      </c>
    </row>
    <row r="1732" spans="1:4" x14ac:dyDescent="0.25">
      <c r="A1732" s="7">
        <v>43959.541666666664</v>
      </c>
      <c r="B1732" s="1" t="s">
        <v>73</v>
      </c>
      <c r="C1732" s="1">
        <v>5206.12</v>
      </c>
      <c r="D1732" s="1">
        <v>862.49</v>
      </c>
    </row>
    <row r="1733" spans="1:4" x14ac:dyDescent="0.25">
      <c r="A1733" s="7">
        <v>43959.541666666664</v>
      </c>
      <c r="B1733" s="1" t="s">
        <v>72</v>
      </c>
      <c r="C1733" s="1">
        <v>8254.41</v>
      </c>
      <c r="D1733" s="1">
        <v>4620.16</v>
      </c>
    </row>
    <row r="1734" spans="1:4" x14ac:dyDescent="0.25">
      <c r="A1734" s="7">
        <v>43959.541666666664</v>
      </c>
      <c r="B1734" s="1" t="s">
        <v>68</v>
      </c>
      <c r="C1734" s="1">
        <v>6452.35</v>
      </c>
      <c r="D1734" s="1">
        <v>2161.1999999999998</v>
      </c>
    </row>
    <row r="1735" spans="1:4" x14ac:dyDescent="0.25">
      <c r="A1735" s="7">
        <v>43959.541666666664</v>
      </c>
      <c r="B1735" s="1" t="s">
        <v>71</v>
      </c>
      <c r="C1735" s="1">
        <v>7886.37</v>
      </c>
      <c r="D1735" s="1">
        <v>2219.52</v>
      </c>
    </row>
    <row r="1736" spans="1:4" x14ac:dyDescent="0.25">
      <c r="A1736" s="7">
        <v>43959.541666666664</v>
      </c>
      <c r="B1736" s="1" t="s">
        <v>70</v>
      </c>
      <c r="C1736" s="1">
        <v>6000.07</v>
      </c>
      <c r="D1736" s="1">
        <v>2231.88</v>
      </c>
    </row>
    <row r="1737" spans="1:4" x14ac:dyDescent="0.25">
      <c r="A1737" s="7">
        <v>43959.541666666664</v>
      </c>
      <c r="B1737" s="1" t="s">
        <v>76</v>
      </c>
      <c r="C1737" s="1">
        <v>11610.3</v>
      </c>
      <c r="D1737" s="1">
        <v>2202.42</v>
      </c>
    </row>
    <row r="1738" spans="1:4" x14ac:dyDescent="0.25">
      <c r="A1738" s="7">
        <v>43959.541666666664</v>
      </c>
      <c r="B1738" s="1" t="s">
        <v>77</v>
      </c>
      <c r="C1738" s="1">
        <v>9488.49</v>
      </c>
      <c r="D1738" s="1">
        <v>2655.12</v>
      </c>
    </row>
    <row r="1739" spans="1:4" x14ac:dyDescent="0.25">
      <c r="A1739" s="7">
        <v>43959.541666666664</v>
      </c>
      <c r="B1739" s="1" t="s">
        <v>69</v>
      </c>
      <c r="C1739" s="1">
        <v>5938.54</v>
      </c>
      <c r="D1739" s="1">
        <v>3820.7</v>
      </c>
    </row>
    <row r="1740" spans="1:4" x14ac:dyDescent="0.25">
      <c r="A1740" s="7">
        <v>43959.583333333336</v>
      </c>
      <c r="B1740" s="1" t="s">
        <v>75</v>
      </c>
      <c r="C1740" s="1">
        <v>980.73</v>
      </c>
      <c r="D1740" s="1">
        <v>387.89</v>
      </c>
    </row>
    <row r="1741" spans="1:4" x14ac:dyDescent="0.25">
      <c r="A1741" s="7">
        <v>43959.583333333336</v>
      </c>
      <c r="B1741" s="1" t="s">
        <v>74</v>
      </c>
      <c r="C1741" s="1">
        <v>7401.6</v>
      </c>
      <c r="D1741" s="1">
        <v>1644.91</v>
      </c>
    </row>
    <row r="1742" spans="1:4" x14ac:dyDescent="0.25">
      <c r="A1742" s="7">
        <v>43959.583333333336</v>
      </c>
      <c r="B1742" s="1" t="s">
        <v>76</v>
      </c>
      <c r="C1742" s="1">
        <v>11054.35</v>
      </c>
      <c r="D1742" s="1">
        <v>2030.95</v>
      </c>
    </row>
    <row r="1743" spans="1:4" x14ac:dyDescent="0.25">
      <c r="A1743" s="7">
        <v>43959.583333333336</v>
      </c>
      <c r="B1743" s="1" t="s">
        <v>68</v>
      </c>
      <c r="C1743" s="1">
        <v>7051.89</v>
      </c>
      <c r="D1743" s="1">
        <v>2114.21</v>
      </c>
    </row>
    <row r="1744" spans="1:4" x14ac:dyDescent="0.25">
      <c r="A1744" s="7">
        <v>43959.583333333336</v>
      </c>
      <c r="B1744" s="1" t="s">
        <v>77</v>
      </c>
      <c r="C1744" s="1">
        <v>8875.18</v>
      </c>
      <c r="D1744" s="1">
        <v>2434.77</v>
      </c>
    </row>
    <row r="1745" spans="1:4" x14ac:dyDescent="0.25">
      <c r="A1745" s="7">
        <v>43959.583333333336</v>
      </c>
      <c r="B1745" s="1" t="s">
        <v>71</v>
      </c>
      <c r="C1745" s="1">
        <v>8415.7000000000007</v>
      </c>
      <c r="D1745" s="1">
        <v>2194.0700000000002</v>
      </c>
    </row>
    <row r="1746" spans="1:4" x14ac:dyDescent="0.25">
      <c r="A1746" s="7">
        <v>43959.583333333336</v>
      </c>
      <c r="B1746" s="1" t="s">
        <v>69</v>
      </c>
      <c r="C1746" s="1">
        <v>5995.55</v>
      </c>
      <c r="D1746" s="1">
        <v>3585.03</v>
      </c>
    </row>
    <row r="1747" spans="1:4" x14ac:dyDescent="0.25">
      <c r="A1747" s="7">
        <v>43959.583333333336</v>
      </c>
      <c r="B1747" s="1" t="s">
        <v>70</v>
      </c>
      <c r="C1747" s="1">
        <v>6152.42</v>
      </c>
      <c r="D1747" s="1">
        <v>2159.21</v>
      </c>
    </row>
    <row r="1748" spans="1:4" x14ac:dyDescent="0.25">
      <c r="A1748" s="7">
        <v>43959.583333333336</v>
      </c>
      <c r="B1748" s="1" t="s">
        <v>78</v>
      </c>
      <c r="C1748" s="1">
        <v>2156.19</v>
      </c>
      <c r="D1748" s="1">
        <v>1060.1300000000001</v>
      </c>
    </row>
    <row r="1749" spans="1:4" x14ac:dyDescent="0.25">
      <c r="A1749" s="7">
        <v>43959.583333333336</v>
      </c>
      <c r="B1749" s="1" t="s">
        <v>72</v>
      </c>
      <c r="C1749" s="1">
        <v>8336.61</v>
      </c>
      <c r="D1749" s="1">
        <v>4357.53</v>
      </c>
    </row>
    <row r="1750" spans="1:4" x14ac:dyDescent="0.25">
      <c r="A1750" s="7">
        <v>43959.583333333336</v>
      </c>
      <c r="B1750" s="1" t="s">
        <v>73</v>
      </c>
      <c r="C1750" s="1">
        <v>5156.33</v>
      </c>
      <c r="D1750" s="1">
        <v>764.68</v>
      </c>
    </row>
    <row r="1751" spans="1:4" x14ac:dyDescent="0.25">
      <c r="A1751" s="7">
        <v>43959.625</v>
      </c>
      <c r="B1751" s="1" t="s">
        <v>75</v>
      </c>
      <c r="C1751" s="1">
        <v>1006.6</v>
      </c>
      <c r="D1751" s="1">
        <v>412.18</v>
      </c>
    </row>
    <row r="1752" spans="1:4" x14ac:dyDescent="0.25">
      <c r="A1752" s="7">
        <v>43959.625</v>
      </c>
      <c r="B1752" s="1" t="s">
        <v>74</v>
      </c>
      <c r="C1752" s="1">
        <v>7700.29</v>
      </c>
      <c r="D1752" s="1">
        <v>1714.77</v>
      </c>
    </row>
    <row r="1753" spans="1:4" x14ac:dyDescent="0.25">
      <c r="A1753" s="7">
        <v>43959.625</v>
      </c>
      <c r="B1753" s="1" t="s">
        <v>76</v>
      </c>
      <c r="C1753" s="1">
        <v>11286.3</v>
      </c>
      <c r="D1753" s="1">
        <v>2049.34</v>
      </c>
    </row>
    <row r="1754" spans="1:4" x14ac:dyDescent="0.25">
      <c r="A1754" s="7">
        <v>43959.625</v>
      </c>
      <c r="B1754" s="1" t="s">
        <v>71</v>
      </c>
      <c r="C1754" s="1">
        <v>9322.74</v>
      </c>
      <c r="D1754" s="1">
        <v>2379.4699999999998</v>
      </c>
    </row>
    <row r="1755" spans="1:4" x14ac:dyDescent="0.25">
      <c r="A1755" s="7">
        <v>43959.625</v>
      </c>
      <c r="B1755" s="1" t="s">
        <v>68</v>
      </c>
      <c r="C1755" s="1">
        <v>7675.65</v>
      </c>
      <c r="D1755" s="1">
        <v>2248.0700000000002</v>
      </c>
    </row>
    <row r="1756" spans="1:4" x14ac:dyDescent="0.25">
      <c r="A1756" s="7">
        <v>43959.625</v>
      </c>
      <c r="B1756" s="1" t="s">
        <v>77</v>
      </c>
      <c r="C1756" s="1">
        <v>8953.64</v>
      </c>
      <c r="D1756" s="1">
        <v>2418.37</v>
      </c>
    </row>
    <row r="1757" spans="1:4" x14ac:dyDescent="0.25">
      <c r="A1757" s="7">
        <v>43959.625</v>
      </c>
      <c r="B1757" s="1" t="s">
        <v>70</v>
      </c>
      <c r="C1757" s="1">
        <v>6654.7</v>
      </c>
      <c r="D1757" s="1">
        <v>2424.89</v>
      </c>
    </row>
    <row r="1758" spans="1:4" x14ac:dyDescent="0.25">
      <c r="A1758" s="7">
        <v>43959.625</v>
      </c>
      <c r="B1758" s="1" t="s">
        <v>69</v>
      </c>
      <c r="C1758" s="1">
        <v>6078.05</v>
      </c>
      <c r="D1758" s="1">
        <v>3618.76</v>
      </c>
    </row>
    <row r="1759" spans="1:4" x14ac:dyDescent="0.25">
      <c r="A1759" s="7">
        <v>43959.625</v>
      </c>
      <c r="B1759" s="1" t="s">
        <v>78</v>
      </c>
      <c r="C1759" s="1">
        <v>2179.3200000000002</v>
      </c>
      <c r="D1759" s="1">
        <v>1075.01</v>
      </c>
    </row>
    <row r="1760" spans="1:4" x14ac:dyDescent="0.25">
      <c r="A1760" s="7">
        <v>43959.625</v>
      </c>
      <c r="B1760" s="1" t="s">
        <v>72</v>
      </c>
      <c r="C1760" s="1">
        <v>8491.49</v>
      </c>
      <c r="D1760" s="1">
        <v>4399.63</v>
      </c>
    </row>
    <row r="1761" spans="1:4" x14ac:dyDescent="0.25">
      <c r="A1761" s="7">
        <v>43959.625</v>
      </c>
      <c r="B1761" s="1" t="s">
        <v>73</v>
      </c>
      <c r="C1761" s="1">
        <v>5770.4</v>
      </c>
      <c r="D1761" s="1">
        <v>846.15</v>
      </c>
    </row>
    <row r="1762" spans="1:4" x14ac:dyDescent="0.25">
      <c r="A1762" s="7">
        <v>43959.666666666664</v>
      </c>
      <c r="B1762" s="1" t="s">
        <v>75</v>
      </c>
      <c r="C1762" s="1">
        <v>1041.31</v>
      </c>
      <c r="D1762" s="1">
        <v>416.13</v>
      </c>
    </row>
    <row r="1763" spans="1:4" x14ac:dyDescent="0.25">
      <c r="A1763" s="7">
        <v>43959.666666666664</v>
      </c>
      <c r="B1763" s="1" t="s">
        <v>74</v>
      </c>
      <c r="C1763" s="1">
        <v>8030.6</v>
      </c>
      <c r="D1763" s="1">
        <v>1843.53</v>
      </c>
    </row>
    <row r="1764" spans="1:4" x14ac:dyDescent="0.25">
      <c r="A1764" s="7">
        <v>43959.666666666664</v>
      </c>
      <c r="B1764" s="1" t="s">
        <v>76</v>
      </c>
      <c r="C1764" s="1">
        <v>11947.83</v>
      </c>
      <c r="D1764" s="1">
        <v>2261.63</v>
      </c>
    </row>
    <row r="1765" spans="1:4" x14ac:dyDescent="0.25">
      <c r="A1765" s="7">
        <v>43959.666666666664</v>
      </c>
      <c r="B1765" s="1" t="s">
        <v>73</v>
      </c>
      <c r="C1765" s="1">
        <v>6069.2</v>
      </c>
      <c r="D1765" s="1">
        <v>939.14</v>
      </c>
    </row>
    <row r="1766" spans="1:4" x14ac:dyDescent="0.25">
      <c r="A1766" s="7">
        <v>43959.666666666664</v>
      </c>
      <c r="B1766" s="1" t="s">
        <v>72</v>
      </c>
      <c r="C1766" s="1">
        <v>8808.24</v>
      </c>
      <c r="D1766" s="1">
        <v>4718.45</v>
      </c>
    </row>
    <row r="1767" spans="1:4" x14ac:dyDescent="0.25">
      <c r="A1767" s="7">
        <v>43959.666666666664</v>
      </c>
      <c r="B1767" s="1" t="s">
        <v>68</v>
      </c>
      <c r="C1767" s="1">
        <v>7728.33</v>
      </c>
      <c r="D1767" s="1">
        <v>2364.98</v>
      </c>
    </row>
    <row r="1768" spans="1:4" x14ac:dyDescent="0.25">
      <c r="A1768" s="7">
        <v>43959.666666666664</v>
      </c>
      <c r="B1768" s="1" t="s">
        <v>77</v>
      </c>
      <c r="C1768" s="1">
        <v>9595.1299999999992</v>
      </c>
      <c r="D1768" s="1">
        <v>2661.67</v>
      </c>
    </row>
    <row r="1769" spans="1:4" x14ac:dyDescent="0.25">
      <c r="A1769" s="7">
        <v>43959.666666666664</v>
      </c>
      <c r="B1769" s="1" t="s">
        <v>70</v>
      </c>
      <c r="C1769" s="1">
        <v>7067.67</v>
      </c>
      <c r="D1769" s="1">
        <v>2690.42</v>
      </c>
    </row>
    <row r="1770" spans="1:4" x14ac:dyDescent="0.25">
      <c r="A1770" s="7">
        <v>43959.666666666664</v>
      </c>
      <c r="B1770" s="1" t="s">
        <v>69</v>
      </c>
      <c r="C1770" s="1">
        <v>6250.8</v>
      </c>
      <c r="D1770" s="1">
        <v>3799.27</v>
      </c>
    </row>
    <row r="1771" spans="1:4" x14ac:dyDescent="0.25">
      <c r="A1771" s="7">
        <v>43959.666666666664</v>
      </c>
      <c r="B1771" s="1" t="s">
        <v>78</v>
      </c>
      <c r="C1771" s="1">
        <v>2160.69</v>
      </c>
      <c r="D1771" s="1">
        <v>1103.77</v>
      </c>
    </row>
    <row r="1772" spans="1:4" x14ac:dyDescent="0.25">
      <c r="A1772" s="7">
        <v>43959.666666666664</v>
      </c>
      <c r="B1772" s="1" t="s">
        <v>71</v>
      </c>
      <c r="C1772" s="1">
        <v>9499.64</v>
      </c>
      <c r="D1772" s="1">
        <v>2651.44</v>
      </c>
    </row>
    <row r="1773" spans="1:4" x14ac:dyDescent="0.25">
      <c r="A1773" s="7">
        <v>43959.708333333336</v>
      </c>
      <c r="B1773" s="1" t="s">
        <v>75</v>
      </c>
      <c r="C1773" s="1">
        <v>1113.9100000000001</v>
      </c>
      <c r="D1773" s="1">
        <v>452.29</v>
      </c>
    </row>
    <row r="1774" spans="1:4" x14ac:dyDescent="0.25">
      <c r="A1774" s="7">
        <v>43959.708333333336</v>
      </c>
      <c r="B1774" s="1" t="s">
        <v>74</v>
      </c>
      <c r="C1774" s="1">
        <v>8760.7000000000007</v>
      </c>
      <c r="D1774" s="1">
        <v>2055.86</v>
      </c>
    </row>
    <row r="1775" spans="1:4" x14ac:dyDescent="0.25">
      <c r="A1775" s="7">
        <v>43959.708333333336</v>
      </c>
      <c r="B1775" s="1" t="s">
        <v>72</v>
      </c>
      <c r="C1775" s="1">
        <v>9415.8700000000008</v>
      </c>
      <c r="D1775" s="1">
        <v>5115.6899999999996</v>
      </c>
    </row>
    <row r="1776" spans="1:4" x14ac:dyDescent="0.25">
      <c r="A1776" s="7">
        <v>43959.708333333336</v>
      </c>
      <c r="B1776" s="1" t="s">
        <v>73</v>
      </c>
      <c r="C1776" s="1">
        <v>6528.02</v>
      </c>
      <c r="D1776" s="1">
        <v>1089.51</v>
      </c>
    </row>
    <row r="1777" spans="1:4" x14ac:dyDescent="0.25">
      <c r="A1777" s="7">
        <v>43959.708333333336</v>
      </c>
      <c r="B1777" s="1" t="s">
        <v>77</v>
      </c>
      <c r="C1777" s="1">
        <v>10941.08</v>
      </c>
      <c r="D1777" s="1">
        <v>3098.61</v>
      </c>
    </row>
    <row r="1778" spans="1:4" x14ac:dyDescent="0.25">
      <c r="A1778" s="7">
        <v>43959.708333333336</v>
      </c>
      <c r="B1778" s="1" t="s">
        <v>71</v>
      </c>
      <c r="C1778" s="1">
        <v>9749.68</v>
      </c>
      <c r="D1778" s="1">
        <v>2989.91</v>
      </c>
    </row>
    <row r="1779" spans="1:4" x14ac:dyDescent="0.25">
      <c r="A1779" s="7">
        <v>43959.708333333336</v>
      </c>
      <c r="B1779" s="1" t="s">
        <v>78</v>
      </c>
      <c r="C1779" s="1">
        <v>2412.92</v>
      </c>
      <c r="D1779" s="1">
        <v>1233.69</v>
      </c>
    </row>
    <row r="1780" spans="1:4" x14ac:dyDescent="0.25">
      <c r="A1780" s="7">
        <v>43959.708333333336</v>
      </c>
      <c r="B1780" s="1" t="s">
        <v>76</v>
      </c>
      <c r="C1780" s="1">
        <v>13268.62</v>
      </c>
      <c r="D1780" s="1">
        <v>2583.61</v>
      </c>
    </row>
    <row r="1781" spans="1:4" x14ac:dyDescent="0.25">
      <c r="A1781" s="7">
        <v>43959.708333333336</v>
      </c>
      <c r="B1781" s="1" t="s">
        <v>68</v>
      </c>
      <c r="C1781" s="1">
        <v>8177.16</v>
      </c>
      <c r="D1781" s="1">
        <v>2779.83</v>
      </c>
    </row>
    <row r="1782" spans="1:4" x14ac:dyDescent="0.25">
      <c r="A1782" s="7">
        <v>43959.708333333336</v>
      </c>
      <c r="B1782" s="1" t="s">
        <v>69</v>
      </c>
      <c r="C1782" s="1">
        <v>6601.55</v>
      </c>
      <c r="D1782" s="1">
        <v>4029.66</v>
      </c>
    </row>
    <row r="1783" spans="1:4" x14ac:dyDescent="0.25">
      <c r="A1783" s="7">
        <v>43959.708333333336</v>
      </c>
      <c r="B1783" s="1" t="s">
        <v>70</v>
      </c>
      <c r="C1783" s="1">
        <v>7695.06</v>
      </c>
      <c r="D1783" s="1">
        <v>2935.14</v>
      </c>
    </row>
    <row r="1784" spans="1:4" x14ac:dyDescent="0.25">
      <c r="A1784" s="7">
        <v>43959.75</v>
      </c>
      <c r="B1784" s="1" t="s">
        <v>75</v>
      </c>
      <c r="C1784" s="1">
        <v>1169.29</v>
      </c>
      <c r="D1784" s="1">
        <v>456.79</v>
      </c>
    </row>
    <row r="1785" spans="1:4" x14ac:dyDescent="0.25">
      <c r="A1785" s="7">
        <v>43959.75</v>
      </c>
      <c r="B1785" s="1" t="s">
        <v>74</v>
      </c>
      <c r="C1785" s="1">
        <v>9455.84</v>
      </c>
      <c r="D1785" s="1">
        <v>2233.7399999999998</v>
      </c>
    </row>
    <row r="1786" spans="1:4" x14ac:dyDescent="0.25">
      <c r="A1786" s="7">
        <v>43959.75</v>
      </c>
      <c r="B1786" s="1" t="s">
        <v>78</v>
      </c>
      <c r="C1786" s="1">
        <v>2463.4499999999998</v>
      </c>
      <c r="D1786" s="1">
        <v>1248.1600000000001</v>
      </c>
    </row>
    <row r="1787" spans="1:4" x14ac:dyDescent="0.25">
      <c r="A1787" s="7">
        <v>43959.75</v>
      </c>
      <c r="B1787" s="1" t="s">
        <v>73</v>
      </c>
      <c r="C1787" s="1">
        <v>6950.13</v>
      </c>
      <c r="D1787" s="1">
        <v>1197.5</v>
      </c>
    </row>
    <row r="1788" spans="1:4" x14ac:dyDescent="0.25">
      <c r="A1788" s="7">
        <v>43959.75</v>
      </c>
      <c r="B1788" s="1" t="s">
        <v>71</v>
      </c>
      <c r="C1788" s="1">
        <v>10566.53</v>
      </c>
      <c r="D1788" s="1">
        <v>3192.86</v>
      </c>
    </row>
    <row r="1789" spans="1:4" x14ac:dyDescent="0.25">
      <c r="A1789" s="7">
        <v>43959.75</v>
      </c>
      <c r="B1789" s="1" t="s">
        <v>68</v>
      </c>
      <c r="C1789" s="1">
        <v>8784.5499999999993</v>
      </c>
      <c r="D1789" s="1">
        <v>3135.86</v>
      </c>
    </row>
    <row r="1790" spans="1:4" x14ac:dyDescent="0.25">
      <c r="A1790" s="7">
        <v>43959.75</v>
      </c>
      <c r="B1790" s="1" t="s">
        <v>70</v>
      </c>
      <c r="C1790" s="1">
        <v>7843.07</v>
      </c>
      <c r="D1790" s="1">
        <v>2909.05</v>
      </c>
    </row>
    <row r="1791" spans="1:4" x14ac:dyDescent="0.25">
      <c r="A1791" s="7">
        <v>43959.75</v>
      </c>
      <c r="B1791" s="1" t="s">
        <v>72</v>
      </c>
      <c r="C1791" s="1">
        <v>9745.5</v>
      </c>
      <c r="D1791" s="1">
        <v>5223.2700000000004</v>
      </c>
    </row>
    <row r="1792" spans="1:4" x14ac:dyDescent="0.25">
      <c r="A1792" s="7">
        <v>43959.75</v>
      </c>
      <c r="B1792" s="1" t="s">
        <v>76</v>
      </c>
      <c r="C1792" s="1">
        <v>14365.49</v>
      </c>
      <c r="D1792" s="1">
        <v>2850.34</v>
      </c>
    </row>
    <row r="1793" spans="1:4" x14ac:dyDescent="0.25">
      <c r="A1793" s="7">
        <v>43959.75</v>
      </c>
      <c r="B1793" s="1" t="s">
        <v>77</v>
      </c>
      <c r="C1793" s="1">
        <v>11548.51</v>
      </c>
      <c r="D1793" s="1">
        <v>3300.53</v>
      </c>
    </row>
    <row r="1794" spans="1:4" x14ac:dyDescent="0.25">
      <c r="A1794" s="7">
        <v>43959.75</v>
      </c>
      <c r="B1794" s="1" t="s">
        <v>69</v>
      </c>
      <c r="C1794" s="1">
        <v>6809.94</v>
      </c>
      <c r="D1794" s="1">
        <v>4062.36</v>
      </c>
    </row>
    <row r="1795" spans="1:4" x14ac:dyDescent="0.25">
      <c r="A1795" s="7">
        <v>43959.791666666664</v>
      </c>
      <c r="B1795" s="1" t="s">
        <v>75</v>
      </c>
      <c r="C1795" s="1">
        <v>1938.62</v>
      </c>
      <c r="D1795" s="1">
        <v>705.17</v>
      </c>
    </row>
    <row r="1796" spans="1:4" x14ac:dyDescent="0.25">
      <c r="A1796" s="7">
        <v>43959.791666666664</v>
      </c>
      <c r="B1796" s="1" t="s">
        <v>74</v>
      </c>
      <c r="C1796" s="1">
        <v>14725.65</v>
      </c>
      <c r="D1796" s="1">
        <v>3179.34</v>
      </c>
    </row>
    <row r="1797" spans="1:4" x14ac:dyDescent="0.25">
      <c r="A1797" s="7">
        <v>43959.791666666664</v>
      </c>
      <c r="B1797" s="1" t="s">
        <v>68</v>
      </c>
      <c r="C1797" s="1">
        <v>14781.36</v>
      </c>
      <c r="D1797" s="1">
        <v>4366.2700000000004</v>
      </c>
    </row>
    <row r="1798" spans="1:4" x14ac:dyDescent="0.25">
      <c r="A1798" s="7">
        <v>43959.791666666664</v>
      </c>
      <c r="B1798" s="1" t="s">
        <v>71</v>
      </c>
      <c r="C1798" s="1">
        <v>18542.938999999998</v>
      </c>
      <c r="D1798" s="1">
        <v>4727.7299999999996</v>
      </c>
    </row>
    <row r="1799" spans="1:4" x14ac:dyDescent="0.25">
      <c r="A1799" s="7">
        <v>43959.791666666664</v>
      </c>
      <c r="B1799" s="1" t="s">
        <v>70</v>
      </c>
      <c r="C1799" s="1">
        <v>13885.81</v>
      </c>
      <c r="D1799" s="1">
        <v>4681.3900000000003</v>
      </c>
    </row>
    <row r="1800" spans="1:4" x14ac:dyDescent="0.25">
      <c r="A1800" s="7">
        <v>43959.791666666664</v>
      </c>
      <c r="B1800" s="1" t="s">
        <v>69</v>
      </c>
      <c r="C1800" s="1">
        <v>10685.2</v>
      </c>
      <c r="D1800" s="1">
        <v>5835.48</v>
      </c>
    </row>
    <row r="1801" spans="1:4" x14ac:dyDescent="0.25">
      <c r="A1801" s="7">
        <v>43959.791666666664</v>
      </c>
      <c r="B1801" s="1" t="s">
        <v>78</v>
      </c>
      <c r="C1801" s="1">
        <v>4196.1899999999996</v>
      </c>
      <c r="D1801" s="1">
        <v>1979.96</v>
      </c>
    </row>
    <row r="1802" spans="1:4" x14ac:dyDescent="0.25">
      <c r="A1802" s="7">
        <v>43959.791666666664</v>
      </c>
      <c r="B1802" s="1" t="s">
        <v>76</v>
      </c>
      <c r="C1802" s="1">
        <v>22650</v>
      </c>
      <c r="D1802" s="1">
        <v>3992.27</v>
      </c>
    </row>
    <row r="1803" spans="1:4" x14ac:dyDescent="0.25">
      <c r="A1803" s="7">
        <v>43959.791666666664</v>
      </c>
      <c r="B1803" s="1" t="s">
        <v>73</v>
      </c>
      <c r="C1803" s="1">
        <v>11355.99</v>
      </c>
      <c r="D1803" s="1">
        <v>1639.24</v>
      </c>
    </row>
    <row r="1804" spans="1:4" x14ac:dyDescent="0.25">
      <c r="A1804" s="7">
        <v>43959.791666666664</v>
      </c>
      <c r="B1804" s="1" t="s">
        <v>72</v>
      </c>
      <c r="C1804" s="1">
        <v>15504.29</v>
      </c>
      <c r="D1804" s="1">
        <v>7361.35</v>
      </c>
    </row>
    <row r="1805" spans="1:4" x14ac:dyDescent="0.25">
      <c r="A1805" s="7">
        <v>43959.791666666664</v>
      </c>
      <c r="B1805" s="1" t="s">
        <v>77</v>
      </c>
      <c r="C1805" s="1">
        <v>18565.210999999999</v>
      </c>
      <c r="D1805" s="1">
        <v>4827.41</v>
      </c>
    </row>
    <row r="1806" spans="1:4" x14ac:dyDescent="0.25">
      <c r="A1806" s="7">
        <v>43959.833333333336</v>
      </c>
      <c r="B1806" s="1" t="s">
        <v>75</v>
      </c>
      <c r="C1806" s="1">
        <v>1977.26</v>
      </c>
      <c r="D1806" s="1">
        <v>741.66</v>
      </c>
    </row>
    <row r="1807" spans="1:4" x14ac:dyDescent="0.25">
      <c r="A1807" s="7">
        <v>43959.833333333336</v>
      </c>
      <c r="B1807" s="1" t="s">
        <v>74</v>
      </c>
      <c r="C1807" s="1">
        <v>15327.15</v>
      </c>
      <c r="D1807" s="1">
        <v>3312.56</v>
      </c>
    </row>
    <row r="1808" spans="1:4" x14ac:dyDescent="0.25">
      <c r="A1808" s="7">
        <v>43959.833333333336</v>
      </c>
      <c r="B1808" s="1" t="s">
        <v>76</v>
      </c>
      <c r="C1808" s="1">
        <v>22666.109</v>
      </c>
      <c r="D1808" s="1">
        <v>3938.34</v>
      </c>
    </row>
    <row r="1809" spans="1:4" x14ac:dyDescent="0.25">
      <c r="A1809" s="7">
        <v>43959.833333333336</v>
      </c>
      <c r="B1809" s="1" t="s">
        <v>68</v>
      </c>
      <c r="C1809" s="1">
        <v>14511.76</v>
      </c>
      <c r="D1809" s="1">
        <v>4480.8500000000004</v>
      </c>
    </row>
    <row r="1810" spans="1:4" x14ac:dyDescent="0.25">
      <c r="A1810" s="7">
        <v>43959.833333333336</v>
      </c>
      <c r="B1810" s="1" t="s">
        <v>77</v>
      </c>
      <c r="C1810" s="1">
        <v>17976.449000000001</v>
      </c>
      <c r="D1810" s="1">
        <v>4776.51</v>
      </c>
    </row>
    <row r="1811" spans="1:4" x14ac:dyDescent="0.25">
      <c r="A1811" s="7">
        <v>43959.833333333336</v>
      </c>
      <c r="B1811" s="1" t="s">
        <v>69</v>
      </c>
      <c r="C1811" s="1">
        <v>10794.89</v>
      </c>
      <c r="D1811" s="1">
        <v>6245.38</v>
      </c>
    </row>
    <row r="1812" spans="1:4" x14ac:dyDescent="0.25">
      <c r="A1812" s="7">
        <v>43959.833333333336</v>
      </c>
      <c r="B1812" s="1" t="s">
        <v>70</v>
      </c>
      <c r="C1812" s="1">
        <v>13096.18</v>
      </c>
      <c r="D1812" s="1">
        <v>4502.72</v>
      </c>
    </row>
    <row r="1813" spans="1:4" x14ac:dyDescent="0.25">
      <c r="A1813" s="7">
        <v>43959.833333333336</v>
      </c>
      <c r="B1813" s="1" t="s">
        <v>78</v>
      </c>
      <c r="C1813" s="1">
        <v>4214.8599999999997</v>
      </c>
      <c r="D1813" s="1">
        <v>2060.31</v>
      </c>
    </row>
    <row r="1814" spans="1:4" x14ac:dyDescent="0.25">
      <c r="A1814" s="7">
        <v>43959.833333333336</v>
      </c>
      <c r="B1814" s="1" t="s">
        <v>72</v>
      </c>
      <c r="C1814" s="1">
        <v>15304.63</v>
      </c>
      <c r="D1814" s="1">
        <v>7483.51</v>
      </c>
    </row>
    <row r="1815" spans="1:4" x14ac:dyDescent="0.25">
      <c r="A1815" s="7">
        <v>43959.833333333336</v>
      </c>
      <c r="B1815" s="1" t="s">
        <v>73</v>
      </c>
      <c r="C1815" s="1">
        <v>11008.4</v>
      </c>
      <c r="D1815" s="1">
        <v>1662.81</v>
      </c>
    </row>
    <row r="1816" spans="1:4" x14ac:dyDescent="0.25">
      <c r="A1816" s="7">
        <v>43959.833333333336</v>
      </c>
      <c r="B1816" s="1" t="s">
        <v>71</v>
      </c>
      <c r="C1816" s="1">
        <v>18572</v>
      </c>
      <c r="D1816" s="1">
        <v>4721.42</v>
      </c>
    </row>
    <row r="1817" spans="1:4" x14ac:dyDescent="0.25">
      <c r="A1817" s="7">
        <v>43959.875</v>
      </c>
      <c r="B1817" s="1" t="s">
        <v>75</v>
      </c>
      <c r="C1817" s="1">
        <v>1862.08</v>
      </c>
      <c r="D1817" s="1">
        <v>712.5</v>
      </c>
    </row>
    <row r="1818" spans="1:4" x14ac:dyDescent="0.25">
      <c r="A1818" s="7">
        <v>43959.875</v>
      </c>
      <c r="B1818" s="1" t="s">
        <v>74</v>
      </c>
      <c r="C1818" s="1">
        <v>13529.17</v>
      </c>
      <c r="D1818" s="1">
        <v>2918.03</v>
      </c>
    </row>
    <row r="1819" spans="1:4" x14ac:dyDescent="0.25">
      <c r="A1819" s="7">
        <v>43959.875</v>
      </c>
      <c r="B1819" s="1" t="s">
        <v>76</v>
      </c>
      <c r="C1819" s="1">
        <v>20514.66</v>
      </c>
      <c r="D1819" s="1">
        <v>3589.95</v>
      </c>
    </row>
    <row r="1820" spans="1:4" x14ac:dyDescent="0.25">
      <c r="A1820" s="7">
        <v>43959.875</v>
      </c>
      <c r="B1820" s="1" t="s">
        <v>72</v>
      </c>
      <c r="C1820" s="1">
        <v>14682.11</v>
      </c>
      <c r="D1820" s="1">
        <v>7014.78</v>
      </c>
    </row>
    <row r="1821" spans="1:4" x14ac:dyDescent="0.25">
      <c r="A1821" s="7">
        <v>43959.875</v>
      </c>
      <c r="B1821" s="1" t="s">
        <v>73</v>
      </c>
      <c r="C1821" s="1">
        <v>9738.99</v>
      </c>
      <c r="D1821" s="1">
        <v>1491.82</v>
      </c>
    </row>
    <row r="1822" spans="1:4" x14ac:dyDescent="0.25">
      <c r="A1822" s="7">
        <v>43959.875</v>
      </c>
      <c r="B1822" s="1" t="s">
        <v>68</v>
      </c>
      <c r="C1822" s="1">
        <v>12614.35</v>
      </c>
      <c r="D1822" s="1">
        <v>3978.39</v>
      </c>
    </row>
    <row r="1823" spans="1:4" x14ac:dyDescent="0.25">
      <c r="A1823" s="7">
        <v>43959.875</v>
      </c>
      <c r="B1823" s="1" t="s">
        <v>77</v>
      </c>
      <c r="C1823" s="1">
        <v>16131.79</v>
      </c>
      <c r="D1823" s="1">
        <v>4333.66</v>
      </c>
    </row>
    <row r="1824" spans="1:4" x14ac:dyDescent="0.25">
      <c r="A1824" s="7">
        <v>43959.875</v>
      </c>
      <c r="B1824" s="1" t="s">
        <v>71</v>
      </c>
      <c r="C1824" s="1">
        <v>15868.83</v>
      </c>
      <c r="D1824" s="1">
        <v>4098.91</v>
      </c>
    </row>
    <row r="1825" spans="1:4" x14ac:dyDescent="0.25">
      <c r="A1825" s="7">
        <v>43959.875</v>
      </c>
      <c r="B1825" s="1" t="s">
        <v>70</v>
      </c>
      <c r="C1825" s="1">
        <v>12210.47</v>
      </c>
      <c r="D1825" s="1">
        <v>4152.17</v>
      </c>
    </row>
    <row r="1826" spans="1:4" x14ac:dyDescent="0.25">
      <c r="A1826" s="7">
        <v>43959.875</v>
      </c>
      <c r="B1826" s="1" t="s">
        <v>69</v>
      </c>
      <c r="C1826" s="1">
        <v>10156.24</v>
      </c>
      <c r="D1826" s="1">
        <v>5915.71</v>
      </c>
    </row>
    <row r="1827" spans="1:4" x14ac:dyDescent="0.25">
      <c r="A1827" s="7">
        <v>43959.875</v>
      </c>
      <c r="B1827" s="1" t="s">
        <v>78</v>
      </c>
      <c r="C1827" s="1">
        <v>4016.23</v>
      </c>
      <c r="D1827" s="1">
        <v>1983.1</v>
      </c>
    </row>
    <row r="1828" spans="1:4" x14ac:dyDescent="0.25">
      <c r="A1828" s="7">
        <v>43959.916666666664</v>
      </c>
      <c r="B1828" s="1" t="s">
        <v>75</v>
      </c>
      <c r="C1828" s="1">
        <v>1339.57</v>
      </c>
      <c r="D1828" s="1">
        <v>552.22</v>
      </c>
    </row>
    <row r="1829" spans="1:4" x14ac:dyDescent="0.25">
      <c r="A1829" s="7">
        <v>43959.916666666664</v>
      </c>
      <c r="B1829" s="1" t="s">
        <v>74</v>
      </c>
      <c r="C1829" s="1">
        <v>8555.18</v>
      </c>
      <c r="D1829" s="1">
        <v>2055.44</v>
      </c>
    </row>
    <row r="1830" spans="1:4" x14ac:dyDescent="0.25">
      <c r="A1830" s="7">
        <v>43959.916666666664</v>
      </c>
      <c r="B1830" s="1" t="s">
        <v>76</v>
      </c>
      <c r="C1830" s="1">
        <v>13534.97</v>
      </c>
      <c r="D1830" s="1">
        <v>2613.67</v>
      </c>
    </row>
    <row r="1831" spans="1:4" x14ac:dyDescent="0.25">
      <c r="A1831" s="7">
        <v>43959.916666666664</v>
      </c>
      <c r="B1831" s="1" t="s">
        <v>73</v>
      </c>
      <c r="C1831" s="1">
        <v>6338.72</v>
      </c>
      <c r="D1831" s="1">
        <v>1049.25</v>
      </c>
    </row>
    <row r="1832" spans="1:4" x14ac:dyDescent="0.25">
      <c r="A1832" s="7">
        <v>43959.916666666664</v>
      </c>
      <c r="B1832" s="1" t="s">
        <v>72</v>
      </c>
      <c r="C1832" s="1">
        <v>10666.66</v>
      </c>
      <c r="D1832" s="1">
        <v>5365.65</v>
      </c>
    </row>
    <row r="1833" spans="1:4" x14ac:dyDescent="0.25">
      <c r="A1833" s="7">
        <v>43959.916666666664</v>
      </c>
      <c r="B1833" s="1" t="s">
        <v>68</v>
      </c>
      <c r="C1833" s="1">
        <v>8132.39</v>
      </c>
      <c r="D1833" s="1">
        <v>2920.92</v>
      </c>
    </row>
    <row r="1834" spans="1:4" x14ac:dyDescent="0.25">
      <c r="A1834" s="7">
        <v>43959.916666666664</v>
      </c>
      <c r="B1834" s="1" t="s">
        <v>77</v>
      </c>
      <c r="C1834" s="1">
        <v>10997.84</v>
      </c>
      <c r="D1834" s="1">
        <v>3112.13</v>
      </c>
    </row>
    <row r="1835" spans="1:4" x14ac:dyDescent="0.25">
      <c r="A1835" s="7">
        <v>43959.916666666664</v>
      </c>
      <c r="B1835" s="1" t="s">
        <v>71</v>
      </c>
      <c r="C1835" s="1">
        <v>9234.2999999999993</v>
      </c>
      <c r="D1835" s="1">
        <v>2776.04</v>
      </c>
    </row>
    <row r="1836" spans="1:4" x14ac:dyDescent="0.25">
      <c r="A1836" s="7">
        <v>43959.916666666664</v>
      </c>
      <c r="B1836" s="1" t="s">
        <v>70</v>
      </c>
      <c r="C1836" s="1">
        <v>8413.18</v>
      </c>
      <c r="D1836" s="1">
        <v>3024.37</v>
      </c>
    </row>
    <row r="1837" spans="1:4" x14ac:dyDescent="0.25">
      <c r="A1837" s="7">
        <v>43959.916666666664</v>
      </c>
      <c r="B1837" s="1" t="s">
        <v>78</v>
      </c>
      <c r="C1837" s="1">
        <v>2955.38</v>
      </c>
      <c r="D1837" s="1">
        <v>1477.55</v>
      </c>
    </row>
    <row r="1838" spans="1:4" x14ac:dyDescent="0.25">
      <c r="A1838" s="7">
        <v>43959.916666666664</v>
      </c>
      <c r="B1838" s="1" t="s">
        <v>69</v>
      </c>
      <c r="C1838" s="1">
        <v>7542.14</v>
      </c>
      <c r="D1838" s="1">
        <v>4567.38</v>
      </c>
    </row>
    <row r="1839" spans="1:4" x14ac:dyDescent="0.25">
      <c r="A1839" s="7">
        <v>43959.958333333336</v>
      </c>
      <c r="B1839" s="1" t="s">
        <v>75</v>
      </c>
      <c r="C1839" s="1">
        <v>799.14</v>
      </c>
      <c r="D1839" s="1">
        <v>375.41</v>
      </c>
    </row>
    <row r="1840" spans="1:4" x14ac:dyDescent="0.25">
      <c r="A1840" s="7">
        <v>43959.958333333336</v>
      </c>
      <c r="B1840" s="1" t="s">
        <v>74</v>
      </c>
      <c r="C1840" s="1">
        <v>4033.74</v>
      </c>
      <c r="D1840" s="1">
        <v>1147.5899999999999</v>
      </c>
    </row>
    <row r="1841" spans="1:4" x14ac:dyDescent="0.25">
      <c r="A1841" s="7">
        <v>43959.958333333336</v>
      </c>
      <c r="B1841" s="1" t="s">
        <v>78</v>
      </c>
      <c r="C1841" s="1">
        <v>1613.9</v>
      </c>
      <c r="D1841" s="1">
        <v>892.3</v>
      </c>
    </row>
    <row r="1842" spans="1:4" x14ac:dyDescent="0.25">
      <c r="A1842" s="7">
        <v>43959.958333333336</v>
      </c>
      <c r="B1842" s="1" t="s">
        <v>71</v>
      </c>
      <c r="C1842" s="1">
        <v>4239.88</v>
      </c>
      <c r="D1842" s="1">
        <v>1473.62</v>
      </c>
    </row>
    <row r="1843" spans="1:4" x14ac:dyDescent="0.25">
      <c r="A1843" s="7">
        <v>43959.958333333336</v>
      </c>
      <c r="B1843" s="1" t="s">
        <v>77</v>
      </c>
      <c r="C1843" s="1">
        <v>5681.5</v>
      </c>
      <c r="D1843" s="1">
        <v>1717.85</v>
      </c>
    </row>
    <row r="1844" spans="1:4" x14ac:dyDescent="0.25">
      <c r="A1844" s="7">
        <v>43959.958333333336</v>
      </c>
      <c r="B1844" s="1" t="s">
        <v>69</v>
      </c>
      <c r="C1844" s="1">
        <v>4195.6499999999996</v>
      </c>
      <c r="D1844" s="1">
        <v>2698.21</v>
      </c>
    </row>
    <row r="1845" spans="1:4" x14ac:dyDescent="0.25">
      <c r="A1845" s="7">
        <v>43959.958333333336</v>
      </c>
      <c r="B1845" s="1" t="s">
        <v>76</v>
      </c>
      <c r="C1845" s="1">
        <v>6698.51</v>
      </c>
      <c r="D1845" s="1">
        <v>1425.61</v>
      </c>
    </row>
    <row r="1846" spans="1:4" x14ac:dyDescent="0.25">
      <c r="A1846" s="7">
        <v>43959.958333333336</v>
      </c>
      <c r="B1846" s="1" t="s">
        <v>72</v>
      </c>
      <c r="C1846" s="1">
        <v>5869.58</v>
      </c>
      <c r="D1846" s="1">
        <v>3331.82</v>
      </c>
    </row>
    <row r="1847" spans="1:4" x14ac:dyDescent="0.25">
      <c r="A1847" s="7">
        <v>43959.958333333336</v>
      </c>
      <c r="B1847" s="1" t="s">
        <v>73</v>
      </c>
      <c r="C1847" s="1">
        <v>3125.14</v>
      </c>
      <c r="D1847" s="1">
        <v>605.79999999999995</v>
      </c>
    </row>
    <row r="1848" spans="1:4" x14ac:dyDescent="0.25">
      <c r="A1848" s="7">
        <v>43959.958333333336</v>
      </c>
      <c r="B1848" s="1" t="s">
        <v>68</v>
      </c>
      <c r="C1848" s="1">
        <v>3958.91</v>
      </c>
      <c r="D1848" s="1">
        <v>1703.61</v>
      </c>
    </row>
    <row r="1849" spans="1:4" x14ac:dyDescent="0.25">
      <c r="A1849" s="7">
        <v>43959.958333333336</v>
      </c>
      <c r="B1849" s="1" t="s">
        <v>70</v>
      </c>
      <c r="C1849" s="1">
        <v>4364.8500000000004</v>
      </c>
      <c r="D1849" s="1">
        <v>1808.12</v>
      </c>
    </row>
    <row r="1850" spans="1:4" x14ac:dyDescent="0.25">
      <c r="A1850" s="7">
        <v>43990</v>
      </c>
      <c r="B1850" s="1" t="s">
        <v>75</v>
      </c>
      <c r="C1850" s="1">
        <v>403.29</v>
      </c>
      <c r="D1850" s="1">
        <v>211.55</v>
      </c>
    </row>
    <row r="1851" spans="1:4" x14ac:dyDescent="0.25">
      <c r="A1851" s="7">
        <v>43990</v>
      </c>
      <c r="B1851" s="1" t="s">
        <v>74</v>
      </c>
      <c r="C1851" s="1">
        <v>1703.64</v>
      </c>
      <c r="D1851" s="1">
        <v>541.98</v>
      </c>
    </row>
    <row r="1852" spans="1:4" x14ac:dyDescent="0.25">
      <c r="A1852" s="7">
        <v>43990</v>
      </c>
      <c r="B1852" s="1" t="s">
        <v>78</v>
      </c>
      <c r="C1852" s="1">
        <v>726.42</v>
      </c>
      <c r="D1852" s="1">
        <v>448.19</v>
      </c>
    </row>
    <row r="1853" spans="1:4" x14ac:dyDescent="0.25">
      <c r="A1853" s="7">
        <v>43990</v>
      </c>
      <c r="B1853" s="1" t="s">
        <v>68</v>
      </c>
      <c r="C1853" s="1">
        <v>1760.19</v>
      </c>
      <c r="D1853" s="1">
        <v>866.16</v>
      </c>
    </row>
    <row r="1854" spans="1:4" x14ac:dyDescent="0.25">
      <c r="A1854" s="7">
        <v>43990</v>
      </c>
      <c r="B1854" s="1" t="s">
        <v>70</v>
      </c>
      <c r="C1854" s="1">
        <v>1946.8</v>
      </c>
      <c r="D1854" s="1">
        <v>906.67</v>
      </c>
    </row>
    <row r="1855" spans="1:4" x14ac:dyDescent="0.25">
      <c r="A1855" s="7">
        <v>43990</v>
      </c>
      <c r="B1855" s="1" t="s">
        <v>69</v>
      </c>
      <c r="C1855" s="1">
        <v>1928.73</v>
      </c>
      <c r="D1855" s="1">
        <v>1380.19</v>
      </c>
    </row>
    <row r="1856" spans="1:4" x14ac:dyDescent="0.25">
      <c r="A1856" s="7">
        <v>43990</v>
      </c>
      <c r="B1856" s="1" t="s">
        <v>72</v>
      </c>
      <c r="C1856" s="1">
        <v>2745.25</v>
      </c>
      <c r="D1856" s="1">
        <v>1775.84</v>
      </c>
    </row>
    <row r="1857" spans="1:4" x14ac:dyDescent="0.25">
      <c r="A1857" s="7">
        <v>43990</v>
      </c>
      <c r="B1857" s="1" t="s">
        <v>76</v>
      </c>
      <c r="C1857" s="1">
        <v>2877.43</v>
      </c>
      <c r="D1857" s="1">
        <v>679.82</v>
      </c>
    </row>
    <row r="1858" spans="1:4" x14ac:dyDescent="0.25">
      <c r="A1858" s="7">
        <v>43990</v>
      </c>
      <c r="B1858" s="1" t="s">
        <v>73</v>
      </c>
      <c r="C1858" s="1">
        <v>1306.25</v>
      </c>
      <c r="D1858" s="1">
        <v>286.14</v>
      </c>
    </row>
    <row r="1859" spans="1:4" x14ac:dyDescent="0.25">
      <c r="A1859" s="7">
        <v>43990</v>
      </c>
      <c r="B1859" s="1" t="s">
        <v>71</v>
      </c>
      <c r="C1859" s="1">
        <v>1763.06</v>
      </c>
      <c r="D1859" s="1">
        <v>732.06</v>
      </c>
    </row>
    <row r="1860" spans="1:4" x14ac:dyDescent="0.25">
      <c r="A1860" s="7">
        <v>43990</v>
      </c>
      <c r="B1860" s="1" t="s">
        <v>77</v>
      </c>
      <c r="C1860" s="1">
        <v>2561.0700000000002</v>
      </c>
      <c r="D1860" s="1">
        <v>858.67</v>
      </c>
    </row>
    <row r="1861" spans="1:4" x14ac:dyDescent="0.25">
      <c r="A1861" s="7">
        <v>43990.041666666664</v>
      </c>
      <c r="B1861" s="1" t="s">
        <v>75</v>
      </c>
      <c r="C1861" s="1">
        <v>195.68</v>
      </c>
      <c r="D1861" s="1">
        <v>113.26</v>
      </c>
    </row>
    <row r="1862" spans="1:4" x14ac:dyDescent="0.25">
      <c r="A1862" s="7">
        <v>43990.041666666664</v>
      </c>
      <c r="B1862" s="1" t="s">
        <v>74</v>
      </c>
      <c r="C1862" s="1">
        <v>763.65</v>
      </c>
      <c r="D1862" s="1">
        <v>281.17</v>
      </c>
    </row>
    <row r="1863" spans="1:4" x14ac:dyDescent="0.25">
      <c r="A1863" s="7">
        <v>43990.041666666664</v>
      </c>
      <c r="B1863" s="1" t="s">
        <v>72</v>
      </c>
      <c r="C1863" s="1">
        <v>1342.68</v>
      </c>
      <c r="D1863" s="1">
        <v>889.81</v>
      </c>
    </row>
    <row r="1864" spans="1:4" x14ac:dyDescent="0.25">
      <c r="A1864" s="7">
        <v>43990.041666666664</v>
      </c>
      <c r="B1864" s="1" t="s">
        <v>68</v>
      </c>
      <c r="C1864" s="1">
        <v>806.49</v>
      </c>
      <c r="D1864" s="1">
        <v>421.59</v>
      </c>
    </row>
    <row r="1865" spans="1:4" x14ac:dyDescent="0.25">
      <c r="A1865" s="7">
        <v>43990.041666666664</v>
      </c>
      <c r="B1865" s="1" t="s">
        <v>71</v>
      </c>
      <c r="C1865" s="1">
        <v>814.53</v>
      </c>
      <c r="D1865" s="1">
        <v>338.56</v>
      </c>
    </row>
    <row r="1866" spans="1:4" x14ac:dyDescent="0.25">
      <c r="A1866" s="7">
        <v>43990.041666666664</v>
      </c>
      <c r="B1866" s="1" t="s">
        <v>69</v>
      </c>
      <c r="C1866" s="1">
        <v>927.37</v>
      </c>
      <c r="D1866" s="1">
        <v>698.53</v>
      </c>
    </row>
    <row r="1867" spans="1:4" x14ac:dyDescent="0.25">
      <c r="A1867" s="7">
        <v>43990.041666666664</v>
      </c>
      <c r="B1867" s="1" t="s">
        <v>70</v>
      </c>
      <c r="C1867" s="1">
        <v>908.67</v>
      </c>
      <c r="D1867" s="1">
        <v>450.62</v>
      </c>
    </row>
    <row r="1868" spans="1:4" x14ac:dyDescent="0.25">
      <c r="A1868" s="7">
        <v>43990.041666666664</v>
      </c>
      <c r="B1868" s="1" t="s">
        <v>78</v>
      </c>
      <c r="C1868" s="1">
        <v>329.05</v>
      </c>
      <c r="D1868" s="1">
        <v>221.01</v>
      </c>
    </row>
    <row r="1869" spans="1:4" x14ac:dyDescent="0.25">
      <c r="A1869" s="7">
        <v>43990.041666666664</v>
      </c>
      <c r="B1869" s="1" t="s">
        <v>76</v>
      </c>
      <c r="C1869" s="1">
        <v>1321.73</v>
      </c>
      <c r="D1869" s="1">
        <v>296.58999999999997</v>
      </c>
    </row>
    <row r="1870" spans="1:4" x14ac:dyDescent="0.25">
      <c r="A1870" s="7">
        <v>43990.041666666664</v>
      </c>
      <c r="B1870" s="1" t="s">
        <v>73</v>
      </c>
      <c r="C1870" s="1">
        <v>592.69000000000005</v>
      </c>
      <c r="D1870" s="1">
        <v>125.67</v>
      </c>
    </row>
    <row r="1871" spans="1:4" x14ac:dyDescent="0.25">
      <c r="A1871" s="7">
        <v>43990.041666666664</v>
      </c>
      <c r="B1871" s="1" t="s">
        <v>77</v>
      </c>
      <c r="C1871" s="1">
        <v>1185.8699999999999</v>
      </c>
      <c r="D1871" s="1">
        <v>409.87</v>
      </c>
    </row>
    <row r="1872" spans="1:4" x14ac:dyDescent="0.25">
      <c r="A1872" s="7">
        <v>43990.083333333336</v>
      </c>
      <c r="B1872" s="1" t="s">
        <v>75</v>
      </c>
      <c r="C1872" s="1">
        <v>102.34</v>
      </c>
      <c r="D1872" s="1">
        <v>53.65</v>
      </c>
    </row>
    <row r="1873" spans="1:4" x14ac:dyDescent="0.25">
      <c r="A1873" s="7">
        <v>43990.083333333336</v>
      </c>
      <c r="B1873" s="1" t="s">
        <v>74</v>
      </c>
      <c r="C1873" s="1">
        <v>374.98</v>
      </c>
      <c r="D1873" s="1">
        <v>145.22999999999999</v>
      </c>
    </row>
    <row r="1874" spans="1:4" x14ac:dyDescent="0.25">
      <c r="A1874" s="7">
        <v>43990.083333333336</v>
      </c>
      <c r="B1874" s="1" t="s">
        <v>76</v>
      </c>
      <c r="C1874" s="1">
        <v>635.76</v>
      </c>
      <c r="D1874" s="1">
        <v>139.72999999999999</v>
      </c>
    </row>
    <row r="1875" spans="1:4" x14ac:dyDescent="0.25">
      <c r="A1875" s="7">
        <v>43990.083333333336</v>
      </c>
      <c r="B1875" s="1" t="s">
        <v>72</v>
      </c>
      <c r="C1875" s="1">
        <v>642.26</v>
      </c>
      <c r="D1875" s="1">
        <v>415.52</v>
      </c>
    </row>
    <row r="1876" spans="1:4" x14ac:dyDescent="0.25">
      <c r="A1876" s="7">
        <v>43990.083333333336</v>
      </c>
      <c r="B1876" s="1" t="s">
        <v>73</v>
      </c>
      <c r="C1876" s="1">
        <v>268.37</v>
      </c>
      <c r="D1876" s="1">
        <v>63.26</v>
      </c>
    </row>
    <row r="1877" spans="1:4" x14ac:dyDescent="0.25">
      <c r="A1877" s="7">
        <v>43990.083333333336</v>
      </c>
      <c r="B1877" s="1" t="s">
        <v>68</v>
      </c>
      <c r="C1877" s="1">
        <v>385.41</v>
      </c>
      <c r="D1877" s="1">
        <v>194.86</v>
      </c>
    </row>
    <row r="1878" spans="1:4" x14ac:dyDescent="0.25">
      <c r="A1878" s="7">
        <v>43990.083333333336</v>
      </c>
      <c r="B1878" s="1" t="s">
        <v>77</v>
      </c>
      <c r="C1878" s="1">
        <v>580.16999999999996</v>
      </c>
      <c r="D1878" s="1">
        <v>199.6</v>
      </c>
    </row>
    <row r="1879" spans="1:4" x14ac:dyDescent="0.25">
      <c r="A1879" s="7">
        <v>43990.083333333336</v>
      </c>
      <c r="B1879" s="1" t="s">
        <v>71</v>
      </c>
      <c r="C1879" s="1">
        <v>393.95</v>
      </c>
      <c r="D1879" s="1">
        <v>160.38999999999999</v>
      </c>
    </row>
    <row r="1880" spans="1:4" x14ac:dyDescent="0.25">
      <c r="A1880" s="7">
        <v>43990.083333333336</v>
      </c>
      <c r="B1880" s="1" t="s">
        <v>70</v>
      </c>
      <c r="C1880" s="1">
        <v>432.92</v>
      </c>
      <c r="D1880" s="1">
        <v>230.37</v>
      </c>
    </row>
    <row r="1881" spans="1:4" x14ac:dyDescent="0.25">
      <c r="A1881" s="7">
        <v>43990.083333333336</v>
      </c>
      <c r="B1881" s="1" t="s">
        <v>78</v>
      </c>
      <c r="C1881" s="1">
        <v>159.18</v>
      </c>
      <c r="D1881" s="1">
        <v>98.75</v>
      </c>
    </row>
    <row r="1882" spans="1:4" x14ac:dyDescent="0.25">
      <c r="A1882" s="7">
        <v>43990.083333333336</v>
      </c>
      <c r="B1882" s="1" t="s">
        <v>69</v>
      </c>
      <c r="C1882" s="1">
        <v>450.21</v>
      </c>
      <c r="D1882" s="1">
        <v>344.8</v>
      </c>
    </row>
    <row r="1883" spans="1:4" x14ac:dyDescent="0.25">
      <c r="A1883" s="7">
        <v>43990.125</v>
      </c>
      <c r="B1883" s="1" t="s">
        <v>75</v>
      </c>
      <c r="C1883" s="1">
        <v>50.22</v>
      </c>
      <c r="D1883" s="1">
        <v>30.99</v>
      </c>
    </row>
    <row r="1884" spans="1:4" x14ac:dyDescent="0.25">
      <c r="A1884" s="7">
        <v>43990.125</v>
      </c>
      <c r="B1884" s="1" t="s">
        <v>74</v>
      </c>
      <c r="C1884" s="1">
        <v>215.06</v>
      </c>
      <c r="D1884" s="1">
        <v>73.569999999999993</v>
      </c>
    </row>
    <row r="1885" spans="1:4" x14ac:dyDescent="0.25">
      <c r="A1885" s="7">
        <v>43990.125</v>
      </c>
      <c r="B1885" s="1" t="s">
        <v>76</v>
      </c>
      <c r="C1885" s="1">
        <v>363.86</v>
      </c>
      <c r="D1885" s="1">
        <v>77.78</v>
      </c>
    </row>
    <row r="1886" spans="1:4" x14ac:dyDescent="0.25">
      <c r="A1886" s="7">
        <v>43990.125</v>
      </c>
      <c r="B1886" s="1" t="s">
        <v>73</v>
      </c>
      <c r="C1886" s="1">
        <v>163.6</v>
      </c>
      <c r="D1886" s="1">
        <v>30.22</v>
      </c>
    </row>
    <row r="1887" spans="1:4" x14ac:dyDescent="0.25">
      <c r="A1887" s="7">
        <v>43990.125</v>
      </c>
      <c r="B1887" s="1" t="s">
        <v>68</v>
      </c>
      <c r="C1887" s="1">
        <v>220.89</v>
      </c>
      <c r="D1887" s="1">
        <v>108.23</v>
      </c>
    </row>
    <row r="1888" spans="1:4" x14ac:dyDescent="0.25">
      <c r="A1888" s="7">
        <v>43990.125</v>
      </c>
      <c r="B1888" s="1" t="s">
        <v>77</v>
      </c>
      <c r="C1888" s="1">
        <v>351.49</v>
      </c>
      <c r="D1888" s="1">
        <v>115.95</v>
      </c>
    </row>
    <row r="1889" spans="1:4" x14ac:dyDescent="0.25">
      <c r="A1889" s="7">
        <v>43990.125</v>
      </c>
      <c r="B1889" s="1" t="s">
        <v>71</v>
      </c>
      <c r="C1889" s="1">
        <v>242.8</v>
      </c>
      <c r="D1889" s="1">
        <v>94.64</v>
      </c>
    </row>
    <row r="1890" spans="1:4" x14ac:dyDescent="0.25">
      <c r="A1890" s="7">
        <v>43990.125</v>
      </c>
      <c r="B1890" s="1" t="s">
        <v>70</v>
      </c>
      <c r="C1890" s="1">
        <v>250.55</v>
      </c>
      <c r="D1890" s="1">
        <v>114.87</v>
      </c>
    </row>
    <row r="1891" spans="1:4" x14ac:dyDescent="0.25">
      <c r="A1891" s="7">
        <v>43990.125</v>
      </c>
      <c r="B1891" s="1" t="s">
        <v>78</v>
      </c>
      <c r="C1891" s="1">
        <v>84.2</v>
      </c>
      <c r="D1891" s="1">
        <v>53.79</v>
      </c>
    </row>
    <row r="1892" spans="1:4" x14ac:dyDescent="0.25">
      <c r="A1892" s="7">
        <v>43990.125</v>
      </c>
      <c r="B1892" s="1" t="s">
        <v>72</v>
      </c>
      <c r="C1892" s="1">
        <v>348.88</v>
      </c>
      <c r="D1892" s="1">
        <v>236.41</v>
      </c>
    </row>
    <row r="1893" spans="1:4" x14ac:dyDescent="0.25">
      <c r="A1893" s="7">
        <v>43990.125</v>
      </c>
      <c r="B1893" s="1" t="s">
        <v>69</v>
      </c>
      <c r="C1893" s="1">
        <v>231.34</v>
      </c>
      <c r="D1893" s="1">
        <v>172.23</v>
      </c>
    </row>
    <row r="1894" spans="1:4" x14ac:dyDescent="0.25">
      <c r="A1894" s="7">
        <v>43990.166666666664</v>
      </c>
      <c r="B1894" s="1" t="s">
        <v>75</v>
      </c>
      <c r="C1894" s="1">
        <v>37.56</v>
      </c>
      <c r="D1894" s="1">
        <v>18.12</v>
      </c>
    </row>
    <row r="1895" spans="1:4" x14ac:dyDescent="0.25">
      <c r="A1895" s="7">
        <v>43990.166666666664</v>
      </c>
      <c r="B1895" s="1" t="s">
        <v>74</v>
      </c>
      <c r="C1895" s="1">
        <v>185.86</v>
      </c>
      <c r="D1895" s="1">
        <v>51.6</v>
      </c>
    </row>
    <row r="1896" spans="1:4" x14ac:dyDescent="0.25">
      <c r="A1896" s="7">
        <v>43990.166666666664</v>
      </c>
      <c r="B1896" s="1" t="s">
        <v>76</v>
      </c>
      <c r="C1896" s="1">
        <v>249.11</v>
      </c>
      <c r="D1896" s="1">
        <v>53.43</v>
      </c>
    </row>
    <row r="1897" spans="1:4" x14ac:dyDescent="0.25">
      <c r="A1897" s="7">
        <v>43990.166666666664</v>
      </c>
      <c r="B1897" s="1" t="s">
        <v>77</v>
      </c>
      <c r="C1897" s="1">
        <v>293.11</v>
      </c>
      <c r="D1897" s="1">
        <v>83.59</v>
      </c>
    </row>
    <row r="1898" spans="1:4" x14ac:dyDescent="0.25">
      <c r="A1898" s="7">
        <v>43990.166666666664</v>
      </c>
      <c r="B1898" s="1" t="s">
        <v>71</v>
      </c>
      <c r="C1898" s="1">
        <v>243.68</v>
      </c>
      <c r="D1898" s="1">
        <v>72.91</v>
      </c>
    </row>
    <row r="1899" spans="1:4" x14ac:dyDescent="0.25">
      <c r="A1899" s="7">
        <v>43990.166666666664</v>
      </c>
      <c r="B1899" s="1" t="s">
        <v>69</v>
      </c>
      <c r="C1899" s="1">
        <v>190.7</v>
      </c>
      <c r="D1899" s="1">
        <v>98.86</v>
      </c>
    </row>
    <row r="1900" spans="1:4" x14ac:dyDescent="0.25">
      <c r="A1900" s="7">
        <v>43990.166666666664</v>
      </c>
      <c r="B1900" s="1" t="s">
        <v>70</v>
      </c>
      <c r="C1900" s="1">
        <v>199.32</v>
      </c>
      <c r="D1900" s="1">
        <v>83.94</v>
      </c>
    </row>
    <row r="1901" spans="1:4" x14ac:dyDescent="0.25">
      <c r="A1901" s="7">
        <v>43990.166666666664</v>
      </c>
      <c r="B1901" s="1" t="s">
        <v>78</v>
      </c>
      <c r="C1901" s="1">
        <v>66.489999999999995</v>
      </c>
      <c r="D1901" s="1">
        <v>38.4</v>
      </c>
    </row>
    <row r="1902" spans="1:4" x14ac:dyDescent="0.25">
      <c r="A1902" s="7">
        <v>43990.166666666664</v>
      </c>
      <c r="B1902" s="1" t="s">
        <v>73</v>
      </c>
      <c r="C1902" s="1">
        <v>150.04</v>
      </c>
      <c r="D1902" s="1">
        <v>23.86</v>
      </c>
    </row>
    <row r="1903" spans="1:4" x14ac:dyDescent="0.25">
      <c r="A1903" s="7">
        <v>43990.166666666664</v>
      </c>
      <c r="B1903" s="1" t="s">
        <v>72</v>
      </c>
      <c r="C1903" s="1">
        <v>276.39999999999998</v>
      </c>
      <c r="D1903" s="1">
        <v>137.18</v>
      </c>
    </row>
    <row r="1904" spans="1:4" x14ac:dyDescent="0.25">
      <c r="A1904" s="7">
        <v>43990.166666666664</v>
      </c>
      <c r="B1904" s="1" t="s">
        <v>68</v>
      </c>
      <c r="C1904" s="1">
        <v>215.66</v>
      </c>
      <c r="D1904" s="1">
        <v>71.510000000000005</v>
      </c>
    </row>
    <row r="1905" spans="1:4" x14ac:dyDescent="0.25">
      <c r="A1905" s="7">
        <v>43990.208333333336</v>
      </c>
      <c r="B1905" s="1" t="s">
        <v>75</v>
      </c>
      <c r="C1905" s="1">
        <v>68.78</v>
      </c>
      <c r="D1905" s="1">
        <v>22.27</v>
      </c>
    </row>
    <row r="1906" spans="1:4" x14ac:dyDescent="0.25">
      <c r="A1906" s="7">
        <v>43990.208333333336</v>
      </c>
      <c r="B1906" s="1" t="s">
        <v>74</v>
      </c>
      <c r="C1906" s="1">
        <v>541.02</v>
      </c>
      <c r="D1906" s="1">
        <v>95.17</v>
      </c>
    </row>
    <row r="1907" spans="1:4" x14ac:dyDescent="0.25">
      <c r="A1907" s="7">
        <v>43990.208333333336</v>
      </c>
      <c r="B1907" s="1" t="s">
        <v>78</v>
      </c>
      <c r="C1907" s="1">
        <v>125.99</v>
      </c>
      <c r="D1907" s="1">
        <v>46.41</v>
      </c>
    </row>
    <row r="1908" spans="1:4" x14ac:dyDescent="0.25">
      <c r="A1908" s="7">
        <v>43990.208333333336</v>
      </c>
      <c r="B1908" s="1" t="s">
        <v>71</v>
      </c>
      <c r="C1908" s="1">
        <v>757.65</v>
      </c>
      <c r="D1908" s="1">
        <v>132.18</v>
      </c>
    </row>
    <row r="1909" spans="1:4" x14ac:dyDescent="0.25">
      <c r="A1909" s="7">
        <v>43990.208333333336</v>
      </c>
      <c r="B1909" s="1" t="s">
        <v>69</v>
      </c>
      <c r="C1909" s="1">
        <v>355.02</v>
      </c>
      <c r="D1909" s="1">
        <v>143.71</v>
      </c>
    </row>
    <row r="1910" spans="1:4" x14ac:dyDescent="0.25">
      <c r="A1910" s="7">
        <v>43990.208333333336</v>
      </c>
      <c r="B1910" s="1" t="s">
        <v>76</v>
      </c>
      <c r="C1910" s="1">
        <v>711.58</v>
      </c>
      <c r="D1910" s="1">
        <v>102.98</v>
      </c>
    </row>
    <row r="1911" spans="1:4" x14ac:dyDescent="0.25">
      <c r="A1911" s="7">
        <v>43990.208333333336</v>
      </c>
      <c r="B1911" s="1" t="s">
        <v>72</v>
      </c>
      <c r="C1911" s="1">
        <v>530.58000000000004</v>
      </c>
      <c r="D1911" s="1">
        <v>189.44</v>
      </c>
    </row>
    <row r="1912" spans="1:4" x14ac:dyDescent="0.25">
      <c r="A1912" s="7">
        <v>43990.208333333336</v>
      </c>
      <c r="B1912" s="1" t="s">
        <v>73</v>
      </c>
      <c r="C1912" s="1">
        <v>372.46</v>
      </c>
      <c r="D1912" s="1">
        <v>42.37</v>
      </c>
    </row>
    <row r="1913" spans="1:4" x14ac:dyDescent="0.25">
      <c r="A1913" s="7">
        <v>43990.208333333336</v>
      </c>
      <c r="B1913" s="1" t="s">
        <v>68</v>
      </c>
      <c r="C1913" s="1">
        <v>574.49</v>
      </c>
      <c r="D1913" s="1">
        <v>111.49</v>
      </c>
    </row>
    <row r="1914" spans="1:4" x14ac:dyDescent="0.25">
      <c r="A1914" s="7">
        <v>43990.208333333336</v>
      </c>
      <c r="B1914" s="1" t="s">
        <v>77</v>
      </c>
      <c r="C1914" s="1">
        <v>677.82</v>
      </c>
      <c r="D1914" s="1">
        <v>149.38</v>
      </c>
    </row>
    <row r="1915" spans="1:4" x14ac:dyDescent="0.25">
      <c r="A1915" s="7">
        <v>43990.208333333336</v>
      </c>
      <c r="B1915" s="1" t="s">
        <v>70</v>
      </c>
      <c r="C1915" s="1">
        <v>522.55999999999995</v>
      </c>
      <c r="D1915" s="1">
        <v>152.85</v>
      </c>
    </row>
    <row r="1916" spans="1:4" x14ac:dyDescent="0.25">
      <c r="A1916" s="7">
        <v>43990.25</v>
      </c>
      <c r="B1916" s="1" t="s">
        <v>75</v>
      </c>
      <c r="C1916" s="1">
        <v>190.85</v>
      </c>
      <c r="D1916" s="1">
        <v>47.93</v>
      </c>
    </row>
    <row r="1917" spans="1:4" x14ac:dyDescent="0.25">
      <c r="A1917" s="7">
        <v>43990.25</v>
      </c>
      <c r="B1917" s="1" t="s">
        <v>74</v>
      </c>
      <c r="C1917" s="1">
        <v>2233.9499999999998</v>
      </c>
      <c r="D1917" s="1">
        <v>306.7</v>
      </c>
    </row>
    <row r="1918" spans="1:4" x14ac:dyDescent="0.25">
      <c r="A1918" s="7">
        <v>43990.25</v>
      </c>
      <c r="B1918" s="1" t="s">
        <v>78</v>
      </c>
      <c r="C1918" s="1">
        <v>376.3</v>
      </c>
      <c r="D1918" s="1">
        <v>125.84</v>
      </c>
    </row>
    <row r="1919" spans="1:4" x14ac:dyDescent="0.25">
      <c r="A1919" s="7">
        <v>43990.25</v>
      </c>
      <c r="B1919" s="1" t="s">
        <v>73</v>
      </c>
      <c r="C1919" s="1">
        <v>1349.31</v>
      </c>
      <c r="D1919" s="1">
        <v>123.11</v>
      </c>
    </row>
    <row r="1920" spans="1:4" x14ac:dyDescent="0.25">
      <c r="A1920" s="7">
        <v>43990.25</v>
      </c>
      <c r="B1920" s="1" t="s">
        <v>71</v>
      </c>
      <c r="C1920" s="1">
        <v>2845.87</v>
      </c>
      <c r="D1920" s="1">
        <v>431.44</v>
      </c>
    </row>
    <row r="1921" spans="1:4" x14ac:dyDescent="0.25">
      <c r="A1921" s="7">
        <v>43990.25</v>
      </c>
      <c r="B1921" s="1" t="s">
        <v>68</v>
      </c>
      <c r="C1921" s="1">
        <v>2145.83</v>
      </c>
      <c r="D1921" s="1">
        <v>380.68</v>
      </c>
    </row>
    <row r="1922" spans="1:4" x14ac:dyDescent="0.25">
      <c r="A1922" s="7">
        <v>43990.25</v>
      </c>
      <c r="B1922" s="1" t="s">
        <v>69</v>
      </c>
      <c r="C1922" s="1">
        <v>1001.69</v>
      </c>
      <c r="D1922" s="1">
        <v>355.31</v>
      </c>
    </row>
    <row r="1923" spans="1:4" x14ac:dyDescent="0.25">
      <c r="A1923" s="7">
        <v>43990.25</v>
      </c>
      <c r="B1923" s="1" t="s">
        <v>70</v>
      </c>
      <c r="C1923" s="1">
        <v>1723.61</v>
      </c>
      <c r="D1923" s="1">
        <v>457.28</v>
      </c>
    </row>
    <row r="1924" spans="1:4" x14ac:dyDescent="0.25">
      <c r="A1924" s="7">
        <v>43990.25</v>
      </c>
      <c r="B1924" s="1" t="s">
        <v>76</v>
      </c>
      <c r="C1924" s="1">
        <v>3215.75</v>
      </c>
      <c r="D1924" s="1">
        <v>382.28</v>
      </c>
    </row>
    <row r="1925" spans="1:4" x14ac:dyDescent="0.25">
      <c r="A1925" s="7">
        <v>43990.25</v>
      </c>
      <c r="B1925" s="1" t="s">
        <v>72</v>
      </c>
      <c r="C1925" s="1">
        <v>1415.25</v>
      </c>
      <c r="D1925" s="1">
        <v>485.21</v>
      </c>
    </row>
    <row r="1926" spans="1:4" x14ac:dyDescent="0.25">
      <c r="A1926" s="7">
        <v>43990.25</v>
      </c>
      <c r="B1926" s="1" t="s">
        <v>77</v>
      </c>
      <c r="C1926" s="1">
        <v>2167.34</v>
      </c>
      <c r="D1926" s="1">
        <v>445.77</v>
      </c>
    </row>
    <row r="1927" spans="1:4" x14ac:dyDescent="0.25">
      <c r="A1927" s="7">
        <v>43990.291666666664</v>
      </c>
      <c r="B1927" s="1" t="s">
        <v>75</v>
      </c>
      <c r="C1927" s="1">
        <v>405.62</v>
      </c>
      <c r="D1927" s="1">
        <v>102.5</v>
      </c>
    </row>
    <row r="1928" spans="1:4" x14ac:dyDescent="0.25">
      <c r="A1928" s="7">
        <v>43990.291666666664</v>
      </c>
      <c r="B1928" s="1" t="s">
        <v>74</v>
      </c>
      <c r="C1928" s="1">
        <v>4972.93</v>
      </c>
      <c r="D1928" s="1">
        <v>736.97</v>
      </c>
    </row>
    <row r="1929" spans="1:4" x14ac:dyDescent="0.25">
      <c r="A1929" s="7">
        <v>43990.291666666664</v>
      </c>
      <c r="B1929" s="1" t="s">
        <v>76</v>
      </c>
      <c r="C1929" s="1">
        <v>7212.86</v>
      </c>
      <c r="D1929" s="1">
        <v>938.8</v>
      </c>
    </row>
    <row r="1930" spans="1:4" x14ac:dyDescent="0.25">
      <c r="A1930" s="7">
        <v>43990.291666666664</v>
      </c>
      <c r="B1930" s="1" t="s">
        <v>73</v>
      </c>
      <c r="C1930" s="1">
        <v>3194.02</v>
      </c>
      <c r="D1930" s="1">
        <v>354.29</v>
      </c>
    </row>
    <row r="1931" spans="1:4" x14ac:dyDescent="0.25">
      <c r="A1931" s="7">
        <v>43990.291666666664</v>
      </c>
      <c r="B1931" s="1" t="s">
        <v>68</v>
      </c>
      <c r="C1931" s="1">
        <v>4511.51</v>
      </c>
      <c r="D1931" s="1">
        <v>947.34</v>
      </c>
    </row>
    <row r="1932" spans="1:4" x14ac:dyDescent="0.25">
      <c r="A1932" s="7">
        <v>43990.291666666664</v>
      </c>
      <c r="B1932" s="1" t="s">
        <v>77</v>
      </c>
      <c r="C1932" s="1">
        <v>4874.3599999999997</v>
      </c>
      <c r="D1932" s="1">
        <v>1092.23</v>
      </c>
    </row>
    <row r="1933" spans="1:4" x14ac:dyDescent="0.25">
      <c r="A1933" s="7">
        <v>43990.291666666664</v>
      </c>
      <c r="B1933" s="1" t="s">
        <v>71</v>
      </c>
      <c r="C1933" s="1">
        <v>5721.63</v>
      </c>
      <c r="D1933" s="1">
        <v>1018.23</v>
      </c>
    </row>
    <row r="1934" spans="1:4" x14ac:dyDescent="0.25">
      <c r="A1934" s="7">
        <v>43990.291666666664</v>
      </c>
      <c r="B1934" s="1" t="s">
        <v>70</v>
      </c>
      <c r="C1934" s="1">
        <v>3595.39</v>
      </c>
      <c r="D1934" s="1">
        <v>1008.66</v>
      </c>
    </row>
    <row r="1935" spans="1:4" x14ac:dyDescent="0.25">
      <c r="A1935" s="7">
        <v>43990.291666666664</v>
      </c>
      <c r="B1935" s="1" t="s">
        <v>78</v>
      </c>
      <c r="C1935" s="1">
        <v>794.67</v>
      </c>
      <c r="D1935" s="1">
        <v>277.8</v>
      </c>
    </row>
    <row r="1936" spans="1:4" x14ac:dyDescent="0.25">
      <c r="A1936" s="7">
        <v>43990.291666666664</v>
      </c>
      <c r="B1936" s="1" t="s">
        <v>72</v>
      </c>
      <c r="C1936" s="1">
        <v>3181.45</v>
      </c>
      <c r="D1936" s="1">
        <v>1130.77</v>
      </c>
    </row>
    <row r="1937" spans="1:4" x14ac:dyDescent="0.25">
      <c r="A1937" s="7">
        <v>43990.291666666664</v>
      </c>
      <c r="B1937" s="1" t="s">
        <v>69</v>
      </c>
      <c r="C1937" s="1">
        <v>2228.31</v>
      </c>
      <c r="D1937" s="1">
        <v>816.22</v>
      </c>
    </row>
    <row r="1938" spans="1:4" x14ac:dyDescent="0.25">
      <c r="A1938" s="7">
        <v>43990.333333333336</v>
      </c>
      <c r="B1938" s="1" t="s">
        <v>75</v>
      </c>
      <c r="C1938" s="1">
        <v>729.39</v>
      </c>
      <c r="D1938" s="1">
        <v>204.21</v>
      </c>
    </row>
    <row r="1939" spans="1:4" x14ac:dyDescent="0.25">
      <c r="A1939" s="7">
        <v>43990.333333333336</v>
      </c>
      <c r="B1939" s="1" t="s">
        <v>74</v>
      </c>
      <c r="C1939" s="1">
        <v>7466.68</v>
      </c>
      <c r="D1939" s="1">
        <v>1241.1500000000001</v>
      </c>
    </row>
    <row r="1940" spans="1:4" x14ac:dyDescent="0.25">
      <c r="A1940" s="7">
        <v>43990.333333333336</v>
      </c>
      <c r="B1940" s="1" t="s">
        <v>76</v>
      </c>
      <c r="C1940" s="1">
        <v>10807.13</v>
      </c>
      <c r="D1940" s="1">
        <v>1550.86</v>
      </c>
    </row>
    <row r="1941" spans="1:4" x14ac:dyDescent="0.25">
      <c r="A1941" s="7">
        <v>43990.333333333336</v>
      </c>
      <c r="B1941" s="1" t="s">
        <v>68</v>
      </c>
      <c r="C1941" s="1">
        <v>6845.53</v>
      </c>
      <c r="D1941" s="1">
        <v>1678.07</v>
      </c>
    </row>
    <row r="1942" spans="1:4" x14ac:dyDescent="0.25">
      <c r="A1942" s="7">
        <v>43990.333333333336</v>
      </c>
      <c r="B1942" s="1" t="s">
        <v>77</v>
      </c>
      <c r="C1942" s="1">
        <v>7552.62</v>
      </c>
      <c r="D1942" s="1">
        <v>1784.4</v>
      </c>
    </row>
    <row r="1943" spans="1:4" x14ac:dyDescent="0.25">
      <c r="A1943" s="7">
        <v>43990.333333333336</v>
      </c>
      <c r="B1943" s="1" t="s">
        <v>71</v>
      </c>
      <c r="C1943" s="1">
        <v>8465.56</v>
      </c>
      <c r="D1943" s="1">
        <v>1781.87</v>
      </c>
    </row>
    <row r="1944" spans="1:4" x14ac:dyDescent="0.25">
      <c r="A1944" s="7">
        <v>43990.333333333336</v>
      </c>
      <c r="B1944" s="1" t="s">
        <v>69</v>
      </c>
      <c r="C1944" s="1">
        <v>3824.35</v>
      </c>
      <c r="D1944" s="1">
        <v>1582.41</v>
      </c>
    </row>
    <row r="1945" spans="1:4" x14ac:dyDescent="0.25">
      <c r="A1945" s="7">
        <v>43990.333333333336</v>
      </c>
      <c r="B1945" s="1" t="s">
        <v>70</v>
      </c>
      <c r="C1945" s="1">
        <v>5667.7</v>
      </c>
      <c r="D1945" s="1">
        <v>1765.87</v>
      </c>
    </row>
    <row r="1946" spans="1:4" x14ac:dyDescent="0.25">
      <c r="A1946" s="7">
        <v>43990.333333333336</v>
      </c>
      <c r="B1946" s="1" t="s">
        <v>78</v>
      </c>
      <c r="C1946" s="1">
        <v>1288.6300000000001</v>
      </c>
      <c r="D1946" s="1">
        <v>494.7</v>
      </c>
    </row>
    <row r="1947" spans="1:4" x14ac:dyDescent="0.25">
      <c r="A1947" s="7">
        <v>43990.333333333336</v>
      </c>
      <c r="B1947" s="1" t="s">
        <v>72</v>
      </c>
      <c r="C1947" s="1">
        <v>5529.65</v>
      </c>
      <c r="D1947" s="1">
        <v>2182.23</v>
      </c>
    </row>
    <row r="1948" spans="1:4" x14ac:dyDescent="0.25">
      <c r="A1948" s="7">
        <v>43990.333333333336</v>
      </c>
      <c r="B1948" s="1" t="s">
        <v>73</v>
      </c>
      <c r="C1948" s="1">
        <v>5344.53</v>
      </c>
      <c r="D1948" s="1">
        <v>680.33</v>
      </c>
    </row>
    <row r="1949" spans="1:4" x14ac:dyDescent="0.25">
      <c r="A1949" s="7">
        <v>43990.375</v>
      </c>
      <c r="B1949" s="1" t="s">
        <v>75</v>
      </c>
      <c r="C1949" s="1">
        <v>997.25</v>
      </c>
      <c r="D1949" s="1">
        <v>327.73</v>
      </c>
    </row>
    <row r="1950" spans="1:4" x14ac:dyDescent="0.25">
      <c r="A1950" s="7">
        <v>43990.375</v>
      </c>
      <c r="B1950" s="1" t="s">
        <v>74</v>
      </c>
      <c r="C1950" s="1">
        <v>9207.76</v>
      </c>
      <c r="D1950" s="1">
        <v>1793.13</v>
      </c>
    </row>
    <row r="1951" spans="1:4" x14ac:dyDescent="0.25">
      <c r="A1951" s="7">
        <v>43990.375</v>
      </c>
      <c r="B1951" s="1" t="s">
        <v>76</v>
      </c>
      <c r="C1951" s="1">
        <v>13734.19</v>
      </c>
      <c r="D1951" s="1">
        <v>2222.56</v>
      </c>
    </row>
    <row r="1952" spans="1:4" x14ac:dyDescent="0.25">
      <c r="A1952" s="7">
        <v>43990.375</v>
      </c>
      <c r="B1952" s="1" t="s">
        <v>68</v>
      </c>
      <c r="C1952" s="1">
        <v>8401.11</v>
      </c>
      <c r="D1952" s="1">
        <v>2409.66</v>
      </c>
    </row>
    <row r="1953" spans="1:4" x14ac:dyDescent="0.25">
      <c r="A1953" s="7">
        <v>43990.375</v>
      </c>
      <c r="B1953" s="1" t="s">
        <v>77</v>
      </c>
      <c r="C1953" s="1">
        <v>10106.57</v>
      </c>
      <c r="D1953" s="1">
        <v>2604.16</v>
      </c>
    </row>
    <row r="1954" spans="1:4" x14ac:dyDescent="0.25">
      <c r="A1954" s="7">
        <v>43990.375</v>
      </c>
      <c r="B1954" s="1" t="s">
        <v>70</v>
      </c>
      <c r="C1954" s="1">
        <v>7334.3</v>
      </c>
      <c r="D1954" s="1">
        <v>2523.4</v>
      </c>
    </row>
    <row r="1955" spans="1:4" x14ac:dyDescent="0.25">
      <c r="A1955" s="7">
        <v>43990.375</v>
      </c>
      <c r="B1955" s="1" t="s">
        <v>69</v>
      </c>
      <c r="C1955" s="1">
        <v>5558.91</v>
      </c>
      <c r="D1955" s="1">
        <v>2820.97</v>
      </c>
    </row>
    <row r="1956" spans="1:4" x14ac:dyDescent="0.25">
      <c r="A1956" s="7">
        <v>43990.375</v>
      </c>
      <c r="B1956" s="1" t="s">
        <v>78</v>
      </c>
      <c r="C1956" s="1">
        <v>1922.93</v>
      </c>
      <c r="D1956" s="1">
        <v>860.7</v>
      </c>
    </row>
    <row r="1957" spans="1:4" x14ac:dyDescent="0.25">
      <c r="A1957" s="7">
        <v>43990.375</v>
      </c>
      <c r="B1957" s="1" t="s">
        <v>72</v>
      </c>
      <c r="C1957" s="1">
        <v>8043.03</v>
      </c>
      <c r="D1957" s="1">
        <v>3615.98</v>
      </c>
    </row>
    <row r="1958" spans="1:4" x14ac:dyDescent="0.25">
      <c r="A1958" s="7">
        <v>43990.375</v>
      </c>
      <c r="B1958" s="1" t="s">
        <v>73</v>
      </c>
      <c r="C1958" s="1">
        <v>6859.98</v>
      </c>
      <c r="D1958" s="1">
        <v>1000.88</v>
      </c>
    </row>
    <row r="1959" spans="1:4" x14ac:dyDescent="0.25">
      <c r="A1959" s="7">
        <v>43990.375</v>
      </c>
      <c r="B1959" s="1" t="s">
        <v>71</v>
      </c>
      <c r="C1959" s="1">
        <v>10400.35</v>
      </c>
      <c r="D1959" s="1">
        <v>2540.88</v>
      </c>
    </row>
    <row r="1960" spans="1:4" x14ac:dyDescent="0.25">
      <c r="A1960" s="7">
        <v>43990.416666666664</v>
      </c>
      <c r="B1960" s="1" t="s">
        <v>75</v>
      </c>
      <c r="C1960" s="1">
        <v>1164.93</v>
      </c>
      <c r="D1960" s="1">
        <v>453.62</v>
      </c>
    </row>
    <row r="1961" spans="1:4" x14ac:dyDescent="0.25">
      <c r="A1961" s="7">
        <v>43990.416666666664</v>
      </c>
      <c r="B1961" s="1" t="s">
        <v>74</v>
      </c>
      <c r="C1961" s="1">
        <v>9990.44</v>
      </c>
      <c r="D1961" s="1">
        <v>2226.12</v>
      </c>
    </row>
    <row r="1962" spans="1:4" x14ac:dyDescent="0.25">
      <c r="A1962" s="7">
        <v>43990.416666666664</v>
      </c>
      <c r="B1962" s="1" t="s">
        <v>72</v>
      </c>
      <c r="C1962" s="1">
        <v>10031.16</v>
      </c>
      <c r="D1962" s="1">
        <v>5149.87</v>
      </c>
    </row>
    <row r="1963" spans="1:4" x14ac:dyDescent="0.25">
      <c r="A1963" s="7">
        <v>43990.416666666664</v>
      </c>
      <c r="B1963" s="1" t="s">
        <v>77</v>
      </c>
      <c r="C1963" s="1">
        <v>11426.31</v>
      </c>
      <c r="D1963" s="1">
        <v>3179.61</v>
      </c>
    </row>
    <row r="1964" spans="1:4" x14ac:dyDescent="0.25">
      <c r="A1964" s="7">
        <v>43990.416666666664</v>
      </c>
      <c r="B1964" s="1" t="s">
        <v>71</v>
      </c>
      <c r="C1964" s="1">
        <v>11208.28</v>
      </c>
      <c r="D1964" s="1">
        <v>3103.45</v>
      </c>
    </row>
    <row r="1965" spans="1:4" x14ac:dyDescent="0.25">
      <c r="A1965" s="7">
        <v>43990.416666666664</v>
      </c>
      <c r="B1965" s="1" t="s">
        <v>69</v>
      </c>
      <c r="C1965" s="1">
        <v>7045.4</v>
      </c>
      <c r="D1965" s="1">
        <v>4184.84</v>
      </c>
    </row>
    <row r="1966" spans="1:4" x14ac:dyDescent="0.25">
      <c r="A1966" s="7">
        <v>43990.416666666664</v>
      </c>
      <c r="B1966" s="1" t="s">
        <v>78</v>
      </c>
      <c r="C1966" s="1">
        <v>2436.5500000000002</v>
      </c>
      <c r="D1966" s="1">
        <v>1232.67</v>
      </c>
    </row>
    <row r="1967" spans="1:4" x14ac:dyDescent="0.25">
      <c r="A1967" s="7">
        <v>43990.416666666664</v>
      </c>
      <c r="B1967" s="1" t="s">
        <v>76</v>
      </c>
      <c r="C1967" s="1">
        <v>14973.6</v>
      </c>
      <c r="D1967" s="1">
        <v>2654.89</v>
      </c>
    </row>
    <row r="1968" spans="1:4" x14ac:dyDescent="0.25">
      <c r="A1968" s="7">
        <v>43990.416666666664</v>
      </c>
      <c r="B1968" s="1" t="s">
        <v>73</v>
      </c>
      <c r="C1968" s="1">
        <v>7502.06</v>
      </c>
      <c r="D1968" s="1">
        <v>1222.77</v>
      </c>
    </row>
    <row r="1969" spans="1:4" x14ac:dyDescent="0.25">
      <c r="A1969" s="7">
        <v>43990.416666666664</v>
      </c>
      <c r="B1969" s="1" t="s">
        <v>68</v>
      </c>
      <c r="C1969" s="1">
        <v>8986.15</v>
      </c>
      <c r="D1969" s="1">
        <v>2942.44</v>
      </c>
    </row>
    <row r="1970" spans="1:4" x14ac:dyDescent="0.25">
      <c r="A1970" s="7">
        <v>43990.416666666664</v>
      </c>
      <c r="B1970" s="1" t="s">
        <v>70</v>
      </c>
      <c r="C1970" s="1">
        <v>8236.2999999999993</v>
      </c>
      <c r="D1970" s="1">
        <v>3038.6</v>
      </c>
    </row>
    <row r="1971" spans="1:4" x14ac:dyDescent="0.25">
      <c r="A1971" s="7">
        <v>43990.458333333336</v>
      </c>
      <c r="B1971" s="1" t="s">
        <v>75</v>
      </c>
      <c r="C1971" s="1">
        <v>1213</v>
      </c>
      <c r="D1971" s="1">
        <v>496.69</v>
      </c>
    </row>
    <row r="1972" spans="1:4" x14ac:dyDescent="0.25">
      <c r="A1972" s="7">
        <v>43990.458333333336</v>
      </c>
      <c r="B1972" s="1" t="s">
        <v>74</v>
      </c>
      <c r="C1972" s="1">
        <v>9699.19</v>
      </c>
      <c r="D1972" s="1">
        <v>2232.73</v>
      </c>
    </row>
    <row r="1973" spans="1:4" x14ac:dyDescent="0.25">
      <c r="A1973" s="7">
        <v>43990.458333333336</v>
      </c>
      <c r="B1973" s="1" t="s">
        <v>78</v>
      </c>
      <c r="C1973" s="1">
        <v>2590.85</v>
      </c>
      <c r="D1973" s="1">
        <v>1409.82</v>
      </c>
    </row>
    <row r="1974" spans="1:4" x14ac:dyDescent="0.25">
      <c r="A1974" s="7">
        <v>43990.458333333336</v>
      </c>
      <c r="B1974" s="1" t="s">
        <v>72</v>
      </c>
      <c r="C1974" s="1">
        <v>10714.45</v>
      </c>
      <c r="D1974" s="1">
        <v>5904.12</v>
      </c>
    </row>
    <row r="1975" spans="1:4" x14ac:dyDescent="0.25">
      <c r="A1975" s="7">
        <v>43990.458333333336</v>
      </c>
      <c r="B1975" s="1" t="s">
        <v>73</v>
      </c>
      <c r="C1975" s="1">
        <v>7249.83</v>
      </c>
      <c r="D1975" s="1">
        <v>1242.8599999999999</v>
      </c>
    </row>
    <row r="1976" spans="1:4" x14ac:dyDescent="0.25">
      <c r="A1976" s="7">
        <v>43990.458333333336</v>
      </c>
      <c r="B1976" s="1" t="s">
        <v>71</v>
      </c>
      <c r="C1976" s="1">
        <v>10743.01</v>
      </c>
      <c r="D1976" s="1">
        <v>3074.77</v>
      </c>
    </row>
    <row r="1977" spans="1:4" x14ac:dyDescent="0.25">
      <c r="A1977" s="7">
        <v>43990.458333333336</v>
      </c>
      <c r="B1977" s="1" t="s">
        <v>70</v>
      </c>
      <c r="C1977" s="1">
        <v>8096.46</v>
      </c>
      <c r="D1977" s="1">
        <v>3093.1</v>
      </c>
    </row>
    <row r="1978" spans="1:4" x14ac:dyDescent="0.25">
      <c r="A1978" s="7">
        <v>43990.458333333336</v>
      </c>
      <c r="B1978" s="1" t="s">
        <v>76</v>
      </c>
      <c r="C1978" s="1">
        <v>14524.57</v>
      </c>
      <c r="D1978" s="1">
        <v>2730.88</v>
      </c>
    </row>
    <row r="1979" spans="1:4" x14ac:dyDescent="0.25">
      <c r="A1979" s="7">
        <v>43990.458333333336</v>
      </c>
      <c r="B1979" s="1" t="s">
        <v>68</v>
      </c>
      <c r="C1979" s="1">
        <v>8708.27</v>
      </c>
      <c r="D1979" s="1">
        <v>2992.89</v>
      </c>
    </row>
    <row r="1980" spans="1:4" x14ac:dyDescent="0.25">
      <c r="A1980" s="7">
        <v>43990.458333333336</v>
      </c>
      <c r="B1980" s="1" t="s">
        <v>77</v>
      </c>
      <c r="C1980" s="1">
        <v>11248.55</v>
      </c>
      <c r="D1980" s="1">
        <v>3209.42</v>
      </c>
    </row>
    <row r="1981" spans="1:4" x14ac:dyDescent="0.25">
      <c r="A1981" s="7">
        <v>43990.458333333336</v>
      </c>
      <c r="B1981" s="1" t="s">
        <v>69</v>
      </c>
      <c r="C1981" s="1">
        <v>7550.69</v>
      </c>
      <c r="D1981" s="1">
        <v>4935.6000000000004</v>
      </c>
    </row>
    <row r="1982" spans="1:4" x14ac:dyDescent="0.25">
      <c r="A1982" s="7">
        <v>43990.5</v>
      </c>
      <c r="B1982" s="1" t="s">
        <v>75</v>
      </c>
      <c r="C1982" s="1">
        <v>1167.6600000000001</v>
      </c>
      <c r="D1982" s="1">
        <v>499.74</v>
      </c>
    </row>
    <row r="1983" spans="1:4" x14ac:dyDescent="0.25">
      <c r="A1983" s="7">
        <v>43990.5</v>
      </c>
      <c r="B1983" s="1" t="s">
        <v>74</v>
      </c>
      <c r="C1983" s="1">
        <v>8744.3700000000008</v>
      </c>
      <c r="D1983" s="1">
        <v>2066.87</v>
      </c>
    </row>
    <row r="1984" spans="1:4" x14ac:dyDescent="0.25">
      <c r="A1984" s="7">
        <v>43990.5</v>
      </c>
      <c r="B1984" s="1" t="s">
        <v>78</v>
      </c>
      <c r="C1984" s="1">
        <v>2517.54</v>
      </c>
      <c r="D1984" s="1">
        <v>1376.27</v>
      </c>
    </row>
    <row r="1985" spans="1:4" x14ac:dyDescent="0.25">
      <c r="A1985" s="7">
        <v>43990.5</v>
      </c>
      <c r="B1985" s="1" t="s">
        <v>73</v>
      </c>
      <c r="C1985" s="1">
        <v>6636.53</v>
      </c>
      <c r="D1985" s="1">
        <v>1117.76</v>
      </c>
    </row>
    <row r="1986" spans="1:4" x14ac:dyDescent="0.25">
      <c r="A1986" s="7">
        <v>43990.5</v>
      </c>
      <c r="B1986" s="1" t="s">
        <v>68</v>
      </c>
      <c r="C1986" s="1">
        <v>7697.27</v>
      </c>
      <c r="D1986" s="1">
        <v>2706.26</v>
      </c>
    </row>
    <row r="1987" spans="1:4" x14ac:dyDescent="0.25">
      <c r="A1987" s="7">
        <v>43990.5</v>
      </c>
      <c r="B1987" s="1" t="s">
        <v>71</v>
      </c>
      <c r="C1987" s="1">
        <v>9774.99</v>
      </c>
      <c r="D1987" s="1">
        <v>2764.59</v>
      </c>
    </row>
    <row r="1988" spans="1:4" x14ac:dyDescent="0.25">
      <c r="A1988" s="7">
        <v>43990.5</v>
      </c>
      <c r="B1988" s="1" t="s">
        <v>69</v>
      </c>
      <c r="C1988" s="1">
        <v>7088.27</v>
      </c>
      <c r="D1988" s="1">
        <v>4797.91</v>
      </c>
    </row>
    <row r="1989" spans="1:4" x14ac:dyDescent="0.25">
      <c r="A1989" s="7">
        <v>43990.5</v>
      </c>
      <c r="B1989" s="1" t="s">
        <v>70</v>
      </c>
      <c r="C1989" s="1">
        <v>7359.46</v>
      </c>
      <c r="D1989" s="1">
        <v>2823.72</v>
      </c>
    </row>
    <row r="1990" spans="1:4" x14ac:dyDescent="0.25">
      <c r="A1990" s="7">
        <v>43990.5</v>
      </c>
      <c r="B1990" s="1" t="s">
        <v>76</v>
      </c>
      <c r="C1990" s="1">
        <v>13324.31</v>
      </c>
      <c r="D1990" s="1">
        <v>2537.11</v>
      </c>
    </row>
    <row r="1991" spans="1:4" x14ac:dyDescent="0.25">
      <c r="A1991" s="7">
        <v>43990.5</v>
      </c>
      <c r="B1991" s="1" t="s">
        <v>72</v>
      </c>
      <c r="C1991" s="1">
        <v>9996.64</v>
      </c>
      <c r="D1991" s="1">
        <v>5702.02</v>
      </c>
    </row>
    <row r="1992" spans="1:4" x14ac:dyDescent="0.25">
      <c r="A1992" s="7">
        <v>43990.5</v>
      </c>
      <c r="B1992" s="1" t="s">
        <v>77</v>
      </c>
      <c r="C1992" s="1">
        <v>10314.57</v>
      </c>
      <c r="D1992" s="1">
        <v>3000.65</v>
      </c>
    </row>
    <row r="1993" spans="1:4" x14ac:dyDescent="0.25">
      <c r="A1993" s="1"/>
      <c r="B1993" s="1"/>
      <c r="C1993" s="1"/>
      <c r="D1993" s="1"/>
    </row>
    <row r="1994" spans="1:4" x14ac:dyDescent="0.25">
      <c r="A1994" s="1"/>
      <c r="B1994" s="1"/>
      <c r="C1994" s="1"/>
      <c r="D1994" s="1"/>
    </row>
    <row r="1995" spans="1:4" x14ac:dyDescent="0.25">
      <c r="A1995" s="1"/>
      <c r="B1995" s="1"/>
      <c r="C1995" s="1"/>
      <c r="D1995" s="1"/>
    </row>
    <row r="1996" spans="1:4" x14ac:dyDescent="0.25">
      <c r="A1996" s="1"/>
      <c r="B1996" s="1"/>
      <c r="C1996" s="1"/>
      <c r="D1996" s="1"/>
    </row>
    <row r="1997" spans="1:4" x14ac:dyDescent="0.25">
      <c r="A1997" s="1"/>
      <c r="B1997" s="1"/>
      <c r="C1997" s="1"/>
      <c r="D1997" s="1"/>
    </row>
    <row r="1998" spans="1:4" x14ac:dyDescent="0.25">
      <c r="A1998" s="1"/>
      <c r="B1998" s="1"/>
      <c r="C1998" s="1"/>
      <c r="D1998" s="1"/>
    </row>
    <row r="1999" spans="1:4" x14ac:dyDescent="0.25">
      <c r="A1999" s="1"/>
      <c r="B1999" s="1"/>
      <c r="C1999" s="1"/>
      <c r="D1999" s="1"/>
    </row>
    <row r="2000" spans="1:4" x14ac:dyDescent="0.25">
      <c r="A2000" s="1"/>
      <c r="B2000" s="1"/>
      <c r="C2000" s="1"/>
      <c r="D2000" s="1"/>
    </row>
    <row r="2001" spans="1:4" x14ac:dyDescent="0.25">
      <c r="A2001" s="1"/>
      <c r="B2001" s="1"/>
      <c r="C2001" s="1"/>
      <c r="D2001" s="1"/>
    </row>
    <row r="2002" spans="1:4" x14ac:dyDescent="0.25">
      <c r="A2002" s="1"/>
      <c r="B2002" s="1"/>
      <c r="C2002" s="1"/>
      <c r="D2002" s="1"/>
    </row>
    <row r="2003" spans="1:4" x14ac:dyDescent="0.25">
      <c r="A2003" s="1"/>
      <c r="B2003" s="1"/>
      <c r="C2003" s="1"/>
      <c r="D2003" s="1"/>
    </row>
    <row r="2004" spans="1:4" x14ac:dyDescent="0.25">
      <c r="A2004" s="1"/>
      <c r="B2004" s="1"/>
      <c r="C2004" s="1"/>
      <c r="D2004" s="1"/>
    </row>
    <row r="2005" spans="1:4" x14ac:dyDescent="0.25">
      <c r="A2005" s="1"/>
      <c r="B2005" s="1"/>
      <c r="C2005" s="1"/>
      <c r="D2005" s="1"/>
    </row>
    <row r="2006" spans="1:4" x14ac:dyDescent="0.25">
      <c r="A2006" s="1"/>
      <c r="B2006" s="1"/>
      <c r="C2006" s="1"/>
      <c r="D2006" s="1"/>
    </row>
    <row r="2007" spans="1:4" x14ac:dyDescent="0.25">
      <c r="A2007" s="1"/>
      <c r="B2007" s="1"/>
      <c r="C2007" s="1"/>
      <c r="D2007" s="1"/>
    </row>
    <row r="2008" spans="1:4" x14ac:dyDescent="0.25">
      <c r="A2008" s="1"/>
      <c r="B2008" s="1"/>
      <c r="C2008" s="1"/>
      <c r="D2008" s="1"/>
    </row>
    <row r="2009" spans="1:4" x14ac:dyDescent="0.25">
      <c r="A2009" s="1"/>
      <c r="B2009" s="1"/>
      <c r="C2009" s="1"/>
      <c r="D2009" s="1"/>
    </row>
    <row r="2010" spans="1:4" x14ac:dyDescent="0.25">
      <c r="A2010" s="1"/>
      <c r="B2010" s="1"/>
      <c r="C2010" s="1"/>
      <c r="D2010" s="1"/>
    </row>
    <row r="2011" spans="1:4" x14ac:dyDescent="0.25">
      <c r="A2011" s="1"/>
      <c r="B2011" s="1"/>
      <c r="C2011" s="1"/>
      <c r="D2011" s="1"/>
    </row>
    <row r="2012" spans="1:4" x14ac:dyDescent="0.25">
      <c r="A2012" s="1"/>
      <c r="B2012" s="1"/>
      <c r="C2012" s="1"/>
      <c r="D2012" s="1"/>
    </row>
    <row r="2013" spans="1:4" x14ac:dyDescent="0.25">
      <c r="A2013" s="1"/>
      <c r="B2013" s="1"/>
      <c r="C2013" s="1"/>
      <c r="D2013" s="1"/>
    </row>
    <row r="2014" spans="1:4" x14ac:dyDescent="0.25">
      <c r="A2014" s="1"/>
      <c r="B2014" s="1"/>
      <c r="C2014" s="1"/>
      <c r="D2014" s="1"/>
    </row>
    <row r="2015" spans="1:4" x14ac:dyDescent="0.25">
      <c r="A2015" s="1"/>
      <c r="B2015" s="1"/>
      <c r="C2015" s="1"/>
      <c r="D2015" s="1"/>
    </row>
    <row r="2016" spans="1:4" x14ac:dyDescent="0.25">
      <c r="A2016" s="1"/>
      <c r="B2016" s="1"/>
      <c r="C2016" s="1"/>
      <c r="D2016" s="1"/>
    </row>
    <row r="2017" spans="1:4" x14ac:dyDescent="0.25">
      <c r="A2017" s="1"/>
      <c r="B2017" s="1"/>
      <c r="C2017" s="1"/>
      <c r="D2017" s="1"/>
    </row>
    <row r="2018" spans="1:4" x14ac:dyDescent="0.25">
      <c r="A2018" s="1"/>
      <c r="B2018" s="1"/>
      <c r="C2018" s="1"/>
      <c r="D2018" s="1"/>
    </row>
    <row r="2019" spans="1:4" x14ac:dyDescent="0.25">
      <c r="A2019" s="1"/>
      <c r="B2019" s="1"/>
      <c r="C2019" s="1"/>
      <c r="D2019" s="1"/>
    </row>
    <row r="2020" spans="1:4" x14ac:dyDescent="0.25">
      <c r="A2020" s="1"/>
      <c r="B2020" s="1"/>
      <c r="C2020" s="1"/>
      <c r="D2020" s="1"/>
    </row>
    <row r="2021" spans="1:4" x14ac:dyDescent="0.25">
      <c r="A2021" s="1"/>
      <c r="B2021" s="1"/>
      <c r="C2021" s="1"/>
      <c r="D2021" s="1"/>
    </row>
    <row r="2022" spans="1:4" x14ac:dyDescent="0.25">
      <c r="A2022" s="1"/>
      <c r="B2022" s="1"/>
      <c r="C2022" s="1"/>
      <c r="D2022" s="1"/>
    </row>
    <row r="2023" spans="1:4" x14ac:dyDescent="0.25">
      <c r="A2023" s="1"/>
      <c r="B2023" s="1"/>
      <c r="C2023" s="1"/>
      <c r="D2023" s="1"/>
    </row>
    <row r="2024" spans="1:4" x14ac:dyDescent="0.25">
      <c r="A2024" s="1"/>
      <c r="B2024" s="1"/>
      <c r="C2024" s="1"/>
      <c r="D2024" s="1"/>
    </row>
    <row r="2025" spans="1:4" x14ac:dyDescent="0.25">
      <c r="A2025" s="1"/>
      <c r="B2025" s="1"/>
      <c r="C2025" s="1"/>
      <c r="D2025" s="1"/>
    </row>
    <row r="2026" spans="1:4" x14ac:dyDescent="0.25">
      <c r="A2026" s="1"/>
      <c r="B2026" s="1"/>
      <c r="C2026" s="1"/>
      <c r="D2026" s="1"/>
    </row>
    <row r="2027" spans="1:4" x14ac:dyDescent="0.25">
      <c r="A2027" s="1"/>
      <c r="B2027" s="1"/>
      <c r="C2027" s="1"/>
      <c r="D2027" s="1"/>
    </row>
    <row r="2028" spans="1:4" x14ac:dyDescent="0.25">
      <c r="A2028" s="1"/>
      <c r="B2028" s="1"/>
      <c r="C2028" s="1"/>
      <c r="D2028" s="1"/>
    </row>
    <row r="2029" spans="1:4" x14ac:dyDescent="0.25">
      <c r="A2029" s="1"/>
      <c r="B2029" s="1"/>
      <c r="C2029" s="1"/>
      <c r="D2029" s="1"/>
    </row>
    <row r="2030" spans="1:4" x14ac:dyDescent="0.25">
      <c r="A2030" s="1"/>
      <c r="B2030" s="1"/>
      <c r="C2030" s="1"/>
      <c r="D2030" s="1"/>
    </row>
    <row r="2031" spans="1:4" x14ac:dyDescent="0.25">
      <c r="A2031" s="1"/>
      <c r="B2031" s="1"/>
      <c r="C2031" s="1"/>
      <c r="D2031" s="1"/>
    </row>
    <row r="2032" spans="1:4" x14ac:dyDescent="0.25">
      <c r="A2032" s="1"/>
      <c r="B2032" s="1"/>
      <c r="C2032" s="1"/>
      <c r="D2032" s="1"/>
    </row>
    <row r="2033" spans="1:4" x14ac:dyDescent="0.25">
      <c r="A2033" s="1"/>
      <c r="B2033" s="1"/>
      <c r="C2033" s="1"/>
      <c r="D2033" s="1"/>
    </row>
    <row r="2034" spans="1:4" x14ac:dyDescent="0.25">
      <c r="A2034" s="1"/>
      <c r="B2034" s="1"/>
      <c r="C2034" s="1"/>
      <c r="D2034" s="1"/>
    </row>
    <row r="2035" spans="1:4" x14ac:dyDescent="0.25">
      <c r="A2035" s="1"/>
      <c r="B2035" s="1"/>
      <c r="C2035" s="1"/>
      <c r="D2035" s="1"/>
    </row>
    <row r="2036" spans="1:4" x14ac:dyDescent="0.25">
      <c r="A2036" s="1"/>
      <c r="B2036" s="1"/>
      <c r="C2036" s="1"/>
      <c r="D2036" s="1"/>
    </row>
    <row r="2037" spans="1:4" x14ac:dyDescent="0.25">
      <c r="A2037" s="1"/>
      <c r="B2037" s="1"/>
      <c r="C2037" s="1"/>
      <c r="D2037" s="1"/>
    </row>
    <row r="2038" spans="1:4" x14ac:dyDescent="0.25">
      <c r="A2038" s="1"/>
      <c r="B2038" s="1"/>
      <c r="C2038" s="1"/>
      <c r="D2038" s="1"/>
    </row>
    <row r="2039" spans="1:4" x14ac:dyDescent="0.25">
      <c r="A2039" s="1"/>
      <c r="B2039" s="1"/>
      <c r="C2039" s="1"/>
      <c r="D2039" s="1"/>
    </row>
    <row r="2040" spans="1:4" x14ac:dyDescent="0.25">
      <c r="A2040" s="1"/>
      <c r="B2040" s="1"/>
      <c r="C2040" s="1"/>
      <c r="D2040" s="1"/>
    </row>
    <row r="2041" spans="1:4" x14ac:dyDescent="0.25">
      <c r="A2041" s="1"/>
      <c r="B2041" s="1"/>
      <c r="C2041" s="1"/>
      <c r="D2041" s="1"/>
    </row>
    <row r="2042" spans="1:4" x14ac:dyDescent="0.25">
      <c r="A2042" s="1"/>
      <c r="B2042" s="1"/>
      <c r="C2042" s="1"/>
      <c r="D2042" s="1"/>
    </row>
    <row r="2043" spans="1:4" x14ac:dyDescent="0.25">
      <c r="A2043" s="1"/>
      <c r="B2043" s="1"/>
      <c r="C2043" s="1"/>
      <c r="D2043" s="1"/>
    </row>
    <row r="2044" spans="1:4" x14ac:dyDescent="0.25">
      <c r="A2044" s="1"/>
      <c r="B2044" s="1"/>
      <c r="C2044" s="1"/>
      <c r="D2044" s="1"/>
    </row>
    <row r="2045" spans="1:4" x14ac:dyDescent="0.25">
      <c r="A2045" s="1"/>
      <c r="B2045" s="1"/>
      <c r="C2045" s="1"/>
      <c r="D2045" s="1"/>
    </row>
    <row r="2046" spans="1:4" x14ac:dyDescent="0.25">
      <c r="A2046" s="1"/>
      <c r="B2046" s="1"/>
      <c r="C2046" s="1"/>
      <c r="D2046" s="1"/>
    </row>
    <row r="2047" spans="1:4" x14ac:dyDescent="0.25">
      <c r="A2047" s="1"/>
      <c r="B2047" s="1"/>
      <c r="C2047" s="1"/>
      <c r="D2047" s="1"/>
    </row>
    <row r="2048" spans="1:4" x14ac:dyDescent="0.25">
      <c r="A2048" s="1"/>
      <c r="B2048" s="1"/>
      <c r="C2048" s="1"/>
      <c r="D2048" s="1"/>
    </row>
    <row r="2049" spans="1:4" x14ac:dyDescent="0.25">
      <c r="A2049" s="1"/>
      <c r="B2049" s="1"/>
      <c r="C2049" s="1"/>
      <c r="D2049" s="1"/>
    </row>
    <row r="2050" spans="1:4" x14ac:dyDescent="0.25">
      <c r="A2050" s="1"/>
      <c r="B2050" s="1"/>
      <c r="C2050" s="1"/>
      <c r="D2050" s="1"/>
    </row>
    <row r="2051" spans="1:4" x14ac:dyDescent="0.25">
      <c r="A2051" s="1"/>
      <c r="B2051" s="1"/>
      <c r="C2051" s="1"/>
      <c r="D2051" s="1"/>
    </row>
    <row r="2052" spans="1:4" x14ac:dyDescent="0.25">
      <c r="A2052" s="1"/>
      <c r="B2052" s="1"/>
      <c r="C2052" s="1"/>
      <c r="D2052" s="1"/>
    </row>
    <row r="2053" spans="1:4" x14ac:dyDescent="0.25">
      <c r="A2053" s="1"/>
      <c r="B2053" s="1"/>
      <c r="C2053" s="1"/>
      <c r="D2053" s="1"/>
    </row>
    <row r="2054" spans="1:4" x14ac:dyDescent="0.25">
      <c r="A2054" s="1"/>
      <c r="B2054" s="1"/>
      <c r="C2054" s="1"/>
      <c r="D2054" s="1"/>
    </row>
    <row r="2055" spans="1:4" x14ac:dyDescent="0.25">
      <c r="A2055" s="1"/>
      <c r="B2055" s="1"/>
      <c r="C2055" s="1"/>
      <c r="D2055" s="1"/>
    </row>
    <row r="2056" spans="1:4" x14ac:dyDescent="0.25">
      <c r="A2056" s="1"/>
      <c r="B2056" s="1"/>
      <c r="C2056" s="1"/>
      <c r="D2056" s="1"/>
    </row>
    <row r="2057" spans="1:4" x14ac:dyDescent="0.25">
      <c r="A2057" s="1"/>
      <c r="B2057" s="1"/>
      <c r="C2057" s="1"/>
      <c r="D2057" s="1"/>
    </row>
    <row r="2058" spans="1:4" x14ac:dyDescent="0.25">
      <c r="A2058" s="1"/>
      <c r="B2058" s="1"/>
      <c r="C2058" s="1"/>
      <c r="D2058" s="1"/>
    </row>
    <row r="2059" spans="1:4" x14ac:dyDescent="0.25">
      <c r="A2059" s="1"/>
      <c r="B2059" s="1"/>
      <c r="C2059" s="1"/>
      <c r="D2059" s="1"/>
    </row>
    <row r="2060" spans="1:4" x14ac:dyDescent="0.25">
      <c r="A2060" s="1"/>
      <c r="B2060" s="1"/>
      <c r="C2060" s="1"/>
      <c r="D2060" s="1"/>
    </row>
    <row r="2061" spans="1:4" x14ac:dyDescent="0.25">
      <c r="A2061" s="1"/>
      <c r="B2061" s="1"/>
      <c r="C2061" s="1"/>
      <c r="D2061" s="1"/>
    </row>
    <row r="2062" spans="1:4" x14ac:dyDescent="0.25">
      <c r="A2062" s="1"/>
      <c r="B2062" s="1"/>
      <c r="C2062" s="1"/>
      <c r="D2062" s="1"/>
    </row>
    <row r="2063" spans="1:4" x14ac:dyDescent="0.25">
      <c r="A2063" s="1"/>
      <c r="B2063" s="1"/>
      <c r="C2063" s="1"/>
      <c r="D2063" s="1"/>
    </row>
    <row r="2064" spans="1:4" x14ac:dyDescent="0.25">
      <c r="A2064" s="1"/>
      <c r="B2064" s="1"/>
      <c r="C2064" s="1"/>
      <c r="D2064" s="1"/>
    </row>
    <row r="2065" spans="1:4" x14ac:dyDescent="0.25">
      <c r="A2065" s="1"/>
      <c r="B2065" s="1"/>
      <c r="C2065" s="1"/>
      <c r="D2065" s="1"/>
    </row>
    <row r="2066" spans="1:4" x14ac:dyDescent="0.25">
      <c r="A2066" s="1"/>
      <c r="B2066" s="1"/>
      <c r="C2066" s="1"/>
      <c r="D2066" s="1"/>
    </row>
    <row r="2067" spans="1:4" x14ac:dyDescent="0.25">
      <c r="A2067" s="1"/>
      <c r="B2067" s="1"/>
      <c r="C2067" s="1"/>
      <c r="D2067" s="1"/>
    </row>
    <row r="2068" spans="1:4" x14ac:dyDescent="0.25">
      <c r="A2068" s="1"/>
      <c r="B2068" s="1"/>
      <c r="C2068" s="1"/>
      <c r="D2068" s="1"/>
    </row>
    <row r="2069" spans="1:4" x14ac:dyDescent="0.25">
      <c r="A2069" s="1"/>
      <c r="B2069" s="1"/>
      <c r="C2069" s="1"/>
      <c r="D2069" s="1"/>
    </row>
    <row r="2070" spans="1:4" x14ac:dyDescent="0.25">
      <c r="A2070" s="1"/>
      <c r="B2070" s="1"/>
      <c r="C2070" s="1"/>
      <c r="D2070" s="1"/>
    </row>
    <row r="2071" spans="1:4" x14ac:dyDescent="0.25">
      <c r="A2071" s="1"/>
      <c r="B2071" s="1"/>
      <c r="C2071" s="1"/>
      <c r="D2071" s="1"/>
    </row>
    <row r="2072" spans="1:4" x14ac:dyDescent="0.25">
      <c r="A2072" s="1"/>
      <c r="B2072" s="1"/>
      <c r="C2072" s="1"/>
      <c r="D2072" s="1"/>
    </row>
    <row r="2073" spans="1:4" x14ac:dyDescent="0.25">
      <c r="A2073" s="1"/>
      <c r="B2073" s="1"/>
      <c r="C2073" s="1"/>
      <c r="D2073" s="1"/>
    </row>
    <row r="2074" spans="1:4" x14ac:dyDescent="0.25">
      <c r="A2074" s="1"/>
      <c r="B2074" s="1"/>
      <c r="C2074" s="1"/>
      <c r="D2074" s="1"/>
    </row>
    <row r="2075" spans="1:4" x14ac:dyDescent="0.25">
      <c r="A2075" s="1"/>
      <c r="B2075" s="1"/>
      <c r="C2075" s="1"/>
      <c r="D2075" s="1"/>
    </row>
    <row r="2076" spans="1:4" x14ac:dyDescent="0.25">
      <c r="A2076" s="1"/>
      <c r="B2076" s="1"/>
      <c r="C2076" s="1"/>
      <c r="D2076" s="1"/>
    </row>
    <row r="2077" spans="1:4" x14ac:dyDescent="0.25">
      <c r="A2077" s="1"/>
      <c r="B2077" s="1"/>
      <c r="C2077" s="1"/>
      <c r="D2077" s="1"/>
    </row>
    <row r="2078" spans="1:4" x14ac:dyDescent="0.25">
      <c r="A2078" s="1"/>
      <c r="B2078" s="1"/>
      <c r="C2078" s="1"/>
      <c r="D2078" s="1"/>
    </row>
    <row r="2079" spans="1:4" x14ac:dyDescent="0.25">
      <c r="A2079" s="1"/>
      <c r="B2079" s="1"/>
      <c r="C2079" s="1"/>
      <c r="D2079" s="1"/>
    </row>
    <row r="2080" spans="1:4" x14ac:dyDescent="0.25">
      <c r="A2080" s="1"/>
      <c r="B2080" s="1"/>
      <c r="C2080" s="1"/>
      <c r="D2080" s="1"/>
    </row>
    <row r="2081" spans="1:4" x14ac:dyDescent="0.25">
      <c r="A2081" s="1"/>
      <c r="B2081" s="1"/>
      <c r="C2081" s="1"/>
      <c r="D2081" s="1"/>
    </row>
    <row r="2082" spans="1:4" x14ac:dyDescent="0.25">
      <c r="A2082" s="1"/>
      <c r="B2082" s="1"/>
      <c r="C2082" s="1"/>
      <c r="D2082" s="1"/>
    </row>
    <row r="2083" spans="1:4" x14ac:dyDescent="0.25">
      <c r="A2083" s="1"/>
      <c r="B2083" s="1"/>
      <c r="C2083" s="1"/>
      <c r="D2083" s="1"/>
    </row>
    <row r="2084" spans="1:4" x14ac:dyDescent="0.25">
      <c r="A2084" s="1"/>
      <c r="B2084" s="1"/>
      <c r="C2084" s="1"/>
      <c r="D2084" s="1"/>
    </row>
    <row r="2085" spans="1:4" x14ac:dyDescent="0.25">
      <c r="A2085" s="1"/>
      <c r="B2085" s="1"/>
      <c r="C2085" s="1"/>
      <c r="D2085" s="1"/>
    </row>
    <row r="2086" spans="1:4" x14ac:dyDescent="0.25">
      <c r="A2086" s="1"/>
      <c r="B2086" s="1"/>
      <c r="C2086" s="1"/>
      <c r="D2086" s="1"/>
    </row>
    <row r="2087" spans="1:4" x14ac:dyDescent="0.25">
      <c r="A2087" s="1"/>
      <c r="B2087" s="1"/>
      <c r="C2087" s="1"/>
      <c r="D2087" s="1"/>
    </row>
    <row r="2088" spans="1:4" x14ac:dyDescent="0.25">
      <c r="A2088" s="1"/>
      <c r="B2088" s="1"/>
      <c r="C2088" s="1"/>
      <c r="D2088" s="1"/>
    </row>
    <row r="2089" spans="1:4" x14ac:dyDescent="0.25">
      <c r="A2089" s="1"/>
      <c r="B2089" s="1"/>
      <c r="C2089" s="1"/>
      <c r="D2089" s="1"/>
    </row>
    <row r="2090" spans="1:4" x14ac:dyDescent="0.25">
      <c r="A2090" s="1"/>
      <c r="B2090" s="1"/>
      <c r="C2090" s="1"/>
      <c r="D2090" s="1"/>
    </row>
    <row r="2091" spans="1:4" x14ac:dyDescent="0.25">
      <c r="A2091" s="1"/>
      <c r="B2091" s="1"/>
      <c r="C2091" s="1"/>
      <c r="D2091" s="1"/>
    </row>
  </sheetData>
  <pageMargins left="0.7" right="0.7" top="0.75" bottom="0.75" header="0.3" footer="0.3"/>
  <pageSetup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091"/>
  <sheetViews>
    <sheetView topLeftCell="D1" workbookViewId="0">
      <selection activeCell="A2" sqref="A2:D1992"/>
    </sheetView>
  </sheetViews>
  <sheetFormatPr defaultRowHeight="15" x14ac:dyDescent="0.25"/>
  <cols>
    <col min="1" max="1" width="18.42578125" customWidth="1"/>
    <col min="2" max="2" width="17" customWidth="1"/>
  </cols>
  <sheetData>
    <row r="1" spans="1:12" x14ac:dyDescent="0.25">
      <c r="A1" s="28" t="s">
        <v>0</v>
      </c>
      <c r="B1" s="1" t="s">
        <v>1</v>
      </c>
      <c r="C1" s="1" t="s">
        <v>3</v>
      </c>
      <c r="D1" s="1" t="s">
        <v>4</v>
      </c>
      <c r="I1" s="1" t="s">
        <v>0</v>
      </c>
      <c r="J1" s="1" t="s">
        <v>1</v>
      </c>
      <c r="K1" s="1" t="s">
        <v>3</v>
      </c>
      <c r="L1" s="1" t="s">
        <v>4</v>
      </c>
    </row>
    <row r="2" spans="1:12" x14ac:dyDescent="0.25">
      <c r="A2" s="1" t="s">
        <v>130</v>
      </c>
      <c r="B2" s="1" t="s">
        <v>74</v>
      </c>
      <c r="C2" s="1">
        <v>1814.25</v>
      </c>
      <c r="D2" s="1">
        <v>414.65</v>
      </c>
    </row>
    <row r="3" spans="1:12" x14ac:dyDescent="0.25">
      <c r="A3" s="1" t="s">
        <v>130</v>
      </c>
      <c r="B3" s="1" t="s">
        <v>75</v>
      </c>
      <c r="C3" s="1">
        <v>484.83</v>
      </c>
      <c r="D3" s="1">
        <v>182.78</v>
      </c>
    </row>
    <row r="4" spans="1:12" x14ac:dyDescent="0.25">
      <c r="A4" s="1" t="s">
        <v>130</v>
      </c>
      <c r="B4" s="1" t="s">
        <v>76</v>
      </c>
      <c r="C4" s="1">
        <v>3382.22</v>
      </c>
      <c r="D4" s="1">
        <v>730.89</v>
      </c>
    </row>
    <row r="5" spans="1:12" x14ac:dyDescent="0.25">
      <c r="A5" s="1" t="s">
        <v>130</v>
      </c>
      <c r="B5" s="1" t="s">
        <v>68</v>
      </c>
      <c r="C5" s="1">
        <v>2366.6</v>
      </c>
      <c r="D5" s="1">
        <v>813.48</v>
      </c>
    </row>
    <row r="6" spans="1:12" x14ac:dyDescent="0.25">
      <c r="A6" s="1" t="s">
        <v>130</v>
      </c>
      <c r="B6" s="1" t="s">
        <v>77</v>
      </c>
      <c r="C6" s="1">
        <v>5140.6400000000003</v>
      </c>
      <c r="D6" s="1">
        <v>1385.89</v>
      </c>
    </row>
    <row r="7" spans="1:12" x14ac:dyDescent="0.25">
      <c r="A7" s="1" t="s">
        <v>130</v>
      </c>
      <c r="B7" s="1" t="s">
        <v>69</v>
      </c>
      <c r="C7" s="1">
        <v>3154.53</v>
      </c>
      <c r="D7" s="1">
        <v>1854.81</v>
      </c>
    </row>
    <row r="8" spans="1:12" x14ac:dyDescent="0.25">
      <c r="A8" s="1" t="s">
        <v>130</v>
      </c>
      <c r="B8" s="1" t="s">
        <v>70</v>
      </c>
      <c r="C8" s="1">
        <v>2281.34</v>
      </c>
      <c r="D8" s="1">
        <v>869.29</v>
      </c>
    </row>
    <row r="9" spans="1:12" x14ac:dyDescent="0.25">
      <c r="A9" s="1" t="s">
        <v>130</v>
      </c>
      <c r="B9" s="1" t="s">
        <v>78</v>
      </c>
      <c r="C9" s="1">
        <v>954.68</v>
      </c>
      <c r="D9" s="1">
        <v>470.59</v>
      </c>
    </row>
    <row r="10" spans="1:12" x14ac:dyDescent="0.25">
      <c r="A10" s="1" t="s">
        <v>130</v>
      </c>
      <c r="B10" s="1" t="s">
        <v>73</v>
      </c>
      <c r="C10" s="1">
        <v>1782.61</v>
      </c>
      <c r="D10" s="1">
        <v>340.69</v>
      </c>
    </row>
    <row r="11" spans="1:12" x14ac:dyDescent="0.25">
      <c r="A11" s="1" t="s">
        <v>130</v>
      </c>
      <c r="B11" s="1" t="s">
        <v>72</v>
      </c>
      <c r="C11" s="1">
        <v>4254.3500000000004</v>
      </c>
      <c r="D11" s="1">
        <v>2306.0300000000002</v>
      </c>
    </row>
    <row r="12" spans="1:12" x14ac:dyDescent="0.25">
      <c r="A12" s="1" t="s">
        <v>130</v>
      </c>
      <c r="B12" s="1" t="s">
        <v>71</v>
      </c>
      <c r="C12" s="1">
        <v>2359.6799999999998</v>
      </c>
      <c r="D12" s="1">
        <v>632.76</v>
      </c>
    </row>
    <row r="13" spans="1:12" x14ac:dyDescent="0.25">
      <c r="A13" s="1" t="s">
        <v>131</v>
      </c>
      <c r="B13" s="1" t="s">
        <v>75</v>
      </c>
      <c r="C13" s="1">
        <v>261.5</v>
      </c>
      <c r="D13" s="1">
        <v>102.62</v>
      </c>
    </row>
    <row r="14" spans="1:12" x14ac:dyDescent="0.25">
      <c r="A14" s="1" t="s">
        <v>131</v>
      </c>
      <c r="B14" s="1" t="s">
        <v>74</v>
      </c>
      <c r="C14" s="1">
        <v>862.26</v>
      </c>
      <c r="D14" s="1">
        <v>217.6</v>
      </c>
    </row>
    <row r="15" spans="1:12" x14ac:dyDescent="0.25">
      <c r="A15" s="1" t="s">
        <v>131</v>
      </c>
      <c r="B15" s="1" t="s">
        <v>72</v>
      </c>
      <c r="C15" s="1">
        <v>2143.66</v>
      </c>
      <c r="D15" s="1">
        <v>1132.19</v>
      </c>
    </row>
    <row r="16" spans="1:12" x14ac:dyDescent="0.25">
      <c r="A16" s="1" t="s">
        <v>131</v>
      </c>
      <c r="B16" s="1" t="s">
        <v>76</v>
      </c>
      <c r="C16" s="1">
        <v>1524.88</v>
      </c>
      <c r="D16" s="1">
        <v>336.81</v>
      </c>
    </row>
    <row r="17" spans="1:4" x14ac:dyDescent="0.25">
      <c r="A17" s="1" t="s">
        <v>131</v>
      </c>
      <c r="B17" s="1" t="s">
        <v>73</v>
      </c>
      <c r="C17" s="1">
        <v>819.73</v>
      </c>
      <c r="D17" s="1">
        <v>138.05000000000001</v>
      </c>
    </row>
    <row r="18" spans="1:4" x14ac:dyDescent="0.25">
      <c r="A18" s="1" t="s">
        <v>131</v>
      </c>
      <c r="B18" s="1" t="s">
        <v>71</v>
      </c>
      <c r="C18" s="1">
        <v>1074.96</v>
      </c>
      <c r="D18" s="1">
        <v>260.31</v>
      </c>
    </row>
    <row r="19" spans="1:4" x14ac:dyDescent="0.25">
      <c r="A19" s="1" t="s">
        <v>131</v>
      </c>
      <c r="B19" s="1" t="s">
        <v>68</v>
      </c>
      <c r="C19" s="1">
        <v>1009.66</v>
      </c>
      <c r="D19" s="1">
        <v>362</v>
      </c>
    </row>
    <row r="20" spans="1:4" x14ac:dyDescent="0.25">
      <c r="A20" s="1" t="s">
        <v>131</v>
      </c>
      <c r="B20" s="1" t="s">
        <v>77</v>
      </c>
      <c r="C20" s="1">
        <v>2390.36</v>
      </c>
      <c r="D20" s="1">
        <v>638.53</v>
      </c>
    </row>
    <row r="21" spans="1:4" x14ac:dyDescent="0.25">
      <c r="A21" s="1" t="s">
        <v>131</v>
      </c>
      <c r="B21" s="1" t="s">
        <v>70</v>
      </c>
      <c r="C21" s="1">
        <v>1073.57</v>
      </c>
      <c r="D21" s="1">
        <v>397.02</v>
      </c>
    </row>
    <row r="22" spans="1:4" x14ac:dyDescent="0.25">
      <c r="A22" s="1" t="s">
        <v>131</v>
      </c>
      <c r="B22" s="1" t="s">
        <v>69</v>
      </c>
      <c r="C22" s="1">
        <v>1516.94</v>
      </c>
      <c r="D22" s="1">
        <v>900.97</v>
      </c>
    </row>
    <row r="23" spans="1:4" x14ac:dyDescent="0.25">
      <c r="A23" s="1" t="s">
        <v>131</v>
      </c>
      <c r="B23" s="1" t="s">
        <v>78</v>
      </c>
      <c r="C23" s="1">
        <v>440.18</v>
      </c>
      <c r="D23" s="1">
        <v>200.02</v>
      </c>
    </row>
    <row r="24" spans="1:4" x14ac:dyDescent="0.25">
      <c r="A24" s="1" t="s">
        <v>132</v>
      </c>
      <c r="B24" s="1" t="s">
        <v>75</v>
      </c>
      <c r="C24" s="1">
        <v>127.79</v>
      </c>
      <c r="D24" s="1">
        <v>51.67</v>
      </c>
    </row>
    <row r="25" spans="1:4" x14ac:dyDescent="0.25">
      <c r="A25" s="1" t="s">
        <v>132</v>
      </c>
      <c r="B25" s="1" t="s">
        <v>74</v>
      </c>
      <c r="C25" s="1">
        <v>439.38</v>
      </c>
      <c r="D25" s="1">
        <v>120.03</v>
      </c>
    </row>
    <row r="26" spans="1:4" x14ac:dyDescent="0.25">
      <c r="A26" s="1" t="s">
        <v>132</v>
      </c>
      <c r="B26" s="1" t="s">
        <v>73</v>
      </c>
      <c r="C26" s="1">
        <v>416.34</v>
      </c>
      <c r="D26" s="1">
        <v>76.22</v>
      </c>
    </row>
    <row r="27" spans="1:4" x14ac:dyDescent="0.25">
      <c r="A27" s="1" t="s">
        <v>132</v>
      </c>
      <c r="B27" s="1" t="s">
        <v>68</v>
      </c>
      <c r="C27" s="1">
        <v>491.86</v>
      </c>
      <c r="D27" s="1">
        <v>174.09</v>
      </c>
    </row>
    <row r="28" spans="1:4" x14ac:dyDescent="0.25">
      <c r="A28" s="1" t="s">
        <v>132</v>
      </c>
      <c r="B28" s="1" t="s">
        <v>77</v>
      </c>
      <c r="C28" s="1">
        <v>1148.6500000000001</v>
      </c>
      <c r="D28" s="1">
        <v>310.82</v>
      </c>
    </row>
    <row r="29" spans="1:4" x14ac:dyDescent="0.25">
      <c r="A29" s="1" t="s">
        <v>132</v>
      </c>
      <c r="B29" s="1" t="s">
        <v>71</v>
      </c>
      <c r="C29" s="1">
        <v>554.04</v>
      </c>
      <c r="D29" s="1">
        <v>138.69999999999999</v>
      </c>
    </row>
    <row r="30" spans="1:4" x14ac:dyDescent="0.25">
      <c r="A30" s="1" t="s">
        <v>132</v>
      </c>
      <c r="B30" s="1" t="s">
        <v>70</v>
      </c>
      <c r="C30" s="1">
        <v>540.44000000000005</v>
      </c>
      <c r="D30" s="1">
        <v>206.95</v>
      </c>
    </row>
    <row r="31" spans="1:4" x14ac:dyDescent="0.25">
      <c r="A31" s="1" t="s">
        <v>132</v>
      </c>
      <c r="B31" s="1" t="s">
        <v>69</v>
      </c>
      <c r="C31" s="1">
        <v>731.48</v>
      </c>
      <c r="D31" s="1">
        <v>441.01</v>
      </c>
    </row>
    <row r="32" spans="1:4" x14ac:dyDescent="0.25">
      <c r="A32" s="1" t="s">
        <v>132</v>
      </c>
      <c r="B32" s="1" t="s">
        <v>78</v>
      </c>
      <c r="C32" s="1">
        <v>229.75</v>
      </c>
      <c r="D32" s="1">
        <v>95.71</v>
      </c>
    </row>
    <row r="33" spans="1:4" x14ac:dyDescent="0.25">
      <c r="A33" s="1" t="s">
        <v>132</v>
      </c>
      <c r="B33" s="1" t="s">
        <v>76</v>
      </c>
      <c r="C33" s="1">
        <v>776.95</v>
      </c>
      <c r="D33" s="1">
        <v>165.64</v>
      </c>
    </row>
    <row r="34" spans="1:4" x14ac:dyDescent="0.25">
      <c r="A34" s="1" t="s">
        <v>132</v>
      </c>
      <c r="B34" s="1" t="s">
        <v>72</v>
      </c>
      <c r="C34" s="1">
        <v>1037.75</v>
      </c>
      <c r="D34" s="1">
        <v>564.20000000000005</v>
      </c>
    </row>
    <row r="35" spans="1:4" x14ac:dyDescent="0.25">
      <c r="A35" s="1" t="s">
        <v>133</v>
      </c>
      <c r="B35" s="1" t="s">
        <v>75</v>
      </c>
      <c r="C35" s="1">
        <v>72.31</v>
      </c>
      <c r="D35" s="1">
        <v>25.66</v>
      </c>
    </row>
    <row r="36" spans="1:4" x14ac:dyDescent="0.25">
      <c r="A36" s="1" t="s">
        <v>133</v>
      </c>
      <c r="B36" s="1" t="s">
        <v>74</v>
      </c>
      <c r="C36" s="1">
        <v>283.67</v>
      </c>
      <c r="D36" s="1">
        <v>68.709999999999994</v>
      </c>
    </row>
    <row r="37" spans="1:4" x14ac:dyDescent="0.25">
      <c r="A37" s="1" t="s">
        <v>133</v>
      </c>
      <c r="B37" s="1" t="s">
        <v>78</v>
      </c>
      <c r="C37" s="1">
        <v>120.84</v>
      </c>
      <c r="D37" s="1">
        <v>50.81</v>
      </c>
    </row>
    <row r="38" spans="1:4" x14ac:dyDescent="0.25">
      <c r="A38" s="1" t="s">
        <v>133</v>
      </c>
      <c r="B38" s="1" t="s">
        <v>73</v>
      </c>
      <c r="C38" s="1">
        <v>269.77999999999997</v>
      </c>
      <c r="D38" s="1">
        <v>43.14</v>
      </c>
    </row>
    <row r="39" spans="1:4" x14ac:dyDescent="0.25">
      <c r="A39" s="1" t="s">
        <v>133</v>
      </c>
      <c r="B39" s="1" t="s">
        <v>71</v>
      </c>
      <c r="C39" s="1">
        <v>383.1</v>
      </c>
      <c r="D39" s="1">
        <v>81.19</v>
      </c>
    </row>
    <row r="40" spans="1:4" x14ac:dyDescent="0.25">
      <c r="A40" s="1" t="s">
        <v>133</v>
      </c>
      <c r="B40" s="1" t="s">
        <v>76</v>
      </c>
      <c r="C40" s="1">
        <v>462.49</v>
      </c>
      <c r="D40" s="1">
        <v>110.44</v>
      </c>
    </row>
    <row r="41" spans="1:4" x14ac:dyDescent="0.25">
      <c r="A41" s="1" t="s">
        <v>133</v>
      </c>
      <c r="B41" s="1" t="s">
        <v>72</v>
      </c>
      <c r="C41" s="1">
        <v>604.35</v>
      </c>
      <c r="D41" s="1">
        <v>318.22000000000003</v>
      </c>
    </row>
    <row r="42" spans="1:4" x14ac:dyDescent="0.25">
      <c r="A42" s="1" t="s">
        <v>133</v>
      </c>
      <c r="B42" s="1" t="s">
        <v>68</v>
      </c>
      <c r="C42" s="1">
        <v>294.16000000000003</v>
      </c>
      <c r="D42" s="1">
        <v>96.69</v>
      </c>
    </row>
    <row r="43" spans="1:4" x14ac:dyDescent="0.25">
      <c r="A43" s="1" t="s">
        <v>133</v>
      </c>
      <c r="B43" s="1" t="s">
        <v>77</v>
      </c>
      <c r="C43" s="1">
        <v>710.68</v>
      </c>
      <c r="D43" s="1">
        <v>202.44</v>
      </c>
    </row>
    <row r="44" spans="1:4" x14ac:dyDescent="0.25">
      <c r="A44" s="1" t="s">
        <v>133</v>
      </c>
      <c r="B44" s="1" t="s">
        <v>69</v>
      </c>
      <c r="C44" s="1">
        <v>425.13</v>
      </c>
      <c r="D44" s="1">
        <v>248.85</v>
      </c>
    </row>
    <row r="45" spans="1:4" x14ac:dyDescent="0.25">
      <c r="A45" s="1" t="s">
        <v>133</v>
      </c>
      <c r="B45" s="1" t="s">
        <v>70</v>
      </c>
      <c r="C45" s="1">
        <v>375.59</v>
      </c>
      <c r="D45" s="1">
        <v>129.28</v>
      </c>
    </row>
    <row r="46" spans="1:4" x14ac:dyDescent="0.25">
      <c r="A46" s="1" t="s">
        <v>134</v>
      </c>
      <c r="B46" s="1" t="s">
        <v>75</v>
      </c>
      <c r="C46" s="1">
        <v>46.39</v>
      </c>
      <c r="D46" s="1">
        <v>14.49</v>
      </c>
    </row>
    <row r="47" spans="1:4" x14ac:dyDescent="0.25">
      <c r="A47" s="1" t="s">
        <v>134</v>
      </c>
      <c r="B47" s="1" t="s">
        <v>74</v>
      </c>
      <c r="C47" s="1">
        <v>246.59</v>
      </c>
      <c r="D47" s="1">
        <v>59.25</v>
      </c>
    </row>
    <row r="48" spans="1:4" x14ac:dyDescent="0.25">
      <c r="A48" s="1" t="s">
        <v>134</v>
      </c>
      <c r="B48" s="1" t="s">
        <v>68</v>
      </c>
      <c r="C48" s="1">
        <v>279.20999999999998</v>
      </c>
      <c r="D48" s="1">
        <v>66.17</v>
      </c>
    </row>
    <row r="49" spans="1:4" x14ac:dyDescent="0.25">
      <c r="A49" s="1" t="s">
        <v>134</v>
      </c>
      <c r="B49" s="1" t="s">
        <v>71</v>
      </c>
      <c r="C49" s="1">
        <v>354.73</v>
      </c>
      <c r="D49" s="1">
        <v>69.709999999999994</v>
      </c>
    </row>
    <row r="50" spans="1:4" x14ac:dyDescent="0.25">
      <c r="A50" s="1" t="s">
        <v>134</v>
      </c>
      <c r="B50" s="1" t="s">
        <v>69</v>
      </c>
      <c r="C50" s="1">
        <v>323.70999999999998</v>
      </c>
      <c r="D50" s="1">
        <v>162.91999999999999</v>
      </c>
    </row>
    <row r="51" spans="1:4" x14ac:dyDescent="0.25">
      <c r="A51" s="1" t="s">
        <v>134</v>
      </c>
      <c r="B51" s="1" t="s">
        <v>70</v>
      </c>
      <c r="C51" s="1">
        <v>329.32</v>
      </c>
      <c r="D51" s="1">
        <v>114.47</v>
      </c>
    </row>
    <row r="52" spans="1:4" x14ac:dyDescent="0.25">
      <c r="A52" s="1" t="s">
        <v>134</v>
      </c>
      <c r="B52" s="1" t="s">
        <v>78</v>
      </c>
      <c r="C52" s="1">
        <v>92.68</v>
      </c>
      <c r="D52" s="1">
        <v>34.07</v>
      </c>
    </row>
    <row r="53" spans="1:4" x14ac:dyDescent="0.25">
      <c r="A53" s="1" t="s">
        <v>134</v>
      </c>
      <c r="B53" s="1" t="s">
        <v>76</v>
      </c>
      <c r="C53" s="1">
        <v>353.56</v>
      </c>
      <c r="D53" s="1">
        <v>82.18</v>
      </c>
    </row>
    <row r="54" spans="1:4" x14ac:dyDescent="0.25">
      <c r="A54" s="1" t="s">
        <v>134</v>
      </c>
      <c r="B54" s="1" t="s">
        <v>72</v>
      </c>
      <c r="C54" s="1">
        <v>458.73</v>
      </c>
      <c r="D54" s="1">
        <v>215.27</v>
      </c>
    </row>
    <row r="55" spans="1:4" x14ac:dyDescent="0.25">
      <c r="A55" s="1" t="s">
        <v>134</v>
      </c>
      <c r="B55" s="1" t="s">
        <v>73</v>
      </c>
      <c r="C55" s="1">
        <v>221.75</v>
      </c>
      <c r="D55" s="1">
        <v>37.11</v>
      </c>
    </row>
    <row r="56" spans="1:4" x14ac:dyDescent="0.25">
      <c r="A56" s="1" t="s">
        <v>134</v>
      </c>
      <c r="B56" s="1" t="s">
        <v>77</v>
      </c>
      <c r="C56" s="1">
        <v>643.9</v>
      </c>
      <c r="D56" s="1">
        <v>169.38</v>
      </c>
    </row>
    <row r="57" spans="1:4" x14ac:dyDescent="0.25">
      <c r="A57" s="1" t="s">
        <v>135</v>
      </c>
      <c r="B57" s="1" t="s">
        <v>75</v>
      </c>
      <c r="C57" s="1">
        <v>73.55</v>
      </c>
      <c r="D57" s="1">
        <v>15.22</v>
      </c>
    </row>
    <row r="58" spans="1:4" x14ac:dyDescent="0.25">
      <c r="A58" s="1" t="s">
        <v>135</v>
      </c>
      <c r="B58" s="1" t="s">
        <v>74</v>
      </c>
      <c r="C58" s="1">
        <v>687.26</v>
      </c>
      <c r="D58" s="1">
        <v>97.89</v>
      </c>
    </row>
    <row r="59" spans="1:4" x14ac:dyDescent="0.25">
      <c r="A59" s="1" t="s">
        <v>135</v>
      </c>
      <c r="B59" s="1" t="s">
        <v>76</v>
      </c>
      <c r="C59" s="1">
        <v>1054.6400000000001</v>
      </c>
      <c r="D59" s="1">
        <v>153.76</v>
      </c>
    </row>
    <row r="60" spans="1:4" x14ac:dyDescent="0.25">
      <c r="A60" s="1" t="s">
        <v>135</v>
      </c>
      <c r="B60" s="1" t="s">
        <v>68</v>
      </c>
      <c r="C60" s="1">
        <v>1079.17</v>
      </c>
      <c r="D60" s="1">
        <v>169.01</v>
      </c>
    </row>
    <row r="61" spans="1:4" x14ac:dyDescent="0.25">
      <c r="A61" s="1" t="s">
        <v>135</v>
      </c>
      <c r="B61" s="1" t="s">
        <v>77</v>
      </c>
      <c r="C61" s="1">
        <v>1576.75</v>
      </c>
      <c r="D61" s="1">
        <v>390.95</v>
      </c>
    </row>
    <row r="62" spans="1:4" x14ac:dyDescent="0.25">
      <c r="A62" s="1" t="s">
        <v>135</v>
      </c>
      <c r="B62" s="1" t="s">
        <v>71</v>
      </c>
      <c r="C62" s="1">
        <v>1481.96</v>
      </c>
      <c r="D62" s="1">
        <v>182.57</v>
      </c>
    </row>
    <row r="63" spans="1:4" x14ac:dyDescent="0.25">
      <c r="A63" s="1" t="s">
        <v>135</v>
      </c>
      <c r="B63" s="1" t="s">
        <v>70</v>
      </c>
      <c r="C63" s="1">
        <v>665.47</v>
      </c>
      <c r="D63" s="1">
        <v>182.42</v>
      </c>
    </row>
    <row r="64" spans="1:4" x14ac:dyDescent="0.25">
      <c r="A64" s="1" t="s">
        <v>135</v>
      </c>
      <c r="B64" s="1" t="s">
        <v>69</v>
      </c>
      <c r="C64" s="1">
        <v>590.47</v>
      </c>
      <c r="D64" s="1">
        <v>224.67</v>
      </c>
    </row>
    <row r="65" spans="1:4" x14ac:dyDescent="0.25">
      <c r="A65" s="1" t="s">
        <v>135</v>
      </c>
      <c r="B65" s="1" t="s">
        <v>78</v>
      </c>
      <c r="C65" s="1">
        <v>170.1</v>
      </c>
      <c r="D65" s="1">
        <v>51.08</v>
      </c>
    </row>
    <row r="66" spans="1:4" x14ac:dyDescent="0.25">
      <c r="A66" s="1" t="s">
        <v>135</v>
      </c>
      <c r="B66" s="1" t="s">
        <v>72</v>
      </c>
      <c r="C66" s="1">
        <v>788.8</v>
      </c>
      <c r="D66" s="1">
        <v>301.3</v>
      </c>
    </row>
    <row r="67" spans="1:4" x14ac:dyDescent="0.25">
      <c r="A67" s="1" t="s">
        <v>135</v>
      </c>
      <c r="B67" s="1" t="s">
        <v>73</v>
      </c>
      <c r="C67" s="1">
        <v>641.58000000000004</v>
      </c>
      <c r="D67" s="1">
        <v>64.37</v>
      </c>
    </row>
    <row r="68" spans="1:4" x14ac:dyDescent="0.25">
      <c r="A68" s="1" t="s">
        <v>136</v>
      </c>
      <c r="B68" s="1" t="s">
        <v>74</v>
      </c>
      <c r="C68" s="1">
        <v>2238.2199999999998</v>
      </c>
      <c r="D68" s="1">
        <v>261.17</v>
      </c>
    </row>
    <row r="69" spans="1:4" x14ac:dyDescent="0.25">
      <c r="A69" s="1" t="s">
        <v>136</v>
      </c>
      <c r="B69" s="1" t="s">
        <v>75</v>
      </c>
      <c r="C69" s="1">
        <v>185.95</v>
      </c>
      <c r="D69" s="1">
        <v>34.799999999999997</v>
      </c>
    </row>
    <row r="70" spans="1:4" x14ac:dyDescent="0.25">
      <c r="A70" s="1" t="s">
        <v>136</v>
      </c>
      <c r="B70" s="1" t="s">
        <v>76</v>
      </c>
      <c r="C70" s="1">
        <v>4201.43</v>
      </c>
      <c r="D70" s="1">
        <v>462.24</v>
      </c>
    </row>
    <row r="71" spans="1:4" x14ac:dyDescent="0.25">
      <c r="A71" s="1" t="s">
        <v>136</v>
      </c>
      <c r="B71" s="1" t="s">
        <v>73</v>
      </c>
      <c r="C71" s="1">
        <v>2108.83</v>
      </c>
      <c r="D71" s="1">
        <v>196.36</v>
      </c>
    </row>
    <row r="72" spans="1:4" x14ac:dyDescent="0.25">
      <c r="A72" s="1" t="s">
        <v>136</v>
      </c>
      <c r="B72" s="1" t="s">
        <v>72</v>
      </c>
      <c r="C72" s="1">
        <v>1857.5</v>
      </c>
      <c r="D72" s="1">
        <v>646.59</v>
      </c>
    </row>
    <row r="73" spans="1:4" x14ac:dyDescent="0.25">
      <c r="A73" s="1" t="s">
        <v>136</v>
      </c>
      <c r="B73" s="1" t="s">
        <v>68</v>
      </c>
      <c r="C73" s="1">
        <v>3456.9</v>
      </c>
      <c r="D73" s="1">
        <v>520.45000000000005</v>
      </c>
    </row>
    <row r="74" spans="1:4" x14ac:dyDescent="0.25">
      <c r="A74" s="1" t="s">
        <v>136</v>
      </c>
      <c r="B74" s="1" t="s">
        <v>77</v>
      </c>
      <c r="C74" s="1">
        <v>3780.63</v>
      </c>
      <c r="D74" s="1">
        <v>874.72</v>
      </c>
    </row>
    <row r="75" spans="1:4" x14ac:dyDescent="0.25">
      <c r="A75" s="1" t="s">
        <v>136</v>
      </c>
      <c r="B75" s="1" t="s">
        <v>71</v>
      </c>
      <c r="C75" s="1">
        <v>4531.18</v>
      </c>
      <c r="D75" s="1">
        <v>571.5</v>
      </c>
    </row>
    <row r="76" spans="1:4" x14ac:dyDescent="0.25">
      <c r="A76" s="1" t="s">
        <v>136</v>
      </c>
      <c r="B76" s="1" t="s">
        <v>69</v>
      </c>
      <c r="C76" s="1">
        <v>1353.75</v>
      </c>
      <c r="D76" s="1">
        <v>458.18</v>
      </c>
    </row>
    <row r="77" spans="1:4" x14ac:dyDescent="0.25">
      <c r="A77" s="1" t="s">
        <v>136</v>
      </c>
      <c r="B77" s="1" t="s">
        <v>70</v>
      </c>
      <c r="C77" s="1">
        <v>1748.55</v>
      </c>
      <c r="D77" s="1">
        <v>442.57</v>
      </c>
    </row>
    <row r="78" spans="1:4" x14ac:dyDescent="0.25">
      <c r="A78" s="1" t="s">
        <v>136</v>
      </c>
      <c r="B78" s="1" t="s">
        <v>78</v>
      </c>
      <c r="C78" s="1">
        <v>403.55</v>
      </c>
      <c r="D78" s="1">
        <v>109.12</v>
      </c>
    </row>
    <row r="79" spans="1:4" x14ac:dyDescent="0.25">
      <c r="A79" s="1" t="s">
        <v>137</v>
      </c>
      <c r="B79" s="1" t="s">
        <v>75</v>
      </c>
      <c r="C79" s="1">
        <v>371.34</v>
      </c>
      <c r="D79" s="1">
        <v>79.180000000000007</v>
      </c>
    </row>
    <row r="80" spans="1:4" x14ac:dyDescent="0.25">
      <c r="A80" s="1" t="s">
        <v>137</v>
      </c>
      <c r="B80" s="1" t="s">
        <v>74</v>
      </c>
      <c r="C80" s="1">
        <v>4257.49</v>
      </c>
      <c r="D80" s="1">
        <v>507</v>
      </c>
    </row>
    <row r="81" spans="1:4" x14ac:dyDescent="0.25">
      <c r="A81" s="1" t="s">
        <v>137</v>
      </c>
      <c r="B81" s="1" t="s">
        <v>76</v>
      </c>
      <c r="C81" s="1">
        <v>8002.67</v>
      </c>
      <c r="D81" s="1">
        <v>943.15</v>
      </c>
    </row>
    <row r="82" spans="1:4" x14ac:dyDescent="0.25">
      <c r="A82" s="1" t="s">
        <v>137</v>
      </c>
      <c r="B82" s="1" t="s">
        <v>72</v>
      </c>
      <c r="C82" s="1">
        <v>3628.29</v>
      </c>
      <c r="D82" s="1">
        <v>1322.7</v>
      </c>
    </row>
    <row r="83" spans="1:4" x14ac:dyDescent="0.25">
      <c r="A83" s="1" t="s">
        <v>137</v>
      </c>
      <c r="B83" s="1" t="s">
        <v>73</v>
      </c>
      <c r="C83" s="1">
        <v>4028.74</v>
      </c>
      <c r="D83" s="1">
        <v>404.2</v>
      </c>
    </row>
    <row r="84" spans="1:4" x14ac:dyDescent="0.25">
      <c r="A84" s="1" t="s">
        <v>137</v>
      </c>
      <c r="B84" s="1" t="s">
        <v>71</v>
      </c>
      <c r="C84" s="1">
        <v>7184</v>
      </c>
      <c r="D84" s="1">
        <v>1075.69</v>
      </c>
    </row>
    <row r="85" spans="1:4" x14ac:dyDescent="0.25">
      <c r="A85" s="1" t="s">
        <v>137</v>
      </c>
      <c r="B85" s="1" t="s">
        <v>68</v>
      </c>
      <c r="C85" s="1">
        <v>5925.02</v>
      </c>
      <c r="D85" s="1">
        <v>1024.53</v>
      </c>
    </row>
    <row r="86" spans="1:4" x14ac:dyDescent="0.25">
      <c r="A86" s="1" t="s">
        <v>137</v>
      </c>
      <c r="B86" s="1" t="s">
        <v>77</v>
      </c>
      <c r="C86" s="1">
        <v>6245.7</v>
      </c>
      <c r="D86" s="1">
        <v>1470.68</v>
      </c>
    </row>
    <row r="87" spans="1:4" x14ac:dyDescent="0.25">
      <c r="A87" s="1" t="s">
        <v>137</v>
      </c>
      <c r="B87" s="1" t="s">
        <v>70</v>
      </c>
      <c r="C87" s="1">
        <v>3301.98</v>
      </c>
      <c r="D87" s="1">
        <v>917.66</v>
      </c>
    </row>
    <row r="88" spans="1:4" x14ac:dyDescent="0.25">
      <c r="A88" s="1" t="s">
        <v>137</v>
      </c>
      <c r="B88" s="1" t="s">
        <v>78</v>
      </c>
      <c r="C88" s="1">
        <v>679.4</v>
      </c>
      <c r="D88" s="1">
        <v>198.24</v>
      </c>
    </row>
    <row r="89" spans="1:4" x14ac:dyDescent="0.25">
      <c r="A89" s="1" t="s">
        <v>137</v>
      </c>
      <c r="B89" s="1" t="s">
        <v>69</v>
      </c>
      <c r="C89" s="1">
        <v>2480.69</v>
      </c>
      <c r="D89" s="1">
        <v>913.84</v>
      </c>
    </row>
    <row r="90" spans="1:4" x14ac:dyDescent="0.25">
      <c r="A90" s="1" t="s">
        <v>138</v>
      </c>
      <c r="B90" s="1" t="s">
        <v>75</v>
      </c>
      <c r="C90" s="1">
        <v>630.75</v>
      </c>
      <c r="D90" s="1">
        <v>148.33000000000001</v>
      </c>
    </row>
    <row r="91" spans="1:4" x14ac:dyDescent="0.25">
      <c r="A91" s="1" t="s">
        <v>138</v>
      </c>
      <c r="B91" s="1" t="s">
        <v>74</v>
      </c>
      <c r="C91" s="1">
        <v>6225.71</v>
      </c>
      <c r="D91" s="1">
        <v>842.57</v>
      </c>
    </row>
    <row r="92" spans="1:4" x14ac:dyDescent="0.25">
      <c r="A92" s="1" t="s">
        <v>138</v>
      </c>
      <c r="B92" s="1" t="s">
        <v>78</v>
      </c>
      <c r="C92" s="1">
        <v>1066.29</v>
      </c>
      <c r="D92" s="1">
        <v>350.16</v>
      </c>
    </row>
    <row r="93" spans="1:4" x14ac:dyDescent="0.25">
      <c r="A93" s="1" t="s">
        <v>138</v>
      </c>
      <c r="B93" s="1" t="s">
        <v>68</v>
      </c>
      <c r="C93" s="1">
        <v>7966.73</v>
      </c>
      <c r="D93" s="1">
        <v>1604.66</v>
      </c>
    </row>
    <row r="94" spans="1:4" x14ac:dyDescent="0.25">
      <c r="A94" s="1" t="s">
        <v>138</v>
      </c>
      <c r="B94" s="1" t="s">
        <v>77</v>
      </c>
      <c r="C94" s="1">
        <v>8386.34</v>
      </c>
      <c r="D94" s="1">
        <v>2069.59</v>
      </c>
    </row>
    <row r="95" spans="1:4" x14ac:dyDescent="0.25">
      <c r="A95" s="1" t="s">
        <v>138</v>
      </c>
      <c r="B95" s="1" t="s">
        <v>71</v>
      </c>
      <c r="C95" s="1">
        <v>9302.6299999999992</v>
      </c>
      <c r="D95" s="1">
        <v>1618.48</v>
      </c>
    </row>
    <row r="96" spans="1:4" x14ac:dyDescent="0.25">
      <c r="A96" s="1" t="s">
        <v>138</v>
      </c>
      <c r="B96" s="1" t="s">
        <v>70</v>
      </c>
      <c r="C96" s="1">
        <v>5075.2700000000004</v>
      </c>
      <c r="D96" s="1">
        <v>1507.52</v>
      </c>
    </row>
    <row r="97" spans="1:4" x14ac:dyDescent="0.25">
      <c r="A97" s="1" t="s">
        <v>138</v>
      </c>
      <c r="B97" s="1" t="s">
        <v>76</v>
      </c>
      <c r="C97" s="1">
        <v>10692.7</v>
      </c>
      <c r="D97" s="1">
        <v>1476.18</v>
      </c>
    </row>
    <row r="98" spans="1:4" x14ac:dyDescent="0.25">
      <c r="A98" s="1" t="s">
        <v>138</v>
      </c>
      <c r="B98" s="1" t="s">
        <v>72</v>
      </c>
      <c r="C98" s="1">
        <v>5890.37</v>
      </c>
      <c r="D98" s="1">
        <v>2400.19</v>
      </c>
    </row>
    <row r="99" spans="1:4" x14ac:dyDescent="0.25">
      <c r="A99" s="1" t="s">
        <v>138</v>
      </c>
      <c r="B99" s="1" t="s">
        <v>73</v>
      </c>
      <c r="C99" s="1">
        <v>5693.92</v>
      </c>
      <c r="D99" s="1">
        <v>661.86</v>
      </c>
    </row>
    <row r="100" spans="1:4" x14ac:dyDescent="0.25">
      <c r="A100" s="1" t="s">
        <v>138</v>
      </c>
      <c r="B100" s="1" t="s">
        <v>69</v>
      </c>
      <c r="C100" s="1">
        <v>3811.63</v>
      </c>
      <c r="D100" s="1">
        <v>1637.61</v>
      </c>
    </row>
    <row r="101" spans="1:4" x14ac:dyDescent="0.25">
      <c r="A101" s="1" t="s">
        <v>139</v>
      </c>
      <c r="B101" s="1" t="s">
        <v>75</v>
      </c>
      <c r="C101" s="1">
        <v>854.45</v>
      </c>
      <c r="D101" s="1">
        <v>236.66</v>
      </c>
    </row>
    <row r="102" spans="1:4" x14ac:dyDescent="0.25">
      <c r="A102" s="1" t="s">
        <v>139</v>
      </c>
      <c r="B102" s="1" t="s">
        <v>74</v>
      </c>
      <c r="C102" s="1">
        <v>7630.85</v>
      </c>
      <c r="D102" s="1">
        <v>1175.96</v>
      </c>
    </row>
    <row r="103" spans="1:4" x14ac:dyDescent="0.25">
      <c r="A103" s="1" t="s">
        <v>139</v>
      </c>
      <c r="B103" s="1" t="s">
        <v>78</v>
      </c>
      <c r="C103" s="1">
        <v>1585.85</v>
      </c>
      <c r="D103" s="1">
        <v>649.08000000000004</v>
      </c>
    </row>
    <row r="104" spans="1:4" x14ac:dyDescent="0.25">
      <c r="A104" s="1" t="s">
        <v>139</v>
      </c>
      <c r="B104" s="1" t="s">
        <v>69</v>
      </c>
      <c r="C104" s="1">
        <v>5548.74</v>
      </c>
      <c r="D104" s="1">
        <v>2828.58</v>
      </c>
    </row>
    <row r="105" spans="1:4" x14ac:dyDescent="0.25">
      <c r="A105" s="1" t="s">
        <v>139</v>
      </c>
      <c r="B105" s="1" t="s">
        <v>70</v>
      </c>
      <c r="C105" s="1">
        <v>6446.18</v>
      </c>
      <c r="D105" s="1">
        <v>2139.17</v>
      </c>
    </row>
    <row r="106" spans="1:4" x14ac:dyDescent="0.25">
      <c r="A106" s="1" t="s">
        <v>139</v>
      </c>
      <c r="B106" s="1" t="s">
        <v>76</v>
      </c>
      <c r="C106" s="1">
        <v>12774.11</v>
      </c>
      <c r="D106" s="1">
        <v>2001.37</v>
      </c>
    </row>
    <row r="107" spans="1:4" x14ac:dyDescent="0.25">
      <c r="A107" s="1" t="s">
        <v>139</v>
      </c>
      <c r="B107" s="1" t="s">
        <v>73</v>
      </c>
      <c r="C107" s="1">
        <v>6750.73</v>
      </c>
      <c r="D107" s="1">
        <v>916.12</v>
      </c>
    </row>
    <row r="108" spans="1:4" x14ac:dyDescent="0.25">
      <c r="A108" s="1" t="s">
        <v>139</v>
      </c>
      <c r="B108" s="1" t="s">
        <v>72</v>
      </c>
      <c r="C108" s="1">
        <v>8276.51</v>
      </c>
      <c r="D108" s="1">
        <v>3860.25</v>
      </c>
    </row>
    <row r="109" spans="1:4" x14ac:dyDescent="0.25">
      <c r="A109" s="1" t="s">
        <v>139</v>
      </c>
      <c r="B109" s="1" t="s">
        <v>68</v>
      </c>
      <c r="C109" s="1">
        <v>9357.89</v>
      </c>
      <c r="D109" s="1">
        <v>2138.77</v>
      </c>
    </row>
    <row r="110" spans="1:4" x14ac:dyDescent="0.25">
      <c r="A110" s="1" t="s">
        <v>139</v>
      </c>
      <c r="B110" s="1" t="s">
        <v>77</v>
      </c>
      <c r="C110" s="1">
        <v>10483.5</v>
      </c>
      <c r="D110" s="1">
        <v>2792.9</v>
      </c>
    </row>
    <row r="111" spans="1:4" x14ac:dyDescent="0.25">
      <c r="A111" s="1" t="s">
        <v>139</v>
      </c>
      <c r="B111" s="1" t="s">
        <v>71</v>
      </c>
      <c r="C111" s="1">
        <v>10767.54</v>
      </c>
      <c r="D111" s="1">
        <v>2096.8000000000002</v>
      </c>
    </row>
    <row r="112" spans="1:4" x14ac:dyDescent="0.25">
      <c r="A112" s="1" t="s">
        <v>140</v>
      </c>
      <c r="B112" s="1" t="s">
        <v>75</v>
      </c>
      <c r="C112" s="1">
        <v>1001.05</v>
      </c>
      <c r="D112" s="1">
        <v>306.66000000000003</v>
      </c>
    </row>
    <row r="113" spans="1:4" x14ac:dyDescent="0.25">
      <c r="A113" s="1" t="s">
        <v>140</v>
      </c>
      <c r="B113" s="1" t="s">
        <v>74</v>
      </c>
      <c r="C113" s="1">
        <v>8185.99</v>
      </c>
      <c r="D113" s="1">
        <v>1445.71</v>
      </c>
    </row>
    <row r="114" spans="1:4" x14ac:dyDescent="0.25">
      <c r="A114" s="1" t="s">
        <v>140</v>
      </c>
      <c r="B114" s="1" t="s">
        <v>76</v>
      </c>
      <c r="C114" s="1">
        <v>13460.54</v>
      </c>
      <c r="D114" s="1">
        <v>2352.4299999999998</v>
      </c>
    </row>
    <row r="115" spans="1:4" x14ac:dyDescent="0.25">
      <c r="A115" s="1" t="s">
        <v>140</v>
      </c>
      <c r="B115" s="1" t="s">
        <v>73</v>
      </c>
      <c r="C115" s="1">
        <v>7074.44</v>
      </c>
      <c r="D115" s="1">
        <v>1049.1300000000001</v>
      </c>
    </row>
    <row r="116" spans="1:4" x14ac:dyDescent="0.25">
      <c r="A116" s="1" t="s">
        <v>140</v>
      </c>
      <c r="B116" s="1" t="s">
        <v>71</v>
      </c>
      <c r="C116" s="1">
        <v>11263.25</v>
      </c>
      <c r="D116" s="1">
        <v>2403.88</v>
      </c>
    </row>
    <row r="117" spans="1:4" x14ac:dyDescent="0.25">
      <c r="A117" s="1" t="s">
        <v>140</v>
      </c>
      <c r="B117" s="1" t="s">
        <v>68</v>
      </c>
      <c r="C117" s="1">
        <v>9708.01</v>
      </c>
      <c r="D117" s="1">
        <v>2525.9</v>
      </c>
    </row>
    <row r="118" spans="1:4" x14ac:dyDescent="0.25">
      <c r="A118" s="1" t="s">
        <v>140</v>
      </c>
      <c r="B118" s="1" t="s">
        <v>70</v>
      </c>
      <c r="C118" s="1">
        <v>7135.23</v>
      </c>
      <c r="D118" s="1">
        <v>2542.5300000000002</v>
      </c>
    </row>
    <row r="119" spans="1:4" x14ac:dyDescent="0.25">
      <c r="A119" s="1" t="s">
        <v>140</v>
      </c>
      <c r="B119" s="1" t="s">
        <v>78</v>
      </c>
      <c r="C119" s="1">
        <v>2096.06</v>
      </c>
      <c r="D119" s="1">
        <v>947.91</v>
      </c>
    </row>
    <row r="120" spans="1:4" x14ac:dyDescent="0.25">
      <c r="A120" s="1" t="s">
        <v>140</v>
      </c>
      <c r="B120" s="1" t="s">
        <v>72</v>
      </c>
      <c r="C120" s="1">
        <v>10146.98</v>
      </c>
      <c r="D120" s="1">
        <v>5346.52</v>
      </c>
    </row>
    <row r="121" spans="1:4" x14ac:dyDescent="0.25">
      <c r="A121" s="1" t="s">
        <v>140</v>
      </c>
      <c r="B121" s="1" t="s">
        <v>77</v>
      </c>
      <c r="C121" s="1">
        <v>11496.44</v>
      </c>
      <c r="D121" s="1">
        <v>3218.11</v>
      </c>
    </row>
    <row r="122" spans="1:4" x14ac:dyDescent="0.25">
      <c r="A122" s="1" t="s">
        <v>140</v>
      </c>
      <c r="B122" s="1" t="s">
        <v>69</v>
      </c>
      <c r="C122" s="1">
        <v>6879.46</v>
      </c>
      <c r="D122" s="1">
        <v>4137.04</v>
      </c>
    </row>
    <row r="123" spans="1:4" x14ac:dyDescent="0.25">
      <c r="A123" s="1" t="s">
        <v>141</v>
      </c>
      <c r="B123" s="1" t="s">
        <v>74</v>
      </c>
      <c r="C123" s="1">
        <v>7910.69</v>
      </c>
      <c r="D123" s="1">
        <v>1518.24</v>
      </c>
    </row>
    <row r="124" spans="1:4" x14ac:dyDescent="0.25">
      <c r="A124" s="1" t="s">
        <v>141</v>
      </c>
      <c r="B124" s="1" t="s">
        <v>75</v>
      </c>
      <c r="C124" s="1">
        <v>1058.02</v>
      </c>
      <c r="D124" s="1">
        <v>355.52</v>
      </c>
    </row>
    <row r="125" spans="1:4" x14ac:dyDescent="0.25">
      <c r="A125" s="1" t="s">
        <v>141</v>
      </c>
      <c r="B125" s="1" t="s">
        <v>76</v>
      </c>
      <c r="C125" s="1">
        <v>12866.33</v>
      </c>
      <c r="D125" s="1">
        <v>2403.21</v>
      </c>
    </row>
    <row r="126" spans="1:4" x14ac:dyDescent="0.25">
      <c r="A126" s="1" t="s">
        <v>141</v>
      </c>
      <c r="B126" s="1" t="s">
        <v>72</v>
      </c>
      <c r="C126" s="1">
        <v>10665.89</v>
      </c>
      <c r="D126" s="1">
        <v>6016.12</v>
      </c>
    </row>
    <row r="127" spans="1:4" x14ac:dyDescent="0.25">
      <c r="A127" s="1" t="s">
        <v>141</v>
      </c>
      <c r="B127" s="1" t="s">
        <v>73</v>
      </c>
      <c r="C127" s="1">
        <v>6793.51</v>
      </c>
      <c r="D127" s="1">
        <v>1050.97</v>
      </c>
    </row>
    <row r="128" spans="1:4" x14ac:dyDescent="0.25">
      <c r="A128" s="1" t="s">
        <v>141</v>
      </c>
      <c r="B128" s="1" t="s">
        <v>68</v>
      </c>
      <c r="C128" s="1">
        <v>9206.2999999999993</v>
      </c>
      <c r="D128" s="1">
        <v>2507.6999999999998</v>
      </c>
    </row>
    <row r="129" spans="1:4" x14ac:dyDescent="0.25">
      <c r="A129" s="1" t="s">
        <v>141</v>
      </c>
      <c r="B129" s="1" t="s">
        <v>77</v>
      </c>
      <c r="C129" s="1">
        <v>11521.31</v>
      </c>
      <c r="D129" s="1">
        <v>3345.23</v>
      </c>
    </row>
    <row r="130" spans="1:4" x14ac:dyDescent="0.25">
      <c r="A130" s="1" t="s">
        <v>141</v>
      </c>
      <c r="B130" s="1" t="s">
        <v>71</v>
      </c>
      <c r="C130" s="1">
        <v>10594.03</v>
      </c>
      <c r="D130" s="1">
        <v>2372.4699999999998</v>
      </c>
    </row>
    <row r="131" spans="1:4" x14ac:dyDescent="0.25">
      <c r="A131" s="1" t="s">
        <v>141</v>
      </c>
      <c r="B131" s="1" t="s">
        <v>69</v>
      </c>
      <c r="C131" s="1">
        <v>7282.68</v>
      </c>
      <c r="D131" s="1">
        <v>4758.08</v>
      </c>
    </row>
    <row r="132" spans="1:4" x14ac:dyDescent="0.25">
      <c r="A132" s="1" t="s">
        <v>141</v>
      </c>
      <c r="B132" s="1" t="s">
        <v>70</v>
      </c>
      <c r="C132" s="1">
        <v>7091.51</v>
      </c>
      <c r="D132" s="1">
        <v>2619.4499999999998</v>
      </c>
    </row>
    <row r="133" spans="1:4" x14ac:dyDescent="0.25">
      <c r="A133" s="1" t="s">
        <v>141</v>
      </c>
      <c r="B133" s="1" t="s">
        <v>78</v>
      </c>
      <c r="C133" s="1">
        <v>2250.84</v>
      </c>
      <c r="D133" s="1">
        <v>1113.8599999999999</v>
      </c>
    </row>
    <row r="134" spans="1:4" x14ac:dyDescent="0.25">
      <c r="A134" s="1" t="s">
        <v>142</v>
      </c>
      <c r="B134" s="1" t="s">
        <v>75</v>
      </c>
      <c r="C134" s="1">
        <v>1040.78</v>
      </c>
      <c r="D134" s="1">
        <v>350.4</v>
      </c>
    </row>
    <row r="135" spans="1:4" x14ac:dyDescent="0.25">
      <c r="A135" s="1" t="s">
        <v>142</v>
      </c>
      <c r="B135" s="1" t="s">
        <v>74</v>
      </c>
      <c r="C135" s="1">
        <v>7399.86</v>
      </c>
      <c r="D135" s="1">
        <v>1427.44</v>
      </c>
    </row>
    <row r="136" spans="1:4" x14ac:dyDescent="0.25">
      <c r="A136" s="1" t="s">
        <v>142</v>
      </c>
      <c r="B136" s="1" t="s">
        <v>76</v>
      </c>
      <c r="C136" s="1">
        <v>11928.68</v>
      </c>
      <c r="D136" s="1">
        <v>2259.71</v>
      </c>
    </row>
    <row r="137" spans="1:4" x14ac:dyDescent="0.25">
      <c r="A137" s="1" t="s">
        <v>142</v>
      </c>
      <c r="B137" s="1" t="s">
        <v>73</v>
      </c>
      <c r="C137" s="1">
        <v>6180.05</v>
      </c>
      <c r="D137" s="1">
        <v>953.69</v>
      </c>
    </row>
    <row r="138" spans="1:4" x14ac:dyDescent="0.25">
      <c r="A138" s="1" t="s">
        <v>142</v>
      </c>
      <c r="B138" s="1" t="s">
        <v>71</v>
      </c>
      <c r="C138" s="1">
        <v>9573.9</v>
      </c>
      <c r="D138" s="1">
        <v>2175.58</v>
      </c>
    </row>
    <row r="139" spans="1:4" x14ac:dyDescent="0.25">
      <c r="A139" s="1" t="s">
        <v>142</v>
      </c>
      <c r="B139" s="1" t="s">
        <v>68</v>
      </c>
      <c r="C139" s="1">
        <v>8216.9599999999991</v>
      </c>
      <c r="D139" s="1">
        <v>2326.5300000000002</v>
      </c>
    </row>
    <row r="140" spans="1:4" x14ac:dyDescent="0.25">
      <c r="A140" s="1" t="s">
        <v>142</v>
      </c>
      <c r="B140" s="1" t="s">
        <v>77</v>
      </c>
      <c r="C140" s="1">
        <v>11213.8</v>
      </c>
      <c r="D140" s="1">
        <v>3327.84</v>
      </c>
    </row>
    <row r="141" spans="1:4" x14ac:dyDescent="0.25">
      <c r="A141" s="1" t="s">
        <v>142</v>
      </c>
      <c r="B141" s="1" t="s">
        <v>70</v>
      </c>
      <c r="C141" s="1">
        <v>6614.26</v>
      </c>
      <c r="D141" s="1">
        <v>2472.3200000000002</v>
      </c>
    </row>
    <row r="142" spans="1:4" x14ac:dyDescent="0.25">
      <c r="A142" s="1" t="s">
        <v>142</v>
      </c>
      <c r="B142" s="1" t="s">
        <v>78</v>
      </c>
      <c r="C142" s="1">
        <v>2238.25</v>
      </c>
      <c r="D142" s="1">
        <v>1129.22</v>
      </c>
    </row>
    <row r="143" spans="1:4" x14ac:dyDescent="0.25">
      <c r="A143" s="1" t="s">
        <v>142</v>
      </c>
      <c r="B143" s="1" t="s">
        <v>72</v>
      </c>
      <c r="C143" s="1">
        <v>10277.68</v>
      </c>
      <c r="D143" s="1">
        <v>5959.78</v>
      </c>
    </row>
    <row r="144" spans="1:4" x14ac:dyDescent="0.25">
      <c r="A144" s="1" t="s">
        <v>142</v>
      </c>
      <c r="B144" s="1" t="s">
        <v>69</v>
      </c>
      <c r="C144" s="1">
        <v>7047.75</v>
      </c>
      <c r="D144" s="1">
        <v>4693.58</v>
      </c>
    </row>
    <row r="145" spans="1:4" x14ac:dyDescent="0.25">
      <c r="A145" s="1" t="s">
        <v>143</v>
      </c>
      <c r="B145" s="1" t="s">
        <v>75</v>
      </c>
      <c r="C145" s="1">
        <v>941.39</v>
      </c>
      <c r="D145" s="1">
        <v>323.10000000000002</v>
      </c>
    </row>
    <row r="146" spans="1:4" x14ac:dyDescent="0.25">
      <c r="A146" s="1" t="s">
        <v>143</v>
      </c>
      <c r="B146" s="1" t="s">
        <v>74</v>
      </c>
      <c r="C146" s="1">
        <v>6878.82</v>
      </c>
      <c r="D146" s="1">
        <v>1273.2</v>
      </c>
    </row>
    <row r="147" spans="1:4" x14ac:dyDescent="0.25">
      <c r="A147" s="1" t="s">
        <v>143</v>
      </c>
      <c r="B147" s="1" t="s">
        <v>71</v>
      </c>
      <c r="C147" s="1">
        <v>8400.48</v>
      </c>
      <c r="D147" s="1">
        <v>1846.83</v>
      </c>
    </row>
    <row r="148" spans="1:4" x14ac:dyDescent="0.25">
      <c r="A148" s="1" t="s">
        <v>143</v>
      </c>
      <c r="B148" s="1" t="s">
        <v>68</v>
      </c>
      <c r="C148" s="1">
        <v>6949.33</v>
      </c>
      <c r="D148" s="1">
        <v>1930.19</v>
      </c>
    </row>
    <row r="149" spans="1:4" x14ac:dyDescent="0.25">
      <c r="A149" s="1" t="s">
        <v>143</v>
      </c>
      <c r="B149" s="1" t="s">
        <v>77</v>
      </c>
      <c r="C149" s="1">
        <v>11872.6</v>
      </c>
      <c r="D149" s="1">
        <v>3498.29</v>
      </c>
    </row>
    <row r="150" spans="1:4" x14ac:dyDescent="0.25">
      <c r="A150" s="1" t="s">
        <v>143</v>
      </c>
      <c r="B150" s="1" t="s">
        <v>69</v>
      </c>
      <c r="C150" s="1">
        <v>6569.77</v>
      </c>
      <c r="D150" s="1">
        <v>4256.2</v>
      </c>
    </row>
    <row r="151" spans="1:4" x14ac:dyDescent="0.25">
      <c r="A151" s="1" t="s">
        <v>143</v>
      </c>
      <c r="B151" s="1" t="s">
        <v>70</v>
      </c>
      <c r="C151" s="1">
        <v>5678.64</v>
      </c>
      <c r="D151" s="1">
        <v>2119.0100000000002</v>
      </c>
    </row>
    <row r="152" spans="1:4" x14ac:dyDescent="0.25">
      <c r="A152" s="1" t="s">
        <v>143</v>
      </c>
      <c r="B152" s="1" t="s">
        <v>78</v>
      </c>
      <c r="C152" s="1">
        <v>2016.74</v>
      </c>
      <c r="D152" s="1">
        <v>1000.83</v>
      </c>
    </row>
    <row r="153" spans="1:4" x14ac:dyDescent="0.25">
      <c r="A153" s="1" t="s">
        <v>143</v>
      </c>
      <c r="B153" s="1" t="s">
        <v>72</v>
      </c>
      <c r="C153" s="1">
        <v>9242.34</v>
      </c>
      <c r="D153" s="1">
        <v>5370.16</v>
      </c>
    </row>
    <row r="154" spans="1:4" x14ac:dyDescent="0.25">
      <c r="A154" s="1" t="s">
        <v>143</v>
      </c>
      <c r="B154" s="1" t="s">
        <v>76</v>
      </c>
      <c r="C154" s="1">
        <v>11245.53</v>
      </c>
      <c r="D154" s="1">
        <v>2072.9899999999998</v>
      </c>
    </row>
    <row r="155" spans="1:4" x14ac:dyDescent="0.25">
      <c r="A155" s="1" t="s">
        <v>143</v>
      </c>
      <c r="B155" s="1" t="s">
        <v>73</v>
      </c>
      <c r="C155" s="1">
        <v>5131.38</v>
      </c>
      <c r="D155" s="1">
        <v>802.08</v>
      </c>
    </row>
    <row r="156" spans="1:4" x14ac:dyDescent="0.25">
      <c r="A156" s="1" t="s">
        <v>144</v>
      </c>
      <c r="B156" s="1" t="s">
        <v>75</v>
      </c>
      <c r="C156" s="1">
        <v>964.44</v>
      </c>
      <c r="D156" s="1">
        <v>333.24</v>
      </c>
    </row>
    <row r="157" spans="1:4" x14ac:dyDescent="0.25">
      <c r="A157" s="1" t="s">
        <v>144</v>
      </c>
      <c r="B157" s="1" t="s">
        <v>74</v>
      </c>
      <c r="C157" s="1">
        <v>7432.26</v>
      </c>
      <c r="D157" s="1">
        <v>1321.89</v>
      </c>
    </row>
    <row r="158" spans="1:4" x14ac:dyDescent="0.25">
      <c r="A158" s="1" t="s">
        <v>144</v>
      </c>
      <c r="B158" s="1" t="s">
        <v>78</v>
      </c>
      <c r="C158" s="1">
        <v>2104.79</v>
      </c>
      <c r="D158" s="1">
        <v>990.44</v>
      </c>
    </row>
    <row r="159" spans="1:4" x14ac:dyDescent="0.25">
      <c r="A159" s="1" t="s">
        <v>144</v>
      </c>
      <c r="B159" s="1" t="s">
        <v>71</v>
      </c>
      <c r="C159" s="1">
        <v>9209.77</v>
      </c>
      <c r="D159" s="1">
        <v>1916.85</v>
      </c>
    </row>
    <row r="160" spans="1:4" x14ac:dyDescent="0.25">
      <c r="A160" s="1" t="s">
        <v>144</v>
      </c>
      <c r="B160" s="1" t="s">
        <v>69</v>
      </c>
      <c r="C160" s="1">
        <v>6690.4</v>
      </c>
      <c r="D160" s="1">
        <v>4173.13</v>
      </c>
    </row>
    <row r="161" spans="1:4" x14ac:dyDescent="0.25">
      <c r="A161" s="1" t="s">
        <v>144</v>
      </c>
      <c r="B161" s="1" t="s">
        <v>76</v>
      </c>
      <c r="C161" s="1">
        <v>11736.55</v>
      </c>
      <c r="D161" s="1">
        <v>2146.04</v>
      </c>
    </row>
    <row r="162" spans="1:4" x14ac:dyDescent="0.25">
      <c r="A162" s="1" t="s">
        <v>144</v>
      </c>
      <c r="B162" s="1" t="s">
        <v>72</v>
      </c>
      <c r="C162" s="1">
        <v>9599.76</v>
      </c>
      <c r="D162" s="1">
        <v>5388.54</v>
      </c>
    </row>
    <row r="163" spans="1:4" x14ac:dyDescent="0.25">
      <c r="A163" s="1" t="s">
        <v>144</v>
      </c>
      <c r="B163" s="1" t="s">
        <v>73</v>
      </c>
      <c r="C163" s="1">
        <v>5662.77</v>
      </c>
      <c r="D163" s="1">
        <v>806.35</v>
      </c>
    </row>
    <row r="164" spans="1:4" x14ac:dyDescent="0.25">
      <c r="A164" s="1" t="s">
        <v>144</v>
      </c>
      <c r="B164" s="1" t="s">
        <v>68</v>
      </c>
      <c r="C164" s="1">
        <v>7801.71</v>
      </c>
      <c r="D164" s="1">
        <v>2001.96</v>
      </c>
    </row>
    <row r="165" spans="1:4" x14ac:dyDescent="0.25">
      <c r="A165" s="1" t="s">
        <v>144</v>
      </c>
      <c r="B165" s="1" t="s">
        <v>77</v>
      </c>
      <c r="C165" s="1">
        <v>12092.97</v>
      </c>
      <c r="D165" s="1">
        <v>3547.32</v>
      </c>
    </row>
    <row r="166" spans="1:4" x14ac:dyDescent="0.25">
      <c r="A166" s="1" t="s">
        <v>144</v>
      </c>
      <c r="B166" s="1" t="s">
        <v>70</v>
      </c>
      <c r="C166" s="1">
        <v>6306.71</v>
      </c>
      <c r="D166" s="1">
        <v>2218.61</v>
      </c>
    </row>
    <row r="167" spans="1:4" x14ac:dyDescent="0.25">
      <c r="A167" s="1" t="s">
        <v>145</v>
      </c>
      <c r="B167" s="1" t="s">
        <v>75</v>
      </c>
      <c r="C167" s="1">
        <v>1030.5999999999999</v>
      </c>
      <c r="D167" s="1">
        <v>351.55</v>
      </c>
    </row>
    <row r="168" spans="1:4" x14ac:dyDescent="0.25">
      <c r="A168" s="1" t="s">
        <v>145</v>
      </c>
      <c r="B168" s="1" t="s">
        <v>74</v>
      </c>
      <c r="C168" s="1">
        <v>7721.94</v>
      </c>
      <c r="D168" s="1">
        <v>1365.01</v>
      </c>
    </row>
    <row r="169" spans="1:4" x14ac:dyDescent="0.25">
      <c r="A169" s="1" t="s">
        <v>145</v>
      </c>
      <c r="B169" s="1" t="s">
        <v>78</v>
      </c>
      <c r="C169" s="1">
        <v>2108.54</v>
      </c>
      <c r="D169" s="1">
        <v>981.66</v>
      </c>
    </row>
    <row r="170" spans="1:4" x14ac:dyDescent="0.25">
      <c r="A170" s="1" t="s">
        <v>145</v>
      </c>
      <c r="B170" s="1" t="s">
        <v>73</v>
      </c>
      <c r="C170" s="1">
        <v>6525.87</v>
      </c>
      <c r="D170" s="1">
        <v>897.24</v>
      </c>
    </row>
    <row r="171" spans="1:4" x14ac:dyDescent="0.25">
      <c r="A171" s="1" t="s">
        <v>145</v>
      </c>
      <c r="B171" s="1" t="s">
        <v>72</v>
      </c>
      <c r="C171" s="1">
        <v>9911.07</v>
      </c>
      <c r="D171" s="1">
        <v>5453.5</v>
      </c>
    </row>
    <row r="172" spans="1:4" x14ac:dyDescent="0.25">
      <c r="A172" s="1" t="s">
        <v>145</v>
      </c>
      <c r="B172" s="1" t="s">
        <v>68</v>
      </c>
      <c r="C172" s="1">
        <v>8548.27</v>
      </c>
      <c r="D172" s="1">
        <v>2127.8000000000002</v>
      </c>
    </row>
    <row r="173" spans="1:4" x14ac:dyDescent="0.25">
      <c r="A173" s="1" t="s">
        <v>145</v>
      </c>
      <c r="B173" s="1" t="s">
        <v>71</v>
      </c>
      <c r="C173" s="1">
        <v>10042.07</v>
      </c>
      <c r="D173" s="1">
        <v>2075.8200000000002</v>
      </c>
    </row>
    <row r="174" spans="1:4" x14ac:dyDescent="0.25">
      <c r="A174" s="1" t="s">
        <v>145</v>
      </c>
      <c r="B174" s="1" t="s">
        <v>70</v>
      </c>
      <c r="C174" s="1">
        <v>6938.94</v>
      </c>
      <c r="D174" s="1">
        <v>2426.98</v>
      </c>
    </row>
    <row r="175" spans="1:4" x14ac:dyDescent="0.25">
      <c r="A175" s="1" t="s">
        <v>145</v>
      </c>
      <c r="B175" s="1" t="s">
        <v>69</v>
      </c>
      <c r="C175" s="1">
        <v>6786.14</v>
      </c>
      <c r="D175" s="1">
        <v>4141.71</v>
      </c>
    </row>
    <row r="176" spans="1:4" x14ac:dyDescent="0.25">
      <c r="A176" s="1" t="s">
        <v>145</v>
      </c>
      <c r="B176" s="1" t="s">
        <v>76</v>
      </c>
      <c r="C176" s="1">
        <v>12332.61</v>
      </c>
      <c r="D176" s="1">
        <v>2272.08</v>
      </c>
    </row>
    <row r="177" spans="1:4" x14ac:dyDescent="0.25">
      <c r="A177" s="1" t="s">
        <v>145</v>
      </c>
      <c r="B177" s="1" t="s">
        <v>77</v>
      </c>
      <c r="C177" s="1">
        <v>12333.43</v>
      </c>
      <c r="D177" s="1">
        <v>3570.19</v>
      </c>
    </row>
    <row r="178" spans="1:4" x14ac:dyDescent="0.25">
      <c r="A178" s="1" t="s">
        <v>146</v>
      </c>
      <c r="B178" s="1" t="s">
        <v>75</v>
      </c>
      <c r="C178" s="1">
        <v>1055.58</v>
      </c>
      <c r="D178" s="1">
        <v>369.08</v>
      </c>
    </row>
    <row r="179" spans="1:4" x14ac:dyDescent="0.25">
      <c r="A179" s="1" t="s">
        <v>146</v>
      </c>
      <c r="B179" s="1" t="s">
        <v>74</v>
      </c>
      <c r="C179" s="1">
        <v>7862.36</v>
      </c>
      <c r="D179" s="1">
        <v>1410.63</v>
      </c>
    </row>
    <row r="180" spans="1:4" x14ac:dyDescent="0.25">
      <c r="A180" s="1" t="s">
        <v>146</v>
      </c>
      <c r="B180" s="1" t="s">
        <v>72</v>
      </c>
      <c r="C180" s="1">
        <v>9947.7800000000007</v>
      </c>
      <c r="D180" s="1">
        <v>5463.32</v>
      </c>
    </row>
    <row r="181" spans="1:4" x14ac:dyDescent="0.25">
      <c r="A181" s="1" t="s">
        <v>146</v>
      </c>
      <c r="B181" s="1" t="s">
        <v>76</v>
      </c>
      <c r="C181" s="1">
        <v>12669.24</v>
      </c>
      <c r="D181" s="1">
        <v>2377.2600000000002</v>
      </c>
    </row>
    <row r="182" spans="1:4" x14ac:dyDescent="0.25">
      <c r="A182" s="1" t="s">
        <v>146</v>
      </c>
      <c r="B182" s="1" t="s">
        <v>73</v>
      </c>
      <c r="C182" s="1">
        <v>6736.27</v>
      </c>
      <c r="D182" s="1">
        <v>969.01</v>
      </c>
    </row>
    <row r="183" spans="1:4" x14ac:dyDescent="0.25">
      <c r="A183" s="1" t="s">
        <v>146</v>
      </c>
      <c r="B183" s="1" t="s">
        <v>71</v>
      </c>
      <c r="C183" s="1">
        <v>10167.73</v>
      </c>
      <c r="D183" s="1">
        <v>2149.2199999999998</v>
      </c>
    </row>
    <row r="184" spans="1:4" x14ac:dyDescent="0.25">
      <c r="A184" s="1" t="s">
        <v>146</v>
      </c>
      <c r="B184" s="1" t="s">
        <v>68</v>
      </c>
      <c r="C184" s="1">
        <v>8569.31</v>
      </c>
      <c r="D184" s="1">
        <v>2168.88</v>
      </c>
    </row>
    <row r="185" spans="1:4" x14ac:dyDescent="0.25">
      <c r="A185" s="1" t="s">
        <v>146</v>
      </c>
      <c r="B185" s="1" t="s">
        <v>77</v>
      </c>
      <c r="C185" s="1">
        <v>12519.76</v>
      </c>
      <c r="D185" s="1">
        <v>3602.13</v>
      </c>
    </row>
    <row r="186" spans="1:4" x14ac:dyDescent="0.25">
      <c r="A186" s="1" t="s">
        <v>146</v>
      </c>
      <c r="B186" s="1" t="s">
        <v>70</v>
      </c>
      <c r="C186" s="1">
        <v>6892.31</v>
      </c>
      <c r="D186" s="1">
        <v>2457.5700000000002</v>
      </c>
    </row>
    <row r="187" spans="1:4" x14ac:dyDescent="0.25">
      <c r="A187" s="1" t="s">
        <v>146</v>
      </c>
      <c r="B187" s="1" t="s">
        <v>78</v>
      </c>
      <c r="C187" s="1">
        <v>2052.21</v>
      </c>
      <c r="D187" s="1">
        <v>955.38</v>
      </c>
    </row>
    <row r="188" spans="1:4" x14ac:dyDescent="0.25">
      <c r="A188" s="1" t="s">
        <v>146</v>
      </c>
      <c r="B188" s="1" t="s">
        <v>69</v>
      </c>
      <c r="C188" s="1">
        <v>6780.04</v>
      </c>
      <c r="D188" s="1">
        <v>4096.28</v>
      </c>
    </row>
    <row r="189" spans="1:4" x14ac:dyDescent="0.25">
      <c r="A189" s="1" t="s">
        <v>147</v>
      </c>
      <c r="B189" s="1" t="s">
        <v>75</v>
      </c>
      <c r="C189" s="1">
        <v>1064.5999999999999</v>
      </c>
      <c r="D189" s="1">
        <v>365.23</v>
      </c>
    </row>
    <row r="190" spans="1:4" x14ac:dyDescent="0.25">
      <c r="A190" s="1" t="s">
        <v>147</v>
      </c>
      <c r="B190" s="1" t="s">
        <v>74</v>
      </c>
      <c r="C190" s="1">
        <v>8070.57</v>
      </c>
      <c r="D190" s="1">
        <v>1497.61</v>
      </c>
    </row>
    <row r="191" spans="1:4" x14ac:dyDescent="0.25">
      <c r="A191" s="1" t="s">
        <v>147</v>
      </c>
      <c r="B191" s="1" t="s">
        <v>76</v>
      </c>
      <c r="C191" s="1">
        <v>12834.61</v>
      </c>
      <c r="D191" s="1">
        <v>2497.84</v>
      </c>
    </row>
    <row r="192" spans="1:4" x14ac:dyDescent="0.25">
      <c r="A192" s="1" t="s">
        <v>147</v>
      </c>
      <c r="B192" s="1" t="s">
        <v>68</v>
      </c>
      <c r="C192" s="1">
        <v>8600.07</v>
      </c>
      <c r="D192" s="1">
        <v>2353.35</v>
      </c>
    </row>
    <row r="193" spans="1:4" x14ac:dyDescent="0.25">
      <c r="A193" s="1" t="s">
        <v>147</v>
      </c>
      <c r="B193" s="1" t="s">
        <v>77</v>
      </c>
      <c r="C193" s="1">
        <v>12905.78</v>
      </c>
      <c r="D193" s="1">
        <v>3823.32</v>
      </c>
    </row>
    <row r="194" spans="1:4" x14ac:dyDescent="0.25">
      <c r="A194" s="1" t="s">
        <v>147</v>
      </c>
      <c r="B194" s="1" t="s">
        <v>71</v>
      </c>
      <c r="C194" s="1">
        <v>10186.02</v>
      </c>
      <c r="D194" s="1">
        <v>2343.83</v>
      </c>
    </row>
    <row r="195" spans="1:4" x14ac:dyDescent="0.25">
      <c r="A195" s="1" t="s">
        <v>147</v>
      </c>
      <c r="B195" s="1" t="s">
        <v>70</v>
      </c>
      <c r="C195" s="1">
        <v>6954.05</v>
      </c>
      <c r="D195" s="1">
        <v>2585.81</v>
      </c>
    </row>
    <row r="196" spans="1:4" x14ac:dyDescent="0.25">
      <c r="A196" s="1" t="s">
        <v>147</v>
      </c>
      <c r="B196" s="1" t="s">
        <v>78</v>
      </c>
      <c r="C196" s="1">
        <v>2158.89</v>
      </c>
      <c r="D196" s="1">
        <v>987.54</v>
      </c>
    </row>
    <row r="197" spans="1:4" x14ac:dyDescent="0.25">
      <c r="A197" s="1" t="s">
        <v>147</v>
      </c>
      <c r="B197" s="1" t="s">
        <v>72</v>
      </c>
      <c r="C197" s="1">
        <v>10245.549999999999</v>
      </c>
      <c r="D197" s="1">
        <v>5631.22</v>
      </c>
    </row>
    <row r="198" spans="1:4" x14ac:dyDescent="0.25">
      <c r="A198" s="1" t="s">
        <v>147</v>
      </c>
      <c r="B198" s="1" t="s">
        <v>73</v>
      </c>
      <c r="C198" s="1">
        <v>6746.46</v>
      </c>
      <c r="D198" s="1">
        <v>1052.17</v>
      </c>
    </row>
    <row r="199" spans="1:4" x14ac:dyDescent="0.25">
      <c r="A199" s="1" t="s">
        <v>147</v>
      </c>
      <c r="B199" s="1" t="s">
        <v>69</v>
      </c>
      <c r="C199" s="1">
        <v>6938.83</v>
      </c>
      <c r="D199" s="1">
        <v>4158.1099999999997</v>
      </c>
    </row>
    <row r="200" spans="1:4" x14ac:dyDescent="0.25">
      <c r="A200" s="1" t="s">
        <v>148</v>
      </c>
      <c r="B200" s="1" t="s">
        <v>75</v>
      </c>
      <c r="C200" s="1">
        <v>1052.45</v>
      </c>
      <c r="D200" s="1">
        <v>339.71</v>
      </c>
    </row>
    <row r="201" spans="1:4" x14ac:dyDescent="0.25">
      <c r="A201" s="1" t="s">
        <v>148</v>
      </c>
      <c r="B201" s="1" t="s">
        <v>74</v>
      </c>
      <c r="C201" s="1">
        <v>8586.7800000000007</v>
      </c>
      <c r="D201" s="1">
        <v>1583.05</v>
      </c>
    </row>
    <row r="202" spans="1:4" x14ac:dyDescent="0.25">
      <c r="A202" s="1" t="s">
        <v>148</v>
      </c>
      <c r="B202" s="1" t="s">
        <v>76</v>
      </c>
      <c r="C202" s="1">
        <v>13214.59</v>
      </c>
      <c r="D202" s="1">
        <v>2595.84</v>
      </c>
    </row>
    <row r="203" spans="1:4" x14ac:dyDescent="0.25">
      <c r="A203" s="1" t="s">
        <v>148</v>
      </c>
      <c r="B203" s="1" t="s">
        <v>68</v>
      </c>
      <c r="C203" s="1">
        <v>9268.2900000000009</v>
      </c>
      <c r="D203" s="1">
        <v>2581.44</v>
      </c>
    </row>
    <row r="204" spans="1:4" x14ac:dyDescent="0.25">
      <c r="A204" s="1" t="s">
        <v>148</v>
      </c>
      <c r="B204" s="1" t="s">
        <v>77</v>
      </c>
      <c r="C204" s="1">
        <v>13290.97</v>
      </c>
      <c r="D204" s="1">
        <v>3951.7</v>
      </c>
    </row>
    <row r="205" spans="1:4" x14ac:dyDescent="0.25">
      <c r="A205" s="1" t="s">
        <v>148</v>
      </c>
      <c r="B205" s="1" t="s">
        <v>69</v>
      </c>
      <c r="C205" s="1">
        <v>7161.28</v>
      </c>
      <c r="D205" s="1">
        <v>4176.75</v>
      </c>
    </row>
    <row r="206" spans="1:4" x14ac:dyDescent="0.25">
      <c r="A206" s="1" t="s">
        <v>148</v>
      </c>
      <c r="B206" s="1" t="s">
        <v>70</v>
      </c>
      <c r="C206" s="1">
        <v>7015.82</v>
      </c>
      <c r="D206" s="1">
        <v>2633.41</v>
      </c>
    </row>
    <row r="207" spans="1:4" x14ac:dyDescent="0.25">
      <c r="A207" s="1" t="s">
        <v>148</v>
      </c>
      <c r="B207" s="1" t="s">
        <v>78</v>
      </c>
      <c r="C207" s="1">
        <v>2287.96</v>
      </c>
      <c r="D207" s="1">
        <v>992.33</v>
      </c>
    </row>
    <row r="208" spans="1:4" x14ac:dyDescent="0.25">
      <c r="A208" s="1" t="s">
        <v>148</v>
      </c>
      <c r="B208" s="1" t="s">
        <v>73</v>
      </c>
      <c r="C208" s="1">
        <v>6907.46</v>
      </c>
      <c r="D208" s="1">
        <v>1101.8399999999999</v>
      </c>
    </row>
    <row r="209" spans="1:4" x14ac:dyDescent="0.25">
      <c r="A209" s="1" t="s">
        <v>148</v>
      </c>
      <c r="B209" s="1" t="s">
        <v>72</v>
      </c>
      <c r="C209" s="1">
        <v>10548.71</v>
      </c>
      <c r="D209" s="1">
        <v>5672.36</v>
      </c>
    </row>
    <row r="210" spans="1:4" x14ac:dyDescent="0.25">
      <c r="A210" s="1" t="s">
        <v>148</v>
      </c>
      <c r="B210" s="1" t="s">
        <v>71</v>
      </c>
      <c r="C210" s="1">
        <v>11067.55</v>
      </c>
      <c r="D210" s="1">
        <v>2531.48</v>
      </c>
    </row>
    <row r="211" spans="1:4" x14ac:dyDescent="0.25">
      <c r="A211" s="1" t="s">
        <v>149</v>
      </c>
      <c r="B211" s="1" t="s">
        <v>75</v>
      </c>
      <c r="C211" s="1">
        <v>1652.5</v>
      </c>
      <c r="D211" s="1">
        <v>497.19</v>
      </c>
    </row>
    <row r="212" spans="1:4" x14ac:dyDescent="0.25">
      <c r="A212" s="1" t="s">
        <v>149</v>
      </c>
      <c r="B212" s="1" t="s">
        <v>74</v>
      </c>
      <c r="C212" s="1">
        <v>12787.39</v>
      </c>
      <c r="D212" s="1">
        <v>2136.23</v>
      </c>
    </row>
    <row r="213" spans="1:4" x14ac:dyDescent="0.25">
      <c r="A213" s="1" t="s">
        <v>149</v>
      </c>
      <c r="B213" s="1" t="s">
        <v>73</v>
      </c>
      <c r="C213" s="1">
        <v>11519.34</v>
      </c>
      <c r="D213" s="1">
        <v>1526.07</v>
      </c>
    </row>
    <row r="214" spans="1:4" x14ac:dyDescent="0.25">
      <c r="A214" s="1" t="s">
        <v>149</v>
      </c>
      <c r="B214" s="1" t="s">
        <v>68</v>
      </c>
      <c r="C214" s="1">
        <v>15556.41</v>
      </c>
      <c r="D214" s="1">
        <v>3699.64</v>
      </c>
    </row>
    <row r="215" spans="1:4" x14ac:dyDescent="0.25">
      <c r="A215" s="1" t="s">
        <v>149</v>
      </c>
      <c r="B215" s="1" t="s">
        <v>77</v>
      </c>
      <c r="C215" s="1">
        <v>18933.221000000001</v>
      </c>
      <c r="D215" s="1">
        <v>5116</v>
      </c>
    </row>
    <row r="216" spans="1:4" x14ac:dyDescent="0.25">
      <c r="A216" s="1" t="s">
        <v>149</v>
      </c>
      <c r="B216" s="1" t="s">
        <v>71</v>
      </c>
      <c r="C216" s="1">
        <v>19106.539000000001</v>
      </c>
      <c r="D216" s="1">
        <v>3728.64</v>
      </c>
    </row>
    <row r="217" spans="1:4" x14ac:dyDescent="0.25">
      <c r="A217" s="1" t="s">
        <v>149</v>
      </c>
      <c r="B217" s="1" t="s">
        <v>69</v>
      </c>
      <c r="C217" s="1">
        <v>9879.66</v>
      </c>
      <c r="D217" s="1">
        <v>5359.36</v>
      </c>
    </row>
    <row r="218" spans="1:4" x14ac:dyDescent="0.25">
      <c r="A218" s="1" t="s">
        <v>149</v>
      </c>
      <c r="B218" s="1" t="s">
        <v>70</v>
      </c>
      <c r="C218" s="1">
        <v>11885.2</v>
      </c>
      <c r="D218" s="1">
        <v>3976.5</v>
      </c>
    </row>
    <row r="219" spans="1:4" x14ac:dyDescent="0.25">
      <c r="A219" s="1" t="s">
        <v>149</v>
      </c>
      <c r="B219" s="1" t="s">
        <v>78</v>
      </c>
      <c r="C219" s="1">
        <v>3348.92</v>
      </c>
      <c r="D219" s="1">
        <v>1399.29</v>
      </c>
    </row>
    <row r="220" spans="1:4" x14ac:dyDescent="0.25">
      <c r="A220" s="1" t="s">
        <v>149</v>
      </c>
      <c r="B220" s="1" t="s">
        <v>76</v>
      </c>
      <c r="C220" s="1">
        <v>20946.949000000001</v>
      </c>
      <c r="D220" s="1">
        <v>3595.27</v>
      </c>
    </row>
    <row r="221" spans="1:4" x14ac:dyDescent="0.25">
      <c r="A221" s="1" t="s">
        <v>149</v>
      </c>
      <c r="B221" s="1" t="s">
        <v>72</v>
      </c>
      <c r="C221" s="1">
        <v>15017.53</v>
      </c>
      <c r="D221" s="1">
        <v>7585.23</v>
      </c>
    </row>
    <row r="222" spans="1:4" x14ac:dyDescent="0.25">
      <c r="A222" s="1" t="s">
        <v>150</v>
      </c>
      <c r="B222" s="1" t="s">
        <v>75</v>
      </c>
      <c r="C222" s="1">
        <v>1813.76</v>
      </c>
      <c r="D222" s="1">
        <v>549.15</v>
      </c>
    </row>
    <row r="223" spans="1:4" x14ac:dyDescent="0.25">
      <c r="A223" s="1" t="s">
        <v>150</v>
      </c>
      <c r="B223" s="1" t="s">
        <v>74</v>
      </c>
      <c r="C223" s="1">
        <v>14145.79</v>
      </c>
      <c r="D223" s="1">
        <v>2303.12</v>
      </c>
    </row>
    <row r="224" spans="1:4" x14ac:dyDescent="0.25">
      <c r="A224" s="1" t="s">
        <v>150</v>
      </c>
      <c r="B224" s="1" t="s">
        <v>78</v>
      </c>
      <c r="C224" s="1">
        <v>3663.51</v>
      </c>
      <c r="D224" s="1">
        <v>1516.43</v>
      </c>
    </row>
    <row r="225" spans="1:4" x14ac:dyDescent="0.25">
      <c r="A225" s="1" t="s">
        <v>150</v>
      </c>
      <c r="B225" s="1" t="s">
        <v>72</v>
      </c>
      <c r="C225" s="1">
        <v>16083.95</v>
      </c>
      <c r="D225" s="1">
        <v>8042.37</v>
      </c>
    </row>
    <row r="226" spans="1:4" x14ac:dyDescent="0.25">
      <c r="A226" s="1" t="s">
        <v>150</v>
      </c>
      <c r="B226" s="1" t="s">
        <v>73</v>
      </c>
      <c r="C226" s="1">
        <v>12564.97</v>
      </c>
      <c r="D226" s="1">
        <v>1638.2</v>
      </c>
    </row>
    <row r="227" spans="1:4" x14ac:dyDescent="0.25">
      <c r="A227" s="1" t="s">
        <v>150</v>
      </c>
      <c r="B227" s="1" t="s">
        <v>71</v>
      </c>
      <c r="C227" s="1">
        <v>22111.881000000001</v>
      </c>
      <c r="D227" s="1">
        <v>4079.18</v>
      </c>
    </row>
    <row r="228" spans="1:4" x14ac:dyDescent="0.25">
      <c r="A228" s="1" t="s">
        <v>150</v>
      </c>
      <c r="B228" s="1" t="s">
        <v>69</v>
      </c>
      <c r="C228" s="1">
        <v>10700.32</v>
      </c>
      <c r="D228" s="1">
        <v>5926.84</v>
      </c>
    </row>
    <row r="229" spans="1:4" x14ac:dyDescent="0.25">
      <c r="A229" s="1" t="s">
        <v>150</v>
      </c>
      <c r="B229" s="1" t="s">
        <v>76</v>
      </c>
      <c r="C229" s="1">
        <v>23110.131000000001</v>
      </c>
      <c r="D229" s="1">
        <v>3852.5</v>
      </c>
    </row>
    <row r="230" spans="1:4" x14ac:dyDescent="0.25">
      <c r="A230" s="1" t="s">
        <v>150</v>
      </c>
      <c r="B230" s="1" t="s">
        <v>68</v>
      </c>
      <c r="C230" s="1">
        <v>17486.971000000001</v>
      </c>
      <c r="D230" s="1">
        <v>4045.24</v>
      </c>
    </row>
    <row r="231" spans="1:4" x14ac:dyDescent="0.25">
      <c r="A231" s="1" t="s">
        <v>150</v>
      </c>
      <c r="B231" s="1" t="s">
        <v>77</v>
      </c>
      <c r="C231" s="1">
        <v>19941.109</v>
      </c>
      <c r="D231" s="1">
        <v>5245.27</v>
      </c>
    </row>
    <row r="232" spans="1:4" x14ac:dyDescent="0.25">
      <c r="A232" s="1" t="s">
        <v>150</v>
      </c>
      <c r="B232" s="1" t="s">
        <v>70</v>
      </c>
      <c r="C232" s="1">
        <v>12539.9</v>
      </c>
      <c r="D232" s="1">
        <v>4139.8</v>
      </c>
    </row>
    <row r="233" spans="1:4" x14ac:dyDescent="0.25">
      <c r="A233" s="1" t="s">
        <v>151</v>
      </c>
      <c r="B233" s="1" t="s">
        <v>75</v>
      </c>
      <c r="C233" s="1">
        <v>1825.49</v>
      </c>
      <c r="D233" s="1">
        <v>535.37</v>
      </c>
    </row>
    <row r="234" spans="1:4" x14ac:dyDescent="0.25">
      <c r="A234" s="1" t="s">
        <v>151</v>
      </c>
      <c r="B234" s="1" t="s">
        <v>74</v>
      </c>
      <c r="C234" s="1">
        <v>12651.77</v>
      </c>
      <c r="D234" s="1">
        <v>2065.7600000000002</v>
      </c>
    </row>
    <row r="235" spans="1:4" x14ac:dyDescent="0.25">
      <c r="A235" s="1" t="s">
        <v>151</v>
      </c>
      <c r="B235" s="1" t="s">
        <v>76</v>
      </c>
      <c r="C235" s="1">
        <v>21756.971000000001</v>
      </c>
      <c r="D235" s="1">
        <v>3648.61</v>
      </c>
    </row>
    <row r="236" spans="1:4" x14ac:dyDescent="0.25">
      <c r="A236" s="1" t="s">
        <v>151</v>
      </c>
      <c r="B236" s="1" t="s">
        <v>71</v>
      </c>
      <c r="C236" s="1">
        <v>20527.349999999999</v>
      </c>
      <c r="D236" s="1">
        <v>3764.49</v>
      </c>
    </row>
    <row r="237" spans="1:4" x14ac:dyDescent="0.25">
      <c r="A237" s="1" t="s">
        <v>151</v>
      </c>
      <c r="B237" s="1" t="s">
        <v>68</v>
      </c>
      <c r="C237" s="1">
        <v>16416.509999999998</v>
      </c>
      <c r="D237" s="1">
        <v>3806.49</v>
      </c>
    </row>
    <row r="238" spans="1:4" x14ac:dyDescent="0.25">
      <c r="A238" s="1" t="s">
        <v>151</v>
      </c>
      <c r="B238" s="1" t="s">
        <v>70</v>
      </c>
      <c r="C238" s="1">
        <v>11946.92</v>
      </c>
      <c r="D238" s="1">
        <v>3921.44</v>
      </c>
    </row>
    <row r="239" spans="1:4" x14ac:dyDescent="0.25">
      <c r="A239" s="1" t="s">
        <v>151</v>
      </c>
      <c r="B239" s="1" t="s">
        <v>78</v>
      </c>
      <c r="C239" s="1">
        <v>3663</v>
      </c>
      <c r="D239" s="1">
        <v>1498.68</v>
      </c>
    </row>
    <row r="240" spans="1:4" x14ac:dyDescent="0.25">
      <c r="A240" s="1" t="s">
        <v>151</v>
      </c>
      <c r="B240" s="1" t="s">
        <v>72</v>
      </c>
      <c r="C240" s="1">
        <v>15777.23</v>
      </c>
      <c r="D240" s="1">
        <v>7800.16</v>
      </c>
    </row>
    <row r="241" spans="1:4" x14ac:dyDescent="0.25">
      <c r="A241" s="1" t="s">
        <v>151</v>
      </c>
      <c r="B241" s="1" t="s">
        <v>73</v>
      </c>
      <c r="C241" s="1">
        <v>11721.87</v>
      </c>
      <c r="D241" s="1">
        <v>1544.52</v>
      </c>
    </row>
    <row r="242" spans="1:4" x14ac:dyDescent="0.25">
      <c r="A242" s="1" t="s">
        <v>151</v>
      </c>
      <c r="B242" s="1" t="s">
        <v>77</v>
      </c>
      <c r="C242" s="1">
        <v>19047.400000000001</v>
      </c>
      <c r="D242" s="1">
        <v>4980.41</v>
      </c>
    </row>
    <row r="243" spans="1:4" x14ac:dyDescent="0.25">
      <c r="A243" s="1" t="s">
        <v>151</v>
      </c>
      <c r="B243" s="1" t="s">
        <v>69</v>
      </c>
      <c r="C243" s="1">
        <v>10604.03</v>
      </c>
      <c r="D243" s="1">
        <v>5841.92</v>
      </c>
    </row>
    <row r="244" spans="1:4" x14ac:dyDescent="0.25">
      <c r="A244" s="1" t="s">
        <v>152</v>
      </c>
      <c r="B244" s="1" t="s">
        <v>75</v>
      </c>
      <c r="C244" s="1">
        <v>1497.22</v>
      </c>
      <c r="D244" s="1">
        <v>480.69</v>
      </c>
    </row>
    <row r="245" spans="1:4" x14ac:dyDescent="0.25">
      <c r="A245" s="1" t="s">
        <v>152</v>
      </c>
      <c r="B245" s="1" t="s">
        <v>74</v>
      </c>
      <c r="C245" s="1">
        <v>8331.11</v>
      </c>
      <c r="D245" s="1">
        <v>1550</v>
      </c>
    </row>
    <row r="246" spans="1:4" x14ac:dyDescent="0.25">
      <c r="A246" s="1" t="s">
        <v>152</v>
      </c>
      <c r="B246" s="1" t="s">
        <v>76</v>
      </c>
      <c r="C246" s="1">
        <v>15864.37</v>
      </c>
      <c r="D246" s="1">
        <v>2899.94</v>
      </c>
    </row>
    <row r="247" spans="1:4" x14ac:dyDescent="0.25">
      <c r="A247" s="1" t="s">
        <v>152</v>
      </c>
      <c r="B247" s="1" t="s">
        <v>68</v>
      </c>
      <c r="C247" s="1">
        <v>11971.9</v>
      </c>
      <c r="D247" s="1">
        <v>3041.92</v>
      </c>
    </row>
    <row r="248" spans="1:4" x14ac:dyDescent="0.25">
      <c r="A248" s="1" t="s">
        <v>152</v>
      </c>
      <c r="B248" s="1" t="s">
        <v>77</v>
      </c>
      <c r="C248" s="1">
        <v>15512.38</v>
      </c>
      <c r="D248" s="1">
        <v>4108.3100000000004</v>
      </c>
    </row>
    <row r="249" spans="1:4" x14ac:dyDescent="0.25">
      <c r="A249" s="1" t="s">
        <v>152</v>
      </c>
      <c r="B249" s="1" t="s">
        <v>70</v>
      </c>
      <c r="C249" s="1">
        <v>9200.5400000000009</v>
      </c>
      <c r="D249" s="1">
        <v>3082.63</v>
      </c>
    </row>
    <row r="250" spans="1:4" x14ac:dyDescent="0.25">
      <c r="A250" s="1" t="s">
        <v>152</v>
      </c>
      <c r="B250" s="1" t="s">
        <v>69</v>
      </c>
      <c r="C250" s="1">
        <v>9240.9500000000007</v>
      </c>
      <c r="D250" s="1">
        <v>5143.8</v>
      </c>
    </row>
    <row r="251" spans="1:4" x14ac:dyDescent="0.25">
      <c r="A251" s="1" t="s">
        <v>152</v>
      </c>
      <c r="B251" s="1" t="s">
        <v>78</v>
      </c>
      <c r="C251" s="1">
        <v>3026.92</v>
      </c>
      <c r="D251" s="1">
        <v>1257.72</v>
      </c>
    </row>
    <row r="252" spans="1:4" x14ac:dyDescent="0.25">
      <c r="A252" s="1" t="s">
        <v>152</v>
      </c>
      <c r="B252" s="1" t="s">
        <v>72</v>
      </c>
      <c r="C252" s="1">
        <v>13476.98</v>
      </c>
      <c r="D252" s="1">
        <v>6743.4</v>
      </c>
    </row>
    <row r="253" spans="1:4" x14ac:dyDescent="0.25">
      <c r="A253" s="1" t="s">
        <v>152</v>
      </c>
      <c r="B253" s="1" t="s">
        <v>73</v>
      </c>
      <c r="C253" s="1">
        <v>8611.7199999999993</v>
      </c>
      <c r="D253" s="1">
        <v>1254.06</v>
      </c>
    </row>
    <row r="254" spans="1:4" x14ac:dyDescent="0.25">
      <c r="A254" s="1" t="s">
        <v>152</v>
      </c>
      <c r="B254" s="1" t="s">
        <v>71</v>
      </c>
      <c r="C254" s="1">
        <v>13922.37</v>
      </c>
      <c r="D254" s="1">
        <v>2739.04</v>
      </c>
    </row>
    <row r="255" spans="1:4" x14ac:dyDescent="0.25">
      <c r="A255" s="1" t="s">
        <v>153</v>
      </c>
      <c r="B255" s="1" t="s">
        <v>75</v>
      </c>
      <c r="C255" s="1">
        <v>984.5</v>
      </c>
      <c r="D255" s="1">
        <v>299.5</v>
      </c>
    </row>
    <row r="256" spans="1:4" x14ac:dyDescent="0.25">
      <c r="A256" s="1" t="s">
        <v>153</v>
      </c>
      <c r="B256" s="1" t="s">
        <v>74</v>
      </c>
      <c r="C256" s="1">
        <v>4110.92</v>
      </c>
      <c r="D256" s="1">
        <v>897.83</v>
      </c>
    </row>
    <row r="257" spans="1:4" x14ac:dyDescent="0.25">
      <c r="A257" s="1" t="s">
        <v>153</v>
      </c>
      <c r="B257" s="1" t="s">
        <v>76</v>
      </c>
      <c r="C257" s="1">
        <v>8272.61</v>
      </c>
      <c r="D257" s="1">
        <v>1715.82</v>
      </c>
    </row>
    <row r="258" spans="1:4" x14ac:dyDescent="0.25">
      <c r="A258" s="1" t="s">
        <v>153</v>
      </c>
      <c r="B258" s="1" t="s">
        <v>73</v>
      </c>
      <c r="C258" s="1">
        <v>4286.7700000000004</v>
      </c>
      <c r="D258" s="1">
        <v>735.12</v>
      </c>
    </row>
    <row r="259" spans="1:4" x14ac:dyDescent="0.25">
      <c r="A259" s="1" t="s">
        <v>153</v>
      </c>
      <c r="B259" s="1" t="s">
        <v>68</v>
      </c>
      <c r="C259" s="1">
        <v>5905.78</v>
      </c>
      <c r="D259" s="1">
        <v>1772.35</v>
      </c>
    </row>
    <row r="260" spans="1:4" x14ac:dyDescent="0.25">
      <c r="A260" s="1" t="s">
        <v>153</v>
      </c>
      <c r="B260" s="1" t="s">
        <v>77</v>
      </c>
      <c r="C260" s="1">
        <v>9576.36</v>
      </c>
      <c r="D260" s="1">
        <v>2588</v>
      </c>
    </row>
    <row r="261" spans="1:4" x14ac:dyDescent="0.25">
      <c r="A261" s="1" t="s">
        <v>153</v>
      </c>
      <c r="B261" s="1" t="s">
        <v>71</v>
      </c>
      <c r="C261" s="1">
        <v>6316.72</v>
      </c>
      <c r="D261" s="1">
        <v>1470.29</v>
      </c>
    </row>
    <row r="262" spans="1:4" x14ac:dyDescent="0.25">
      <c r="A262" s="1" t="s">
        <v>153</v>
      </c>
      <c r="B262" s="1" t="s">
        <v>69</v>
      </c>
      <c r="C262" s="1">
        <v>6253.78</v>
      </c>
      <c r="D262" s="1">
        <v>3564.02</v>
      </c>
    </row>
    <row r="263" spans="1:4" x14ac:dyDescent="0.25">
      <c r="A263" s="1" t="s">
        <v>153</v>
      </c>
      <c r="B263" s="1" t="s">
        <v>70</v>
      </c>
      <c r="C263" s="1">
        <v>5119.13</v>
      </c>
      <c r="D263" s="1">
        <v>1849.02</v>
      </c>
    </row>
    <row r="264" spans="1:4" x14ac:dyDescent="0.25">
      <c r="A264" s="1" t="s">
        <v>153</v>
      </c>
      <c r="B264" s="1" t="s">
        <v>78</v>
      </c>
      <c r="C264" s="1">
        <v>1960.92</v>
      </c>
      <c r="D264" s="1">
        <v>852.67</v>
      </c>
    </row>
    <row r="265" spans="1:4" x14ac:dyDescent="0.25">
      <c r="A265" s="1" t="s">
        <v>153</v>
      </c>
      <c r="B265" s="1" t="s">
        <v>72</v>
      </c>
      <c r="C265" s="1">
        <v>8996.44</v>
      </c>
      <c r="D265" s="1">
        <v>4699.1899999999996</v>
      </c>
    </row>
    <row r="266" spans="1:4" x14ac:dyDescent="0.25">
      <c r="A266" s="1" t="s">
        <v>154</v>
      </c>
      <c r="B266" s="1" t="s">
        <v>75</v>
      </c>
      <c r="C266" s="1">
        <v>554.58000000000004</v>
      </c>
      <c r="D266" s="1">
        <v>193.21</v>
      </c>
    </row>
    <row r="267" spans="1:4" x14ac:dyDescent="0.25">
      <c r="A267" s="1" t="s">
        <v>154</v>
      </c>
      <c r="B267" s="1" t="s">
        <v>74</v>
      </c>
      <c r="C267" s="1">
        <v>1853.04</v>
      </c>
      <c r="D267" s="1">
        <v>475.64</v>
      </c>
    </row>
    <row r="268" spans="1:4" x14ac:dyDescent="0.25">
      <c r="A268" s="1" t="s">
        <v>154</v>
      </c>
      <c r="B268" s="1" t="s">
        <v>76</v>
      </c>
      <c r="C268" s="1">
        <v>3872.7</v>
      </c>
      <c r="D268" s="1">
        <v>882.02</v>
      </c>
    </row>
    <row r="269" spans="1:4" x14ac:dyDescent="0.25">
      <c r="A269" s="1" t="s">
        <v>154</v>
      </c>
      <c r="B269" s="1" t="s">
        <v>73</v>
      </c>
      <c r="C269" s="1">
        <v>1889.34</v>
      </c>
      <c r="D269" s="1">
        <v>367.11</v>
      </c>
    </row>
    <row r="270" spans="1:4" x14ac:dyDescent="0.25">
      <c r="A270" s="1" t="s">
        <v>154</v>
      </c>
      <c r="B270" s="1" t="s">
        <v>68</v>
      </c>
      <c r="C270" s="1">
        <v>2520.42</v>
      </c>
      <c r="D270" s="1">
        <v>859.45</v>
      </c>
    </row>
    <row r="271" spans="1:4" x14ac:dyDescent="0.25">
      <c r="A271" s="1" t="s">
        <v>154</v>
      </c>
      <c r="B271" s="1" t="s">
        <v>77</v>
      </c>
      <c r="C271" s="1">
        <v>5030.72</v>
      </c>
      <c r="D271" s="1">
        <v>1415.35</v>
      </c>
    </row>
    <row r="272" spans="1:4" x14ac:dyDescent="0.25">
      <c r="A272" s="1" t="s">
        <v>154</v>
      </c>
      <c r="B272" s="1" t="s">
        <v>71</v>
      </c>
      <c r="C272" s="1">
        <v>2687.96</v>
      </c>
      <c r="D272" s="1">
        <v>687.3</v>
      </c>
    </row>
    <row r="273" spans="1:4" x14ac:dyDescent="0.25">
      <c r="A273" s="1" t="s">
        <v>154</v>
      </c>
      <c r="B273" s="1" t="s">
        <v>70</v>
      </c>
      <c r="C273" s="1">
        <v>2449.85</v>
      </c>
      <c r="D273" s="1">
        <v>953.4</v>
      </c>
    </row>
    <row r="274" spans="1:4" x14ac:dyDescent="0.25">
      <c r="A274" s="1" t="s">
        <v>154</v>
      </c>
      <c r="B274" s="1" t="s">
        <v>69</v>
      </c>
      <c r="C274" s="1">
        <v>3411.73</v>
      </c>
      <c r="D274" s="1">
        <v>2052.63</v>
      </c>
    </row>
    <row r="275" spans="1:4" x14ac:dyDescent="0.25">
      <c r="A275" s="1" t="s">
        <v>154</v>
      </c>
      <c r="B275" s="1" t="s">
        <v>78</v>
      </c>
      <c r="C275" s="1">
        <v>1022.42</v>
      </c>
      <c r="D275" s="1">
        <v>464.48</v>
      </c>
    </row>
    <row r="276" spans="1:4" x14ac:dyDescent="0.25">
      <c r="A276" s="1" t="s">
        <v>154</v>
      </c>
      <c r="B276" s="1" t="s">
        <v>72</v>
      </c>
      <c r="C276" s="1">
        <v>4948.57</v>
      </c>
      <c r="D276" s="1">
        <v>2739.2</v>
      </c>
    </row>
    <row r="277" spans="1:4" x14ac:dyDescent="0.25">
      <c r="A277" s="1" t="s">
        <v>155</v>
      </c>
      <c r="B277" s="1" t="s">
        <v>75</v>
      </c>
      <c r="C277" s="1">
        <v>304.45999999999998</v>
      </c>
      <c r="D277" s="1">
        <v>120.39</v>
      </c>
    </row>
    <row r="278" spans="1:4" x14ac:dyDescent="0.25">
      <c r="A278" s="1" t="s">
        <v>155</v>
      </c>
      <c r="B278" s="1" t="s">
        <v>74</v>
      </c>
      <c r="C278" s="1">
        <v>942.63</v>
      </c>
      <c r="D278" s="1">
        <v>253.19</v>
      </c>
    </row>
    <row r="279" spans="1:4" x14ac:dyDescent="0.25">
      <c r="A279" s="1" t="s">
        <v>155</v>
      </c>
      <c r="B279" s="1" t="s">
        <v>78</v>
      </c>
      <c r="C279" s="1">
        <v>495.84</v>
      </c>
      <c r="D279" s="1">
        <v>230.93</v>
      </c>
    </row>
    <row r="280" spans="1:4" x14ac:dyDescent="0.25">
      <c r="A280" s="1" t="s">
        <v>155</v>
      </c>
      <c r="B280" s="1" t="s">
        <v>72</v>
      </c>
      <c r="C280" s="1">
        <v>2532.65</v>
      </c>
      <c r="D280" s="1">
        <v>1470.84</v>
      </c>
    </row>
    <row r="281" spans="1:4" x14ac:dyDescent="0.25">
      <c r="A281" s="1" t="s">
        <v>155</v>
      </c>
      <c r="B281" s="1" t="s">
        <v>73</v>
      </c>
      <c r="C281" s="1">
        <v>882.19</v>
      </c>
      <c r="D281" s="1">
        <v>182.24</v>
      </c>
    </row>
    <row r="282" spans="1:4" x14ac:dyDescent="0.25">
      <c r="A282" s="1" t="s">
        <v>155</v>
      </c>
      <c r="B282" s="1" t="s">
        <v>77</v>
      </c>
      <c r="C282" s="1">
        <v>2612.35</v>
      </c>
      <c r="D282" s="1">
        <v>751.37</v>
      </c>
    </row>
    <row r="283" spans="1:4" x14ac:dyDescent="0.25">
      <c r="A283" s="1" t="s">
        <v>155</v>
      </c>
      <c r="B283" s="1" t="s">
        <v>71</v>
      </c>
      <c r="C283" s="1">
        <v>1239.0899999999999</v>
      </c>
      <c r="D283" s="1">
        <v>318.77</v>
      </c>
    </row>
    <row r="284" spans="1:4" x14ac:dyDescent="0.25">
      <c r="A284" s="1" t="s">
        <v>155</v>
      </c>
      <c r="B284" s="1" t="s">
        <v>70</v>
      </c>
      <c r="C284" s="1">
        <v>1212.22</v>
      </c>
      <c r="D284" s="1">
        <v>459.29</v>
      </c>
    </row>
    <row r="285" spans="1:4" x14ac:dyDescent="0.25">
      <c r="A285" s="1" t="s">
        <v>155</v>
      </c>
      <c r="B285" s="1" t="s">
        <v>76</v>
      </c>
      <c r="C285" s="1">
        <v>1956.96</v>
      </c>
      <c r="D285" s="1">
        <v>485.45</v>
      </c>
    </row>
    <row r="286" spans="1:4" x14ac:dyDescent="0.25">
      <c r="A286" s="1" t="s">
        <v>155</v>
      </c>
      <c r="B286" s="1" t="s">
        <v>68</v>
      </c>
      <c r="C286" s="1">
        <v>1111.52</v>
      </c>
      <c r="D286" s="1">
        <v>409.68</v>
      </c>
    </row>
    <row r="287" spans="1:4" x14ac:dyDescent="0.25">
      <c r="A287" s="1" t="s">
        <v>155</v>
      </c>
      <c r="B287" s="1" t="s">
        <v>69</v>
      </c>
      <c r="C287" s="1">
        <v>1786.64</v>
      </c>
      <c r="D287" s="1">
        <v>1073.8599999999999</v>
      </c>
    </row>
    <row r="288" spans="1:4" x14ac:dyDescent="0.25">
      <c r="A288" s="1" t="s">
        <v>156</v>
      </c>
      <c r="B288" s="1" t="s">
        <v>75</v>
      </c>
      <c r="C288" s="1">
        <v>151.53</v>
      </c>
      <c r="D288" s="1">
        <v>55.58</v>
      </c>
    </row>
    <row r="289" spans="1:4" x14ac:dyDescent="0.25">
      <c r="A289" s="1" t="s">
        <v>156</v>
      </c>
      <c r="B289" s="1" t="s">
        <v>74</v>
      </c>
      <c r="C289" s="1">
        <v>516.82000000000005</v>
      </c>
      <c r="D289" s="1">
        <v>142.51</v>
      </c>
    </row>
    <row r="290" spans="1:4" x14ac:dyDescent="0.25">
      <c r="A290" s="1" t="s">
        <v>156</v>
      </c>
      <c r="B290" s="1" t="s">
        <v>78</v>
      </c>
      <c r="C290" s="1">
        <v>245.78</v>
      </c>
      <c r="D290" s="1">
        <v>118.46</v>
      </c>
    </row>
    <row r="291" spans="1:4" x14ac:dyDescent="0.25">
      <c r="A291" s="1" t="s">
        <v>156</v>
      </c>
      <c r="B291" s="1" t="s">
        <v>71</v>
      </c>
      <c r="C291" s="1">
        <v>626.73</v>
      </c>
      <c r="D291" s="1">
        <v>159.44</v>
      </c>
    </row>
    <row r="292" spans="1:4" x14ac:dyDescent="0.25">
      <c r="A292" s="1" t="s">
        <v>156</v>
      </c>
      <c r="B292" s="1" t="s">
        <v>69</v>
      </c>
      <c r="C292" s="1">
        <v>945.37</v>
      </c>
      <c r="D292" s="1">
        <v>581.92999999999995</v>
      </c>
    </row>
    <row r="293" spans="1:4" x14ac:dyDescent="0.25">
      <c r="A293" s="1" t="s">
        <v>156</v>
      </c>
      <c r="B293" s="1" t="s">
        <v>76</v>
      </c>
      <c r="C293" s="1">
        <v>1106.71</v>
      </c>
      <c r="D293" s="1">
        <v>289.68</v>
      </c>
    </row>
    <row r="294" spans="1:4" x14ac:dyDescent="0.25">
      <c r="A294" s="1" t="s">
        <v>156</v>
      </c>
      <c r="B294" s="1" t="s">
        <v>72</v>
      </c>
      <c r="C294" s="1">
        <v>1316.29</v>
      </c>
      <c r="D294" s="1">
        <v>766.36</v>
      </c>
    </row>
    <row r="295" spans="1:4" x14ac:dyDescent="0.25">
      <c r="A295" s="1" t="s">
        <v>156</v>
      </c>
      <c r="B295" s="1" t="s">
        <v>73</v>
      </c>
      <c r="C295" s="1">
        <v>455.41</v>
      </c>
      <c r="D295" s="1">
        <v>102.32</v>
      </c>
    </row>
    <row r="296" spans="1:4" x14ac:dyDescent="0.25">
      <c r="A296" s="1" t="s">
        <v>156</v>
      </c>
      <c r="B296" s="1" t="s">
        <v>68</v>
      </c>
      <c r="C296" s="1">
        <v>530.05999999999995</v>
      </c>
      <c r="D296" s="1">
        <v>189.24</v>
      </c>
    </row>
    <row r="297" spans="1:4" x14ac:dyDescent="0.25">
      <c r="A297" s="1" t="s">
        <v>156</v>
      </c>
      <c r="B297" s="1" t="s">
        <v>77</v>
      </c>
      <c r="C297" s="1">
        <v>1492.82</v>
      </c>
      <c r="D297" s="1">
        <v>430.52</v>
      </c>
    </row>
    <row r="298" spans="1:4" x14ac:dyDescent="0.25">
      <c r="A298" s="1" t="s">
        <v>156</v>
      </c>
      <c r="B298" s="1" t="s">
        <v>70</v>
      </c>
      <c r="C298" s="1">
        <v>640.73</v>
      </c>
      <c r="D298" s="1">
        <v>238.55</v>
      </c>
    </row>
    <row r="299" spans="1:4" x14ac:dyDescent="0.25">
      <c r="A299" s="1" t="s">
        <v>157</v>
      </c>
      <c r="B299" s="1" t="s">
        <v>75</v>
      </c>
      <c r="C299" s="1">
        <v>78.83</v>
      </c>
      <c r="D299" s="1">
        <v>34.159999999999997</v>
      </c>
    </row>
    <row r="300" spans="1:4" x14ac:dyDescent="0.25">
      <c r="A300" s="1" t="s">
        <v>157</v>
      </c>
      <c r="B300" s="1" t="s">
        <v>74</v>
      </c>
      <c r="C300" s="1">
        <v>360.66</v>
      </c>
      <c r="D300" s="1">
        <v>92.29</v>
      </c>
    </row>
    <row r="301" spans="1:4" x14ac:dyDescent="0.25">
      <c r="A301" s="1" t="s">
        <v>157</v>
      </c>
      <c r="B301" s="1" t="s">
        <v>72</v>
      </c>
      <c r="C301" s="1">
        <v>810.29</v>
      </c>
      <c r="D301" s="1">
        <v>446.16</v>
      </c>
    </row>
    <row r="302" spans="1:4" x14ac:dyDescent="0.25">
      <c r="A302" s="1" t="s">
        <v>157</v>
      </c>
      <c r="B302" s="1" t="s">
        <v>68</v>
      </c>
      <c r="C302" s="1">
        <v>339.83</v>
      </c>
      <c r="D302" s="1">
        <v>108.29</v>
      </c>
    </row>
    <row r="303" spans="1:4" x14ac:dyDescent="0.25">
      <c r="A303" s="1" t="s">
        <v>157</v>
      </c>
      <c r="B303" s="1" t="s">
        <v>77</v>
      </c>
      <c r="C303" s="1">
        <v>1028.94</v>
      </c>
      <c r="D303" s="1">
        <v>304.97000000000003</v>
      </c>
    </row>
    <row r="304" spans="1:4" x14ac:dyDescent="0.25">
      <c r="A304" s="1" t="s">
        <v>157</v>
      </c>
      <c r="B304" s="1" t="s">
        <v>70</v>
      </c>
      <c r="C304" s="1">
        <v>430.64</v>
      </c>
      <c r="D304" s="1">
        <v>145.76</v>
      </c>
    </row>
    <row r="305" spans="1:4" x14ac:dyDescent="0.25">
      <c r="A305" s="1" t="s">
        <v>157</v>
      </c>
      <c r="B305" s="1" t="s">
        <v>78</v>
      </c>
      <c r="C305" s="1">
        <v>137.47</v>
      </c>
      <c r="D305" s="1">
        <v>60.63</v>
      </c>
    </row>
    <row r="306" spans="1:4" x14ac:dyDescent="0.25">
      <c r="A306" s="1" t="s">
        <v>157</v>
      </c>
      <c r="B306" s="1" t="s">
        <v>76</v>
      </c>
      <c r="C306" s="1">
        <v>780.74</v>
      </c>
      <c r="D306" s="1">
        <v>190.17</v>
      </c>
    </row>
    <row r="307" spans="1:4" x14ac:dyDescent="0.25">
      <c r="A307" s="1" t="s">
        <v>157</v>
      </c>
      <c r="B307" s="1" t="s">
        <v>73</v>
      </c>
      <c r="C307" s="1">
        <v>319.64999999999998</v>
      </c>
      <c r="D307" s="1">
        <v>68.459999999999994</v>
      </c>
    </row>
    <row r="308" spans="1:4" x14ac:dyDescent="0.25">
      <c r="A308" s="1" t="s">
        <v>157</v>
      </c>
      <c r="B308" s="1" t="s">
        <v>71</v>
      </c>
      <c r="C308" s="1">
        <v>432.57</v>
      </c>
      <c r="D308" s="1">
        <v>105.39</v>
      </c>
    </row>
    <row r="309" spans="1:4" x14ac:dyDescent="0.25">
      <c r="A309" s="1" t="s">
        <v>157</v>
      </c>
      <c r="B309" s="1" t="s">
        <v>69</v>
      </c>
      <c r="C309" s="1">
        <v>587.65</v>
      </c>
      <c r="D309" s="1">
        <v>321.38</v>
      </c>
    </row>
    <row r="310" spans="1:4" x14ac:dyDescent="0.25">
      <c r="A310" s="1" t="s">
        <v>158</v>
      </c>
      <c r="B310" s="1" t="s">
        <v>75</v>
      </c>
      <c r="C310" s="1">
        <v>59.44</v>
      </c>
      <c r="D310" s="1">
        <v>22.24</v>
      </c>
    </row>
    <row r="311" spans="1:4" x14ac:dyDescent="0.25">
      <c r="A311" s="1" t="s">
        <v>158</v>
      </c>
      <c r="B311" s="1" t="s">
        <v>74</v>
      </c>
      <c r="C311" s="1">
        <v>346.83</v>
      </c>
      <c r="D311" s="1">
        <v>82.26</v>
      </c>
    </row>
    <row r="312" spans="1:4" x14ac:dyDescent="0.25">
      <c r="A312" s="1" t="s">
        <v>158</v>
      </c>
      <c r="B312" s="1" t="s">
        <v>72</v>
      </c>
      <c r="C312" s="1">
        <v>659.75</v>
      </c>
      <c r="D312" s="1">
        <v>314.67</v>
      </c>
    </row>
    <row r="313" spans="1:4" x14ac:dyDescent="0.25">
      <c r="A313" s="1" t="s">
        <v>158</v>
      </c>
      <c r="B313" s="1" t="s">
        <v>76</v>
      </c>
      <c r="C313" s="1">
        <v>665.56</v>
      </c>
      <c r="D313" s="1">
        <v>177.41</v>
      </c>
    </row>
    <row r="314" spans="1:4" x14ac:dyDescent="0.25">
      <c r="A314" s="1" t="s">
        <v>158</v>
      </c>
      <c r="B314" s="1" t="s">
        <v>73</v>
      </c>
      <c r="C314" s="1">
        <v>333.38</v>
      </c>
      <c r="D314" s="1">
        <v>58.6</v>
      </c>
    </row>
    <row r="315" spans="1:4" x14ac:dyDescent="0.25">
      <c r="A315" s="1" t="s">
        <v>158</v>
      </c>
      <c r="B315" s="1" t="s">
        <v>68</v>
      </c>
      <c r="C315" s="1">
        <v>319.91000000000003</v>
      </c>
      <c r="D315" s="1">
        <v>84.91</v>
      </c>
    </row>
    <row r="316" spans="1:4" x14ac:dyDescent="0.25">
      <c r="A316" s="1" t="s">
        <v>158</v>
      </c>
      <c r="B316" s="1" t="s">
        <v>77</v>
      </c>
      <c r="C316" s="1">
        <v>992.18</v>
      </c>
      <c r="D316" s="1">
        <v>274.92</v>
      </c>
    </row>
    <row r="317" spans="1:4" x14ac:dyDescent="0.25">
      <c r="A317" s="1" t="s">
        <v>158</v>
      </c>
      <c r="B317" s="1" t="s">
        <v>71</v>
      </c>
      <c r="C317" s="1">
        <v>433.37</v>
      </c>
      <c r="D317" s="1">
        <v>94.12</v>
      </c>
    </row>
    <row r="318" spans="1:4" x14ac:dyDescent="0.25">
      <c r="A318" s="1" t="s">
        <v>158</v>
      </c>
      <c r="B318" s="1" t="s">
        <v>69</v>
      </c>
      <c r="C318" s="1">
        <v>497.74</v>
      </c>
      <c r="D318" s="1">
        <v>243.57</v>
      </c>
    </row>
    <row r="319" spans="1:4" x14ac:dyDescent="0.25">
      <c r="A319" s="1" t="s">
        <v>158</v>
      </c>
      <c r="B319" s="1" t="s">
        <v>70</v>
      </c>
      <c r="C319" s="1">
        <v>403.94</v>
      </c>
      <c r="D319" s="1">
        <v>139.24</v>
      </c>
    </row>
    <row r="320" spans="1:4" x14ac:dyDescent="0.25">
      <c r="A320" s="1" t="s">
        <v>158</v>
      </c>
      <c r="B320" s="1" t="s">
        <v>78</v>
      </c>
      <c r="C320" s="1">
        <v>108.81</v>
      </c>
      <c r="D320" s="1">
        <v>43.97</v>
      </c>
    </row>
    <row r="321" spans="1:4" x14ac:dyDescent="0.25">
      <c r="A321" s="1" t="s">
        <v>159</v>
      </c>
      <c r="B321" s="1" t="s">
        <v>75</v>
      </c>
      <c r="C321" s="1">
        <v>97.6</v>
      </c>
      <c r="D321" s="1">
        <v>22.62</v>
      </c>
    </row>
    <row r="322" spans="1:4" x14ac:dyDescent="0.25">
      <c r="A322" s="1" t="s">
        <v>159</v>
      </c>
      <c r="B322" s="1" t="s">
        <v>74</v>
      </c>
      <c r="C322" s="1">
        <v>918.99</v>
      </c>
      <c r="D322" s="1">
        <v>151.58000000000001</v>
      </c>
    </row>
    <row r="323" spans="1:4" x14ac:dyDescent="0.25">
      <c r="A323" s="1" t="s">
        <v>159</v>
      </c>
      <c r="B323" s="1" t="s">
        <v>76</v>
      </c>
      <c r="C323" s="1">
        <v>1433.69</v>
      </c>
      <c r="D323" s="1">
        <v>325.95</v>
      </c>
    </row>
    <row r="324" spans="1:4" x14ac:dyDescent="0.25">
      <c r="A324" s="1" t="s">
        <v>159</v>
      </c>
      <c r="B324" s="1" t="s">
        <v>73</v>
      </c>
      <c r="C324" s="1">
        <v>813.92</v>
      </c>
      <c r="D324" s="1">
        <v>101.63</v>
      </c>
    </row>
    <row r="325" spans="1:4" x14ac:dyDescent="0.25">
      <c r="A325" s="1" t="s">
        <v>159</v>
      </c>
      <c r="B325" s="1" t="s">
        <v>72</v>
      </c>
      <c r="C325" s="1">
        <v>1118.3699999999999</v>
      </c>
      <c r="D325" s="1">
        <v>448.37</v>
      </c>
    </row>
    <row r="326" spans="1:4" x14ac:dyDescent="0.25">
      <c r="A326" s="1" t="s">
        <v>159</v>
      </c>
      <c r="B326" s="1" t="s">
        <v>71</v>
      </c>
      <c r="C326" s="1">
        <v>1838.71</v>
      </c>
      <c r="D326" s="1">
        <v>242.47</v>
      </c>
    </row>
    <row r="327" spans="1:4" x14ac:dyDescent="0.25">
      <c r="A327" s="1" t="s">
        <v>159</v>
      </c>
      <c r="B327" s="1" t="s">
        <v>68</v>
      </c>
      <c r="C327" s="1">
        <v>1223.5</v>
      </c>
      <c r="D327" s="1">
        <v>201.17</v>
      </c>
    </row>
    <row r="328" spans="1:4" x14ac:dyDescent="0.25">
      <c r="A328" s="1" t="s">
        <v>159</v>
      </c>
      <c r="B328" s="1" t="s">
        <v>77</v>
      </c>
      <c r="C328" s="1">
        <v>1923.3</v>
      </c>
      <c r="D328" s="1">
        <v>491.49</v>
      </c>
    </row>
    <row r="329" spans="1:4" x14ac:dyDescent="0.25">
      <c r="A329" s="1" t="s">
        <v>159</v>
      </c>
      <c r="B329" s="1" t="s">
        <v>70</v>
      </c>
      <c r="C329" s="1">
        <v>816.04</v>
      </c>
      <c r="D329" s="1">
        <v>226.35</v>
      </c>
    </row>
    <row r="330" spans="1:4" x14ac:dyDescent="0.25">
      <c r="A330" s="1" t="s">
        <v>159</v>
      </c>
      <c r="B330" s="1" t="s">
        <v>78</v>
      </c>
      <c r="C330" s="1">
        <v>205.86</v>
      </c>
      <c r="D330" s="1">
        <v>60.94</v>
      </c>
    </row>
    <row r="331" spans="1:4" x14ac:dyDescent="0.25">
      <c r="A331" s="1" t="s">
        <v>159</v>
      </c>
      <c r="B331" s="1" t="s">
        <v>69</v>
      </c>
      <c r="C331" s="1">
        <v>826.35</v>
      </c>
      <c r="D331" s="1">
        <v>326.95</v>
      </c>
    </row>
    <row r="332" spans="1:4" x14ac:dyDescent="0.25">
      <c r="A332" s="1" t="s">
        <v>160</v>
      </c>
      <c r="B332" s="1" t="s">
        <v>75</v>
      </c>
      <c r="C332" s="1">
        <v>212.33</v>
      </c>
      <c r="D332" s="1">
        <v>43.03</v>
      </c>
    </row>
    <row r="333" spans="1:4" x14ac:dyDescent="0.25">
      <c r="A333" s="1" t="s">
        <v>160</v>
      </c>
      <c r="B333" s="1" t="s">
        <v>74</v>
      </c>
      <c r="C333" s="1">
        <v>2569.65</v>
      </c>
      <c r="D333" s="1">
        <v>333.46</v>
      </c>
    </row>
    <row r="334" spans="1:4" x14ac:dyDescent="0.25">
      <c r="A334" s="1" t="s">
        <v>160</v>
      </c>
      <c r="B334" s="1" t="s">
        <v>77</v>
      </c>
      <c r="C334" s="1">
        <v>3806.42</v>
      </c>
      <c r="D334" s="1">
        <v>839.52</v>
      </c>
    </row>
    <row r="335" spans="1:4" x14ac:dyDescent="0.25">
      <c r="A335" s="1" t="s">
        <v>160</v>
      </c>
      <c r="B335" s="1" t="s">
        <v>70</v>
      </c>
      <c r="C335" s="1">
        <v>2013.21</v>
      </c>
      <c r="D335" s="1">
        <v>512.96</v>
      </c>
    </row>
    <row r="336" spans="1:4" x14ac:dyDescent="0.25">
      <c r="A336" s="1" t="s">
        <v>160</v>
      </c>
      <c r="B336" s="1" t="s">
        <v>78</v>
      </c>
      <c r="C336" s="1">
        <v>439.64</v>
      </c>
      <c r="D336" s="1">
        <v>104.24</v>
      </c>
    </row>
    <row r="337" spans="1:4" x14ac:dyDescent="0.25">
      <c r="A337" s="1" t="s">
        <v>160</v>
      </c>
      <c r="B337" s="1" t="s">
        <v>76</v>
      </c>
      <c r="C337" s="1">
        <v>4130.18</v>
      </c>
      <c r="D337" s="1">
        <v>633.95000000000005</v>
      </c>
    </row>
    <row r="338" spans="1:4" x14ac:dyDescent="0.25">
      <c r="A338" s="1" t="s">
        <v>160</v>
      </c>
      <c r="B338" s="1" t="s">
        <v>72</v>
      </c>
      <c r="C338" s="1">
        <v>2191.15</v>
      </c>
      <c r="D338" s="1">
        <v>780.37</v>
      </c>
    </row>
    <row r="339" spans="1:4" x14ac:dyDescent="0.25">
      <c r="A339" s="1" t="s">
        <v>160</v>
      </c>
      <c r="B339" s="1" t="s">
        <v>73</v>
      </c>
      <c r="C339" s="1">
        <v>2380.2399999999998</v>
      </c>
      <c r="D339" s="1">
        <v>238.28</v>
      </c>
    </row>
    <row r="340" spans="1:4" x14ac:dyDescent="0.25">
      <c r="A340" s="1" t="s">
        <v>160</v>
      </c>
      <c r="B340" s="1" t="s">
        <v>68</v>
      </c>
      <c r="C340" s="1">
        <v>3701.77</v>
      </c>
      <c r="D340" s="1">
        <v>558.96</v>
      </c>
    </row>
    <row r="341" spans="1:4" x14ac:dyDescent="0.25">
      <c r="A341" s="1" t="s">
        <v>160</v>
      </c>
      <c r="B341" s="1" t="s">
        <v>71</v>
      </c>
      <c r="C341" s="1">
        <v>5104.09</v>
      </c>
      <c r="D341" s="1">
        <v>663.91</v>
      </c>
    </row>
    <row r="342" spans="1:4" x14ac:dyDescent="0.25">
      <c r="A342" s="1" t="s">
        <v>160</v>
      </c>
      <c r="B342" s="1" t="s">
        <v>69</v>
      </c>
      <c r="C342" s="1">
        <v>1485.27</v>
      </c>
      <c r="D342" s="1">
        <v>505.14</v>
      </c>
    </row>
    <row r="343" spans="1:4" x14ac:dyDescent="0.25">
      <c r="A343" s="1" t="s">
        <v>161</v>
      </c>
      <c r="B343" s="1" t="s">
        <v>75</v>
      </c>
      <c r="C343" s="1">
        <v>423.93</v>
      </c>
      <c r="D343" s="1">
        <v>85.56</v>
      </c>
    </row>
    <row r="344" spans="1:4" x14ac:dyDescent="0.25">
      <c r="A344" s="1" t="s">
        <v>161</v>
      </c>
      <c r="B344" s="1" t="s">
        <v>78</v>
      </c>
      <c r="C344" s="1">
        <v>878.86</v>
      </c>
      <c r="D344" s="1">
        <v>217.55</v>
      </c>
    </row>
    <row r="345" spans="1:4" x14ac:dyDescent="0.25">
      <c r="A345" s="1" t="s">
        <v>161</v>
      </c>
      <c r="B345" s="1" t="s">
        <v>74</v>
      </c>
      <c r="C345" s="1">
        <v>5019.72</v>
      </c>
      <c r="D345" s="1">
        <v>630.49</v>
      </c>
    </row>
    <row r="346" spans="1:4" x14ac:dyDescent="0.25">
      <c r="A346" s="1" t="s">
        <v>161</v>
      </c>
      <c r="B346" s="1" t="s">
        <v>69</v>
      </c>
      <c r="C346" s="1">
        <v>2595.98</v>
      </c>
      <c r="D346" s="1">
        <v>890.7</v>
      </c>
    </row>
    <row r="347" spans="1:4" x14ac:dyDescent="0.25">
      <c r="A347" s="1" t="s">
        <v>161</v>
      </c>
      <c r="B347" s="1" t="s">
        <v>76</v>
      </c>
      <c r="C347" s="1">
        <v>8615.09</v>
      </c>
      <c r="D347" s="1">
        <v>1202.71</v>
      </c>
    </row>
    <row r="348" spans="1:4" x14ac:dyDescent="0.25">
      <c r="A348" s="1" t="s">
        <v>161</v>
      </c>
      <c r="B348" s="1" t="s">
        <v>72</v>
      </c>
      <c r="C348" s="1">
        <v>4102.99</v>
      </c>
      <c r="D348" s="1">
        <v>1507.4</v>
      </c>
    </row>
    <row r="349" spans="1:4" x14ac:dyDescent="0.25">
      <c r="A349" s="1" t="s">
        <v>161</v>
      </c>
      <c r="B349" s="1" t="s">
        <v>73</v>
      </c>
      <c r="C349" s="1">
        <v>4497.41</v>
      </c>
      <c r="D349" s="1">
        <v>488.85</v>
      </c>
    </row>
    <row r="350" spans="1:4" x14ac:dyDescent="0.25">
      <c r="A350" s="1" t="s">
        <v>161</v>
      </c>
      <c r="B350" s="1" t="s">
        <v>68</v>
      </c>
      <c r="C350" s="1">
        <v>6321.72</v>
      </c>
      <c r="D350" s="1">
        <v>1114.29</v>
      </c>
    </row>
    <row r="351" spans="1:4" x14ac:dyDescent="0.25">
      <c r="A351" s="1" t="s">
        <v>161</v>
      </c>
      <c r="B351" s="1" t="s">
        <v>77</v>
      </c>
      <c r="C351" s="1">
        <v>6490.22</v>
      </c>
      <c r="D351" s="1">
        <v>1415.18</v>
      </c>
    </row>
    <row r="352" spans="1:4" x14ac:dyDescent="0.25">
      <c r="A352" s="1" t="s">
        <v>161</v>
      </c>
      <c r="B352" s="1" t="s">
        <v>71</v>
      </c>
      <c r="C352" s="1">
        <v>8281.26</v>
      </c>
      <c r="D352" s="1">
        <v>1261</v>
      </c>
    </row>
    <row r="353" spans="1:4" x14ac:dyDescent="0.25">
      <c r="A353" s="1" t="s">
        <v>161</v>
      </c>
      <c r="B353" s="1" t="s">
        <v>70</v>
      </c>
      <c r="C353" s="1">
        <v>3833.99</v>
      </c>
      <c r="D353" s="1">
        <v>1029.29</v>
      </c>
    </row>
    <row r="354" spans="1:4" x14ac:dyDescent="0.25">
      <c r="A354" s="1" t="s">
        <v>162</v>
      </c>
      <c r="B354" s="1" t="s">
        <v>75</v>
      </c>
      <c r="C354" s="1">
        <v>695.57</v>
      </c>
      <c r="D354" s="1">
        <v>162.43</v>
      </c>
    </row>
    <row r="355" spans="1:4" x14ac:dyDescent="0.25">
      <c r="A355" s="1" t="s">
        <v>162</v>
      </c>
      <c r="B355" s="1" t="s">
        <v>78</v>
      </c>
      <c r="C355" s="1">
        <v>1407.24</v>
      </c>
      <c r="D355" s="1">
        <v>414.07</v>
      </c>
    </row>
    <row r="356" spans="1:4" x14ac:dyDescent="0.25">
      <c r="A356" s="1" t="s">
        <v>162</v>
      </c>
      <c r="B356" s="1" t="s">
        <v>74</v>
      </c>
      <c r="C356" s="1">
        <v>7362.53</v>
      </c>
      <c r="D356" s="1">
        <v>964.69</v>
      </c>
    </row>
    <row r="357" spans="1:4" x14ac:dyDescent="0.25">
      <c r="A357" s="1" t="s">
        <v>162</v>
      </c>
      <c r="B357" s="1" t="s">
        <v>73</v>
      </c>
      <c r="C357" s="1">
        <v>6418.42</v>
      </c>
      <c r="D357" s="1">
        <v>796.85</v>
      </c>
    </row>
    <row r="358" spans="1:4" x14ac:dyDescent="0.25">
      <c r="A358" s="1" t="s">
        <v>162</v>
      </c>
      <c r="B358" s="1" t="s">
        <v>72</v>
      </c>
      <c r="C358" s="1">
        <v>6641.79</v>
      </c>
      <c r="D358" s="1">
        <v>2655.91</v>
      </c>
    </row>
    <row r="359" spans="1:4" x14ac:dyDescent="0.25">
      <c r="A359" s="1" t="s">
        <v>162</v>
      </c>
      <c r="B359" s="1" t="s">
        <v>69</v>
      </c>
      <c r="C359" s="1">
        <v>4187.17</v>
      </c>
      <c r="D359" s="1">
        <v>1650.79</v>
      </c>
    </row>
    <row r="360" spans="1:4" x14ac:dyDescent="0.25">
      <c r="A360" s="1" t="s">
        <v>162</v>
      </c>
      <c r="B360" s="1" t="s">
        <v>70</v>
      </c>
      <c r="C360" s="1">
        <v>5800.98</v>
      </c>
      <c r="D360" s="1">
        <v>1744.15</v>
      </c>
    </row>
    <row r="361" spans="1:4" x14ac:dyDescent="0.25">
      <c r="A361" s="1" t="s">
        <v>162</v>
      </c>
      <c r="B361" s="1" t="s">
        <v>76</v>
      </c>
      <c r="C361" s="1">
        <v>12591.2</v>
      </c>
      <c r="D361" s="1">
        <v>1844.95</v>
      </c>
    </row>
    <row r="362" spans="1:4" x14ac:dyDescent="0.25">
      <c r="A362" s="1" t="s">
        <v>162</v>
      </c>
      <c r="B362" s="1" t="s">
        <v>71</v>
      </c>
      <c r="C362" s="1">
        <v>10562.66</v>
      </c>
      <c r="D362" s="1">
        <v>1791.48</v>
      </c>
    </row>
    <row r="363" spans="1:4" x14ac:dyDescent="0.25">
      <c r="A363" s="1" t="s">
        <v>162</v>
      </c>
      <c r="B363" s="1" t="s">
        <v>68</v>
      </c>
      <c r="C363" s="1">
        <v>8543.81</v>
      </c>
      <c r="D363" s="1">
        <v>1680.8</v>
      </c>
    </row>
    <row r="364" spans="1:4" x14ac:dyDescent="0.25">
      <c r="A364" s="1" t="s">
        <v>162</v>
      </c>
      <c r="B364" s="1" t="s">
        <v>77</v>
      </c>
      <c r="C364" s="1">
        <v>9377.59</v>
      </c>
      <c r="D364" s="1">
        <v>2132.34</v>
      </c>
    </row>
    <row r="365" spans="1:4" x14ac:dyDescent="0.25">
      <c r="A365" s="1" t="s">
        <v>163</v>
      </c>
      <c r="B365" s="1" t="s">
        <v>75</v>
      </c>
      <c r="C365" s="1">
        <v>937.35</v>
      </c>
      <c r="D365" s="1">
        <v>255.13</v>
      </c>
    </row>
    <row r="366" spans="1:4" x14ac:dyDescent="0.25">
      <c r="A366" s="1" t="s">
        <v>163</v>
      </c>
      <c r="B366" s="1" t="s">
        <v>71</v>
      </c>
      <c r="C366" s="1">
        <v>12165.28</v>
      </c>
      <c r="D366" s="1">
        <v>2285.65</v>
      </c>
    </row>
    <row r="367" spans="1:4" x14ac:dyDescent="0.25">
      <c r="A367" s="1" t="s">
        <v>163</v>
      </c>
      <c r="B367" s="1" t="s">
        <v>74</v>
      </c>
      <c r="C367" s="1">
        <v>8829.33</v>
      </c>
      <c r="D367" s="1">
        <v>1390.72</v>
      </c>
    </row>
    <row r="368" spans="1:4" x14ac:dyDescent="0.25">
      <c r="A368" s="1" t="s">
        <v>163</v>
      </c>
      <c r="B368" s="1" t="s">
        <v>72</v>
      </c>
      <c r="C368" s="1">
        <v>9330.7999999999993</v>
      </c>
      <c r="D368" s="1">
        <v>4153.1899999999996</v>
      </c>
    </row>
    <row r="369" spans="1:4" x14ac:dyDescent="0.25">
      <c r="A369" s="1" t="s">
        <v>163</v>
      </c>
      <c r="B369" s="1" t="s">
        <v>73</v>
      </c>
      <c r="C369" s="1">
        <v>7678.89</v>
      </c>
      <c r="D369" s="1">
        <v>1030.53</v>
      </c>
    </row>
    <row r="370" spans="1:4" x14ac:dyDescent="0.25">
      <c r="A370" s="1" t="s">
        <v>163</v>
      </c>
      <c r="B370" s="1" t="s">
        <v>68</v>
      </c>
      <c r="C370" s="1">
        <v>9806.7999999999993</v>
      </c>
      <c r="D370" s="1">
        <v>2248.59</v>
      </c>
    </row>
    <row r="371" spans="1:4" x14ac:dyDescent="0.25">
      <c r="A371" s="1" t="s">
        <v>163</v>
      </c>
      <c r="B371" s="1" t="s">
        <v>77</v>
      </c>
      <c r="C371" s="1">
        <v>11576.61</v>
      </c>
      <c r="D371" s="1">
        <v>2815.23</v>
      </c>
    </row>
    <row r="372" spans="1:4" x14ac:dyDescent="0.25">
      <c r="A372" s="1" t="s">
        <v>163</v>
      </c>
      <c r="B372" s="1" t="s">
        <v>70</v>
      </c>
      <c r="C372" s="1">
        <v>7572.33</v>
      </c>
      <c r="D372" s="1">
        <v>2414.94</v>
      </c>
    </row>
    <row r="373" spans="1:4" x14ac:dyDescent="0.25">
      <c r="A373" s="1" t="s">
        <v>163</v>
      </c>
      <c r="B373" s="1" t="s">
        <v>69</v>
      </c>
      <c r="C373" s="1">
        <v>5914.61</v>
      </c>
      <c r="D373" s="1">
        <v>2700.5</v>
      </c>
    </row>
    <row r="374" spans="1:4" x14ac:dyDescent="0.25">
      <c r="A374" s="1" t="s">
        <v>163</v>
      </c>
      <c r="B374" s="1" t="s">
        <v>78</v>
      </c>
      <c r="C374" s="1">
        <v>1930.64</v>
      </c>
      <c r="D374" s="1">
        <v>686.4</v>
      </c>
    </row>
    <row r="375" spans="1:4" x14ac:dyDescent="0.25">
      <c r="A375" s="1" t="s">
        <v>163</v>
      </c>
      <c r="B375" s="1" t="s">
        <v>76</v>
      </c>
      <c r="C375" s="1">
        <v>15067.75</v>
      </c>
      <c r="D375" s="1">
        <v>2467.4899999999998</v>
      </c>
    </row>
    <row r="376" spans="1:4" x14ac:dyDescent="0.25">
      <c r="A376" s="1" t="s">
        <v>164</v>
      </c>
      <c r="B376" s="1" t="s">
        <v>75</v>
      </c>
      <c r="C376" s="1">
        <v>1060.1099999999999</v>
      </c>
      <c r="D376" s="1">
        <v>300.29000000000002</v>
      </c>
    </row>
    <row r="377" spans="1:4" x14ac:dyDescent="0.25">
      <c r="A377" s="1" t="s">
        <v>164</v>
      </c>
      <c r="B377" s="1" t="s">
        <v>74</v>
      </c>
      <c r="C377" s="1">
        <v>9248.2800000000007</v>
      </c>
      <c r="D377" s="1">
        <v>1593.65</v>
      </c>
    </row>
    <row r="378" spans="1:4" x14ac:dyDescent="0.25">
      <c r="A378" s="1" t="s">
        <v>164</v>
      </c>
      <c r="B378" s="1" t="s">
        <v>76</v>
      </c>
      <c r="C378" s="1">
        <v>16088.48</v>
      </c>
      <c r="D378" s="1">
        <v>2806.01</v>
      </c>
    </row>
    <row r="379" spans="1:4" x14ac:dyDescent="0.25">
      <c r="A379" s="1" t="s">
        <v>164</v>
      </c>
      <c r="B379" s="1" t="s">
        <v>73</v>
      </c>
      <c r="C379" s="1">
        <v>7928.37</v>
      </c>
      <c r="D379" s="1">
        <v>1131.3</v>
      </c>
    </row>
    <row r="380" spans="1:4" x14ac:dyDescent="0.25">
      <c r="A380" s="1" t="s">
        <v>164</v>
      </c>
      <c r="B380" s="1" t="s">
        <v>68</v>
      </c>
      <c r="C380" s="1">
        <v>10093.27</v>
      </c>
      <c r="D380" s="1">
        <v>2561.2800000000002</v>
      </c>
    </row>
    <row r="381" spans="1:4" x14ac:dyDescent="0.25">
      <c r="A381" s="1" t="s">
        <v>164</v>
      </c>
      <c r="B381" s="1" t="s">
        <v>77</v>
      </c>
      <c r="C381" s="1">
        <v>12325.45</v>
      </c>
      <c r="D381" s="1">
        <v>3148.9</v>
      </c>
    </row>
    <row r="382" spans="1:4" x14ac:dyDescent="0.25">
      <c r="A382" s="1" t="s">
        <v>164</v>
      </c>
      <c r="B382" s="1" t="s">
        <v>71</v>
      </c>
      <c r="C382" s="1">
        <v>12254.77</v>
      </c>
      <c r="D382" s="1">
        <v>2521.33</v>
      </c>
    </row>
    <row r="383" spans="1:4" x14ac:dyDescent="0.25">
      <c r="A383" s="1" t="s">
        <v>164</v>
      </c>
      <c r="B383" s="1" t="s">
        <v>70</v>
      </c>
      <c r="C383" s="1">
        <v>8110.38</v>
      </c>
      <c r="D383" s="1">
        <v>2799.13</v>
      </c>
    </row>
    <row r="384" spans="1:4" x14ac:dyDescent="0.25">
      <c r="A384" s="1" t="s">
        <v>164</v>
      </c>
      <c r="B384" s="1" t="s">
        <v>78</v>
      </c>
      <c r="C384" s="1">
        <v>2250.6999999999998</v>
      </c>
      <c r="D384" s="1">
        <v>917.54</v>
      </c>
    </row>
    <row r="385" spans="1:4" x14ac:dyDescent="0.25">
      <c r="A385" s="1" t="s">
        <v>164</v>
      </c>
      <c r="B385" s="1" t="s">
        <v>72</v>
      </c>
      <c r="C385" s="1">
        <v>10832.04</v>
      </c>
      <c r="D385" s="1">
        <v>5317.42</v>
      </c>
    </row>
    <row r="386" spans="1:4" x14ac:dyDescent="0.25">
      <c r="A386" s="1" t="s">
        <v>164</v>
      </c>
      <c r="B386" s="1" t="s">
        <v>69</v>
      </c>
      <c r="C386" s="1">
        <v>6997.93</v>
      </c>
      <c r="D386" s="1">
        <v>3687.51</v>
      </c>
    </row>
    <row r="387" spans="1:4" x14ac:dyDescent="0.25">
      <c r="A387" s="1" t="s">
        <v>165</v>
      </c>
      <c r="B387" s="1" t="s">
        <v>75</v>
      </c>
      <c r="C387" s="1">
        <v>1083.74</v>
      </c>
      <c r="D387" s="1">
        <v>335.54</v>
      </c>
    </row>
    <row r="388" spans="1:4" x14ac:dyDescent="0.25">
      <c r="A388" s="1" t="s">
        <v>165</v>
      </c>
      <c r="B388" s="1" t="s">
        <v>74</v>
      </c>
      <c r="C388" s="1">
        <v>8821.58</v>
      </c>
      <c r="D388" s="1">
        <v>1580.66</v>
      </c>
    </row>
    <row r="389" spans="1:4" x14ac:dyDescent="0.25">
      <c r="A389" s="1" t="s">
        <v>165</v>
      </c>
      <c r="B389" s="1" t="s">
        <v>76</v>
      </c>
      <c r="C389" s="1">
        <v>15220.95</v>
      </c>
      <c r="D389" s="1">
        <v>2792.59</v>
      </c>
    </row>
    <row r="390" spans="1:4" x14ac:dyDescent="0.25">
      <c r="A390" s="1" t="s">
        <v>165</v>
      </c>
      <c r="B390" s="1" t="s">
        <v>68</v>
      </c>
      <c r="C390" s="1">
        <v>9239.59</v>
      </c>
      <c r="D390" s="1">
        <v>2511.16</v>
      </c>
    </row>
    <row r="391" spans="1:4" x14ac:dyDescent="0.25">
      <c r="A391" s="1" t="s">
        <v>165</v>
      </c>
      <c r="B391" s="1" t="s">
        <v>77</v>
      </c>
      <c r="C391" s="1">
        <v>11763.97</v>
      </c>
      <c r="D391" s="1">
        <v>3123.07</v>
      </c>
    </row>
    <row r="392" spans="1:4" x14ac:dyDescent="0.25">
      <c r="A392" s="1" t="s">
        <v>165</v>
      </c>
      <c r="B392" s="1" t="s">
        <v>71</v>
      </c>
      <c r="C392" s="1">
        <v>11344.45</v>
      </c>
      <c r="D392" s="1">
        <v>2537.3200000000002</v>
      </c>
    </row>
    <row r="393" spans="1:4" x14ac:dyDescent="0.25">
      <c r="A393" s="1" t="s">
        <v>165</v>
      </c>
      <c r="B393" s="1" t="s">
        <v>70</v>
      </c>
      <c r="C393" s="1">
        <v>7793.73</v>
      </c>
      <c r="D393" s="1">
        <v>2732.89</v>
      </c>
    </row>
    <row r="394" spans="1:4" x14ac:dyDescent="0.25">
      <c r="A394" s="1" t="s">
        <v>165</v>
      </c>
      <c r="B394" s="1" t="s">
        <v>78</v>
      </c>
      <c r="C394" s="1">
        <v>2229.71</v>
      </c>
      <c r="D394" s="1">
        <v>989.52</v>
      </c>
    </row>
    <row r="395" spans="1:4" x14ac:dyDescent="0.25">
      <c r="A395" s="1" t="s">
        <v>165</v>
      </c>
      <c r="B395" s="1" t="s">
        <v>73</v>
      </c>
      <c r="C395" s="1">
        <v>7446.8</v>
      </c>
      <c r="D395" s="1">
        <v>1134.31</v>
      </c>
    </row>
    <row r="396" spans="1:4" x14ac:dyDescent="0.25">
      <c r="A396" s="1" t="s">
        <v>165</v>
      </c>
      <c r="B396" s="1" t="s">
        <v>72</v>
      </c>
      <c r="C396" s="1">
        <v>10903.56</v>
      </c>
      <c r="D396" s="1">
        <v>5627.31</v>
      </c>
    </row>
    <row r="397" spans="1:4" x14ac:dyDescent="0.25">
      <c r="A397" s="1" t="s">
        <v>165</v>
      </c>
      <c r="B397" s="1" t="s">
        <v>69</v>
      </c>
      <c r="C397" s="1">
        <v>7152.13</v>
      </c>
      <c r="D397" s="1">
        <v>4092.18</v>
      </c>
    </row>
    <row r="398" spans="1:4" x14ac:dyDescent="0.25">
      <c r="A398" s="1" t="s">
        <v>166</v>
      </c>
      <c r="B398" s="1" t="s">
        <v>75</v>
      </c>
      <c r="C398" s="1">
        <v>852.8</v>
      </c>
      <c r="D398" s="1">
        <v>273.92</v>
      </c>
    </row>
    <row r="399" spans="1:4" x14ac:dyDescent="0.25">
      <c r="A399" s="1" t="s">
        <v>166</v>
      </c>
      <c r="B399" s="1" t="s">
        <v>74</v>
      </c>
      <c r="C399" s="1">
        <v>7117.43</v>
      </c>
      <c r="D399" s="1">
        <v>1308.73</v>
      </c>
    </row>
    <row r="400" spans="1:4" x14ac:dyDescent="0.25">
      <c r="A400" s="1" t="s">
        <v>166</v>
      </c>
      <c r="B400" s="1" t="s">
        <v>68</v>
      </c>
      <c r="C400" s="1">
        <v>7126.99</v>
      </c>
      <c r="D400" s="1">
        <v>1933.05</v>
      </c>
    </row>
    <row r="401" spans="1:4" x14ac:dyDescent="0.25">
      <c r="A401" s="1" t="s">
        <v>166</v>
      </c>
      <c r="B401" s="1" t="s">
        <v>77</v>
      </c>
      <c r="C401" s="1">
        <v>9521.14</v>
      </c>
      <c r="D401" s="1">
        <v>2496.29</v>
      </c>
    </row>
    <row r="402" spans="1:4" x14ac:dyDescent="0.25">
      <c r="A402" s="1" t="s">
        <v>166</v>
      </c>
      <c r="B402" s="1" t="s">
        <v>71</v>
      </c>
      <c r="C402" s="1">
        <v>9108.7000000000007</v>
      </c>
      <c r="D402" s="1">
        <v>2011.86</v>
      </c>
    </row>
    <row r="403" spans="1:4" x14ac:dyDescent="0.25">
      <c r="A403" s="1" t="s">
        <v>166</v>
      </c>
      <c r="B403" s="1" t="s">
        <v>69</v>
      </c>
      <c r="C403" s="1">
        <v>5772.2</v>
      </c>
      <c r="D403" s="1">
        <v>3428.6</v>
      </c>
    </row>
    <row r="404" spans="1:4" x14ac:dyDescent="0.25">
      <c r="A404" s="1" t="s">
        <v>166</v>
      </c>
      <c r="B404" s="1" t="s">
        <v>70</v>
      </c>
      <c r="C404" s="1">
        <v>6162.25</v>
      </c>
      <c r="D404" s="1">
        <v>2218.91</v>
      </c>
    </row>
    <row r="405" spans="1:4" x14ac:dyDescent="0.25">
      <c r="A405" s="1" t="s">
        <v>166</v>
      </c>
      <c r="B405" s="1" t="s">
        <v>78</v>
      </c>
      <c r="C405" s="1">
        <v>1771.5</v>
      </c>
      <c r="D405" s="1">
        <v>752.85</v>
      </c>
    </row>
    <row r="406" spans="1:4" x14ac:dyDescent="0.25">
      <c r="A406" s="1" t="s">
        <v>166</v>
      </c>
      <c r="B406" s="1" t="s">
        <v>76</v>
      </c>
      <c r="C406" s="1">
        <v>12574.41</v>
      </c>
      <c r="D406" s="1">
        <v>2341.31</v>
      </c>
    </row>
    <row r="407" spans="1:4" x14ac:dyDescent="0.25">
      <c r="A407" s="1" t="s">
        <v>166</v>
      </c>
      <c r="B407" s="1" t="s">
        <v>72</v>
      </c>
      <c r="C407" s="1">
        <v>8773</v>
      </c>
      <c r="D407" s="1">
        <v>4574.76</v>
      </c>
    </row>
    <row r="408" spans="1:4" x14ac:dyDescent="0.25">
      <c r="A408" s="1" t="s">
        <v>166</v>
      </c>
      <c r="B408" s="1" t="s">
        <v>73</v>
      </c>
      <c r="C408" s="1">
        <v>5877.4</v>
      </c>
      <c r="D408" s="1">
        <v>878.63</v>
      </c>
    </row>
    <row r="409" spans="1:4" x14ac:dyDescent="0.25">
      <c r="A409" s="1" t="s">
        <v>167</v>
      </c>
      <c r="B409" s="1" t="s">
        <v>75</v>
      </c>
      <c r="C409" s="1">
        <v>630.01</v>
      </c>
      <c r="D409" s="1">
        <v>190.58</v>
      </c>
    </row>
    <row r="410" spans="1:4" x14ac:dyDescent="0.25">
      <c r="A410" s="1" t="s">
        <v>167</v>
      </c>
      <c r="B410" s="1" t="s">
        <v>74</v>
      </c>
      <c r="C410" s="1">
        <v>5129.3999999999996</v>
      </c>
      <c r="D410" s="1">
        <v>911.73</v>
      </c>
    </row>
    <row r="411" spans="1:4" x14ac:dyDescent="0.25">
      <c r="A411" s="1" t="s">
        <v>167</v>
      </c>
      <c r="B411" s="1" t="s">
        <v>78</v>
      </c>
      <c r="C411" s="1">
        <v>1202.27</v>
      </c>
      <c r="D411" s="1">
        <v>469.67</v>
      </c>
    </row>
    <row r="412" spans="1:4" x14ac:dyDescent="0.25">
      <c r="A412" s="1" t="s">
        <v>167</v>
      </c>
      <c r="B412" s="1" t="s">
        <v>72</v>
      </c>
      <c r="C412" s="1">
        <v>6064.82</v>
      </c>
      <c r="D412" s="1">
        <v>3025.54</v>
      </c>
    </row>
    <row r="413" spans="1:4" x14ac:dyDescent="0.25">
      <c r="A413" s="1" t="s">
        <v>167</v>
      </c>
      <c r="B413" s="1" t="s">
        <v>73</v>
      </c>
      <c r="C413" s="1">
        <v>4010.93</v>
      </c>
      <c r="D413" s="1">
        <v>537.63</v>
      </c>
    </row>
    <row r="414" spans="1:4" x14ac:dyDescent="0.25">
      <c r="A414" s="1" t="s">
        <v>167</v>
      </c>
      <c r="B414" s="1" t="s">
        <v>71</v>
      </c>
      <c r="C414" s="1">
        <v>6489.44</v>
      </c>
      <c r="D414" s="1">
        <v>1330.29</v>
      </c>
    </row>
    <row r="415" spans="1:4" x14ac:dyDescent="0.25">
      <c r="A415" s="1" t="s">
        <v>167</v>
      </c>
      <c r="B415" s="1" t="s">
        <v>69</v>
      </c>
      <c r="C415" s="1">
        <v>3972.96</v>
      </c>
      <c r="D415" s="1">
        <v>2227.1</v>
      </c>
    </row>
    <row r="416" spans="1:4" x14ac:dyDescent="0.25">
      <c r="A416" s="1" t="s">
        <v>167</v>
      </c>
      <c r="B416" s="1" t="s">
        <v>76</v>
      </c>
      <c r="C416" s="1">
        <v>9216.65</v>
      </c>
      <c r="D416" s="1">
        <v>1606.38</v>
      </c>
    </row>
    <row r="417" spans="1:4" x14ac:dyDescent="0.25">
      <c r="A417" s="1" t="s">
        <v>167</v>
      </c>
      <c r="B417" s="1" t="s">
        <v>68</v>
      </c>
      <c r="C417" s="1">
        <v>4844.32</v>
      </c>
      <c r="D417" s="1">
        <v>1179.4100000000001</v>
      </c>
    </row>
    <row r="418" spans="1:4" x14ac:dyDescent="0.25">
      <c r="A418" s="1" t="s">
        <v>167</v>
      </c>
      <c r="B418" s="1" t="s">
        <v>77</v>
      </c>
      <c r="C418" s="1">
        <v>6867.65</v>
      </c>
      <c r="D418" s="1">
        <v>1699.19</v>
      </c>
    </row>
    <row r="419" spans="1:4" x14ac:dyDescent="0.25">
      <c r="A419" s="1" t="s">
        <v>167</v>
      </c>
      <c r="B419" s="1" t="s">
        <v>70</v>
      </c>
      <c r="C419" s="1">
        <v>4051.76</v>
      </c>
      <c r="D419" s="1">
        <v>1358.94</v>
      </c>
    </row>
    <row r="420" spans="1:4" x14ac:dyDescent="0.25">
      <c r="A420" s="1" t="s">
        <v>168</v>
      </c>
      <c r="B420" s="1" t="s">
        <v>75</v>
      </c>
      <c r="C420" s="1">
        <v>1031.72</v>
      </c>
      <c r="D420" s="1">
        <v>348.54</v>
      </c>
    </row>
    <row r="421" spans="1:4" x14ac:dyDescent="0.25">
      <c r="A421" s="1" t="s">
        <v>168</v>
      </c>
      <c r="B421" s="1" t="s">
        <v>74</v>
      </c>
      <c r="C421" s="1">
        <v>8393.5400000000009</v>
      </c>
      <c r="D421" s="1">
        <v>1517.22</v>
      </c>
    </row>
    <row r="422" spans="1:4" x14ac:dyDescent="0.25">
      <c r="A422" s="1" t="s">
        <v>168</v>
      </c>
      <c r="B422" s="1" t="s">
        <v>73</v>
      </c>
      <c r="C422" s="1">
        <v>6443.39</v>
      </c>
      <c r="D422" s="1">
        <v>847.88</v>
      </c>
    </row>
    <row r="423" spans="1:4" x14ac:dyDescent="0.25">
      <c r="A423" s="1" t="s">
        <v>168</v>
      </c>
      <c r="B423" s="1" t="s">
        <v>72</v>
      </c>
      <c r="C423" s="1">
        <v>9315.08</v>
      </c>
      <c r="D423" s="1">
        <v>4729.74</v>
      </c>
    </row>
    <row r="424" spans="1:4" x14ac:dyDescent="0.25">
      <c r="A424" s="1" t="s">
        <v>168</v>
      </c>
      <c r="B424" s="1" t="s">
        <v>68</v>
      </c>
      <c r="C424" s="1">
        <v>8533.8700000000008</v>
      </c>
      <c r="D424" s="1">
        <v>1966.5</v>
      </c>
    </row>
    <row r="425" spans="1:4" x14ac:dyDescent="0.25">
      <c r="A425" s="1" t="s">
        <v>168</v>
      </c>
      <c r="B425" s="1" t="s">
        <v>71</v>
      </c>
      <c r="C425" s="1">
        <v>10359.879999999999</v>
      </c>
      <c r="D425" s="1">
        <v>2076.34</v>
      </c>
    </row>
    <row r="426" spans="1:4" x14ac:dyDescent="0.25">
      <c r="A426" s="1" t="s">
        <v>168</v>
      </c>
      <c r="B426" s="1" t="s">
        <v>70</v>
      </c>
      <c r="C426" s="1">
        <v>6812.38</v>
      </c>
      <c r="D426" s="1">
        <v>2306.96</v>
      </c>
    </row>
    <row r="427" spans="1:4" x14ac:dyDescent="0.25">
      <c r="A427" s="1" t="s">
        <v>168</v>
      </c>
      <c r="B427" s="1" t="s">
        <v>78</v>
      </c>
      <c r="C427" s="1">
        <v>2005.29</v>
      </c>
      <c r="D427" s="1">
        <v>817.68</v>
      </c>
    </row>
    <row r="428" spans="1:4" x14ac:dyDescent="0.25">
      <c r="A428" s="1" t="s">
        <v>168</v>
      </c>
      <c r="B428" s="1" t="s">
        <v>76</v>
      </c>
      <c r="C428" s="1">
        <v>13897.11</v>
      </c>
      <c r="D428" s="1">
        <v>2532.85</v>
      </c>
    </row>
    <row r="429" spans="1:4" x14ac:dyDescent="0.25">
      <c r="A429" s="1" t="s">
        <v>168</v>
      </c>
      <c r="B429" s="1" t="s">
        <v>77</v>
      </c>
      <c r="C429" s="1">
        <v>10199.530000000001</v>
      </c>
      <c r="D429" s="1">
        <v>2597.3000000000002</v>
      </c>
    </row>
    <row r="430" spans="1:4" x14ac:dyDescent="0.25">
      <c r="A430" s="1" t="s">
        <v>168</v>
      </c>
      <c r="B430" s="1" t="s">
        <v>69</v>
      </c>
      <c r="C430" s="1">
        <v>6223.27</v>
      </c>
      <c r="D430" s="1">
        <v>3430.93</v>
      </c>
    </row>
    <row r="431" spans="1:4" x14ac:dyDescent="0.25">
      <c r="A431" s="1" t="s">
        <v>169</v>
      </c>
      <c r="B431" s="1" t="s">
        <v>75</v>
      </c>
      <c r="C431" s="1">
        <v>1137.58</v>
      </c>
      <c r="D431" s="1">
        <v>375.38</v>
      </c>
    </row>
    <row r="432" spans="1:4" x14ac:dyDescent="0.25">
      <c r="A432" s="1" t="s">
        <v>169</v>
      </c>
      <c r="B432" s="1" t="s">
        <v>74</v>
      </c>
      <c r="C432" s="1">
        <v>8973.83</v>
      </c>
      <c r="D432" s="1">
        <v>1673.03</v>
      </c>
    </row>
    <row r="433" spans="1:4" x14ac:dyDescent="0.25">
      <c r="A433" s="1" t="s">
        <v>169</v>
      </c>
      <c r="B433" s="1" t="s">
        <v>76</v>
      </c>
      <c r="C433" s="1">
        <v>15061.6</v>
      </c>
      <c r="D433" s="1">
        <v>2817.82</v>
      </c>
    </row>
    <row r="434" spans="1:4" x14ac:dyDescent="0.25">
      <c r="A434" s="1" t="s">
        <v>169</v>
      </c>
      <c r="B434" s="1" t="s">
        <v>68</v>
      </c>
      <c r="C434" s="1">
        <v>9783.93</v>
      </c>
      <c r="D434" s="1">
        <v>2275.86</v>
      </c>
    </row>
    <row r="435" spans="1:4" x14ac:dyDescent="0.25">
      <c r="A435" s="1" t="s">
        <v>169</v>
      </c>
      <c r="B435" s="1" t="s">
        <v>77</v>
      </c>
      <c r="C435" s="1">
        <v>11039.92</v>
      </c>
      <c r="D435" s="1">
        <v>2807.64</v>
      </c>
    </row>
    <row r="436" spans="1:4" x14ac:dyDescent="0.25">
      <c r="A436" s="1" t="s">
        <v>169</v>
      </c>
      <c r="B436" s="1" t="s">
        <v>71</v>
      </c>
      <c r="C436" s="1">
        <v>11527.29</v>
      </c>
      <c r="D436" s="1">
        <v>2315.13</v>
      </c>
    </row>
    <row r="437" spans="1:4" x14ac:dyDescent="0.25">
      <c r="A437" s="1" t="s">
        <v>169</v>
      </c>
      <c r="B437" s="1" t="s">
        <v>70</v>
      </c>
      <c r="C437" s="1">
        <v>7802.97</v>
      </c>
      <c r="D437" s="1">
        <v>2656.68</v>
      </c>
    </row>
    <row r="438" spans="1:4" x14ac:dyDescent="0.25">
      <c r="A438" s="1" t="s">
        <v>169</v>
      </c>
      <c r="B438" s="1" t="s">
        <v>78</v>
      </c>
      <c r="C438" s="1">
        <v>2131.86</v>
      </c>
      <c r="D438" s="1">
        <v>868.77</v>
      </c>
    </row>
    <row r="439" spans="1:4" x14ac:dyDescent="0.25">
      <c r="A439" s="1" t="s">
        <v>169</v>
      </c>
      <c r="B439" s="1" t="s">
        <v>72</v>
      </c>
      <c r="C439" s="1">
        <v>10030.4</v>
      </c>
      <c r="D439" s="1">
        <v>5045.5200000000004</v>
      </c>
    </row>
    <row r="440" spans="1:4" x14ac:dyDescent="0.25">
      <c r="A440" s="1" t="s">
        <v>169</v>
      </c>
      <c r="B440" s="1" t="s">
        <v>73</v>
      </c>
      <c r="C440" s="1">
        <v>7743.1</v>
      </c>
      <c r="D440" s="1">
        <v>1049.3800000000001</v>
      </c>
    </row>
    <row r="441" spans="1:4" x14ac:dyDescent="0.25">
      <c r="A441" s="1" t="s">
        <v>169</v>
      </c>
      <c r="B441" s="1" t="s">
        <v>69</v>
      </c>
      <c r="C441" s="1">
        <v>6511.56</v>
      </c>
      <c r="D441" s="1">
        <v>3679.2</v>
      </c>
    </row>
    <row r="442" spans="1:4" x14ac:dyDescent="0.25">
      <c r="A442" s="1" t="s">
        <v>170</v>
      </c>
      <c r="B442" s="1" t="s">
        <v>74</v>
      </c>
      <c r="C442" s="1">
        <v>8815.9500000000007</v>
      </c>
      <c r="D442" s="1">
        <v>1704.8</v>
      </c>
    </row>
    <row r="443" spans="1:4" x14ac:dyDescent="0.25">
      <c r="A443" s="1" t="s">
        <v>170</v>
      </c>
      <c r="B443" s="1" t="s">
        <v>75</v>
      </c>
      <c r="C443" s="1">
        <v>1117.19</v>
      </c>
      <c r="D443" s="1">
        <v>359.15</v>
      </c>
    </row>
    <row r="444" spans="1:4" x14ac:dyDescent="0.25">
      <c r="A444" s="1" t="s">
        <v>170</v>
      </c>
      <c r="B444" s="1" t="s">
        <v>76</v>
      </c>
      <c r="C444" s="1">
        <v>14739.32</v>
      </c>
      <c r="D444" s="1">
        <v>2890.96</v>
      </c>
    </row>
    <row r="445" spans="1:4" x14ac:dyDescent="0.25">
      <c r="A445" s="1" t="s">
        <v>170</v>
      </c>
      <c r="B445" s="1" t="s">
        <v>68</v>
      </c>
      <c r="C445" s="1">
        <v>9186.3799999999992</v>
      </c>
      <c r="D445" s="1">
        <v>2331.38</v>
      </c>
    </row>
    <row r="446" spans="1:4" x14ac:dyDescent="0.25">
      <c r="A446" s="1" t="s">
        <v>170</v>
      </c>
      <c r="B446" s="1" t="s">
        <v>77</v>
      </c>
      <c r="C446" s="1">
        <v>11097.17</v>
      </c>
      <c r="D446" s="1">
        <v>2877.94</v>
      </c>
    </row>
    <row r="447" spans="1:4" x14ac:dyDescent="0.25">
      <c r="A447" s="1" t="s">
        <v>170</v>
      </c>
      <c r="B447" s="1" t="s">
        <v>69</v>
      </c>
      <c r="C447" s="1">
        <v>6456.37</v>
      </c>
      <c r="D447" s="1">
        <v>3573.86</v>
      </c>
    </row>
    <row r="448" spans="1:4" x14ac:dyDescent="0.25">
      <c r="A448" s="1" t="s">
        <v>170</v>
      </c>
      <c r="B448" s="1" t="s">
        <v>70</v>
      </c>
      <c r="C448" s="1">
        <v>7536.2</v>
      </c>
      <c r="D448" s="1">
        <v>2667.33</v>
      </c>
    </row>
    <row r="449" spans="1:4" x14ac:dyDescent="0.25">
      <c r="A449" s="1" t="s">
        <v>170</v>
      </c>
      <c r="B449" s="1" t="s">
        <v>78</v>
      </c>
      <c r="C449" s="1">
        <v>2040.86</v>
      </c>
      <c r="D449" s="1">
        <v>834.41</v>
      </c>
    </row>
    <row r="450" spans="1:4" x14ac:dyDescent="0.25">
      <c r="A450" s="1" t="s">
        <v>170</v>
      </c>
      <c r="B450" s="1" t="s">
        <v>72</v>
      </c>
      <c r="C450" s="1">
        <v>9867</v>
      </c>
      <c r="D450" s="1">
        <v>4969.03</v>
      </c>
    </row>
    <row r="451" spans="1:4" x14ac:dyDescent="0.25">
      <c r="A451" s="1" t="s">
        <v>170</v>
      </c>
      <c r="B451" s="1" t="s">
        <v>73</v>
      </c>
      <c r="C451" s="1">
        <v>7540.26</v>
      </c>
      <c r="D451" s="1">
        <v>1098.81</v>
      </c>
    </row>
    <row r="452" spans="1:4" x14ac:dyDescent="0.25">
      <c r="A452" s="1" t="s">
        <v>170</v>
      </c>
      <c r="B452" s="1" t="s">
        <v>71</v>
      </c>
      <c r="C452" s="1">
        <v>11236.32</v>
      </c>
      <c r="D452" s="1">
        <v>2464.41</v>
      </c>
    </row>
    <row r="453" spans="1:4" x14ac:dyDescent="0.25">
      <c r="A453" s="1" t="s">
        <v>171</v>
      </c>
      <c r="B453" s="1" t="s">
        <v>75</v>
      </c>
      <c r="C453" s="1">
        <v>1091.6199999999999</v>
      </c>
      <c r="D453" s="1">
        <v>355.75</v>
      </c>
    </row>
    <row r="454" spans="1:4" x14ac:dyDescent="0.25">
      <c r="A454" s="1" t="s">
        <v>171</v>
      </c>
      <c r="B454" s="1" t="s">
        <v>74</v>
      </c>
      <c r="C454" s="1">
        <v>8985.09</v>
      </c>
      <c r="D454" s="1">
        <v>1854.36</v>
      </c>
    </row>
    <row r="455" spans="1:4" x14ac:dyDescent="0.25">
      <c r="A455" s="1" t="s">
        <v>171</v>
      </c>
      <c r="B455" s="1" t="s">
        <v>76</v>
      </c>
      <c r="C455" s="1">
        <v>14747.32</v>
      </c>
      <c r="D455" s="1">
        <v>3006.43</v>
      </c>
    </row>
    <row r="456" spans="1:4" x14ac:dyDescent="0.25">
      <c r="A456" s="1" t="s">
        <v>171</v>
      </c>
      <c r="B456" s="1" t="s">
        <v>73</v>
      </c>
      <c r="C456" s="1">
        <v>7597.77</v>
      </c>
      <c r="D456" s="1">
        <v>1208.07</v>
      </c>
    </row>
    <row r="457" spans="1:4" x14ac:dyDescent="0.25">
      <c r="A457" s="1" t="s">
        <v>171</v>
      </c>
      <c r="B457" s="1" t="s">
        <v>72</v>
      </c>
      <c r="C457" s="1">
        <v>10102.209999999999</v>
      </c>
      <c r="D457" s="1">
        <v>5243.6</v>
      </c>
    </row>
    <row r="458" spans="1:4" x14ac:dyDescent="0.25">
      <c r="A458" s="1" t="s">
        <v>171</v>
      </c>
      <c r="B458" s="1" t="s">
        <v>68</v>
      </c>
      <c r="C458" s="1">
        <v>9290.43</v>
      </c>
      <c r="D458" s="1">
        <v>2544.4499999999998</v>
      </c>
    </row>
    <row r="459" spans="1:4" x14ac:dyDescent="0.25">
      <c r="A459" s="1" t="s">
        <v>171</v>
      </c>
      <c r="B459" s="1" t="s">
        <v>77</v>
      </c>
      <c r="C459" s="1">
        <v>11287.81</v>
      </c>
      <c r="D459" s="1">
        <v>3022.39</v>
      </c>
    </row>
    <row r="460" spans="1:4" x14ac:dyDescent="0.25">
      <c r="A460" s="1" t="s">
        <v>171</v>
      </c>
      <c r="B460" s="1" t="s">
        <v>71</v>
      </c>
      <c r="C460" s="1">
        <v>11358.74</v>
      </c>
      <c r="D460" s="1">
        <v>2673.05</v>
      </c>
    </row>
    <row r="461" spans="1:4" x14ac:dyDescent="0.25">
      <c r="A461" s="1" t="s">
        <v>171</v>
      </c>
      <c r="B461" s="1" t="s">
        <v>69</v>
      </c>
      <c r="C461" s="1">
        <v>6671.03</v>
      </c>
      <c r="D461" s="1">
        <v>3754.94</v>
      </c>
    </row>
    <row r="462" spans="1:4" x14ac:dyDescent="0.25">
      <c r="A462" s="1" t="s">
        <v>171</v>
      </c>
      <c r="B462" s="1" t="s">
        <v>70</v>
      </c>
      <c r="C462" s="1">
        <v>7534.58</v>
      </c>
      <c r="D462" s="1">
        <v>2810.8</v>
      </c>
    </row>
    <row r="463" spans="1:4" x14ac:dyDescent="0.25">
      <c r="A463" s="1" t="s">
        <v>171</v>
      </c>
      <c r="B463" s="1" t="s">
        <v>78</v>
      </c>
      <c r="C463" s="1">
        <v>2073.09</v>
      </c>
      <c r="D463" s="1">
        <v>892.22</v>
      </c>
    </row>
    <row r="464" spans="1:4" x14ac:dyDescent="0.25">
      <c r="A464" s="1" t="s">
        <v>172</v>
      </c>
      <c r="B464" s="1" t="s">
        <v>75</v>
      </c>
      <c r="C464" s="1">
        <v>1119.2</v>
      </c>
      <c r="D464" s="1">
        <v>354.46</v>
      </c>
    </row>
    <row r="465" spans="1:4" x14ac:dyDescent="0.25">
      <c r="A465" s="1" t="s">
        <v>172</v>
      </c>
      <c r="B465" s="1" t="s">
        <v>74</v>
      </c>
      <c r="C465" s="1">
        <v>9724.4699999999993</v>
      </c>
      <c r="D465" s="1">
        <v>1976.46</v>
      </c>
    </row>
    <row r="466" spans="1:4" x14ac:dyDescent="0.25">
      <c r="A466" s="1" t="s">
        <v>172</v>
      </c>
      <c r="B466" s="1" t="s">
        <v>78</v>
      </c>
      <c r="C466" s="1">
        <v>2122.86</v>
      </c>
      <c r="D466" s="1">
        <v>904.57</v>
      </c>
    </row>
    <row r="467" spans="1:4" x14ac:dyDescent="0.25">
      <c r="A467" s="1" t="s">
        <v>172</v>
      </c>
      <c r="B467" s="1" t="s">
        <v>72</v>
      </c>
      <c r="C467" s="1">
        <v>10436.14</v>
      </c>
      <c r="D467" s="1">
        <v>5430.52</v>
      </c>
    </row>
    <row r="468" spans="1:4" x14ac:dyDescent="0.25">
      <c r="A468" s="1" t="s">
        <v>172</v>
      </c>
      <c r="B468" s="1" t="s">
        <v>73</v>
      </c>
      <c r="C468" s="1">
        <v>7863.22</v>
      </c>
      <c r="D468" s="1">
        <v>1271.07</v>
      </c>
    </row>
    <row r="469" spans="1:4" x14ac:dyDescent="0.25">
      <c r="A469" s="1" t="s">
        <v>172</v>
      </c>
      <c r="B469" s="1" t="s">
        <v>71</v>
      </c>
      <c r="C469" s="1">
        <v>12282.53</v>
      </c>
      <c r="D469" s="1">
        <v>2905.28</v>
      </c>
    </row>
    <row r="470" spans="1:4" x14ac:dyDescent="0.25">
      <c r="A470" s="1" t="s">
        <v>172</v>
      </c>
      <c r="B470" s="1" t="s">
        <v>68</v>
      </c>
      <c r="C470" s="1">
        <v>9955.41</v>
      </c>
      <c r="D470" s="1">
        <v>2798.29</v>
      </c>
    </row>
    <row r="471" spans="1:4" x14ac:dyDescent="0.25">
      <c r="A471" s="1" t="s">
        <v>172</v>
      </c>
      <c r="B471" s="1" t="s">
        <v>77</v>
      </c>
      <c r="C471" s="1">
        <v>11733.53</v>
      </c>
      <c r="D471" s="1">
        <v>3121.41</v>
      </c>
    </row>
    <row r="472" spans="1:4" x14ac:dyDescent="0.25">
      <c r="A472" s="1" t="s">
        <v>172</v>
      </c>
      <c r="B472" s="1" t="s">
        <v>70</v>
      </c>
      <c r="C472" s="1">
        <v>7691.76</v>
      </c>
      <c r="D472" s="1">
        <v>2908.56</v>
      </c>
    </row>
    <row r="473" spans="1:4" x14ac:dyDescent="0.25">
      <c r="A473" s="1" t="s">
        <v>172</v>
      </c>
      <c r="B473" s="1" t="s">
        <v>69</v>
      </c>
      <c r="C473" s="1">
        <v>6912.94</v>
      </c>
      <c r="D473" s="1">
        <v>3868.93</v>
      </c>
    </row>
    <row r="474" spans="1:4" x14ac:dyDescent="0.25">
      <c r="A474" s="1" t="s">
        <v>172</v>
      </c>
      <c r="B474" s="1" t="s">
        <v>76</v>
      </c>
      <c r="C474" s="1">
        <v>15445.16</v>
      </c>
      <c r="D474" s="1">
        <v>3158.04</v>
      </c>
    </row>
    <row r="475" spans="1:4" x14ac:dyDescent="0.25">
      <c r="A475" s="1" t="s">
        <v>173</v>
      </c>
      <c r="B475" s="1" t="s">
        <v>75</v>
      </c>
      <c r="C475" s="1">
        <v>1812.06</v>
      </c>
      <c r="D475" s="1">
        <v>549.13</v>
      </c>
    </row>
    <row r="476" spans="1:4" x14ac:dyDescent="0.25">
      <c r="A476" s="1" t="s">
        <v>173</v>
      </c>
      <c r="B476" s="1" t="s">
        <v>74</v>
      </c>
      <c r="C476" s="1">
        <v>14244.01</v>
      </c>
      <c r="D476" s="1">
        <v>2660.68</v>
      </c>
    </row>
    <row r="477" spans="1:4" x14ac:dyDescent="0.25">
      <c r="A477" s="1" t="s">
        <v>173</v>
      </c>
      <c r="B477" s="1" t="s">
        <v>78</v>
      </c>
      <c r="C477" s="1">
        <v>3282.16</v>
      </c>
      <c r="D477" s="1">
        <v>1322.59</v>
      </c>
    </row>
    <row r="478" spans="1:4" x14ac:dyDescent="0.25">
      <c r="A478" s="1" t="s">
        <v>173</v>
      </c>
      <c r="B478" s="1" t="s">
        <v>73</v>
      </c>
      <c r="C478" s="1">
        <v>12751.67</v>
      </c>
      <c r="D478" s="1">
        <v>1801.76</v>
      </c>
    </row>
    <row r="479" spans="1:4" x14ac:dyDescent="0.25">
      <c r="A479" s="1" t="s">
        <v>173</v>
      </c>
      <c r="B479" s="1" t="s">
        <v>71</v>
      </c>
      <c r="C479" s="1">
        <v>20748.93</v>
      </c>
      <c r="D479" s="1">
        <v>4310.18</v>
      </c>
    </row>
    <row r="480" spans="1:4" x14ac:dyDescent="0.25">
      <c r="A480" s="1" t="s">
        <v>173</v>
      </c>
      <c r="B480" s="1" t="s">
        <v>76</v>
      </c>
      <c r="C480" s="1">
        <v>23847.710999999999</v>
      </c>
      <c r="D480" s="1">
        <v>4391.37</v>
      </c>
    </row>
    <row r="481" spans="1:4" x14ac:dyDescent="0.25">
      <c r="A481" s="1" t="s">
        <v>173</v>
      </c>
      <c r="B481" s="1" t="s">
        <v>72</v>
      </c>
      <c r="C481" s="1">
        <v>15245.17</v>
      </c>
      <c r="D481" s="1">
        <v>7511.82</v>
      </c>
    </row>
    <row r="482" spans="1:4" x14ac:dyDescent="0.25">
      <c r="A482" s="1" t="s">
        <v>173</v>
      </c>
      <c r="B482" s="1" t="s">
        <v>68</v>
      </c>
      <c r="C482" s="1">
        <v>16355.61</v>
      </c>
      <c r="D482" s="1">
        <v>4151.26</v>
      </c>
    </row>
    <row r="483" spans="1:4" x14ac:dyDescent="0.25">
      <c r="A483" s="1" t="s">
        <v>173</v>
      </c>
      <c r="B483" s="1" t="s">
        <v>77</v>
      </c>
      <c r="C483" s="1">
        <v>17269.141</v>
      </c>
      <c r="D483" s="1">
        <v>4354.17</v>
      </c>
    </row>
    <row r="484" spans="1:4" x14ac:dyDescent="0.25">
      <c r="A484" s="1" t="s">
        <v>173</v>
      </c>
      <c r="B484" s="1" t="s">
        <v>69</v>
      </c>
      <c r="C484" s="1">
        <v>9796.7199999999993</v>
      </c>
      <c r="D484" s="1">
        <v>5197.74</v>
      </c>
    </row>
    <row r="485" spans="1:4" x14ac:dyDescent="0.25">
      <c r="A485" s="1" t="s">
        <v>173</v>
      </c>
      <c r="B485" s="1" t="s">
        <v>70</v>
      </c>
      <c r="C485" s="1">
        <v>13062.25</v>
      </c>
      <c r="D485" s="1">
        <v>4476.4399999999996</v>
      </c>
    </row>
    <row r="486" spans="1:4" x14ac:dyDescent="0.25">
      <c r="A486" s="1" t="s">
        <v>174</v>
      </c>
      <c r="B486" s="1" t="s">
        <v>75</v>
      </c>
      <c r="C486" s="1">
        <v>1981.55</v>
      </c>
      <c r="D486" s="1">
        <v>601.59</v>
      </c>
    </row>
    <row r="487" spans="1:4" x14ac:dyDescent="0.25">
      <c r="A487" s="1" t="s">
        <v>174</v>
      </c>
      <c r="B487" s="1" t="s">
        <v>74</v>
      </c>
      <c r="C487" s="1">
        <v>16239.67</v>
      </c>
      <c r="D487" s="1">
        <v>2878.7</v>
      </c>
    </row>
    <row r="488" spans="1:4" x14ac:dyDescent="0.25">
      <c r="A488" s="1" t="s">
        <v>174</v>
      </c>
      <c r="B488" s="1" t="s">
        <v>71</v>
      </c>
      <c r="C488" s="1">
        <v>23955.59</v>
      </c>
      <c r="D488" s="1">
        <v>4667.4399999999996</v>
      </c>
    </row>
    <row r="489" spans="1:4" x14ac:dyDescent="0.25">
      <c r="A489" s="1" t="s">
        <v>174</v>
      </c>
      <c r="B489" s="1" t="s">
        <v>68</v>
      </c>
      <c r="C489" s="1">
        <v>18556.960999999999</v>
      </c>
      <c r="D489" s="1">
        <v>4560.76</v>
      </c>
    </row>
    <row r="490" spans="1:4" x14ac:dyDescent="0.25">
      <c r="A490" s="1" t="s">
        <v>174</v>
      </c>
      <c r="B490" s="1" t="s">
        <v>70</v>
      </c>
      <c r="C490" s="1">
        <v>14000.18</v>
      </c>
      <c r="D490" s="1">
        <v>4692.33</v>
      </c>
    </row>
    <row r="491" spans="1:4" x14ac:dyDescent="0.25">
      <c r="A491" s="1" t="s">
        <v>174</v>
      </c>
      <c r="B491" s="1" t="s">
        <v>69</v>
      </c>
      <c r="C491" s="1">
        <v>10699.36</v>
      </c>
      <c r="D491" s="1">
        <v>5791.09</v>
      </c>
    </row>
    <row r="492" spans="1:4" x14ac:dyDescent="0.25">
      <c r="A492" s="1" t="s">
        <v>174</v>
      </c>
      <c r="B492" s="1" t="s">
        <v>78</v>
      </c>
      <c r="C492" s="1">
        <v>3516.07</v>
      </c>
      <c r="D492" s="1">
        <v>1447.7</v>
      </c>
    </row>
    <row r="493" spans="1:4" x14ac:dyDescent="0.25">
      <c r="A493" s="1" t="s">
        <v>174</v>
      </c>
      <c r="B493" s="1" t="s">
        <v>76</v>
      </c>
      <c r="C493" s="1">
        <v>26307.98</v>
      </c>
      <c r="D493" s="1">
        <v>4604.08</v>
      </c>
    </row>
    <row r="494" spans="1:4" x14ac:dyDescent="0.25">
      <c r="A494" s="1" t="s">
        <v>174</v>
      </c>
      <c r="B494" s="1" t="s">
        <v>73</v>
      </c>
      <c r="C494" s="1">
        <v>13993.51</v>
      </c>
      <c r="D494" s="1">
        <v>1888.96</v>
      </c>
    </row>
    <row r="495" spans="1:4" x14ac:dyDescent="0.25">
      <c r="A495" s="1" t="s">
        <v>174</v>
      </c>
      <c r="B495" s="1" t="s">
        <v>72</v>
      </c>
      <c r="C495" s="1">
        <v>16327.18</v>
      </c>
      <c r="D495" s="1">
        <v>8037.95</v>
      </c>
    </row>
    <row r="496" spans="1:4" x14ac:dyDescent="0.25">
      <c r="A496" s="1" t="s">
        <v>174</v>
      </c>
      <c r="B496" s="1" t="s">
        <v>77</v>
      </c>
      <c r="C496" s="1">
        <v>18561.199000000001</v>
      </c>
      <c r="D496" s="1">
        <v>4556.93</v>
      </c>
    </row>
    <row r="497" spans="1:4" x14ac:dyDescent="0.25">
      <c r="A497" s="1" t="s">
        <v>175</v>
      </c>
      <c r="B497" s="1" t="s">
        <v>75</v>
      </c>
      <c r="C497" s="1">
        <v>2055.86</v>
      </c>
      <c r="D497" s="1">
        <v>615.11</v>
      </c>
    </row>
    <row r="498" spans="1:4" x14ac:dyDescent="0.25">
      <c r="A498" s="1" t="s">
        <v>175</v>
      </c>
      <c r="B498" s="1" t="s">
        <v>74</v>
      </c>
      <c r="C498" s="1">
        <v>15880.27</v>
      </c>
      <c r="D498" s="1">
        <v>2785.47</v>
      </c>
    </row>
    <row r="499" spans="1:4" x14ac:dyDescent="0.25">
      <c r="A499" s="1" t="s">
        <v>175</v>
      </c>
      <c r="B499" s="1" t="s">
        <v>76</v>
      </c>
      <c r="C499" s="1">
        <v>26102.609</v>
      </c>
      <c r="D499" s="1">
        <v>4463.22</v>
      </c>
    </row>
    <row r="500" spans="1:4" x14ac:dyDescent="0.25">
      <c r="A500" s="1" t="s">
        <v>175</v>
      </c>
      <c r="B500" s="1" t="s">
        <v>73</v>
      </c>
      <c r="C500" s="1">
        <v>13466.31</v>
      </c>
      <c r="D500" s="1">
        <v>1815.38</v>
      </c>
    </row>
    <row r="501" spans="1:4" x14ac:dyDescent="0.25">
      <c r="A501" s="1" t="s">
        <v>175</v>
      </c>
      <c r="B501" s="1" t="s">
        <v>68</v>
      </c>
      <c r="C501" s="1">
        <v>18423</v>
      </c>
      <c r="D501" s="1">
        <v>4467.22</v>
      </c>
    </row>
    <row r="502" spans="1:4" x14ac:dyDescent="0.25">
      <c r="A502" s="1" t="s">
        <v>175</v>
      </c>
      <c r="B502" s="1" t="s">
        <v>77</v>
      </c>
      <c r="C502" s="1">
        <v>18337.259999999998</v>
      </c>
      <c r="D502" s="1">
        <v>4433.17</v>
      </c>
    </row>
    <row r="503" spans="1:4" x14ac:dyDescent="0.25">
      <c r="A503" s="1" t="s">
        <v>175</v>
      </c>
      <c r="B503" s="1" t="s">
        <v>71</v>
      </c>
      <c r="C503" s="1">
        <v>23436.210999999999</v>
      </c>
      <c r="D503" s="1">
        <v>4504.75</v>
      </c>
    </row>
    <row r="504" spans="1:4" x14ac:dyDescent="0.25">
      <c r="A504" s="1" t="s">
        <v>175</v>
      </c>
      <c r="B504" s="1" t="s">
        <v>69</v>
      </c>
      <c r="C504" s="1">
        <v>10780.01</v>
      </c>
      <c r="D504" s="1">
        <v>5791.09</v>
      </c>
    </row>
    <row r="505" spans="1:4" x14ac:dyDescent="0.25">
      <c r="A505" s="1" t="s">
        <v>175</v>
      </c>
      <c r="B505" s="1" t="s">
        <v>70</v>
      </c>
      <c r="C505" s="1">
        <v>13832.76</v>
      </c>
      <c r="D505" s="1">
        <v>4515.42</v>
      </c>
    </row>
    <row r="506" spans="1:4" x14ac:dyDescent="0.25">
      <c r="A506" s="1" t="s">
        <v>175</v>
      </c>
      <c r="B506" s="1" t="s">
        <v>78</v>
      </c>
      <c r="C506" s="1">
        <v>3606.47</v>
      </c>
      <c r="D506" s="1">
        <v>1431.69</v>
      </c>
    </row>
    <row r="507" spans="1:4" x14ac:dyDescent="0.25">
      <c r="A507" s="1" t="s">
        <v>175</v>
      </c>
      <c r="B507" s="1" t="s">
        <v>72</v>
      </c>
      <c r="C507" s="1">
        <v>16401.349999999999</v>
      </c>
      <c r="D507" s="1">
        <v>7952.09</v>
      </c>
    </row>
    <row r="508" spans="1:4" x14ac:dyDescent="0.25">
      <c r="A508" s="1" t="s">
        <v>176</v>
      </c>
      <c r="B508" s="1" t="s">
        <v>75</v>
      </c>
      <c r="C508" s="1">
        <v>1809.89</v>
      </c>
      <c r="D508" s="1">
        <v>558.82000000000005</v>
      </c>
    </row>
    <row r="509" spans="1:4" x14ac:dyDescent="0.25">
      <c r="A509" s="1" t="s">
        <v>176</v>
      </c>
      <c r="B509" s="1" t="s">
        <v>74</v>
      </c>
      <c r="C509" s="1">
        <v>11989.83</v>
      </c>
      <c r="D509" s="1">
        <v>2285.75</v>
      </c>
    </row>
    <row r="510" spans="1:4" x14ac:dyDescent="0.25">
      <c r="A510" s="1" t="s">
        <v>176</v>
      </c>
      <c r="B510" s="1" t="s">
        <v>76</v>
      </c>
      <c r="C510" s="1">
        <v>20981.17</v>
      </c>
      <c r="D510" s="1">
        <v>3727.52</v>
      </c>
    </row>
    <row r="511" spans="1:4" x14ac:dyDescent="0.25">
      <c r="A511" s="1" t="s">
        <v>176</v>
      </c>
      <c r="B511" s="1" t="s">
        <v>73</v>
      </c>
      <c r="C511" s="1">
        <v>10435.969999999999</v>
      </c>
      <c r="D511" s="1">
        <v>1438.64</v>
      </c>
    </row>
    <row r="512" spans="1:4" x14ac:dyDescent="0.25">
      <c r="A512" s="1" t="s">
        <v>176</v>
      </c>
      <c r="B512" s="1" t="s">
        <v>68</v>
      </c>
      <c r="C512" s="1">
        <v>14485.32</v>
      </c>
      <c r="D512" s="1">
        <v>3749.8</v>
      </c>
    </row>
    <row r="513" spans="1:4" x14ac:dyDescent="0.25">
      <c r="A513" s="1" t="s">
        <v>176</v>
      </c>
      <c r="B513" s="1" t="s">
        <v>77</v>
      </c>
      <c r="C513" s="1">
        <v>15385.32</v>
      </c>
      <c r="D513" s="1">
        <v>3768.58</v>
      </c>
    </row>
    <row r="514" spans="1:4" x14ac:dyDescent="0.25">
      <c r="A514" s="1" t="s">
        <v>176</v>
      </c>
      <c r="B514" s="1" t="s">
        <v>71</v>
      </c>
      <c r="C514" s="1">
        <v>17546.75</v>
      </c>
      <c r="D514" s="1">
        <v>3607.1</v>
      </c>
    </row>
    <row r="515" spans="1:4" x14ac:dyDescent="0.25">
      <c r="A515" s="1" t="s">
        <v>176</v>
      </c>
      <c r="B515" s="1" t="s">
        <v>69</v>
      </c>
      <c r="C515" s="1">
        <v>9636.5300000000007</v>
      </c>
      <c r="D515" s="1">
        <v>5200.8500000000004</v>
      </c>
    </row>
    <row r="516" spans="1:4" x14ac:dyDescent="0.25">
      <c r="A516" s="1" t="s">
        <v>176</v>
      </c>
      <c r="B516" s="1" t="s">
        <v>70</v>
      </c>
      <c r="C516" s="1">
        <v>11184.02</v>
      </c>
      <c r="D516" s="1">
        <v>3754.8</v>
      </c>
    </row>
    <row r="517" spans="1:4" x14ac:dyDescent="0.25">
      <c r="A517" s="1" t="s">
        <v>176</v>
      </c>
      <c r="B517" s="1" t="s">
        <v>78</v>
      </c>
      <c r="C517" s="1">
        <v>3106.48</v>
      </c>
      <c r="D517" s="1">
        <v>1235.21</v>
      </c>
    </row>
    <row r="518" spans="1:4" x14ac:dyDescent="0.25">
      <c r="A518" s="1" t="s">
        <v>176</v>
      </c>
      <c r="B518" s="1" t="s">
        <v>72</v>
      </c>
      <c r="C518" s="1">
        <v>14294.06</v>
      </c>
      <c r="D518" s="1">
        <v>7031.41</v>
      </c>
    </row>
    <row r="519" spans="1:4" x14ac:dyDescent="0.25">
      <c r="A519" s="1" t="s">
        <v>177</v>
      </c>
      <c r="B519" s="1" t="s">
        <v>75</v>
      </c>
      <c r="C519" s="1">
        <v>1226.8</v>
      </c>
      <c r="D519" s="1">
        <v>386.91</v>
      </c>
    </row>
    <row r="520" spans="1:4" x14ac:dyDescent="0.25">
      <c r="A520" s="1" t="s">
        <v>177</v>
      </c>
      <c r="B520" s="1" t="s">
        <v>74</v>
      </c>
      <c r="C520" s="1">
        <v>6576.45</v>
      </c>
      <c r="D520" s="1">
        <v>1408.64</v>
      </c>
    </row>
    <row r="521" spans="1:4" x14ac:dyDescent="0.25">
      <c r="A521" s="1" t="s">
        <v>177</v>
      </c>
      <c r="B521" s="1" t="s">
        <v>73</v>
      </c>
      <c r="C521" s="1">
        <v>5475.19</v>
      </c>
      <c r="D521" s="1">
        <v>909.71</v>
      </c>
    </row>
    <row r="522" spans="1:4" x14ac:dyDescent="0.25">
      <c r="A522" s="1" t="s">
        <v>177</v>
      </c>
      <c r="B522" s="1" t="s">
        <v>72</v>
      </c>
      <c r="C522" s="1">
        <v>9689.06</v>
      </c>
      <c r="D522" s="1">
        <v>5072.2700000000004</v>
      </c>
    </row>
    <row r="523" spans="1:4" x14ac:dyDescent="0.25">
      <c r="A523" s="1" t="s">
        <v>177</v>
      </c>
      <c r="B523" s="1" t="s">
        <v>68</v>
      </c>
      <c r="C523" s="1">
        <v>7936.8</v>
      </c>
      <c r="D523" s="1">
        <v>2398.37</v>
      </c>
    </row>
    <row r="524" spans="1:4" x14ac:dyDescent="0.25">
      <c r="A524" s="1" t="s">
        <v>177</v>
      </c>
      <c r="B524" s="1" t="s">
        <v>77</v>
      </c>
      <c r="C524" s="1">
        <v>9568.64</v>
      </c>
      <c r="D524" s="1">
        <v>2435.48</v>
      </c>
    </row>
    <row r="525" spans="1:4" x14ac:dyDescent="0.25">
      <c r="A525" s="1" t="s">
        <v>177</v>
      </c>
      <c r="B525" s="1" t="s">
        <v>71</v>
      </c>
      <c r="C525" s="1">
        <v>9019.5</v>
      </c>
      <c r="D525" s="1">
        <v>2114.9299999999998</v>
      </c>
    </row>
    <row r="526" spans="1:4" x14ac:dyDescent="0.25">
      <c r="A526" s="1" t="s">
        <v>177</v>
      </c>
      <c r="B526" s="1" t="s">
        <v>70</v>
      </c>
      <c r="C526" s="1">
        <v>6492.6</v>
      </c>
      <c r="D526" s="1">
        <v>2349.79</v>
      </c>
    </row>
    <row r="527" spans="1:4" x14ac:dyDescent="0.25">
      <c r="A527" s="1" t="s">
        <v>177</v>
      </c>
      <c r="B527" s="1" t="s">
        <v>78</v>
      </c>
      <c r="C527" s="1">
        <v>2048.52</v>
      </c>
      <c r="D527" s="1">
        <v>863.97</v>
      </c>
    </row>
    <row r="528" spans="1:4" x14ac:dyDescent="0.25">
      <c r="A528" s="1" t="s">
        <v>177</v>
      </c>
      <c r="B528" s="1" t="s">
        <v>76</v>
      </c>
      <c r="C528" s="1">
        <v>11867.66</v>
      </c>
      <c r="D528" s="1">
        <v>2309.2800000000002</v>
      </c>
    </row>
    <row r="529" spans="1:4" x14ac:dyDescent="0.25">
      <c r="A529" s="1" t="s">
        <v>177</v>
      </c>
      <c r="B529" s="1" t="s">
        <v>69</v>
      </c>
      <c r="C529" s="1">
        <v>6681.69</v>
      </c>
      <c r="D529" s="1">
        <v>3763.39</v>
      </c>
    </row>
    <row r="530" spans="1:4" x14ac:dyDescent="0.25">
      <c r="A530" s="7">
        <v>43838</v>
      </c>
      <c r="B530" s="1" t="s">
        <v>75</v>
      </c>
      <c r="C530" s="1">
        <v>692.98</v>
      </c>
      <c r="D530" s="1">
        <v>264.48</v>
      </c>
    </row>
    <row r="531" spans="1:4" x14ac:dyDescent="0.25">
      <c r="A531" s="7">
        <v>43838</v>
      </c>
      <c r="B531" s="1" t="s">
        <v>74</v>
      </c>
      <c r="C531" s="1">
        <v>3279.7</v>
      </c>
      <c r="D531" s="1">
        <v>828.71</v>
      </c>
    </row>
    <row r="532" spans="1:4" x14ac:dyDescent="0.25">
      <c r="A532" s="7">
        <v>43838</v>
      </c>
      <c r="B532" s="1" t="s">
        <v>78</v>
      </c>
      <c r="C532" s="1">
        <v>1125.52</v>
      </c>
      <c r="D532" s="1">
        <v>493.66</v>
      </c>
    </row>
    <row r="533" spans="1:4" x14ac:dyDescent="0.25">
      <c r="A533" s="7">
        <v>43838</v>
      </c>
      <c r="B533" s="1" t="s">
        <v>77</v>
      </c>
      <c r="C533" s="1">
        <v>5083.82</v>
      </c>
      <c r="D533" s="1">
        <v>1383.59</v>
      </c>
    </row>
    <row r="534" spans="1:4" x14ac:dyDescent="0.25">
      <c r="A534" s="7">
        <v>43838</v>
      </c>
      <c r="B534" s="1" t="s">
        <v>71</v>
      </c>
      <c r="C534" s="1">
        <v>4394.1400000000003</v>
      </c>
      <c r="D534" s="1">
        <v>1118.32</v>
      </c>
    </row>
    <row r="535" spans="1:4" x14ac:dyDescent="0.25">
      <c r="A535" s="7">
        <v>43838</v>
      </c>
      <c r="B535" s="1" t="s">
        <v>72</v>
      </c>
      <c r="C535" s="1">
        <v>5669.26</v>
      </c>
      <c r="D535" s="1">
        <v>3191.29</v>
      </c>
    </row>
    <row r="536" spans="1:4" x14ac:dyDescent="0.25">
      <c r="A536" s="7">
        <v>43838</v>
      </c>
      <c r="B536" s="1" t="s">
        <v>76</v>
      </c>
      <c r="C536" s="1">
        <v>5593.75</v>
      </c>
      <c r="D536" s="1">
        <v>1269.1600000000001</v>
      </c>
    </row>
    <row r="537" spans="1:4" x14ac:dyDescent="0.25">
      <c r="A537" s="7">
        <v>43838</v>
      </c>
      <c r="B537" s="1" t="s">
        <v>73</v>
      </c>
      <c r="C537" s="1">
        <v>2498.62</v>
      </c>
      <c r="D537" s="1">
        <v>466.66</v>
      </c>
    </row>
    <row r="538" spans="1:4" x14ac:dyDescent="0.25">
      <c r="A538" s="7">
        <v>43838</v>
      </c>
      <c r="B538" s="1" t="s">
        <v>68</v>
      </c>
      <c r="C538" s="1">
        <v>3832.32</v>
      </c>
      <c r="D538" s="1">
        <v>1407.09</v>
      </c>
    </row>
    <row r="539" spans="1:4" x14ac:dyDescent="0.25">
      <c r="A539" s="7">
        <v>43838</v>
      </c>
      <c r="B539" s="1" t="s">
        <v>70</v>
      </c>
      <c r="C539" s="1">
        <v>3260.5</v>
      </c>
      <c r="D539" s="1">
        <v>1305.97</v>
      </c>
    </row>
    <row r="540" spans="1:4" x14ac:dyDescent="0.25">
      <c r="A540" s="7">
        <v>43838</v>
      </c>
      <c r="B540" s="1" t="s">
        <v>69</v>
      </c>
      <c r="C540" s="1">
        <v>3882.99</v>
      </c>
      <c r="D540" s="1">
        <v>2325.98</v>
      </c>
    </row>
    <row r="541" spans="1:4" x14ac:dyDescent="0.25">
      <c r="A541" s="7">
        <v>43838.041666666664</v>
      </c>
      <c r="B541" s="1" t="s">
        <v>75</v>
      </c>
      <c r="C541" s="1">
        <v>404.84</v>
      </c>
      <c r="D541" s="1">
        <v>142.22</v>
      </c>
    </row>
    <row r="542" spans="1:4" x14ac:dyDescent="0.25">
      <c r="A542" s="7">
        <v>43838.041666666664</v>
      </c>
      <c r="B542" s="1" t="s">
        <v>74</v>
      </c>
      <c r="C542" s="1">
        <v>1619.01</v>
      </c>
      <c r="D542" s="1">
        <v>416.63</v>
      </c>
    </row>
    <row r="543" spans="1:4" x14ac:dyDescent="0.25">
      <c r="A543" s="7">
        <v>43838.041666666664</v>
      </c>
      <c r="B543" s="1" t="s">
        <v>78</v>
      </c>
      <c r="C543" s="1">
        <v>545.24</v>
      </c>
      <c r="D543" s="1">
        <v>248.35</v>
      </c>
    </row>
    <row r="544" spans="1:4" x14ac:dyDescent="0.25">
      <c r="A544" s="7">
        <v>43838.041666666664</v>
      </c>
      <c r="B544" s="1" t="s">
        <v>68</v>
      </c>
      <c r="C544" s="1">
        <v>1838.43</v>
      </c>
      <c r="D544" s="1">
        <v>688.84</v>
      </c>
    </row>
    <row r="545" spans="1:4" x14ac:dyDescent="0.25">
      <c r="A545" s="7">
        <v>43838.041666666664</v>
      </c>
      <c r="B545" s="1" t="s">
        <v>69</v>
      </c>
      <c r="C545" s="1">
        <v>2113.7199999999998</v>
      </c>
      <c r="D545" s="1">
        <v>1244.1300000000001</v>
      </c>
    </row>
    <row r="546" spans="1:4" x14ac:dyDescent="0.25">
      <c r="A546" s="7">
        <v>43838.041666666664</v>
      </c>
      <c r="B546" s="1" t="s">
        <v>70</v>
      </c>
      <c r="C546" s="1">
        <v>1559.92</v>
      </c>
      <c r="D546" s="1">
        <v>630.69000000000005</v>
      </c>
    </row>
    <row r="547" spans="1:4" x14ac:dyDescent="0.25">
      <c r="A547" s="7">
        <v>43838.041666666664</v>
      </c>
      <c r="B547" s="1" t="s">
        <v>72</v>
      </c>
      <c r="C547" s="1">
        <v>2983.31</v>
      </c>
      <c r="D547" s="1">
        <v>1729.08</v>
      </c>
    </row>
    <row r="548" spans="1:4" x14ac:dyDescent="0.25">
      <c r="A548" s="7">
        <v>43838.041666666664</v>
      </c>
      <c r="B548" s="1" t="s">
        <v>76</v>
      </c>
      <c r="C548" s="1">
        <v>2603.79</v>
      </c>
      <c r="D548" s="1">
        <v>614.13</v>
      </c>
    </row>
    <row r="549" spans="1:4" x14ac:dyDescent="0.25">
      <c r="A549" s="7">
        <v>43838.041666666664</v>
      </c>
      <c r="B549" s="1" t="s">
        <v>73</v>
      </c>
      <c r="C549" s="1">
        <v>1099.99</v>
      </c>
      <c r="D549" s="1">
        <v>222.12</v>
      </c>
    </row>
    <row r="550" spans="1:4" x14ac:dyDescent="0.25">
      <c r="A550" s="7">
        <v>43838.041666666664</v>
      </c>
      <c r="B550" s="1" t="s">
        <v>77</v>
      </c>
      <c r="C550" s="1">
        <v>2509.1</v>
      </c>
      <c r="D550" s="1">
        <v>713.31</v>
      </c>
    </row>
    <row r="551" spans="1:4" x14ac:dyDescent="0.25">
      <c r="A551" s="7">
        <v>43838.041666666664</v>
      </c>
      <c r="B551" s="1" t="s">
        <v>71</v>
      </c>
      <c r="C551" s="1">
        <v>2077.06</v>
      </c>
      <c r="D551" s="1">
        <v>546.38</v>
      </c>
    </row>
    <row r="552" spans="1:4" x14ac:dyDescent="0.25">
      <c r="A552" s="7">
        <v>43838.083333333336</v>
      </c>
      <c r="B552" s="1" t="s">
        <v>75</v>
      </c>
      <c r="C552" s="1">
        <v>203.44</v>
      </c>
      <c r="D552" s="1">
        <v>74.14</v>
      </c>
    </row>
    <row r="553" spans="1:4" x14ac:dyDescent="0.25">
      <c r="A553" s="7">
        <v>43838.083333333336</v>
      </c>
      <c r="B553" s="1" t="s">
        <v>74</v>
      </c>
      <c r="C553" s="1">
        <v>845.55</v>
      </c>
      <c r="D553" s="1">
        <v>217.37</v>
      </c>
    </row>
    <row r="554" spans="1:4" x14ac:dyDescent="0.25">
      <c r="A554" s="7">
        <v>43838.083333333336</v>
      </c>
      <c r="B554" s="1" t="s">
        <v>76</v>
      </c>
      <c r="C554" s="1">
        <v>1284.8</v>
      </c>
      <c r="D554" s="1">
        <v>314.57</v>
      </c>
    </row>
    <row r="555" spans="1:4" x14ac:dyDescent="0.25">
      <c r="A555" s="7">
        <v>43838.083333333336</v>
      </c>
      <c r="B555" s="1" t="s">
        <v>73</v>
      </c>
      <c r="C555" s="1">
        <v>539.69000000000005</v>
      </c>
      <c r="D555" s="1">
        <v>110.56</v>
      </c>
    </row>
    <row r="556" spans="1:4" x14ac:dyDescent="0.25">
      <c r="A556" s="7">
        <v>43838.083333333336</v>
      </c>
      <c r="B556" s="1" t="s">
        <v>72</v>
      </c>
      <c r="C556" s="1">
        <v>1488.19</v>
      </c>
      <c r="D556" s="1">
        <v>867.08</v>
      </c>
    </row>
    <row r="557" spans="1:4" x14ac:dyDescent="0.25">
      <c r="A557" s="7">
        <v>43838.083333333336</v>
      </c>
      <c r="B557" s="1" t="s">
        <v>71</v>
      </c>
      <c r="C557" s="1">
        <v>1022.35</v>
      </c>
      <c r="D557" s="1">
        <v>269.32</v>
      </c>
    </row>
    <row r="558" spans="1:4" x14ac:dyDescent="0.25">
      <c r="A558" s="7">
        <v>43838.083333333336</v>
      </c>
      <c r="B558" s="1" t="s">
        <v>68</v>
      </c>
      <c r="C558" s="1">
        <v>897.49</v>
      </c>
      <c r="D558" s="1">
        <v>344.22</v>
      </c>
    </row>
    <row r="559" spans="1:4" x14ac:dyDescent="0.25">
      <c r="A559" s="7">
        <v>43838.083333333336</v>
      </c>
      <c r="B559" s="1" t="s">
        <v>69</v>
      </c>
      <c r="C559" s="1">
        <v>1071.04</v>
      </c>
      <c r="D559" s="1">
        <v>618.70000000000005</v>
      </c>
    </row>
    <row r="560" spans="1:4" x14ac:dyDescent="0.25">
      <c r="A560" s="7">
        <v>43838.083333333336</v>
      </c>
      <c r="B560" s="1" t="s">
        <v>70</v>
      </c>
      <c r="C560" s="1">
        <v>773.75</v>
      </c>
      <c r="D560" s="1">
        <v>307.77999999999997</v>
      </c>
    </row>
    <row r="561" spans="1:4" x14ac:dyDescent="0.25">
      <c r="A561" s="7">
        <v>43838.083333333336</v>
      </c>
      <c r="B561" s="1" t="s">
        <v>78</v>
      </c>
      <c r="C561" s="1">
        <v>265.04000000000002</v>
      </c>
      <c r="D561" s="1">
        <v>118.85</v>
      </c>
    </row>
    <row r="562" spans="1:4" x14ac:dyDescent="0.25">
      <c r="A562" s="7">
        <v>43838.083333333336</v>
      </c>
      <c r="B562" s="1" t="s">
        <v>77</v>
      </c>
      <c r="C562" s="1">
        <v>1257.43</v>
      </c>
      <c r="D562" s="1">
        <v>350.49</v>
      </c>
    </row>
    <row r="563" spans="1:4" x14ac:dyDescent="0.25">
      <c r="A563" s="7">
        <v>43838.125</v>
      </c>
      <c r="B563" s="1" t="s">
        <v>75</v>
      </c>
      <c r="C563" s="1">
        <v>114.63</v>
      </c>
      <c r="D563" s="1">
        <v>32.56</v>
      </c>
    </row>
    <row r="564" spans="1:4" x14ac:dyDescent="0.25">
      <c r="A564" s="7">
        <v>43838.125</v>
      </c>
      <c r="B564" s="1" t="s">
        <v>74</v>
      </c>
      <c r="C564" s="1">
        <v>490.33</v>
      </c>
      <c r="D564" s="1">
        <v>122.64</v>
      </c>
    </row>
    <row r="565" spans="1:4" x14ac:dyDescent="0.25">
      <c r="A565" s="7">
        <v>43838.125</v>
      </c>
      <c r="B565" s="1" t="s">
        <v>76</v>
      </c>
      <c r="C565" s="1">
        <v>733.78</v>
      </c>
      <c r="D565" s="1">
        <v>168.69</v>
      </c>
    </row>
    <row r="566" spans="1:4" x14ac:dyDescent="0.25">
      <c r="A566" s="7">
        <v>43838.125</v>
      </c>
      <c r="B566" s="1" t="s">
        <v>73</v>
      </c>
      <c r="C566" s="1">
        <v>315.95</v>
      </c>
      <c r="D566" s="1">
        <v>53.96</v>
      </c>
    </row>
    <row r="567" spans="1:4" x14ac:dyDescent="0.25">
      <c r="A567" s="7">
        <v>43838.125</v>
      </c>
      <c r="B567" s="1" t="s">
        <v>71</v>
      </c>
      <c r="C567" s="1">
        <v>589.25</v>
      </c>
      <c r="D567" s="1">
        <v>153.85</v>
      </c>
    </row>
    <row r="568" spans="1:4" x14ac:dyDescent="0.25">
      <c r="A568" s="7">
        <v>43838.125</v>
      </c>
      <c r="B568" s="1" t="s">
        <v>68</v>
      </c>
      <c r="C568" s="1">
        <v>480.01</v>
      </c>
      <c r="D568" s="1">
        <v>173.93</v>
      </c>
    </row>
    <row r="569" spans="1:4" x14ac:dyDescent="0.25">
      <c r="A569" s="7">
        <v>43838.125</v>
      </c>
      <c r="B569" s="1" t="s">
        <v>77</v>
      </c>
      <c r="C569" s="1">
        <v>715.5</v>
      </c>
      <c r="D569" s="1">
        <v>183.13</v>
      </c>
    </row>
    <row r="570" spans="1:4" x14ac:dyDescent="0.25">
      <c r="A570" s="7">
        <v>43838.125</v>
      </c>
      <c r="B570" s="1" t="s">
        <v>70</v>
      </c>
      <c r="C570" s="1">
        <v>450.9</v>
      </c>
      <c r="D570" s="1">
        <v>174.75</v>
      </c>
    </row>
    <row r="571" spans="1:4" x14ac:dyDescent="0.25">
      <c r="A571" s="7">
        <v>43838.125</v>
      </c>
      <c r="B571" s="1" t="s">
        <v>69</v>
      </c>
      <c r="C571" s="1">
        <v>562.4</v>
      </c>
      <c r="D571" s="1">
        <v>331.42</v>
      </c>
    </row>
    <row r="572" spans="1:4" x14ac:dyDescent="0.25">
      <c r="A572" s="7">
        <v>43838.125</v>
      </c>
      <c r="B572" s="1" t="s">
        <v>78</v>
      </c>
      <c r="C572" s="1">
        <v>133.22</v>
      </c>
      <c r="D572" s="1">
        <v>60.43</v>
      </c>
    </row>
    <row r="573" spans="1:4" x14ac:dyDescent="0.25">
      <c r="A573" s="7">
        <v>43838.125</v>
      </c>
      <c r="B573" s="1" t="s">
        <v>72</v>
      </c>
      <c r="C573" s="1">
        <v>790.57</v>
      </c>
      <c r="D573" s="1">
        <v>435.63</v>
      </c>
    </row>
    <row r="574" spans="1:4" x14ac:dyDescent="0.25">
      <c r="A574" s="7">
        <v>43838.166666666664</v>
      </c>
      <c r="B574" s="1" t="s">
        <v>75</v>
      </c>
      <c r="C574" s="1">
        <v>69.67</v>
      </c>
      <c r="D574" s="1">
        <v>25.93</v>
      </c>
    </row>
    <row r="575" spans="1:4" x14ac:dyDescent="0.25">
      <c r="A575" s="7">
        <v>43838.166666666664</v>
      </c>
      <c r="B575" s="1" t="s">
        <v>74</v>
      </c>
      <c r="C575" s="1">
        <v>439.95</v>
      </c>
      <c r="D575" s="1">
        <v>98.07</v>
      </c>
    </row>
    <row r="576" spans="1:4" x14ac:dyDescent="0.25">
      <c r="A576" s="7">
        <v>43838.166666666664</v>
      </c>
      <c r="B576" s="1" t="s">
        <v>76</v>
      </c>
      <c r="C576" s="1">
        <v>536.5</v>
      </c>
      <c r="D576" s="1">
        <v>118.28</v>
      </c>
    </row>
    <row r="577" spans="1:4" x14ac:dyDescent="0.25">
      <c r="A577" s="7">
        <v>43838.166666666664</v>
      </c>
      <c r="B577" s="1" t="s">
        <v>68</v>
      </c>
      <c r="C577" s="1">
        <v>438.9</v>
      </c>
      <c r="D577" s="1">
        <v>129.25</v>
      </c>
    </row>
    <row r="578" spans="1:4" x14ac:dyDescent="0.25">
      <c r="A578" s="7">
        <v>43838.166666666664</v>
      </c>
      <c r="B578" s="1" t="s">
        <v>77</v>
      </c>
      <c r="C578" s="1">
        <v>569.61</v>
      </c>
      <c r="D578" s="1">
        <v>134</v>
      </c>
    </row>
    <row r="579" spans="1:4" x14ac:dyDescent="0.25">
      <c r="A579" s="7">
        <v>43838.166666666664</v>
      </c>
      <c r="B579" s="1" t="s">
        <v>71</v>
      </c>
      <c r="C579" s="1">
        <v>628.79999999999995</v>
      </c>
      <c r="D579" s="1">
        <v>126.8</v>
      </c>
    </row>
    <row r="580" spans="1:4" x14ac:dyDescent="0.25">
      <c r="A580" s="7">
        <v>43838.166666666664</v>
      </c>
      <c r="B580" s="1" t="s">
        <v>70</v>
      </c>
      <c r="C580" s="1">
        <v>377.72</v>
      </c>
      <c r="D580" s="1">
        <v>142.15</v>
      </c>
    </row>
    <row r="581" spans="1:4" x14ac:dyDescent="0.25">
      <c r="A581" s="7">
        <v>43838.166666666664</v>
      </c>
      <c r="B581" s="1" t="s">
        <v>78</v>
      </c>
      <c r="C581" s="1">
        <v>92.23</v>
      </c>
      <c r="D581" s="1">
        <v>37.76</v>
      </c>
    </row>
    <row r="582" spans="1:4" x14ac:dyDescent="0.25">
      <c r="A582" s="7">
        <v>43838.166666666664</v>
      </c>
      <c r="B582" s="1" t="s">
        <v>72</v>
      </c>
      <c r="C582" s="1">
        <v>551.52</v>
      </c>
      <c r="D582" s="1">
        <v>291.86</v>
      </c>
    </row>
    <row r="583" spans="1:4" x14ac:dyDescent="0.25">
      <c r="A583" s="7">
        <v>43838.166666666664</v>
      </c>
      <c r="B583" s="1" t="s">
        <v>73</v>
      </c>
      <c r="C583" s="1">
        <v>283.54000000000002</v>
      </c>
      <c r="D583" s="1">
        <v>46.35</v>
      </c>
    </row>
    <row r="584" spans="1:4" x14ac:dyDescent="0.25">
      <c r="A584" s="7">
        <v>43838.166666666664</v>
      </c>
      <c r="B584" s="1" t="s">
        <v>69</v>
      </c>
      <c r="C584" s="1">
        <v>395.54</v>
      </c>
      <c r="D584" s="1">
        <v>200.2</v>
      </c>
    </row>
    <row r="585" spans="1:4" x14ac:dyDescent="0.25">
      <c r="A585" s="7">
        <v>43838.208333333336</v>
      </c>
      <c r="B585" s="1" t="s">
        <v>75</v>
      </c>
      <c r="C585" s="1">
        <v>177.91</v>
      </c>
      <c r="D585" s="1">
        <v>40.840000000000003</v>
      </c>
    </row>
    <row r="586" spans="1:4" x14ac:dyDescent="0.25">
      <c r="A586" s="7">
        <v>43838.208333333336</v>
      </c>
      <c r="B586" s="1" t="s">
        <v>74</v>
      </c>
      <c r="C586" s="1">
        <v>1794.64</v>
      </c>
      <c r="D586" s="1">
        <v>273.51</v>
      </c>
    </row>
    <row r="587" spans="1:4" x14ac:dyDescent="0.25">
      <c r="A587" s="7">
        <v>43838.208333333336</v>
      </c>
      <c r="B587" s="1" t="s">
        <v>68</v>
      </c>
      <c r="C587" s="1">
        <v>2374.94</v>
      </c>
      <c r="D587" s="1">
        <v>416.04</v>
      </c>
    </row>
    <row r="588" spans="1:4" x14ac:dyDescent="0.25">
      <c r="A588" s="7">
        <v>43838.208333333336</v>
      </c>
      <c r="B588" s="1" t="s">
        <v>77</v>
      </c>
      <c r="C588" s="1">
        <v>1898.88</v>
      </c>
      <c r="D588" s="1">
        <v>385.76</v>
      </c>
    </row>
    <row r="589" spans="1:4" x14ac:dyDescent="0.25">
      <c r="A589" s="7">
        <v>43838.208333333336</v>
      </c>
      <c r="B589" s="1" t="s">
        <v>69</v>
      </c>
      <c r="C589" s="1">
        <v>1053.05</v>
      </c>
      <c r="D589" s="1">
        <v>398.3</v>
      </c>
    </row>
    <row r="590" spans="1:4" x14ac:dyDescent="0.25">
      <c r="A590" s="7">
        <v>43838.208333333336</v>
      </c>
      <c r="B590" s="1" t="s">
        <v>70</v>
      </c>
      <c r="C590" s="1">
        <v>1504.85</v>
      </c>
      <c r="D590" s="1">
        <v>420.44</v>
      </c>
    </row>
    <row r="591" spans="1:4" x14ac:dyDescent="0.25">
      <c r="A591" s="7">
        <v>43838.208333333336</v>
      </c>
      <c r="B591" s="1" t="s">
        <v>78</v>
      </c>
      <c r="C591" s="1">
        <v>246.21</v>
      </c>
      <c r="D591" s="1">
        <v>72.33</v>
      </c>
    </row>
    <row r="592" spans="1:4" x14ac:dyDescent="0.25">
      <c r="A592" s="7">
        <v>43838.208333333336</v>
      </c>
      <c r="B592" s="1" t="s">
        <v>76</v>
      </c>
      <c r="C592" s="1">
        <v>2428.46</v>
      </c>
      <c r="D592" s="1">
        <v>345.83</v>
      </c>
    </row>
    <row r="593" spans="1:4" x14ac:dyDescent="0.25">
      <c r="A593" s="7">
        <v>43838.208333333336</v>
      </c>
      <c r="B593" s="1" t="s">
        <v>73</v>
      </c>
      <c r="C593" s="1">
        <v>1339.68</v>
      </c>
      <c r="D593" s="1">
        <v>133.38</v>
      </c>
    </row>
    <row r="594" spans="1:4" x14ac:dyDescent="0.25">
      <c r="A594" s="7">
        <v>43838.208333333336</v>
      </c>
      <c r="B594" s="1" t="s">
        <v>72</v>
      </c>
      <c r="C594" s="1">
        <v>1512.39</v>
      </c>
      <c r="D594" s="1">
        <v>588.34</v>
      </c>
    </row>
    <row r="595" spans="1:4" x14ac:dyDescent="0.25">
      <c r="A595" s="7">
        <v>43838.208333333336</v>
      </c>
      <c r="B595" s="1" t="s">
        <v>71</v>
      </c>
      <c r="C595" s="1">
        <v>3518.59</v>
      </c>
      <c r="D595" s="1">
        <v>478.16</v>
      </c>
    </row>
    <row r="596" spans="1:4" x14ac:dyDescent="0.25">
      <c r="A596" s="7">
        <v>43838.25</v>
      </c>
      <c r="B596" s="1" t="s">
        <v>75</v>
      </c>
      <c r="C596" s="1">
        <v>500.5</v>
      </c>
      <c r="D596" s="1">
        <v>108.03</v>
      </c>
    </row>
    <row r="597" spans="1:4" x14ac:dyDescent="0.25">
      <c r="A597" s="7">
        <v>43838.25</v>
      </c>
      <c r="B597" s="1" t="s">
        <v>74</v>
      </c>
      <c r="C597" s="1">
        <v>5866.16</v>
      </c>
      <c r="D597" s="1">
        <v>796.92</v>
      </c>
    </row>
    <row r="598" spans="1:4" x14ac:dyDescent="0.25">
      <c r="A598" s="7">
        <v>43838.25</v>
      </c>
      <c r="B598" s="1" t="s">
        <v>78</v>
      </c>
      <c r="C598" s="1">
        <v>661.75</v>
      </c>
      <c r="D598" s="1">
        <v>193.04</v>
      </c>
    </row>
    <row r="599" spans="1:4" x14ac:dyDescent="0.25">
      <c r="A599" s="7">
        <v>43838.25</v>
      </c>
      <c r="B599" s="1" t="s">
        <v>73</v>
      </c>
      <c r="C599" s="1">
        <v>4637.4399999999996</v>
      </c>
      <c r="D599" s="1">
        <v>468.78</v>
      </c>
    </row>
    <row r="600" spans="1:4" x14ac:dyDescent="0.25">
      <c r="A600" s="7">
        <v>43838.25</v>
      </c>
      <c r="B600" s="1" t="s">
        <v>71</v>
      </c>
      <c r="C600" s="1">
        <v>8972.2800000000007</v>
      </c>
      <c r="D600" s="1">
        <v>1316.47</v>
      </c>
    </row>
    <row r="601" spans="1:4" x14ac:dyDescent="0.25">
      <c r="A601" s="7">
        <v>43838.25</v>
      </c>
      <c r="B601" s="1" t="s">
        <v>69</v>
      </c>
      <c r="C601" s="1">
        <v>2893.26</v>
      </c>
      <c r="D601" s="1">
        <v>1070.99</v>
      </c>
    </row>
    <row r="602" spans="1:4" x14ac:dyDescent="0.25">
      <c r="A602" s="7">
        <v>43838.25</v>
      </c>
      <c r="B602" s="1" t="s">
        <v>72</v>
      </c>
      <c r="C602" s="1">
        <v>4077.92</v>
      </c>
      <c r="D602" s="1">
        <v>1547.8</v>
      </c>
    </row>
    <row r="603" spans="1:4" x14ac:dyDescent="0.25">
      <c r="A603" s="7">
        <v>43838.25</v>
      </c>
      <c r="B603" s="1" t="s">
        <v>76</v>
      </c>
      <c r="C603" s="1">
        <v>9629.73</v>
      </c>
      <c r="D603" s="1">
        <v>1229.3599999999999</v>
      </c>
    </row>
    <row r="604" spans="1:4" x14ac:dyDescent="0.25">
      <c r="A604" s="7">
        <v>43838.25</v>
      </c>
      <c r="B604" s="1" t="s">
        <v>68</v>
      </c>
      <c r="C604" s="1">
        <v>6395.91</v>
      </c>
      <c r="D604" s="1">
        <v>1160.3499999999999</v>
      </c>
    </row>
    <row r="605" spans="1:4" x14ac:dyDescent="0.25">
      <c r="A605" s="7">
        <v>43838.25</v>
      </c>
      <c r="B605" s="1" t="s">
        <v>77</v>
      </c>
      <c r="C605" s="1">
        <v>5879.16</v>
      </c>
      <c r="D605" s="1">
        <v>1154.6400000000001</v>
      </c>
    </row>
    <row r="606" spans="1:4" x14ac:dyDescent="0.25">
      <c r="A606" s="7">
        <v>43838.25</v>
      </c>
      <c r="B606" s="1" t="s">
        <v>70</v>
      </c>
      <c r="C606" s="1">
        <v>4349.6899999999996</v>
      </c>
      <c r="D606" s="1">
        <v>1190.3</v>
      </c>
    </row>
    <row r="607" spans="1:4" x14ac:dyDescent="0.25">
      <c r="A607" s="7">
        <v>43838.291666666664</v>
      </c>
      <c r="B607" s="1" t="s">
        <v>75</v>
      </c>
      <c r="C607" s="1">
        <v>667.41</v>
      </c>
      <c r="D607" s="1">
        <v>166.7</v>
      </c>
    </row>
    <row r="608" spans="1:4" x14ac:dyDescent="0.25">
      <c r="A608" s="7">
        <v>43838.291666666664</v>
      </c>
      <c r="B608" s="1" t="s">
        <v>74</v>
      </c>
      <c r="C608" s="1">
        <v>7496.23</v>
      </c>
      <c r="D608" s="1">
        <v>1018.15</v>
      </c>
    </row>
    <row r="609" spans="1:4" x14ac:dyDescent="0.25">
      <c r="A609" s="7">
        <v>43838.291666666664</v>
      </c>
      <c r="B609" s="1" t="s">
        <v>72</v>
      </c>
      <c r="C609" s="1">
        <v>5793.89</v>
      </c>
      <c r="D609" s="1">
        <v>2306.5300000000002</v>
      </c>
    </row>
    <row r="610" spans="1:4" x14ac:dyDescent="0.25">
      <c r="A610" s="7">
        <v>43838.291666666664</v>
      </c>
      <c r="B610" s="1" t="s">
        <v>73</v>
      </c>
      <c r="C610" s="1">
        <v>6437.08</v>
      </c>
      <c r="D610" s="1">
        <v>695.5</v>
      </c>
    </row>
    <row r="611" spans="1:4" x14ac:dyDescent="0.25">
      <c r="A611" s="7">
        <v>43838.291666666664</v>
      </c>
      <c r="B611" s="1" t="s">
        <v>68</v>
      </c>
      <c r="C611" s="1">
        <v>7015.15</v>
      </c>
      <c r="D611" s="1">
        <v>1302.94</v>
      </c>
    </row>
    <row r="612" spans="1:4" x14ac:dyDescent="0.25">
      <c r="A612" s="7">
        <v>43838.291666666664</v>
      </c>
      <c r="B612" s="1" t="s">
        <v>71</v>
      </c>
      <c r="C612" s="1">
        <v>9151.36</v>
      </c>
      <c r="D612" s="1">
        <v>1478.62</v>
      </c>
    </row>
    <row r="613" spans="1:4" x14ac:dyDescent="0.25">
      <c r="A613" s="7">
        <v>43838.291666666664</v>
      </c>
      <c r="B613" s="1" t="s">
        <v>70</v>
      </c>
      <c r="C613" s="1">
        <v>5559.85</v>
      </c>
      <c r="D613" s="1">
        <v>1596.32</v>
      </c>
    </row>
    <row r="614" spans="1:4" x14ac:dyDescent="0.25">
      <c r="A614" s="7">
        <v>43838.291666666664</v>
      </c>
      <c r="B614" s="1" t="s">
        <v>69</v>
      </c>
      <c r="C614" s="1">
        <v>3986.31</v>
      </c>
      <c r="D614" s="1">
        <v>1672.92</v>
      </c>
    </row>
    <row r="615" spans="1:4" x14ac:dyDescent="0.25">
      <c r="A615" s="7">
        <v>43838.291666666664</v>
      </c>
      <c r="B615" s="1" t="s">
        <v>78</v>
      </c>
      <c r="C615" s="1">
        <v>924.23</v>
      </c>
      <c r="D615" s="1">
        <v>292.97000000000003</v>
      </c>
    </row>
    <row r="616" spans="1:4" x14ac:dyDescent="0.25">
      <c r="A616" s="7">
        <v>43838.291666666664</v>
      </c>
      <c r="B616" s="1" t="s">
        <v>76</v>
      </c>
      <c r="C616" s="1">
        <v>14549.33</v>
      </c>
      <c r="D616" s="1">
        <v>1932.96</v>
      </c>
    </row>
    <row r="617" spans="1:4" x14ac:dyDescent="0.25">
      <c r="A617" s="7">
        <v>43838.291666666664</v>
      </c>
      <c r="B617" s="1" t="s">
        <v>77</v>
      </c>
      <c r="C617" s="1">
        <v>8262.7800000000007</v>
      </c>
      <c r="D617" s="1">
        <v>1653.36</v>
      </c>
    </row>
    <row r="618" spans="1:4" x14ac:dyDescent="0.25">
      <c r="A618" s="7">
        <v>43838.333333333336</v>
      </c>
      <c r="B618" s="1" t="s">
        <v>75</v>
      </c>
      <c r="C618" s="1">
        <v>876.35</v>
      </c>
      <c r="D618" s="1">
        <v>251.04</v>
      </c>
    </row>
    <row r="619" spans="1:4" x14ac:dyDescent="0.25">
      <c r="A619" s="7">
        <v>43838.333333333336</v>
      </c>
      <c r="B619" s="1" t="s">
        <v>74</v>
      </c>
      <c r="C619" s="1">
        <v>7378.8</v>
      </c>
      <c r="D619" s="1">
        <v>1088.56</v>
      </c>
    </row>
    <row r="620" spans="1:4" x14ac:dyDescent="0.25">
      <c r="A620" s="7">
        <v>43838.333333333336</v>
      </c>
      <c r="B620" s="1" t="s">
        <v>76</v>
      </c>
      <c r="C620" s="1">
        <v>14435.9</v>
      </c>
      <c r="D620" s="1">
        <v>1995.38</v>
      </c>
    </row>
    <row r="621" spans="1:4" x14ac:dyDescent="0.25">
      <c r="A621" s="7">
        <v>43838.333333333336</v>
      </c>
      <c r="B621" s="1" t="s">
        <v>73</v>
      </c>
      <c r="C621" s="1">
        <v>9350.99</v>
      </c>
      <c r="D621" s="1">
        <v>1156.29</v>
      </c>
    </row>
    <row r="622" spans="1:4" x14ac:dyDescent="0.25">
      <c r="A622" s="7">
        <v>43838.333333333336</v>
      </c>
      <c r="B622" s="1" t="s">
        <v>71</v>
      </c>
      <c r="C622" s="1">
        <v>13233.71</v>
      </c>
      <c r="D622" s="1">
        <v>2309.0500000000002</v>
      </c>
    </row>
    <row r="623" spans="1:4" x14ac:dyDescent="0.25">
      <c r="A623" s="7">
        <v>43838.333333333336</v>
      </c>
      <c r="B623" s="1" t="s">
        <v>68</v>
      </c>
      <c r="C623" s="1">
        <v>11476.04</v>
      </c>
      <c r="D623" s="1">
        <v>2427.52</v>
      </c>
    </row>
    <row r="624" spans="1:4" x14ac:dyDescent="0.25">
      <c r="A624" s="7">
        <v>43838.333333333336</v>
      </c>
      <c r="B624" s="1" t="s">
        <v>77</v>
      </c>
      <c r="C624" s="1">
        <v>10033.39</v>
      </c>
      <c r="D624" s="1">
        <v>2292.84</v>
      </c>
    </row>
    <row r="625" spans="1:4" x14ac:dyDescent="0.25">
      <c r="A625" s="7">
        <v>43838.333333333336</v>
      </c>
      <c r="B625" s="1" t="s">
        <v>70</v>
      </c>
      <c r="C625" s="1">
        <v>6367.76</v>
      </c>
      <c r="D625" s="1">
        <v>1903.06</v>
      </c>
    </row>
    <row r="626" spans="1:4" x14ac:dyDescent="0.25">
      <c r="A626" s="7">
        <v>43838.333333333336</v>
      </c>
      <c r="B626" s="1" t="s">
        <v>78</v>
      </c>
      <c r="C626" s="1">
        <v>1542.07</v>
      </c>
      <c r="D626" s="1">
        <v>495.48</v>
      </c>
    </row>
    <row r="627" spans="1:4" x14ac:dyDescent="0.25">
      <c r="A627" s="7">
        <v>43838.333333333336</v>
      </c>
      <c r="B627" s="1" t="s">
        <v>72</v>
      </c>
      <c r="C627" s="1">
        <v>8872.25</v>
      </c>
      <c r="D627" s="1">
        <v>3889.7</v>
      </c>
    </row>
    <row r="628" spans="1:4" x14ac:dyDescent="0.25">
      <c r="A628" s="7">
        <v>43838.333333333336</v>
      </c>
      <c r="B628" s="1" t="s">
        <v>69</v>
      </c>
      <c r="C628" s="1">
        <v>5837.98</v>
      </c>
      <c r="D628" s="1">
        <v>2908.62</v>
      </c>
    </row>
    <row r="629" spans="1:4" x14ac:dyDescent="0.25">
      <c r="A629" s="7">
        <v>43838.375</v>
      </c>
      <c r="B629" s="1" t="s">
        <v>74</v>
      </c>
      <c r="C629" s="1">
        <v>10128.9</v>
      </c>
      <c r="D629" s="1">
        <v>1692.41</v>
      </c>
    </row>
    <row r="630" spans="1:4" x14ac:dyDescent="0.25">
      <c r="A630" s="7">
        <v>43838.375</v>
      </c>
      <c r="B630" s="1" t="s">
        <v>75</v>
      </c>
      <c r="C630" s="1">
        <v>1549.23</v>
      </c>
      <c r="D630" s="1">
        <v>450.1</v>
      </c>
    </row>
    <row r="631" spans="1:4" x14ac:dyDescent="0.25">
      <c r="A631" s="7">
        <v>43838.375</v>
      </c>
      <c r="B631" s="1" t="s">
        <v>76</v>
      </c>
      <c r="C631" s="1">
        <v>17496.41</v>
      </c>
      <c r="D631" s="1">
        <v>2681.28</v>
      </c>
    </row>
    <row r="632" spans="1:4" x14ac:dyDescent="0.25">
      <c r="A632" s="7">
        <v>43838.375</v>
      </c>
      <c r="B632" s="1" t="s">
        <v>68</v>
      </c>
      <c r="C632" s="1">
        <v>14114.1</v>
      </c>
      <c r="D632" s="1">
        <v>3332.31</v>
      </c>
    </row>
    <row r="633" spans="1:4" x14ac:dyDescent="0.25">
      <c r="A633" s="7">
        <v>43838.375</v>
      </c>
      <c r="B633" s="1" t="s">
        <v>77</v>
      </c>
      <c r="C633" s="1">
        <v>12731.86</v>
      </c>
      <c r="D633" s="1">
        <v>3047.84</v>
      </c>
    </row>
    <row r="634" spans="1:4" x14ac:dyDescent="0.25">
      <c r="A634" s="7">
        <v>43838.375</v>
      </c>
      <c r="B634" s="1" t="s">
        <v>71</v>
      </c>
      <c r="C634" s="1">
        <v>19574.150000000001</v>
      </c>
      <c r="D634" s="1">
        <v>3505.73</v>
      </c>
    </row>
    <row r="635" spans="1:4" x14ac:dyDescent="0.25">
      <c r="A635" s="7">
        <v>43838.375</v>
      </c>
      <c r="B635" s="1" t="s">
        <v>69</v>
      </c>
      <c r="C635" s="1">
        <v>7331.49</v>
      </c>
      <c r="D635" s="1">
        <v>3987.27</v>
      </c>
    </row>
    <row r="636" spans="1:4" x14ac:dyDescent="0.25">
      <c r="A636" s="7">
        <v>43838.375</v>
      </c>
      <c r="B636" s="1" t="s">
        <v>70</v>
      </c>
      <c r="C636" s="1">
        <v>8246.01</v>
      </c>
      <c r="D636" s="1">
        <v>2471.48</v>
      </c>
    </row>
    <row r="637" spans="1:4" x14ac:dyDescent="0.25">
      <c r="A637" s="7">
        <v>43838.375</v>
      </c>
      <c r="B637" s="1" t="s">
        <v>78</v>
      </c>
      <c r="C637" s="1">
        <v>2209.6799999999998</v>
      </c>
      <c r="D637" s="1">
        <v>798.09</v>
      </c>
    </row>
    <row r="638" spans="1:4" x14ac:dyDescent="0.25">
      <c r="A638" s="7">
        <v>43838.375</v>
      </c>
      <c r="B638" s="1" t="s">
        <v>72</v>
      </c>
      <c r="C638" s="1">
        <v>11064.36</v>
      </c>
      <c r="D638" s="1">
        <v>5013.57</v>
      </c>
    </row>
    <row r="639" spans="1:4" x14ac:dyDescent="0.25">
      <c r="A639" s="7">
        <v>43838.375</v>
      </c>
      <c r="B639" s="1" t="s">
        <v>73</v>
      </c>
      <c r="C639" s="1">
        <v>11275.61</v>
      </c>
      <c r="D639" s="1">
        <v>1508.66</v>
      </c>
    </row>
    <row r="640" spans="1:4" x14ac:dyDescent="0.25">
      <c r="A640" s="7">
        <v>43838.416666666664</v>
      </c>
      <c r="B640" s="1" t="s">
        <v>75</v>
      </c>
      <c r="C640" s="1">
        <v>1479.29</v>
      </c>
      <c r="D640" s="1">
        <v>437.29</v>
      </c>
    </row>
    <row r="641" spans="1:4" x14ac:dyDescent="0.25">
      <c r="A641" s="7">
        <v>43838.416666666664</v>
      </c>
      <c r="B641" s="1" t="s">
        <v>74</v>
      </c>
      <c r="C641" s="1">
        <v>10575.82</v>
      </c>
      <c r="D641" s="1">
        <v>1803.6</v>
      </c>
    </row>
    <row r="642" spans="1:4" x14ac:dyDescent="0.25">
      <c r="A642" s="7">
        <v>43838.416666666664</v>
      </c>
      <c r="B642" s="1" t="s">
        <v>76</v>
      </c>
      <c r="C642" s="1">
        <v>20215.438999999998</v>
      </c>
      <c r="D642" s="1">
        <v>3182.41</v>
      </c>
    </row>
    <row r="643" spans="1:4" x14ac:dyDescent="0.25">
      <c r="A643" s="7">
        <v>43838.416666666664</v>
      </c>
      <c r="B643" s="1" t="s">
        <v>68</v>
      </c>
      <c r="C643" s="1">
        <v>12539.76</v>
      </c>
      <c r="D643" s="1">
        <v>3103.32</v>
      </c>
    </row>
    <row r="644" spans="1:4" x14ac:dyDescent="0.25">
      <c r="A644" s="7">
        <v>43838.416666666664</v>
      </c>
      <c r="B644" s="1" t="s">
        <v>77</v>
      </c>
      <c r="C644" s="1">
        <v>12874.94</v>
      </c>
      <c r="D644" s="1">
        <v>3040.88</v>
      </c>
    </row>
    <row r="645" spans="1:4" x14ac:dyDescent="0.25">
      <c r="A645" s="7">
        <v>43838.416666666664</v>
      </c>
      <c r="B645" s="1" t="s">
        <v>69</v>
      </c>
      <c r="C645" s="1">
        <v>7102.98</v>
      </c>
      <c r="D645" s="1">
        <v>3982.66</v>
      </c>
    </row>
    <row r="646" spans="1:4" x14ac:dyDescent="0.25">
      <c r="A646" s="7">
        <v>43838.416666666664</v>
      </c>
      <c r="B646" s="1" t="s">
        <v>70</v>
      </c>
      <c r="C646" s="1">
        <v>7478.84</v>
      </c>
      <c r="D646" s="1">
        <v>2286.25</v>
      </c>
    </row>
    <row r="647" spans="1:4" x14ac:dyDescent="0.25">
      <c r="A647" s="7">
        <v>43838.416666666664</v>
      </c>
      <c r="B647" s="1" t="s">
        <v>78</v>
      </c>
      <c r="C647" s="1">
        <v>2202.87</v>
      </c>
      <c r="D647" s="1">
        <v>833.33</v>
      </c>
    </row>
    <row r="648" spans="1:4" x14ac:dyDescent="0.25">
      <c r="A648" s="7">
        <v>43838.416666666664</v>
      </c>
      <c r="B648" s="1" t="s">
        <v>72</v>
      </c>
      <c r="C648" s="1">
        <v>10294.61</v>
      </c>
      <c r="D648" s="1">
        <v>4876.2700000000004</v>
      </c>
    </row>
    <row r="649" spans="1:4" x14ac:dyDescent="0.25">
      <c r="A649" s="7">
        <v>43838.416666666664</v>
      </c>
      <c r="B649" s="1" t="s">
        <v>73</v>
      </c>
      <c r="C649" s="1">
        <v>9988.91</v>
      </c>
      <c r="D649" s="1">
        <v>1397.49</v>
      </c>
    </row>
    <row r="650" spans="1:4" x14ac:dyDescent="0.25">
      <c r="A650" s="7">
        <v>43838.416666666664</v>
      </c>
      <c r="B650" s="1" t="s">
        <v>71</v>
      </c>
      <c r="C650" s="1">
        <v>17457.23</v>
      </c>
      <c r="D650" s="1">
        <v>3276.78</v>
      </c>
    </row>
    <row r="651" spans="1:4" x14ac:dyDescent="0.25">
      <c r="A651" s="7">
        <v>43838.458333333336</v>
      </c>
      <c r="B651" s="1" t="s">
        <v>75</v>
      </c>
      <c r="C651" s="1">
        <v>1278.03</v>
      </c>
      <c r="D651" s="1">
        <v>377.08</v>
      </c>
    </row>
    <row r="652" spans="1:4" x14ac:dyDescent="0.25">
      <c r="A652" s="7">
        <v>43838.458333333336</v>
      </c>
      <c r="B652" s="1" t="s">
        <v>74</v>
      </c>
      <c r="C652" s="1">
        <v>8990.67</v>
      </c>
      <c r="D652" s="1">
        <v>1590.01</v>
      </c>
    </row>
    <row r="653" spans="1:4" x14ac:dyDescent="0.25">
      <c r="A653" s="7">
        <v>43838.458333333336</v>
      </c>
      <c r="B653" s="1" t="s">
        <v>78</v>
      </c>
      <c r="C653" s="1">
        <v>2058.85</v>
      </c>
      <c r="D653" s="1">
        <v>787.33</v>
      </c>
    </row>
    <row r="654" spans="1:4" x14ac:dyDescent="0.25">
      <c r="A654" s="7">
        <v>43838.458333333336</v>
      </c>
      <c r="B654" s="1" t="s">
        <v>73</v>
      </c>
      <c r="C654" s="1">
        <v>8389.1200000000008</v>
      </c>
      <c r="D654" s="1">
        <v>1175.1400000000001</v>
      </c>
    </row>
    <row r="655" spans="1:4" x14ac:dyDescent="0.25">
      <c r="A655" s="7">
        <v>43838.458333333336</v>
      </c>
      <c r="B655" s="1" t="s">
        <v>72</v>
      </c>
      <c r="C655" s="1">
        <v>9268.52</v>
      </c>
      <c r="D655" s="1">
        <v>4469.04</v>
      </c>
    </row>
    <row r="656" spans="1:4" x14ac:dyDescent="0.25">
      <c r="A656" s="7">
        <v>43838.458333333336</v>
      </c>
      <c r="B656" s="1" t="s">
        <v>71</v>
      </c>
      <c r="C656" s="1">
        <v>14755.63</v>
      </c>
      <c r="D656" s="1">
        <v>2831.73</v>
      </c>
    </row>
    <row r="657" spans="1:4" x14ac:dyDescent="0.25">
      <c r="A657" s="7">
        <v>43838.458333333336</v>
      </c>
      <c r="B657" s="1" t="s">
        <v>68</v>
      </c>
      <c r="C657" s="1">
        <v>11006.38</v>
      </c>
      <c r="D657" s="1">
        <v>2772.67</v>
      </c>
    </row>
    <row r="658" spans="1:4" x14ac:dyDescent="0.25">
      <c r="A658" s="7">
        <v>43838.458333333336</v>
      </c>
      <c r="B658" s="1" t="s">
        <v>77</v>
      </c>
      <c r="C658" s="1">
        <v>10964.7</v>
      </c>
      <c r="D658" s="1">
        <v>2649.39</v>
      </c>
    </row>
    <row r="659" spans="1:4" x14ac:dyDescent="0.25">
      <c r="A659" s="7">
        <v>43838.458333333336</v>
      </c>
      <c r="B659" s="1" t="s">
        <v>70</v>
      </c>
      <c r="C659" s="1">
        <v>6364.25</v>
      </c>
      <c r="D659" s="1">
        <v>1951.76</v>
      </c>
    </row>
    <row r="660" spans="1:4" x14ac:dyDescent="0.25">
      <c r="A660" s="7">
        <v>43838.458333333336</v>
      </c>
      <c r="B660" s="1" t="s">
        <v>69</v>
      </c>
      <c r="C660" s="1">
        <v>6284.2</v>
      </c>
      <c r="D660" s="1">
        <v>3621.84</v>
      </c>
    </row>
    <row r="661" spans="1:4" x14ac:dyDescent="0.25">
      <c r="A661" s="7">
        <v>43838.458333333336</v>
      </c>
      <c r="B661" s="1" t="s">
        <v>76</v>
      </c>
      <c r="C661" s="1">
        <v>17030.710999999999</v>
      </c>
      <c r="D661" s="1">
        <v>2736.44</v>
      </c>
    </row>
    <row r="662" spans="1:4" x14ac:dyDescent="0.25">
      <c r="A662" s="7">
        <v>43838.5</v>
      </c>
      <c r="B662" s="1" t="s">
        <v>75</v>
      </c>
      <c r="C662" s="1">
        <v>1202.03</v>
      </c>
      <c r="D662" s="1">
        <v>351.29</v>
      </c>
    </row>
    <row r="663" spans="1:4" x14ac:dyDescent="0.25">
      <c r="A663" s="7">
        <v>43838.5</v>
      </c>
      <c r="B663" s="1" t="s">
        <v>74</v>
      </c>
      <c r="C663" s="1">
        <v>8257.06</v>
      </c>
      <c r="D663" s="1">
        <v>1464.5</v>
      </c>
    </row>
    <row r="664" spans="1:4" x14ac:dyDescent="0.25">
      <c r="A664" s="7">
        <v>43838.5</v>
      </c>
      <c r="B664" s="1" t="s">
        <v>78</v>
      </c>
      <c r="C664" s="1">
        <v>2010.38</v>
      </c>
      <c r="D664" s="1">
        <v>743.64</v>
      </c>
    </row>
    <row r="665" spans="1:4" x14ac:dyDescent="0.25">
      <c r="A665" s="7">
        <v>43838.5</v>
      </c>
      <c r="B665" s="1" t="s">
        <v>72</v>
      </c>
      <c r="C665" s="1">
        <v>8526.82</v>
      </c>
      <c r="D665" s="1">
        <v>4126.3500000000004</v>
      </c>
    </row>
    <row r="666" spans="1:4" x14ac:dyDescent="0.25">
      <c r="A666" s="7">
        <v>43838.5</v>
      </c>
      <c r="B666" s="1" t="s">
        <v>73</v>
      </c>
      <c r="C666" s="1">
        <v>7353.23</v>
      </c>
      <c r="D666" s="1">
        <v>1005.02</v>
      </c>
    </row>
    <row r="667" spans="1:4" x14ac:dyDescent="0.25">
      <c r="A667" s="7">
        <v>43838.5</v>
      </c>
      <c r="B667" s="1" t="s">
        <v>71</v>
      </c>
      <c r="C667" s="1">
        <v>13428.57</v>
      </c>
      <c r="D667" s="1">
        <v>2589.04</v>
      </c>
    </row>
    <row r="668" spans="1:4" x14ac:dyDescent="0.25">
      <c r="A668" s="7">
        <v>43838.5</v>
      </c>
      <c r="B668" s="1" t="s">
        <v>70</v>
      </c>
      <c r="C668" s="1">
        <v>5946.43</v>
      </c>
      <c r="D668" s="1">
        <v>1853.28</v>
      </c>
    </row>
    <row r="669" spans="1:4" x14ac:dyDescent="0.25">
      <c r="A669" s="7">
        <v>43838.5</v>
      </c>
      <c r="B669" s="1" t="s">
        <v>76</v>
      </c>
      <c r="C669" s="1">
        <v>14558.38</v>
      </c>
      <c r="D669" s="1">
        <v>2383.33</v>
      </c>
    </row>
    <row r="670" spans="1:4" x14ac:dyDescent="0.25">
      <c r="A670" s="7">
        <v>43838.5</v>
      </c>
      <c r="B670" s="1" t="s">
        <v>68</v>
      </c>
      <c r="C670" s="1">
        <v>10040.85</v>
      </c>
      <c r="D670" s="1">
        <v>2527.04</v>
      </c>
    </row>
    <row r="671" spans="1:4" x14ac:dyDescent="0.25">
      <c r="A671" s="7">
        <v>43838.5</v>
      </c>
      <c r="B671" s="1" t="s">
        <v>77</v>
      </c>
      <c r="C671" s="1">
        <v>9724.6</v>
      </c>
      <c r="D671" s="1">
        <v>2382.52</v>
      </c>
    </row>
    <row r="672" spans="1:4" x14ac:dyDescent="0.25">
      <c r="A672" s="7">
        <v>43838.5</v>
      </c>
      <c r="B672" s="1" t="s">
        <v>69</v>
      </c>
      <c r="C672" s="1">
        <v>5786</v>
      </c>
      <c r="D672" s="1">
        <v>3343.02</v>
      </c>
    </row>
    <row r="673" spans="1:4" x14ac:dyDescent="0.25">
      <c r="A673" s="7">
        <v>43838.541666666664</v>
      </c>
      <c r="B673" s="1" t="s">
        <v>75</v>
      </c>
      <c r="C673" s="1">
        <v>1106.73</v>
      </c>
      <c r="D673" s="1">
        <v>337.54</v>
      </c>
    </row>
    <row r="674" spans="1:4" x14ac:dyDescent="0.25">
      <c r="A674" s="7">
        <v>43838.541666666664</v>
      </c>
      <c r="B674" s="1" t="s">
        <v>74</v>
      </c>
      <c r="C674" s="1">
        <v>7994.07</v>
      </c>
      <c r="D674" s="1">
        <v>1362</v>
      </c>
    </row>
    <row r="675" spans="1:4" x14ac:dyDescent="0.25">
      <c r="A675" s="7">
        <v>43838.541666666664</v>
      </c>
      <c r="B675" s="1" t="s">
        <v>76</v>
      </c>
      <c r="C675" s="1">
        <v>13211.07</v>
      </c>
      <c r="D675" s="1">
        <v>2170.7399999999998</v>
      </c>
    </row>
    <row r="676" spans="1:4" x14ac:dyDescent="0.25">
      <c r="A676" s="7">
        <v>43838.541666666664</v>
      </c>
      <c r="B676" s="1" t="s">
        <v>68</v>
      </c>
      <c r="C676" s="1">
        <v>8839.66</v>
      </c>
      <c r="D676" s="1">
        <v>2158.7600000000002</v>
      </c>
    </row>
    <row r="677" spans="1:4" x14ac:dyDescent="0.25">
      <c r="A677" s="7">
        <v>43838.541666666664</v>
      </c>
      <c r="B677" s="1" t="s">
        <v>77</v>
      </c>
      <c r="C677" s="1">
        <v>8895.1</v>
      </c>
      <c r="D677" s="1">
        <v>2194.62</v>
      </c>
    </row>
    <row r="678" spans="1:4" x14ac:dyDescent="0.25">
      <c r="A678" s="7">
        <v>43838.541666666664</v>
      </c>
      <c r="B678" s="1" t="s">
        <v>71</v>
      </c>
      <c r="C678" s="1">
        <v>12183.24</v>
      </c>
      <c r="D678" s="1">
        <v>2313.1799999999998</v>
      </c>
    </row>
    <row r="679" spans="1:4" x14ac:dyDescent="0.25">
      <c r="A679" s="7">
        <v>43838.541666666664</v>
      </c>
      <c r="B679" s="1" t="s">
        <v>70</v>
      </c>
      <c r="C679" s="1">
        <v>5633.31</v>
      </c>
      <c r="D679" s="1">
        <v>1745.81</v>
      </c>
    </row>
    <row r="680" spans="1:4" x14ac:dyDescent="0.25">
      <c r="A680" s="7">
        <v>43838.541666666664</v>
      </c>
      <c r="B680" s="1" t="s">
        <v>78</v>
      </c>
      <c r="C680" s="1">
        <v>1903.17</v>
      </c>
      <c r="D680" s="1">
        <v>671.88</v>
      </c>
    </row>
    <row r="681" spans="1:4" x14ac:dyDescent="0.25">
      <c r="A681" s="7">
        <v>43838.541666666664</v>
      </c>
      <c r="B681" s="1" t="s">
        <v>72</v>
      </c>
      <c r="C681" s="1">
        <v>7922.18</v>
      </c>
      <c r="D681" s="1">
        <v>3846.69</v>
      </c>
    </row>
    <row r="682" spans="1:4" x14ac:dyDescent="0.25">
      <c r="A682" s="7">
        <v>43838.541666666664</v>
      </c>
      <c r="B682" s="1" t="s">
        <v>73</v>
      </c>
      <c r="C682" s="1">
        <v>6294.91</v>
      </c>
      <c r="D682" s="1">
        <v>856.94</v>
      </c>
    </row>
    <row r="683" spans="1:4" x14ac:dyDescent="0.25">
      <c r="A683" s="7">
        <v>43838.541666666664</v>
      </c>
      <c r="B683" s="1" t="s">
        <v>69</v>
      </c>
      <c r="C683" s="1">
        <v>5281.57</v>
      </c>
      <c r="D683" s="1">
        <v>2995.38</v>
      </c>
    </row>
    <row r="684" spans="1:4" x14ac:dyDescent="0.25">
      <c r="A684" s="7">
        <v>43838.583333333336</v>
      </c>
      <c r="B684" s="1" t="s">
        <v>75</v>
      </c>
      <c r="C684" s="1">
        <v>1208.22</v>
      </c>
      <c r="D684" s="1">
        <v>361.46</v>
      </c>
    </row>
    <row r="685" spans="1:4" x14ac:dyDescent="0.25">
      <c r="A685" s="7">
        <v>43838.583333333336</v>
      </c>
      <c r="B685" s="1" t="s">
        <v>74</v>
      </c>
      <c r="C685" s="1">
        <v>9012.7800000000007</v>
      </c>
      <c r="D685" s="1">
        <v>1530.3</v>
      </c>
    </row>
    <row r="686" spans="1:4" x14ac:dyDescent="0.25">
      <c r="A686" s="7">
        <v>43838.583333333336</v>
      </c>
      <c r="B686" s="1" t="s">
        <v>76</v>
      </c>
      <c r="C686" s="1">
        <v>14331.27</v>
      </c>
      <c r="D686" s="1">
        <v>2314.31</v>
      </c>
    </row>
    <row r="687" spans="1:4" x14ac:dyDescent="0.25">
      <c r="A687" s="7">
        <v>43838.583333333336</v>
      </c>
      <c r="B687" s="1" t="s">
        <v>68</v>
      </c>
      <c r="C687" s="1">
        <v>9651.76</v>
      </c>
      <c r="D687" s="1">
        <v>2228.4</v>
      </c>
    </row>
    <row r="688" spans="1:4" x14ac:dyDescent="0.25">
      <c r="A688" s="7">
        <v>43838.583333333336</v>
      </c>
      <c r="B688" s="1" t="s">
        <v>77</v>
      </c>
      <c r="C688" s="1">
        <v>9756.7099999999991</v>
      </c>
      <c r="D688" s="1">
        <v>2388.4699999999998</v>
      </c>
    </row>
    <row r="689" spans="1:4" x14ac:dyDescent="0.25">
      <c r="A689" s="7">
        <v>43838.583333333336</v>
      </c>
      <c r="B689" s="1" t="s">
        <v>70</v>
      </c>
      <c r="C689" s="1">
        <v>6747.65</v>
      </c>
      <c r="D689" s="1">
        <v>2108.33</v>
      </c>
    </row>
    <row r="690" spans="1:4" x14ac:dyDescent="0.25">
      <c r="A690" s="7">
        <v>43838.583333333336</v>
      </c>
      <c r="B690" s="1" t="s">
        <v>69</v>
      </c>
      <c r="C690" s="1">
        <v>5905.22</v>
      </c>
      <c r="D690" s="1">
        <v>3169.35</v>
      </c>
    </row>
    <row r="691" spans="1:4" x14ac:dyDescent="0.25">
      <c r="A691" s="7">
        <v>43838.583333333336</v>
      </c>
      <c r="B691" s="1" t="s">
        <v>78</v>
      </c>
      <c r="C691" s="1">
        <v>2144.61</v>
      </c>
      <c r="D691" s="1">
        <v>745.74</v>
      </c>
    </row>
    <row r="692" spans="1:4" x14ac:dyDescent="0.25">
      <c r="A692" s="7">
        <v>43838.583333333336</v>
      </c>
      <c r="B692" s="1" t="s">
        <v>73</v>
      </c>
      <c r="C692" s="1">
        <v>7060.86</v>
      </c>
      <c r="D692" s="1">
        <v>941.62</v>
      </c>
    </row>
    <row r="693" spans="1:4" x14ac:dyDescent="0.25">
      <c r="A693" s="7">
        <v>43838.583333333336</v>
      </c>
      <c r="B693" s="1" t="s">
        <v>72</v>
      </c>
      <c r="C693" s="1">
        <v>8999.99</v>
      </c>
      <c r="D693" s="1">
        <v>4254.51</v>
      </c>
    </row>
    <row r="694" spans="1:4" x14ac:dyDescent="0.25">
      <c r="A694" s="7">
        <v>43838.583333333336</v>
      </c>
      <c r="B694" s="1" t="s">
        <v>71</v>
      </c>
      <c r="C694" s="1">
        <v>13040.73</v>
      </c>
      <c r="D694" s="1">
        <v>2421.0100000000002</v>
      </c>
    </row>
    <row r="695" spans="1:4" x14ac:dyDescent="0.25">
      <c r="A695" s="7">
        <v>43838.625</v>
      </c>
      <c r="B695" s="1" t="s">
        <v>74</v>
      </c>
      <c r="C695" s="1">
        <v>9985.44</v>
      </c>
      <c r="D695" s="1">
        <v>1732.95</v>
      </c>
    </row>
    <row r="696" spans="1:4" x14ac:dyDescent="0.25">
      <c r="A696" s="7">
        <v>43838.625</v>
      </c>
      <c r="B696" s="1" t="s">
        <v>75</v>
      </c>
      <c r="C696" s="1">
        <v>1308.95</v>
      </c>
      <c r="D696" s="1">
        <v>402.55</v>
      </c>
    </row>
    <row r="697" spans="1:4" x14ac:dyDescent="0.25">
      <c r="A697" s="7">
        <v>43838.625</v>
      </c>
      <c r="B697" s="1" t="s">
        <v>72</v>
      </c>
      <c r="C697" s="1">
        <v>9887.31</v>
      </c>
      <c r="D697" s="1">
        <v>4693.66</v>
      </c>
    </row>
    <row r="698" spans="1:4" x14ac:dyDescent="0.25">
      <c r="A698" s="7">
        <v>43838.625</v>
      </c>
      <c r="B698" s="1" t="s">
        <v>76</v>
      </c>
      <c r="C698" s="1">
        <v>15672.41</v>
      </c>
      <c r="D698" s="1">
        <v>2600.5300000000002</v>
      </c>
    </row>
    <row r="699" spans="1:4" x14ac:dyDescent="0.25">
      <c r="A699" s="7">
        <v>43838.625</v>
      </c>
      <c r="B699" s="1" t="s">
        <v>73</v>
      </c>
      <c r="C699" s="1">
        <v>8141.19</v>
      </c>
      <c r="D699" s="1">
        <v>1081.95</v>
      </c>
    </row>
    <row r="700" spans="1:4" x14ac:dyDescent="0.25">
      <c r="A700" s="7">
        <v>43838.625</v>
      </c>
      <c r="B700" s="1" t="s">
        <v>68</v>
      </c>
      <c r="C700" s="1">
        <v>10506.46</v>
      </c>
      <c r="D700" s="1">
        <v>2421.96</v>
      </c>
    </row>
    <row r="701" spans="1:4" x14ac:dyDescent="0.25">
      <c r="A701" s="7">
        <v>43838.625</v>
      </c>
      <c r="B701" s="1" t="s">
        <v>77</v>
      </c>
      <c r="C701" s="1">
        <v>10727.91</v>
      </c>
      <c r="D701" s="1">
        <v>2599.31</v>
      </c>
    </row>
    <row r="702" spans="1:4" x14ac:dyDescent="0.25">
      <c r="A702" s="7">
        <v>43838.625</v>
      </c>
      <c r="B702" s="1" t="s">
        <v>71</v>
      </c>
      <c r="C702" s="1">
        <v>14152.34</v>
      </c>
      <c r="D702" s="1">
        <v>2691.86</v>
      </c>
    </row>
    <row r="703" spans="1:4" x14ac:dyDescent="0.25">
      <c r="A703" s="7">
        <v>43838.625</v>
      </c>
      <c r="B703" s="1" t="s">
        <v>70</v>
      </c>
      <c r="C703" s="1">
        <v>7909.97</v>
      </c>
      <c r="D703" s="1">
        <v>2568.6799999999998</v>
      </c>
    </row>
    <row r="704" spans="1:4" x14ac:dyDescent="0.25">
      <c r="A704" s="7">
        <v>43838.625</v>
      </c>
      <c r="B704" s="1" t="s">
        <v>69</v>
      </c>
      <c r="C704" s="1">
        <v>6507.89</v>
      </c>
      <c r="D704" s="1">
        <v>3433.93</v>
      </c>
    </row>
    <row r="705" spans="1:4" x14ac:dyDescent="0.25">
      <c r="A705" s="7">
        <v>43838.625</v>
      </c>
      <c r="B705" s="1" t="s">
        <v>78</v>
      </c>
      <c r="C705" s="1">
        <v>2343.5700000000002</v>
      </c>
      <c r="D705" s="1">
        <v>820.69</v>
      </c>
    </row>
    <row r="706" spans="1:4" x14ac:dyDescent="0.25">
      <c r="A706" s="7">
        <v>43838.666666666664</v>
      </c>
      <c r="B706" s="1" t="s">
        <v>75</v>
      </c>
      <c r="C706" s="1">
        <v>1334</v>
      </c>
      <c r="D706" s="1">
        <v>400.65</v>
      </c>
    </row>
    <row r="707" spans="1:4" x14ac:dyDescent="0.25">
      <c r="A707" s="7">
        <v>43838.666666666664</v>
      </c>
      <c r="B707" s="1" t="s">
        <v>74</v>
      </c>
      <c r="C707" s="1">
        <v>10772.93</v>
      </c>
      <c r="D707" s="1">
        <v>1917.71</v>
      </c>
    </row>
    <row r="708" spans="1:4" x14ac:dyDescent="0.25">
      <c r="A708" s="7">
        <v>43838.666666666664</v>
      </c>
      <c r="B708" s="1" t="s">
        <v>72</v>
      </c>
      <c r="C708" s="1">
        <v>10540.71</v>
      </c>
      <c r="D708" s="1">
        <v>5054.7700000000004</v>
      </c>
    </row>
    <row r="709" spans="1:4" x14ac:dyDescent="0.25">
      <c r="A709" s="7">
        <v>43838.666666666664</v>
      </c>
      <c r="B709" s="1" t="s">
        <v>73</v>
      </c>
      <c r="C709" s="1">
        <v>9047.83</v>
      </c>
      <c r="D709" s="1">
        <v>1286.58</v>
      </c>
    </row>
    <row r="710" spans="1:4" x14ac:dyDescent="0.25">
      <c r="A710" s="7">
        <v>43838.666666666664</v>
      </c>
      <c r="B710" s="1" t="s">
        <v>68</v>
      </c>
      <c r="C710" s="1">
        <v>11065.33</v>
      </c>
      <c r="D710" s="1">
        <v>2682.12</v>
      </c>
    </row>
    <row r="711" spans="1:4" x14ac:dyDescent="0.25">
      <c r="A711" s="7">
        <v>43838.666666666664</v>
      </c>
      <c r="B711" s="1" t="s">
        <v>77</v>
      </c>
      <c r="C711" s="1">
        <v>11669.46</v>
      </c>
      <c r="D711" s="1">
        <v>2883.58</v>
      </c>
    </row>
    <row r="712" spans="1:4" x14ac:dyDescent="0.25">
      <c r="A712" s="7">
        <v>43838.666666666664</v>
      </c>
      <c r="B712" s="1" t="s">
        <v>71</v>
      </c>
      <c r="C712" s="1">
        <v>15214.15</v>
      </c>
      <c r="D712" s="1">
        <v>3030.45</v>
      </c>
    </row>
    <row r="713" spans="1:4" x14ac:dyDescent="0.25">
      <c r="A713" s="7">
        <v>43838.666666666664</v>
      </c>
      <c r="B713" s="1" t="s">
        <v>69</v>
      </c>
      <c r="C713" s="1">
        <v>6866.84</v>
      </c>
      <c r="D713" s="1">
        <v>3614.9</v>
      </c>
    </row>
    <row r="714" spans="1:4" x14ac:dyDescent="0.25">
      <c r="A714" s="7">
        <v>43838.666666666664</v>
      </c>
      <c r="B714" s="1" t="s">
        <v>70</v>
      </c>
      <c r="C714" s="1">
        <v>8621.6200000000008</v>
      </c>
      <c r="D714" s="1">
        <v>2813.63</v>
      </c>
    </row>
    <row r="715" spans="1:4" x14ac:dyDescent="0.25">
      <c r="A715" s="7">
        <v>43838.666666666664</v>
      </c>
      <c r="B715" s="1" t="s">
        <v>78</v>
      </c>
      <c r="C715" s="1">
        <v>2387.79</v>
      </c>
      <c r="D715" s="1">
        <v>859.82</v>
      </c>
    </row>
    <row r="716" spans="1:4" x14ac:dyDescent="0.25">
      <c r="A716" s="7">
        <v>43838.666666666664</v>
      </c>
      <c r="B716" s="1" t="s">
        <v>76</v>
      </c>
      <c r="C716" s="1">
        <v>16943.891</v>
      </c>
      <c r="D716" s="1">
        <v>2900.8</v>
      </c>
    </row>
    <row r="717" spans="1:4" x14ac:dyDescent="0.25">
      <c r="A717" s="7">
        <v>43838.708333333336</v>
      </c>
      <c r="B717" s="1" t="s">
        <v>75</v>
      </c>
      <c r="C717" s="1">
        <v>1315.74</v>
      </c>
      <c r="D717" s="1">
        <v>420.92</v>
      </c>
    </row>
    <row r="718" spans="1:4" x14ac:dyDescent="0.25">
      <c r="A718" s="7">
        <v>43838.708333333336</v>
      </c>
      <c r="B718" s="1" t="s">
        <v>74</v>
      </c>
      <c r="C718" s="1">
        <v>11275.97</v>
      </c>
      <c r="D718" s="1">
        <v>2072.2600000000002</v>
      </c>
    </row>
    <row r="719" spans="1:4" x14ac:dyDescent="0.25">
      <c r="A719" s="7">
        <v>43838.708333333336</v>
      </c>
      <c r="B719" s="1" t="s">
        <v>78</v>
      </c>
      <c r="C719" s="1">
        <v>2610.1799999999998</v>
      </c>
      <c r="D719" s="1">
        <v>924.37</v>
      </c>
    </row>
    <row r="720" spans="1:4" x14ac:dyDescent="0.25">
      <c r="A720" s="7">
        <v>43838.708333333336</v>
      </c>
      <c r="B720" s="1" t="s">
        <v>73</v>
      </c>
      <c r="C720" s="1">
        <v>9428.42</v>
      </c>
      <c r="D720" s="1">
        <v>1427.36</v>
      </c>
    </row>
    <row r="721" spans="1:4" x14ac:dyDescent="0.25">
      <c r="A721" s="7">
        <v>43838.708333333336</v>
      </c>
      <c r="B721" s="1" t="s">
        <v>71</v>
      </c>
      <c r="C721" s="1">
        <v>15557.59</v>
      </c>
      <c r="D721" s="1">
        <v>3305.41</v>
      </c>
    </row>
    <row r="722" spans="1:4" x14ac:dyDescent="0.25">
      <c r="A722" s="7">
        <v>43838.708333333336</v>
      </c>
      <c r="B722" s="1" t="s">
        <v>77</v>
      </c>
      <c r="C722" s="1">
        <v>12538.49</v>
      </c>
      <c r="D722" s="1">
        <v>3124.14</v>
      </c>
    </row>
    <row r="723" spans="1:4" x14ac:dyDescent="0.25">
      <c r="A723" s="7">
        <v>43838.708333333336</v>
      </c>
      <c r="B723" s="1" t="s">
        <v>76</v>
      </c>
      <c r="C723" s="1">
        <v>17902.050999999999</v>
      </c>
      <c r="D723" s="1">
        <v>3245.27</v>
      </c>
    </row>
    <row r="724" spans="1:4" x14ac:dyDescent="0.25">
      <c r="A724" s="7">
        <v>43838.708333333336</v>
      </c>
      <c r="B724" s="1" t="s">
        <v>72</v>
      </c>
      <c r="C724" s="1">
        <v>11073.76</v>
      </c>
      <c r="D724" s="1">
        <v>5428.78</v>
      </c>
    </row>
    <row r="725" spans="1:4" x14ac:dyDescent="0.25">
      <c r="A725" s="7">
        <v>43838.708333333336</v>
      </c>
      <c r="B725" s="1" t="s">
        <v>68</v>
      </c>
      <c r="C725" s="1">
        <v>11422.98</v>
      </c>
      <c r="D725" s="1">
        <v>2962.36</v>
      </c>
    </row>
    <row r="726" spans="1:4" x14ac:dyDescent="0.25">
      <c r="A726" s="7">
        <v>43838.708333333336</v>
      </c>
      <c r="B726" s="1" t="s">
        <v>70</v>
      </c>
      <c r="C726" s="1">
        <v>8966.61</v>
      </c>
      <c r="D726" s="1">
        <v>3113.24</v>
      </c>
    </row>
    <row r="727" spans="1:4" x14ac:dyDescent="0.25">
      <c r="A727" s="7">
        <v>43838.708333333336</v>
      </c>
      <c r="B727" s="1" t="s">
        <v>69</v>
      </c>
      <c r="C727" s="1">
        <v>7279.74</v>
      </c>
      <c r="D727" s="1">
        <v>3881.08</v>
      </c>
    </row>
    <row r="728" spans="1:4" x14ac:dyDescent="0.25">
      <c r="A728" s="7">
        <v>43838.75</v>
      </c>
      <c r="B728" s="1" t="s">
        <v>75</v>
      </c>
      <c r="C728" s="1">
        <v>1361.3</v>
      </c>
      <c r="D728" s="1">
        <v>431.57</v>
      </c>
    </row>
    <row r="729" spans="1:4" x14ac:dyDescent="0.25">
      <c r="A729" s="7">
        <v>43838.75</v>
      </c>
      <c r="B729" s="1" t="s">
        <v>74</v>
      </c>
      <c r="C729" s="1">
        <v>11961.66</v>
      </c>
      <c r="D729" s="1">
        <v>2275.88</v>
      </c>
    </row>
    <row r="730" spans="1:4" x14ac:dyDescent="0.25">
      <c r="A730" s="7">
        <v>43838.75</v>
      </c>
      <c r="B730" s="1" t="s">
        <v>78</v>
      </c>
      <c r="C730" s="1">
        <v>2719.36</v>
      </c>
      <c r="D730" s="1">
        <v>1001.04</v>
      </c>
    </row>
    <row r="731" spans="1:4" x14ac:dyDescent="0.25">
      <c r="A731" s="7">
        <v>43838.75</v>
      </c>
      <c r="B731" s="1" t="s">
        <v>71</v>
      </c>
      <c r="C731" s="1">
        <v>16101.3</v>
      </c>
      <c r="D731" s="1">
        <v>3519.55</v>
      </c>
    </row>
    <row r="732" spans="1:4" x14ac:dyDescent="0.25">
      <c r="A732" s="7">
        <v>43838.75</v>
      </c>
      <c r="B732" s="1" t="s">
        <v>69</v>
      </c>
      <c r="C732" s="1">
        <v>7869.37</v>
      </c>
      <c r="D732" s="1">
        <v>4233.42</v>
      </c>
    </row>
    <row r="733" spans="1:4" x14ac:dyDescent="0.25">
      <c r="A733" s="7">
        <v>43838.75</v>
      </c>
      <c r="B733" s="1" t="s">
        <v>70</v>
      </c>
      <c r="C733" s="1">
        <v>9388.86</v>
      </c>
      <c r="D733" s="1">
        <v>3330.03</v>
      </c>
    </row>
    <row r="734" spans="1:4" x14ac:dyDescent="0.25">
      <c r="A734" s="7">
        <v>43838.75</v>
      </c>
      <c r="B734" s="1" t="s">
        <v>76</v>
      </c>
      <c r="C734" s="1">
        <v>18662.528999999999</v>
      </c>
      <c r="D734" s="1">
        <v>3492.41</v>
      </c>
    </row>
    <row r="735" spans="1:4" x14ac:dyDescent="0.25">
      <c r="A735" s="7">
        <v>43838.75</v>
      </c>
      <c r="B735" s="1" t="s">
        <v>72</v>
      </c>
      <c r="C735" s="1">
        <v>11818.84</v>
      </c>
      <c r="D735" s="1">
        <v>5930.38</v>
      </c>
    </row>
    <row r="736" spans="1:4" x14ac:dyDescent="0.25">
      <c r="A736" s="7">
        <v>43838.75</v>
      </c>
      <c r="B736" s="1" t="s">
        <v>73</v>
      </c>
      <c r="C736" s="1">
        <v>9643.74</v>
      </c>
      <c r="D736" s="1">
        <v>1491.57</v>
      </c>
    </row>
    <row r="737" spans="1:4" x14ac:dyDescent="0.25">
      <c r="A737" s="7">
        <v>43838.75</v>
      </c>
      <c r="B737" s="1" t="s">
        <v>68</v>
      </c>
      <c r="C737" s="1">
        <v>11863.21</v>
      </c>
      <c r="D737" s="1">
        <v>3267.4</v>
      </c>
    </row>
    <row r="738" spans="1:4" x14ac:dyDescent="0.25">
      <c r="A738" s="7">
        <v>43838.75</v>
      </c>
      <c r="B738" s="1" t="s">
        <v>77</v>
      </c>
      <c r="C738" s="1">
        <v>13280.02</v>
      </c>
      <c r="D738" s="1">
        <v>3316.95</v>
      </c>
    </row>
    <row r="739" spans="1:4" x14ac:dyDescent="0.25">
      <c r="A739" s="7">
        <v>43838.791666666664</v>
      </c>
      <c r="B739" s="1" t="s">
        <v>75</v>
      </c>
      <c r="C739" s="1">
        <v>2122.8000000000002</v>
      </c>
      <c r="D739" s="1">
        <v>636.27</v>
      </c>
    </row>
    <row r="740" spans="1:4" x14ac:dyDescent="0.25">
      <c r="A740" s="7">
        <v>43838.791666666664</v>
      </c>
      <c r="B740" s="1" t="s">
        <v>74</v>
      </c>
      <c r="C740" s="1">
        <v>16974.259999999998</v>
      </c>
      <c r="D740" s="1">
        <v>2938.51</v>
      </c>
    </row>
    <row r="741" spans="1:4" x14ac:dyDescent="0.25">
      <c r="A741" s="7">
        <v>43838.791666666664</v>
      </c>
      <c r="B741" s="1" t="s">
        <v>68</v>
      </c>
      <c r="C741" s="1">
        <v>18346.27</v>
      </c>
      <c r="D741" s="1">
        <v>4396.17</v>
      </c>
    </row>
    <row r="742" spans="1:4" x14ac:dyDescent="0.25">
      <c r="A742" s="7">
        <v>43838.791666666664</v>
      </c>
      <c r="B742" s="1" t="s">
        <v>77</v>
      </c>
      <c r="C742" s="1">
        <v>19386.609</v>
      </c>
      <c r="D742" s="1">
        <v>4476.16</v>
      </c>
    </row>
    <row r="743" spans="1:4" x14ac:dyDescent="0.25">
      <c r="A743" s="7">
        <v>43838.791666666664</v>
      </c>
      <c r="B743" s="1" t="s">
        <v>71</v>
      </c>
      <c r="C743" s="1">
        <v>24773.688999999998</v>
      </c>
      <c r="D743" s="1">
        <v>4713.79</v>
      </c>
    </row>
    <row r="744" spans="1:4" x14ac:dyDescent="0.25">
      <c r="A744" s="7">
        <v>43838.791666666664</v>
      </c>
      <c r="B744" s="1" t="s">
        <v>69</v>
      </c>
      <c r="C744" s="1">
        <v>10757.74</v>
      </c>
      <c r="D744" s="1">
        <v>5451</v>
      </c>
    </row>
    <row r="745" spans="1:4" x14ac:dyDescent="0.25">
      <c r="A745" s="7">
        <v>43838.791666666664</v>
      </c>
      <c r="B745" s="1" t="s">
        <v>70</v>
      </c>
      <c r="C745" s="1">
        <v>15510.37</v>
      </c>
      <c r="D745" s="1">
        <v>4972.03</v>
      </c>
    </row>
    <row r="746" spans="1:4" x14ac:dyDescent="0.25">
      <c r="A746" s="7">
        <v>43838.791666666664</v>
      </c>
      <c r="B746" s="1" t="s">
        <v>78</v>
      </c>
      <c r="C746" s="1">
        <v>3831.18</v>
      </c>
      <c r="D746" s="1">
        <v>1443.05</v>
      </c>
    </row>
    <row r="747" spans="1:4" x14ac:dyDescent="0.25">
      <c r="A747" s="7">
        <v>43838.791666666664</v>
      </c>
      <c r="B747" s="1" t="s">
        <v>76</v>
      </c>
      <c r="C747" s="1">
        <v>27383.278999999999</v>
      </c>
      <c r="D747" s="1">
        <v>4711.51</v>
      </c>
    </row>
    <row r="748" spans="1:4" x14ac:dyDescent="0.25">
      <c r="A748" s="7">
        <v>43838.791666666664</v>
      </c>
      <c r="B748" s="1" t="s">
        <v>72</v>
      </c>
      <c r="C748" s="1">
        <v>16789.141</v>
      </c>
      <c r="D748" s="1">
        <v>7790.34</v>
      </c>
    </row>
    <row r="749" spans="1:4" x14ac:dyDescent="0.25">
      <c r="A749" s="7">
        <v>43838.791666666664</v>
      </c>
      <c r="B749" s="1" t="s">
        <v>73</v>
      </c>
      <c r="C749" s="1">
        <v>14655.46</v>
      </c>
      <c r="D749" s="1">
        <v>1983.6</v>
      </c>
    </row>
    <row r="750" spans="1:4" x14ac:dyDescent="0.25">
      <c r="A750" s="7">
        <v>43838.833333333336</v>
      </c>
      <c r="B750" s="1" t="s">
        <v>75</v>
      </c>
      <c r="C750" s="1">
        <v>2245.4299999999998</v>
      </c>
      <c r="D750" s="1">
        <v>644.99</v>
      </c>
    </row>
    <row r="751" spans="1:4" x14ac:dyDescent="0.25">
      <c r="A751" s="7">
        <v>43838.833333333336</v>
      </c>
      <c r="B751" s="1" t="s">
        <v>74</v>
      </c>
      <c r="C751" s="1">
        <v>18281.330000000002</v>
      </c>
      <c r="D751" s="1">
        <v>3089.17</v>
      </c>
    </row>
    <row r="752" spans="1:4" x14ac:dyDescent="0.25">
      <c r="A752" s="7">
        <v>43838.833333333336</v>
      </c>
      <c r="B752" s="1" t="s">
        <v>76</v>
      </c>
      <c r="C752" s="1">
        <v>28308.210999999999</v>
      </c>
      <c r="D752" s="1">
        <v>4779.82</v>
      </c>
    </row>
    <row r="753" spans="1:4" x14ac:dyDescent="0.25">
      <c r="A753" s="7">
        <v>43838.833333333336</v>
      </c>
      <c r="B753" s="1" t="s">
        <v>73</v>
      </c>
      <c r="C753" s="1">
        <v>15185.97</v>
      </c>
      <c r="D753" s="1">
        <v>2035.59</v>
      </c>
    </row>
    <row r="754" spans="1:4" x14ac:dyDescent="0.25">
      <c r="A754" s="7">
        <v>43838.833333333336</v>
      </c>
      <c r="B754" s="1" t="s">
        <v>72</v>
      </c>
      <c r="C754" s="1">
        <v>17093.550999999999</v>
      </c>
      <c r="D754" s="1">
        <v>7873.37</v>
      </c>
    </row>
    <row r="755" spans="1:4" x14ac:dyDescent="0.25">
      <c r="A755" s="7">
        <v>43838.833333333336</v>
      </c>
      <c r="B755" s="1" t="s">
        <v>68</v>
      </c>
      <c r="C755" s="1">
        <v>19615.449000000001</v>
      </c>
      <c r="D755" s="1">
        <v>4570.47</v>
      </c>
    </row>
    <row r="756" spans="1:4" x14ac:dyDescent="0.25">
      <c r="A756" s="7">
        <v>43838.833333333336</v>
      </c>
      <c r="B756" s="1" t="s">
        <v>77</v>
      </c>
      <c r="C756" s="1">
        <v>19571.48</v>
      </c>
      <c r="D756" s="1">
        <v>4453.57</v>
      </c>
    </row>
    <row r="757" spans="1:4" x14ac:dyDescent="0.25">
      <c r="A757" s="7">
        <v>43838.833333333336</v>
      </c>
      <c r="B757" s="1" t="s">
        <v>71</v>
      </c>
      <c r="C757" s="1">
        <v>25725.391</v>
      </c>
      <c r="D757" s="1">
        <v>4731.6899999999996</v>
      </c>
    </row>
    <row r="758" spans="1:4" x14ac:dyDescent="0.25">
      <c r="A758" s="7">
        <v>43838.833333333336</v>
      </c>
      <c r="B758" s="1" t="s">
        <v>70</v>
      </c>
      <c r="C758" s="1">
        <v>15931.32</v>
      </c>
      <c r="D758" s="1">
        <v>5041.51</v>
      </c>
    </row>
    <row r="759" spans="1:4" x14ac:dyDescent="0.25">
      <c r="A759" s="7">
        <v>43838.833333333336</v>
      </c>
      <c r="B759" s="1" t="s">
        <v>69</v>
      </c>
      <c r="C759" s="1">
        <v>11124.11</v>
      </c>
      <c r="D759" s="1">
        <v>5715.43</v>
      </c>
    </row>
    <row r="760" spans="1:4" x14ac:dyDescent="0.25">
      <c r="A760" s="7">
        <v>43838.833333333336</v>
      </c>
      <c r="B760" s="1" t="s">
        <v>78</v>
      </c>
      <c r="C760" s="1">
        <v>3997.73</v>
      </c>
      <c r="D760" s="1">
        <v>1533.73</v>
      </c>
    </row>
    <row r="761" spans="1:4" x14ac:dyDescent="0.25">
      <c r="A761" s="7">
        <v>43838.875</v>
      </c>
      <c r="B761" s="1" t="s">
        <v>75</v>
      </c>
      <c r="C761" s="1">
        <v>2131.9899999999998</v>
      </c>
      <c r="D761" s="1">
        <v>624.51</v>
      </c>
    </row>
    <row r="762" spans="1:4" x14ac:dyDescent="0.25">
      <c r="A762" s="7">
        <v>43838.875</v>
      </c>
      <c r="B762" s="1" t="s">
        <v>74</v>
      </c>
      <c r="C762" s="1">
        <v>15586.76</v>
      </c>
      <c r="D762" s="1">
        <v>2637.36</v>
      </c>
    </row>
    <row r="763" spans="1:4" x14ac:dyDescent="0.25">
      <c r="A763" s="7">
        <v>43838.875</v>
      </c>
      <c r="B763" s="1" t="s">
        <v>76</v>
      </c>
      <c r="C763" s="1">
        <v>24928.51</v>
      </c>
      <c r="D763" s="1">
        <v>4130.3599999999997</v>
      </c>
    </row>
    <row r="764" spans="1:4" x14ac:dyDescent="0.25">
      <c r="A764" s="7">
        <v>43838.875</v>
      </c>
      <c r="B764" s="1" t="s">
        <v>72</v>
      </c>
      <c r="C764" s="1">
        <v>15507.45</v>
      </c>
      <c r="D764" s="1">
        <v>7162.16</v>
      </c>
    </row>
    <row r="765" spans="1:4" x14ac:dyDescent="0.25">
      <c r="A765" s="7">
        <v>43838.875</v>
      </c>
      <c r="B765" s="1" t="s">
        <v>73</v>
      </c>
      <c r="C765" s="1">
        <v>13248.09</v>
      </c>
      <c r="D765" s="1">
        <v>1772.92</v>
      </c>
    </row>
    <row r="766" spans="1:4" x14ac:dyDescent="0.25">
      <c r="A766" s="7">
        <v>43838.875</v>
      </c>
      <c r="B766" s="1" t="s">
        <v>68</v>
      </c>
      <c r="C766" s="1">
        <v>16981.25</v>
      </c>
      <c r="D766" s="1">
        <v>3907.93</v>
      </c>
    </row>
    <row r="767" spans="1:4" x14ac:dyDescent="0.25">
      <c r="A767" s="7">
        <v>43838.875</v>
      </c>
      <c r="B767" s="1" t="s">
        <v>77</v>
      </c>
      <c r="C767" s="1">
        <v>17120.919999999998</v>
      </c>
      <c r="D767" s="1">
        <v>3926.25</v>
      </c>
    </row>
    <row r="768" spans="1:4" x14ac:dyDescent="0.25">
      <c r="A768" s="7">
        <v>43838.875</v>
      </c>
      <c r="B768" s="1" t="s">
        <v>71</v>
      </c>
      <c r="C768" s="1">
        <v>21589.42</v>
      </c>
      <c r="D768" s="1">
        <v>4028.28</v>
      </c>
    </row>
    <row r="769" spans="1:4" x14ac:dyDescent="0.25">
      <c r="A769" s="7">
        <v>43838.875</v>
      </c>
      <c r="B769" s="1" t="s">
        <v>70</v>
      </c>
      <c r="C769" s="1">
        <v>13826.15</v>
      </c>
      <c r="D769" s="1">
        <v>4379.51</v>
      </c>
    </row>
    <row r="770" spans="1:4" x14ac:dyDescent="0.25">
      <c r="A770" s="7">
        <v>43838.875</v>
      </c>
      <c r="B770" s="1" t="s">
        <v>78</v>
      </c>
      <c r="C770" s="1">
        <v>3880.72</v>
      </c>
      <c r="D770" s="1">
        <v>1463.09</v>
      </c>
    </row>
    <row r="771" spans="1:4" x14ac:dyDescent="0.25">
      <c r="A771" s="7">
        <v>43838.875</v>
      </c>
      <c r="B771" s="1" t="s">
        <v>69</v>
      </c>
      <c r="C771" s="1">
        <v>10249.879999999999</v>
      </c>
      <c r="D771" s="1">
        <v>5350.33</v>
      </c>
    </row>
    <row r="772" spans="1:4" x14ac:dyDescent="0.25">
      <c r="A772" s="7">
        <v>43838.916666666664</v>
      </c>
      <c r="B772" s="1" t="s">
        <v>75</v>
      </c>
      <c r="C772" s="1">
        <v>1565.02</v>
      </c>
      <c r="D772" s="1">
        <v>485.33</v>
      </c>
    </row>
    <row r="773" spans="1:4" x14ac:dyDescent="0.25">
      <c r="A773" s="7">
        <v>43838.916666666664</v>
      </c>
      <c r="B773" s="1" t="s">
        <v>74</v>
      </c>
      <c r="C773" s="1">
        <v>9427.7099999999991</v>
      </c>
      <c r="D773" s="1">
        <v>1779.59</v>
      </c>
    </row>
    <row r="774" spans="1:4" x14ac:dyDescent="0.25">
      <c r="A774" s="7">
        <v>43838.916666666664</v>
      </c>
      <c r="B774" s="1" t="s">
        <v>68</v>
      </c>
      <c r="C774" s="1">
        <v>10935.45</v>
      </c>
      <c r="D774" s="1">
        <v>2756.23</v>
      </c>
    </row>
    <row r="775" spans="1:4" x14ac:dyDescent="0.25">
      <c r="A775" s="7">
        <v>43838.916666666664</v>
      </c>
      <c r="B775" s="1" t="s">
        <v>77</v>
      </c>
      <c r="C775" s="1">
        <v>11690.54</v>
      </c>
      <c r="D775" s="1">
        <v>2782.19</v>
      </c>
    </row>
    <row r="776" spans="1:4" x14ac:dyDescent="0.25">
      <c r="A776" s="7">
        <v>43838.916666666664</v>
      </c>
      <c r="B776" s="1" t="s">
        <v>71</v>
      </c>
      <c r="C776" s="1">
        <v>12852.67</v>
      </c>
      <c r="D776" s="1">
        <v>2643.14</v>
      </c>
    </row>
    <row r="777" spans="1:4" x14ac:dyDescent="0.25">
      <c r="A777" s="7">
        <v>43838.916666666664</v>
      </c>
      <c r="B777" s="1" t="s">
        <v>70</v>
      </c>
      <c r="C777" s="1">
        <v>8969.52</v>
      </c>
      <c r="D777" s="1">
        <v>2966.01</v>
      </c>
    </row>
    <row r="778" spans="1:4" x14ac:dyDescent="0.25">
      <c r="A778" s="7">
        <v>43838.916666666664</v>
      </c>
      <c r="B778" s="1" t="s">
        <v>69</v>
      </c>
      <c r="C778" s="1">
        <v>7831.19</v>
      </c>
      <c r="D778" s="1">
        <v>4156.7700000000004</v>
      </c>
    </row>
    <row r="779" spans="1:4" x14ac:dyDescent="0.25">
      <c r="A779" s="7">
        <v>43838.916666666664</v>
      </c>
      <c r="B779" s="1" t="s">
        <v>78</v>
      </c>
      <c r="C779" s="1">
        <v>2909.08</v>
      </c>
      <c r="D779" s="1">
        <v>1110.53</v>
      </c>
    </row>
    <row r="780" spans="1:4" x14ac:dyDescent="0.25">
      <c r="A780" s="7">
        <v>43838.916666666664</v>
      </c>
      <c r="B780" s="1" t="s">
        <v>76</v>
      </c>
      <c r="C780" s="1">
        <v>16603.099999999999</v>
      </c>
      <c r="D780" s="1">
        <v>2879.23</v>
      </c>
    </row>
    <row r="781" spans="1:4" x14ac:dyDescent="0.25">
      <c r="A781" s="7">
        <v>43838.916666666664</v>
      </c>
      <c r="B781" s="1" t="s">
        <v>72</v>
      </c>
      <c r="C781" s="1">
        <v>11306.07</v>
      </c>
      <c r="D781" s="1">
        <v>5351.37</v>
      </c>
    </row>
    <row r="782" spans="1:4" x14ac:dyDescent="0.25">
      <c r="A782" s="7">
        <v>43838.916666666664</v>
      </c>
      <c r="B782" s="1" t="s">
        <v>73</v>
      </c>
      <c r="C782" s="1">
        <v>8589.75</v>
      </c>
      <c r="D782" s="1">
        <v>1221.29</v>
      </c>
    </row>
    <row r="783" spans="1:4" x14ac:dyDescent="0.25">
      <c r="A783" s="7">
        <v>43838.958333333336</v>
      </c>
      <c r="B783" s="1" t="s">
        <v>75</v>
      </c>
      <c r="C783" s="1">
        <v>866.25</v>
      </c>
      <c r="D783" s="1">
        <v>296.29000000000002</v>
      </c>
    </row>
    <row r="784" spans="1:4" x14ac:dyDescent="0.25">
      <c r="A784" s="7">
        <v>43838.958333333336</v>
      </c>
      <c r="B784" s="1" t="s">
        <v>74</v>
      </c>
      <c r="C784" s="1">
        <v>3789.44</v>
      </c>
      <c r="D784" s="1">
        <v>851.39</v>
      </c>
    </row>
    <row r="785" spans="1:4" x14ac:dyDescent="0.25">
      <c r="A785" s="7">
        <v>43838.958333333336</v>
      </c>
      <c r="B785" s="1" t="s">
        <v>78</v>
      </c>
      <c r="C785" s="1">
        <v>1616.57</v>
      </c>
      <c r="D785" s="1">
        <v>663.65</v>
      </c>
    </row>
    <row r="786" spans="1:4" x14ac:dyDescent="0.25">
      <c r="A786" s="7">
        <v>43838.958333333336</v>
      </c>
      <c r="B786" s="1" t="s">
        <v>69</v>
      </c>
      <c r="C786" s="1">
        <v>4309.88</v>
      </c>
      <c r="D786" s="1">
        <v>2527.4899999999998</v>
      </c>
    </row>
    <row r="787" spans="1:4" x14ac:dyDescent="0.25">
      <c r="A787" s="7">
        <v>43838.958333333336</v>
      </c>
      <c r="B787" s="1" t="s">
        <v>76</v>
      </c>
      <c r="C787" s="1">
        <v>7126.65</v>
      </c>
      <c r="D787" s="1">
        <v>1406.73</v>
      </c>
    </row>
    <row r="788" spans="1:4" x14ac:dyDescent="0.25">
      <c r="A788" s="7">
        <v>43838.958333333336</v>
      </c>
      <c r="B788" s="1" t="s">
        <v>73</v>
      </c>
      <c r="C788" s="1">
        <v>3740.32</v>
      </c>
      <c r="D788" s="1">
        <v>646.67999999999995</v>
      </c>
    </row>
    <row r="789" spans="1:4" x14ac:dyDescent="0.25">
      <c r="A789" s="7">
        <v>43838.958333333336</v>
      </c>
      <c r="B789" s="1" t="s">
        <v>72</v>
      </c>
      <c r="C789" s="1">
        <v>5995.43</v>
      </c>
      <c r="D789" s="1">
        <v>3087.68</v>
      </c>
    </row>
    <row r="790" spans="1:4" x14ac:dyDescent="0.25">
      <c r="A790" s="7">
        <v>43838.958333333336</v>
      </c>
      <c r="B790" s="1" t="s">
        <v>68</v>
      </c>
      <c r="C790" s="1">
        <v>4650.6899999999996</v>
      </c>
      <c r="D790" s="1">
        <v>1413.01</v>
      </c>
    </row>
    <row r="791" spans="1:4" x14ac:dyDescent="0.25">
      <c r="A791" s="7">
        <v>43838.958333333336</v>
      </c>
      <c r="B791" s="1" t="s">
        <v>77</v>
      </c>
      <c r="C791" s="1">
        <v>5633.53</v>
      </c>
      <c r="D791" s="1">
        <v>1464.21</v>
      </c>
    </row>
    <row r="792" spans="1:4" x14ac:dyDescent="0.25">
      <c r="A792" s="7">
        <v>43838.958333333336</v>
      </c>
      <c r="B792" s="1" t="s">
        <v>71</v>
      </c>
      <c r="C792" s="1">
        <v>5095.09</v>
      </c>
      <c r="D792" s="1">
        <v>1272.83</v>
      </c>
    </row>
    <row r="793" spans="1:4" x14ac:dyDescent="0.25">
      <c r="A793" s="7">
        <v>43838.958333333336</v>
      </c>
      <c r="B793" s="1" t="s">
        <v>70</v>
      </c>
      <c r="C793" s="1">
        <v>4012.72</v>
      </c>
      <c r="D793" s="1">
        <v>1507.13</v>
      </c>
    </row>
    <row r="794" spans="1:4" x14ac:dyDescent="0.25">
      <c r="A794" s="7">
        <v>43869</v>
      </c>
      <c r="B794" s="1" t="s">
        <v>75</v>
      </c>
      <c r="C794" s="1">
        <v>424.54</v>
      </c>
      <c r="D794" s="1">
        <v>160.29</v>
      </c>
    </row>
    <row r="795" spans="1:4" x14ac:dyDescent="0.25">
      <c r="A795" s="7">
        <v>43869</v>
      </c>
      <c r="B795" s="1" t="s">
        <v>74</v>
      </c>
      <c r="C795" s="1">
        <v>1441.84</v>
      </c>
      <c r="D795" s="1">
        <v>388.73</v>
      </c>
    </row>
    <row r="796" spans="1:4" x14ac:dyDescent="0.25">
      <c r="A796" s="7">
        <v>43869</v>
      </c>
      <c r="B796" s="1" t="s">
        <v>72</v>
      </c>
      <c r="C796" s="1">
        <v>2710.03</v>
      </c>
      <c r="D796" s="1">
        <v>1501.53</v>
      </c>
    </row>
    <row r="797" spans="1:4" x14ac:dyDescent="0.25">
      <c r="A797" s="7">
        <v>43869</v>
      </c>
      <c r="B797" s="1" t="s">
        <v>73</v>
      </c>
      <c r="C797" s="1">
        <v>1452</v>
      </c>
      <c r="D797" s="1">
        <v>304.73</v>
      </c>
    </row>
    <row r="798" spans="1:4" x14ac:dyDescent="0.25">
      <c r="A798" s="7">
        <v>43869</v>
      </c>
      <c r="B798" s="1" t="s">
        <v>68</v>
      </c>
      <c r="C798" s="1">
        <v>1755.21</v>
      </c>
      <c r="D798" s="1">
        <v>611.54999999999995</v>
      </c>
    </row>
    <row r="799" spans="1:4" x14ac:dyDescent="0.25">
      <c r="A799" s="7">
        <v>43869</v>
      </c>
      <c r="B799" s="1" t="s">
        <v>71</v>
      </c>
      <c r="C799" s="1">
        <v>1985.3</v>
      </c>
      <c r="D799" s="1">
        <v>596.37</v>
      </c>
    </row>
    <row r="800" spans="1:4" x14ac:dyDescent="0.25">
      <c r="A800" s="7">
        <v>43869</v>
      </c>
      <c r="B800" s="1" t="s">
        <v>69</v>
      </c>
      <c r="C800" s="1">
        <v>1953.35</v>
      </c>
      <c r="D800" s="1">
        <v>1230.04</v>
      </c>
    </row>
    <row r="801" spans="1:4" x14ac:dyDescent="0.25">
      <c r="A801" s="7">
        <v>43869</v>
      </c>
      <c r="B801" s="1" t="s">
        <v>70</v>
      </c>
      <c r="C801" s="1">
        <v>1612.5</v>
      </c>
      <c r="D801" s="1">
        <v>657.42</v>
      </c>
    </row>
    <row r="802" spans="1:4" x14ac:dyDescent="0.25">
      <c r="A802" s="7">
        <v>43869</v>
      </c>
      <c r="B802" s="1" t="s">
        <v>78</v>
      </c>
      <c r="C802" s="1">
        <v>702.57</v>
      </c>
      <c r="D802" s="1">
        <v>317.45</v>
      </c>
    </row>
    <row r="803" spans="1:4" x14ac:dyDescent="0.25">
      <c r="A803" s="7">
        <v>43869</v>
      </c>
      <c r="B803" s="1" t="s">
        <v>76</v>
      </c>
      <c r="C803" s="1">
        <v>2703.71</v>
      </c>
      <c r="D803" s="1">
        <v>591</v>
      </c>
    </row>
    <row r="804" spans="1:4" x14ac:dyDescent="0.25">
      <c r="A804" s="7">
        <v>43869</v>
      </c>
      <c r="B804" s="1" t="s">
        <v>77</v>
      </c>
      <c r="C804" s="1">
        <v>2373.71</v>
      </c>
      <c r="D804" s="1">
        <v>665.38</v>
      </c>
    </row>
    <row r="805" spans="1:4" x14ac:dyDescent="0.25">
      <c r="A805" s="7">
        <v>43869.041666666664</v>
      </c>
      <c r="B805" s="1" t="s">
        <v>75</v>
      </c>
      <c r="C805" s="1">
        <v>209.64</v>
      </c>
      <c r="D805" s="1">
        <v>78.7</v>
      </c>
    </row>
    <row r="806" spans="1:4" x14ac:dyDescent="0.25">
      <c r="A806" s="7">
        <v>43869.041666666664</v>
      </c>
      <c r="B806" s="1" t="s">
        <v>74</v>
      </c>
      <c r="C806" s="1">
        <v>604.59</v>
      </c>
      <c r="D806" s="1">
        <v>177.72</v>
      </c>
    </row>
    <row r="807" spans="1:4" x14ac:dyDescent="0.25">
      <c r="A807" s="7">
        <v>43869.041666666664</v>
      </c>
      <c r="B807" s="1" t="s">
        <v>76</v>
      </c>
      <c r="C807" s="1">
        <v>1107.46</v>
      </c>
      <c r="D807" s="1">
        <v>263.60000000000002</v>
      </c>
    </row>
    <row r="808" spans="1:4" x14ac:dyDescent="0.25">
      <c r="A808" s="7">
        <v>43869.041666666664</v>
      </c>
      <c r="B808" s="1" t="s">
        <v>72</v>
      </c>
      <c r="C808" s="1">
        <v>1206.95</v>
      </c>
      <c r="D808" s="1">
        <v>741.1</v>
      </c>
    </row>
    <row r="809" spans="1:4" x14ac:dyDescent="0.25">
      <c r="A809" s="7">
        <v>43869.041666666664</v>
      </c>
      <c r="B809" s="1" t="s">
        <v>73</v>
      </c>
      <c r="C809" s="1">
        <v>595.97</v>
      </c>
      <c r="D809" s="1">
        <v>144.76</v>
      </c>
    </row>
    <row r="810" spans="1:4" x14ac:dyDescent="0.25">
      <c r="A810" s="7">
        <v>43869.041666666664</v>
      </c>
      <c r="B810" s="1" t="s">
        <v>68</v>
      </c>
      <c r="C810" s="1">
        <v>740.4</v>
      </c>
      <c r="D810" s="1">
        <v>298.25</v>
      </c>
    </row>
    <row r="811" spans="1:4" x14ac:dyDescent="0.25">
      <c r="A811" s="7">
        <v>43869.041666666664</v>
      </c>
      <c r="B811" s="1" t="s">
        <v>71</v>
      </c>
      <c r="C811" s="1">
        <v>832.22</v>
      </c>
      <c r="D811" s="1">
        <v>246.84</v>
      </c>
    </row>
    <row r="812" spans="1:4" x14ac:dyDescent="0.25">
      <c r="A812" s="7">
        <v>43869.041666666664</v>
      </c>
      <c r="B812" s="1" t="s">
        <v>70</v>
      </c>
      <c r="C812" s="1">
        <v>731.35</v>
      </c>
      <c r="D812" s="1">
        <v>291.64</v>
      </c>
    </row>
    <row r="813" spans="1:4" x14ac:dyDescent="0.25">
      <c r="A813" s="7">
        <v>43869.041666666664</v>
      </c>
      <c r="B813" s="1" t="s">
        <v>78</v>
      </c>
      <c r="C813" s="1">
        <v>310.14999999999998</v>
      </c>
      <c r="D813" s="1">
        <v>136.83000000000001</v>
      </c>
    </row>
    <row r="814" spans="1:4" x14ac:dyDescent="0.25">
      <c r="A814" s="7">
        <v>43869.041666666664</v>
      </c>
      <c r="B814" s="1" t="s">
        <v>77</v>
      </c>
      <c r="C814" s="1">
        <v>1060.2</v>
      </c>
      <c r="D814" s="1">
        <v>291.45</v>
      </c>
    </row>
    <row r="815" spans="1:4" x14ac:dyDescent="0.25">
      <c r="A815" s="7">
        <v>43869.041666666664</v>
      </c>
      <c r="B815" s="1" t="s">
        <v>69</v>
      </c>
      <c r="C815" s="1">
        <v>883.26</v>
      </c>
      <c r="D815" s="1">
        <v>565.66</v>
      </c>
    </row>
    <row r="816" spans="1:4" x14ac:dyDescent="0.25">
      <c r="A816" s="7">
        <v>43869.083333333336</v>
      </c>
      <c r="B816" s="1" t="s">
        <v>75</v>
      </c>
      <c r="C816" s="1">
        <v>98.79</v>
      </c>
      <c r="D816" s="1">
        <v>39.090000000000003</v>
      </c>
    </row>
    <row r="817" spans="1:4" x14ac:dyDescent="0.25">
      <c r="A817" s="7">
        <v>43869.083333333336</v>
      </c>
      <c r="B817" s="1" t="s">
        <v>74</v>
      </c>
      <c r="C817" s="1">
        <v>304.17</v>
      </c>
      <c r="D817" s="1">
        <v>78.760000000000005</v>
      </c>
    </row>
    <row r="818" spans="1:4" x14ac:dyDescent="0.25">
      <c r="A818" s="7">
        <v>43869.083333333336</v>
      </c>
      <c r="B818" s="1" t="s">
        <v>76</v>
      </c>
      <c r="C818" s="1">
        <v>523.21</v>
      </c>
      <c r="D818" s="1">
        <v>119.66</v>
      </c>
    </row>
    <row r="819" spans="1:4" x14ac:dyDescent="0.25">
      <c r="A819" s="7">
        <v>43869.083333333336</v>
      </c>
      <c r="B819" s="1" t="s">
        <v>68</v>
      </c>
      <c r="C819" s="1">
        <v>359.09</v>
      </c>
      <c r="D819" s="1">
        <v>150.38999999999999</v>
      </c>
    </row>
    <row r="820" spans="1:4" x14ac:dyDescent="0.25">
      <c r="A820" s="7">
        <v>43869.083333333336</v>
      </c>
      <c r="B820" s="1" t="s">
        <v>77</v>
      </c>
      <c r="C820" s="1">
        <v>507.55</v>
      </c>
      <c r="D820" s="1">
        <v>140.81</v>
      </c>
    </row>
    <row r="821" spans="1:4" x14ac:dyDescent="0.25">
      <c r="A821" s="7">
        <v>43869.083333333336</v>
      </c>
      <c r="B821" s="1" t="s">
        <v>71</v>
      </c>
      <c r="C821" s="1">
        <v>422</v>
      </c>
      <c r="D821" s="1">
        <v>109.44</v>
      </c>
    </row>
    <row r="822" spans="1:4" x14ac:dyDescent="0.25">
      <c r="A822" s="7">
        <v>43869.083333333336</v>
      </c>
      <c r="B822" s="1" t="s">
        <v>70</v>
      </c>
      <c r="C822" s="1">
        <v>372.58</v>
      </c>
      <c r="D822" s="1">
        <v>134.94</v>
      </c>
    </row>
    <row r="823" spans="1:4" x14ac:dyDescent="0.25">
      <c r="A823" s="7">
        <v>43869.083333333336</v>
      </c>
      <c r="B823" s="1" t="s">
        <v>78</v>
      </c>
      <c r="C823" s="1">
        <v>140.44</v>
      </c>
      <c r="D823" s="1">
        <v>66.8</v>
      </c>
    </row>
    <row r="824" spans="1:4" x14ac:dyDescent="0.25">
      <c r="A824" s="7">
        <v>43869.083333333336</v>
      </c>
      <c r="B824" s="1" t="s">
        <v>73</v>
      </c>
      <c r="C824" s="1">
        <v>276.57</v>
      </c>
      <c r="D824" s="1">
        <v>57.86</v>
      </c>
    </row>
    <row r="825" spans="1:4" x14ac:dyDescent="0.25">
      <c r="A825" s="7">
        <v>43869.083333333336</v>
      </c>
      <c r="B825" s="1" t="s">
        <v>72</v>
      </c>
      <c r="C825" s="1">
        <v>573.44000000000005</v>
      </c>
      <c r="D825" s="1">
        <v>349.92</v>
      </c>
    </row>
    <row r="826" spans="1:4" x14ac:dyDescent="0.25">
      <c r="A826" s="7">
        <v>43869.083333333336</v>
      </c>
      <c r="B826" s="1" t="s">
        <v>69</v>
      </c>
      <c r="C826" s="1">
        <v>423.01</v>
      </c>
      <c r="D826" s="1">
        <v>276.44</v>
      </c>
    </row>
    <row r="827" spans="1:4" x14ac:dyDescent="0.25">
      <c r="A827" s="7">
        <v>43869.125</v>
      </c>
      <c r="B827" s="1" t="s">
        <v>75</v>
      </c>
      <c r="C827" s="1">
        <v>39.06</v>
      </c>
      <c r="D827" s="1">
        <v>16.82</v>
      </c>
    </row>
    <row r="828" spans="1:4" x14ac:dyDescent="0.25">
      <c r="A828" s="7">
        <v>43869.125</v>
      </c>
      <c r="B828" s="1" t="s">
        <v>74</v>
      </c>
      <c r="C828" s="1">
        <v>190.38</v>
      </c>
      <c r="D828" s="1">
        <v>48.07</v>
      </c>
    </row>
    <row r="829" spans="1:4" x14ac:dyDescent="0.25">
      <c r="A829" s="7">
        <v>43869.125</v>
      </c>
      <c r="B829" s="1" t="s">
        <v>76</v>
      </c>
      <c r="C829" s="1">
        <v>315.77</v>
      </c>
      <c r="D829" s="1">
        <v>62.51</v>
      </c>
    </row>
    <row r="830" spans="1:4" x14ac:dyDescent="0.25">
      <c r="A830" s="7">
        <v>43869.125</v>
      </c>
      <c r="B830" s="1" t="s">
        <v>68</v>
      </c>
      <c r="C830" s="1">
        <v>196.64</v>
      </c>
      <c r="D830" s="1">
        <v>70.430000000000007</v>
      </c>
    </row>
    <row r="831" spans="1:4" x14ac:dyDescent="0.25">
      <c r="A831" s="7">
        <v>43869.125</v>
      </c>
      <c r="B831" s="1" t="s">
        <v>77</v>
      </c>
      <c r="C831" s="1">
        <v>278.77</v>
      </c>
      <c r="D831" s="1">
        <v>83.6</v>
      </c>
    </row>
    <row r="832" spans="1:4" x14ac:dyDescent="0.25">
      <c r="A832" s="7">
        <v>43869.125</v>
      </c>
      <c r="B832" s="1" t="s">
        <v>71</v>
      </c>
      <c r="C832" s="1">
        <v>254.05</v>
      </c>
      <c r="D832" s="1">
        <v>65.400000000000006</v>
      </c>
    </row>
    <row r="833" spans="1:4" x14ac:dyDescent="0.25">
      <c r="A833" s="7">
        <v>43869.125</v>
      </c>
      <c r="B833" s="1" t="s">
        <v>70</v>
      </c>
      <c r="C833" s="1">
        <v>215.34</v>
      </c>
      <c r="D833" s="1">
        <v>81.3</v>
      </c>
    </row>
    <row r="834" spans="1:4" x14ac:dyDescent="0.25">
      <c r="A834" s="7">
        <v>43869.125</v>
      </c>
      <c r="B834" s="1" t="s">
        <v>78</v>
      </c>
      <c r="C834" s="1">
        <v>74.510000000000005</v>
      </c>
      <c r="D834" s="1">
        <v>33.44</v>
      </c>
    </row>
    <row r="835" spans="1:4" x14ac:dyDescent="0.25">
      <c r="A835" s="7">
        <v>43869.125</v>
      </c>
      <c r="B835" s="1" t="s">
        <v>72</v>
      </c>
      <c r="C835" s="1">
        <v>318.79000000000002</v>
      </c>
      <c r="D835" s="1">
        <v>189.22</v>
      </c>
    </row>
    <row r="836" spans="1:4" x14ac:dyDescent="0.25">
      <c r="A836" s="7">
        <v>43869.125</v>
      </c>
      <c r="B836" s="1" t="s">
        <v>73</v>
      </c>
      <c r="C836" s="1">
        <v>158.06</v>
      </c>
      <c r="D836" s="1">
        <v>27.34</v>
      </c>
    </row>
    <row r="837" spans="1:4" x14ac:dyDescent="0.25">
      <c r="A837" s="7">
        <v>43869.125</v>
      </c>
      <c r="B837" s="1" t="s">
        <v>69</v>
      </c>
      <c r="C837" s="1">
        <v>222.94</v>
      </c>
      <c r="D837" s="1">
        <v>142.38</v>
      </c>
    </row>
    <row r="838" spans="1:4" x14ac:dyDescent="0.25">
      <c r="A838" s="7">
        <v>43869.166666666664</v>
      </c>
      <c r="B838" s="1" t="s">
        <v>75</v>
      </c>
      <c r="C838" s="1">
        <v>28.73</v>
      </c>
      <c r="D838" s="1">
        <v>11.33</v>
      </c>
    </row>
    <row r="839" spans="1:4" x14ac:dyDescent="0.25">
      <c r="A839" s="7">
        <v>43869.166666666664</v>
      </c>
      <c r="B839" s="1" t="s">
        <v>74</v>
      </c>
      <c r="C839" s="1">
        <v>163.63</v>
      </c>
      <c r="D839" s="1">
        <v>33.340000000000003</v>
      </c>
    </row>
    <row r="840" spans="1:4" x14ac:dyDescent="0.25">
      <c r="A840" s="7">
        <v>43869.166666666664</v>
      </c>
      <c r="B840" s="1" t="s">
        <v>78</v>
      </c>
      <c r="C840" s="1">
        <v>50.93</v>
      </c>
      <c r="D840" s="1">
        <v>20.9</v>
      </c>
    </row>
    <row r="841" spans="1:4" x14ac:dyDescent="0.25">
      <c r="A841" s="7">
        <v>43869.166666666664</v>
      </c>
      <c r="B841" s="1" t="s">
        <v>73</v>
      </c>
      <c r="C841" s="1">
        <v>148.91999999999999</v>
      </c>
      <c r="D841" s="1">
        <v>21.22</v>
      </c>
    </row>
    <row r="842" spans="1:4" x14ac:dyDescent="0.25">
      <c r="A842" s="7">
        <v>43869.166666666664</v>
      </c>
      <c r="B842" s="1" t="s">
        <v>68</v>
      </c>
      <c r="C842" s="1">
        <v>182.15</v>
      </c>
      <c r="D842" s="1">
        <v>41.36</v>
      </c>
    </row>
    <row r="843" spans="1:4" x14ac:dyDescent="0.25">
      <c r="A843" s="7">
        <v>43869.166666666664</v>
      </c>
      <c r="B843" s="1" t="s">
        <v>77</v>
      </c>
      <c r="C843" s="1">
        <v>231.4</v>
      </c>
      <c r="D843" s="1">
        <v>53.74</v>
      </c>
    </row>
    <row r="844" spans="1:4" x14ac:dyDescent="0.25">
      <c r="A844" s="7">
        <v>43869.166666666664</v>
      </c>
      <c r="B844" s="1" t="s">
        <v>71</v>
      </c>
      <c r="C844" s="1">
        <v>252.22</v>
      </c>
      <c r="D844" s="1">
        <v>53.07</v>
      </c>
    </row>
    <row r="845" spans="1:4" x14ac:dyDescent="0.25">
      <c r="A845" s="7">
        <v>43869.166666666664</v>
      </c>
      <c r="B845" s="1" t="s">
        <v>70</v>
      </c>
      <c r="C845" s="1">
        <v>180.25</v>
      </c>
      <c r="D845" s="1">
        <v>64.28</v>
      </c>
    </row>
    <row r="846" spans="1:4" x14ac:dyDescent="0.25">
      <c r="A846" s="7">
        <v>43869.166666666664</v>
      </c>
      <c r="B846" s="1" t="s">
        <v>69</v>
      </c>
      <c r="C846" s="1">
        <v>170.86</v>
      </c>
      <c r="D846" s="1">
        <v>92.58</v>
      </c>
    </row>
    <row r="847" spans="1:4" x14ac:dyDescent="0.25">
      <c r="A847" s="7">
        <v>43869.166666666664</v>
      </c>
      <c r="B847" s="1" t="s">
        <v>76</v>
      </c>
      <c r="C847" s="1">
        <v>239.17</v>
      </c>
      <c r="D847" s="1">
        <v>44.31</v>
      </c>
    </row>
    <row r="848" spans="1:4" x14ac:dyDescent="0.25">
      <c r="A848" s="7">
        <v>43869.166666666664</v>
      </c>
      <c r="B848" s="1" t="s">
        <v>72</v>
      </c>
      <c r="C848" s="1">
        <v>245.52</v>
      </c>
      <c r="D848" s="1">
        <v>114.97</v>
      </c>
    </row>
    <row r="849" spans="1:4" x14ac:dyDescent="0.25">
      <c r="A849" s="7">
        <v>43869.208333333336</v>
      </c>
      <c r="B849" s="1" t="s">
        <v>75</v>
      </c>
      <c r="C849" s="1">
        <v>54.4</v>
      </c>
      <c r="D849" s="1">
        <v>14.77</v>
      </c>
    </row>
    <row r="850" spans="1:4" x14ac:dyDescent="0.25">
      <c r="A850" s="7">
        <v>43869.208333333336</v>
      </c>
      <c r="B850" s="1" t="s">
        <v>74</v>
      </c>
      <c r="C850" s="1">
        <v>468.25</v>
      </c>
      <c r="D850" s="1">
        <v>64.47</v>
      </c>
    </row>
    <row r="851" spans="1:4" x14ac:dyDescent="0.25">
      <c r="A851" s="7">
        <v>43869.208333333336</v>
      </c>
      <c r="B851" s="1" t="s">
        <v>78</v>
      </c>
      <c r="C851" s="1">
        <v>104.86</v>
      </c>
      <c r="D851" s="1">
        <v>23.44</v>
      </c>
    </row>
    <row r="852" spans="1:4" x14ac:dyDescent="0.25">
      <c r="A852" s="7">
        <v>43869.208333333336</v>
      </c>
      <c r="B852" s="1" t="s">
        <v>73</v>
      </c>
      <c r="C852" s="1">
        <v>444.63</v>
      </c>
      <c r="D852" s="1">
        <v>47.79</v>
      </c>
    </row>
    <row r="853" spans="1:4" x14ac:dyDescent="0.25">
      <c r="A853" s="7">
        <v>43869.208333333336</v>
      </c>
      <c r="B853" s="1" t="s">
        <v>72</v>
      </c>
      <c r="C853" s="1">
        <v>479.43</v>
      </c>
      <c r="D853" s="1">
        <v>176.49</v>
      </c>
    </row>
    <row r="854" spans="1:4" x14ac:dyDescent="0.25">
      <c r="A854" s="7">
        <v>43869.208333333336</v>
      </c>
      <c r="B854" s="1" t="s">
        <v>71</v>
      </c>
      <c r="C854" s="1">
        <v>1194.56</v>
      </c>
      <c r="D854" s="1">
        <v>136.83000000000001</v>
      </c>
    </row>
    <row r="855" spans="1:4" x14ac:dyDescent="0.25">
      <c r="A855" s="7">
        <v>43869.208333333336</v>
      </c>
      <c r="B855" s="1" t="s">
        <v>70</v>
      </c>
      <c r="C855" s="1">
        <v>464.86</v>
      </c>
      <c r="D855" s="1">
        <v>124.85</v>
      </c>
    </row>
    <row r="856" spans="1:4" x14ac:dyDescent="0.25">
      <c r="A856" s="7">
        <v>43869.208333333336</v>
      </c>
      <c r="B856" s="1" t="s">
        <v>69</v>
      </c>
      <c r="C856" s="1">
        <v>326.95999999999998</v>
      </c>
      <c r="D856" s="1">
        <v>132.88999999999999</v>
      </c>
    </row>
    <row r="857" spans="1:4" x14ac:dyDescent="0.25">
      <c r="A857" s="7">
        <v>43869.208333333336</v>
      </c>
      <c r="B857" s="1" t="s">
        <v>76</v>
      </c>
      <c r="C857" s="1">
        <v>740.07</v>
      </c>
      <c r="D857" s="1">
        <v>101.38</v>
      </c>
    </row>
    <row r="858" spans="1:4" x14ac:dyDescent="0.25">
      <c r="A858" s="7">
        <v>43869.208333333336</v>
      </c>
      <c r="B858" s="1" t="s">
        <v>68</v>
      </c>
      <c r="C858" s="1">
        <v>806.87</v>
      </c>
      <c r="D858" s="1">
        <v>123.83</v>
      </c>
    </row>
    <row r="859" spans="1:4" x14ac:dyDescent="0.25">
      <c r="A859" s="7">
        <v>43869.208333333336</v>
      </c>
      <c r="B859" s="1" t="s">
        <v>77</v>
      </c>
      <c r="C859" s="1">
        <v>589.04</v>
      </c>
      <c r="D859" s="1">
        <v>105.81</v>
      </c>
    </row>
    <row r="860" spans="1:4" x14ac:dyDescent="0.25">
      <c r="A860" s="7">
        <v>43869.25</v>
      </c>
      <c r="B860" s="1" t="s">
        <v>75</v>
      </c>
      <c r="C860" s="1">
        <v>184.73</v>
      </c>
      <c r="D860" s="1">
        <v>37.57</v>
      </c>
    </row>
    <row r="861" spans="1:4" x14ac:dyDescent="0.25">
      <c r="A861" s="7">
        <v>43869.25</v>
      </c>
      <c r="B861" s="1" t="s">
        <v>74</v>
      </c>
      <c r="C861" s="1">
        <v>2215.04</v>
      </c>
      <c r="D861" s="1">
        <v>243.75</v>
      </c>
    </row>
    <row r="862" spans="1:4" x14ac:dyDescent="0.25">
      <c r="A862" s="7">
        <v>43869.25</v>
      </c>
      <c r="B862" s="1" t="s">
        <v>76</v>
      </c>
      <c r="C862" s="1">
        <v>3410</v>
      </c>
      <c r="D862" s="1">
        <v>360.74</v>
      </c>
    </row>
    <row r="863" spans="1:4" x14ac:dyDescent="0.25">
      <c r="A863" s="7">
        <v>43869.25</v>
      </c>
      <c r="B863" s="1" t="s">
        <v>72</v>
      </c>
      <c r="C863" s="1">
        <v>1147.54</v>
      </c>
      <c r="D863" s="1">
        <v>372</v>
      </c>
    </row>
    <row r="864" spans="1:4" x14ac:dyDescent="0.25">
      <c r="A864" s="7">
        <v>43869.25</v>
      </c>
      <c r="B864" s="1" t="s">
        <v>73</v>
      </c>
      <c r="C864" s="1">
        <v>1738.2</v>
      </c>
      <c r="D864" s="1">
        <v>151.43</v>
      </c>
    </row>
    <row r="865" spans="1:4" x14ac:dyDescent="0.25">
      <c r="A865" s="7">
        <v>43869.25</v>
      </c>
      <c r="B865" s="1" t="s">
        <v>68</v>
      </c>
      <c r="C865" s="1">
        <v>3031.81</v>
      </c>
      <c r="D865" s="1">
        <v>437.81</v>
      </c>
    </row>
    <row r="866" spans="1:4" x14ac:dyDescent="0.25">
      <c r="A866" s="7">
        <v>43869.25</v>
      </c>
      <c r="B866" s="1" t="s">
        <v>71</v>
      </c>
      <c r="C866" s="1">
        <v>4625.63</v>
      </c>
      <c r="D866" s="1">
        <v>543.17999999999995</v>
      </c>
    </row>
    <row r="867" spans="1:4" x14ac:dyDescent="0.25">
      <c r="A867" s="7">
        <v>43869.25</v>
      </c>
      <c r="B867" s="1" t="s">
        <v>70</v>
      </c>
      <c r="C867" s="1">
        <v>1380.19</v>
      </c>
      <c r="D867" s="1">
        <v>333.7</v>
      </c>
    </row>
    <row r="868" spans="1:4" x14ac:dyDescent="0.25">
      <c r="A868" s="7">
        <v>43869.25</v>
      </c>
      <c r="B868" s="1" t="s">
        <v>78</v>
      </c>
      <c r="C868" s="1">
        <v>311.95</v>
      </c>
      <c r="D868" s="1">
        <v>57.42</v>
      </c>
    </row>
    <row r="869" spans="1:4" x14ac:dyDescent="0.25">
      <c r="A869" s="7">
        <v>43869.25</v>
      </c>
      <c r="B869" s="1" t="s">
        <v>77</v>
      </c>
      <c r="C869" s="1">
        <v>1911.55</v>
      </c>
      <c r="D869" s="1">
        <v>312.70999999999998</v>
      </c>
    </row>
    <row r="870" spans="1:4" x14ac:dyDescent="0.25">
      <c r="A870" s="7">
        <v>43869.25</v>
      </c>
      <c r="B870" s="1" t="s">
        <v>69</v>
      </c>
      <c r="C870" s="1">
        <v>789.88</v>
      </c>
      <c r="D870" s="1">
        <v>241.84</v>
      </c>
    </row>
    <row r="871" spans="1:4" x14ac:dyDescent="0.25">
      <c r="A871" s="7">
        <v>43869.291666666664</v>
      </c>
      <c r="B871" s="1" t="s">
        <v>75</v>
      </c>
      <c r="C871" s="1">
        <v>420.26</v>
      </c>
      <c r="D871" s="1">
        <v>83.82</v>
      </c>
    </row>
    <row r="872" spans="1:4" x14ac:dyDescent="0.25">
      <c r="A872" s="7">
        <v>43869.291666666664</v>
      </c>
      <c r="B872" s="1" t="s">
        <v>74</v>
      </c>
      <c r="C872" s="1">
        <v>5367.12</v>
      </c>
      <c r="D872" s="1">
        <v>644.86</v>
      </c>
    </row>
    <row r="873" spans="1:4" x14ac:dyDescent="0.25">
      <c r="A873" s="7">
        <v>43869.291666666664</v>
      </c>
      <c r="B873" s="1" t="s">
        <v>76</v>
      </c>
      <c r="C873" s="1">
        <v>8025.17</v>
      </c>
      <c r="D873" s="1">
        <v>957.94</v>
      </c>
    </row>
    <row r="874" spans="1:4" x14ac:dyDescent="0.25">
      <c r="A874" s="7">
        <v>43869.291666666664</v>
      </c>
      <c r="B874" s="1" t="s">
        <v>68</v>
      </c>
      <c r="C874" s="1">
        <v>5970.61</v>
      </c>
      <c r="D874" s="1">
        <v>979.44</v>
      </c>
    </row>
    <row r="875" spans="1:4" x14ac:dyDescent="0.25">
      <c r="A875" s="7">
        <v>43869.291666666664</v>
      </c>
      <c r="B875" s="1" t="s">
        <v>77</v>
      </c>
      <c r="C875" s="1">
        <v>4215.8599999999997</v>
      </c>
      <c r="D875" s="1">
        <v>720.64</v>
      </c>
    </row>
    <row r="876" spans="1:4" x14ac:dyDescent="0.25">
      <c r="A876" s="7">
        <v>43869.291666666664</v>
      </c>
      <c r="B876" s="1" t="s">
        <v>71</v>
      </c>
      <c r="C876" s="1">
        <v>8549.9599999999991</v>
      </c>
      <c r="D876" s="1">
        <v>1144.02</v>
      </c>
    </row>
    <row r="877" spans="1:4" x14ac:dyDescent="0.25">
      <c r="A877" s="7">
        <v>43869.291666666664</v>
      </c>
      <c r="B877" s="1" t="s">
        <v>69</v>
      </c>
      <c r="C877" s="1">
        <v>1638.29</v>
      </c>
      <c r="D877" s="1">
        <v>486.36</v>
      </c>
    </row>
    <row r="878" spans="1:4" x14ac:dyDescent="0.25">
      <c r="A878" s="7">
        <v>43869.291666666664</v>
      </c>
      <c r="B878" s="1" t="s">
        <v>70</v>
      </c>
      <c r="C878" s="1">
        <v>3024.77</v>
      </c>
      <c r="D878" s="1">
        <v>752.42</v>
      </c>
    </row>
    <row r="879" spans="1:4" x14ac:dyDescent="0.25">
      <c r="A879" s="7">
        <v>43869.291666666664</v>
      </c>
      <c r="B879" s="1" t="s">
        <v>78</v>
      </c>
      <c r="C879" s="1">
        <v>660.97</v>
      </c>
      <c r="D879" s="1">
        <v>138.38999999999999</v>
      </c>
    </row>
    <row r="880" spans="1:4" x14ac:dyDescent="0.25">
      <c r="A880" s="7">
        <v>43869.291666666664</v>
      </c>
      <c r="B880" s="1" t="s">
        <v>72</v>
      </c>
      <c r="C880" s="1">
        <v>2511.89</v>
      </c>
      <c r="D880" s="1">
        <v>837.19</v>
      </c>
    </row>
    <row r="881" spans="1:4" x14ac:dyDescent="0.25">
      <c r="A881" s="7">
        <v>43869.291666666664</v>
      </c>
      <c r="B881" s="1" t="s">
        <v>73</v>
      </c>
      <c r="C881" s="1">
        <v>3873.59</v>
      </c>
      <c r="D881" s="1">
        <v>362.42</v>
      </c>
    </row>
    <row r="882" spans="1:4" x14ac:dyDescent="0.25">
      <c r="A882" s="7">
        <v>43869.333333333336</v>
      </c>
      <c r="B882" s="1" t="s">
        <v>74</v>
      </c>
      <c r="C882" s="1">
        <v>8180.78</v>
      </c>
      <c r="D882" s="1">
        <v>1120.3699999999999</v>
      </c>
    </row>
    <row r="883" spans="1:4" x14ac:dyDescent="0.25">
      <c r="A883" s="7">
        <v>43869.333333333336</v>
      </c>
      <c r="B883" s="1" t="s">
        <v>75</v>
      </c>
      <c r="C883" s="1">
        <v>700.15</v>
      </c>
      <c r="D883" s="1">
        <v>162.5</v>
      </c>
    </row>
    <row r="884" spans="1:4" x14ac:dyDescent="0.25">
      <c r="A884" s="7">
        <v>43869.333333333336</v>
      </c>
      <c r="B884" s="1" t="s">
        <v>76</v>
      </c>
      <c r="C884" s="1">
        <v>12716.4</v>
      </c>
      <c r="D884" s="1">
        <v>1717.6</v>
      </c>
    </row>
    <row r="885" spans="1:4" x14ac:dyDescent="0.25">
      <c r="A885" s="7">
        <v>43869.333333333336</v>
      </c>
      <c r="B885" s="1" t="s">
        <v>68</v>
      </c>
      <c r="C885" s="1">
        <v>8910.91</v>
      </c>
      <c r="D885" s="1">
        <v>1667.69</v>
      </c>
    </row>
    <row r="886" spans="1:4" x14ac:dyDescent="0.25">
      <c r="A886" s="7">
        <v>43869.333333333336</v>
      </c>
      <c r="B886" s="1" t="s">
        <v>77</v>
      </c>
      <c r="C886" s="1">
        <v>7173.69</v>
      </c>
      <c r="D886" s="1">
        <v>1396.38</v>
      </c>
    </row>
    <row r="887" spans="1:4" x14ac:dyDescent="0.25">
      <c r="A887" s="7">
        <v>43869.333333333336</v>
      </c>
      <c r="B887" s="1" t="s">
        <v>70</v>
      </c>
      <c r="C887" s="1">
        <v>5288.09</v>
      </c>
      <c r="D887" s="1">
        <v>1477.9</v>
      </c>
    </row>
    <row r="888" spans="1:4" x14ac:dyDescent="0.25">
      <c r="A888" s="7">
        <v>43869.333333333336</v>
      </c>
      <c r="B888" s="1" t="s">
        <v>69</v>
      </c>
      <c r="C888" s="1">
        <v>3108.35</v>
      </c>
      <c r="D888" s="1">
        <v>1027.3599999999999</v>
      </c>
    </row>
    <row r="889" spans="1:4" x14ac:dyDescent="0.25">
      <c r="A889" s="7">
        <v>43869.333333333336</v>
      </c>
      <c r="B889" s="1" t="s">
        <v>78</v>
      </c>
      <c r="C889" s="1">
        <v>1161.74</v>
      </c>
      <c r="D889" s="1">
        <v>291.39</v>
      </c>
    </row>
    <row r="890" spans="1:4" x14ac:dyDescent="0.25">
      <c r="A890" s="7">
        <v>43869.333333333336</v>
      </c>
      <c r="B890" s="1" t="s">
        <v>73</v>
      </c>
      <c r="C890" s="1">
        <v>6260.06</v>
      </c>
      <c r="D890" s="1">
        <v>714.19</v>
      </c>
    </row>
    <row r="891" spans="1:4" x14ac:dyDescent="0.25">
      <c r="A891" s="7">
        <v>43869.333333333336</v>
      </c>
      <c r="B891" s="1" t="s">
        <v>72</v>
      </c>
      <c r="C891" s="1">
        <v>4794.82</v>
      </c>
      <c r="D891" s="1">
        <v>1735.54</v>
      </c>
    </row>
    <row r="892" spans="1:4" x14ac:dyDescent="0.25">
      <c r="A892" s="7">
        <v>43869.333333333336</v>
      </c>
      <c r="B892" s="1" t="s">
        <v>71</v>
      </c>
      <c r="C892" s="1">
        <v>11902</v>
      </c>
      <c r="D892" s="1">
        <v>1848.59</v>
      </c>
    </row>
    <row r="893" spans="1:4" x14ac:dyDescent="0.25">
      <c r="A893" s="7">
        <v>43869.375</v>
      </c>
      <c r="B893" s="1" t="s">
        <v>75</v>
      </c>
      <c r="C893" s="1">
        <v>982.11</v>
      </c>
      <c r="D893" s="1">
        <v>257.85000000000002</v>
      </c>
    </row>
    <row r="894" spans="1:4" x14ac:dyDescent="0.25">
      <c r="A894" s="7">
        <v>43869.375</v>
      </c>
      <c r="B894" s="1" t="s">
        <v>74</v>
      </c>
      <c r="C894" s="1">
        <v>10278.299999999999</v>
      </c>
      <c r="D894" s="1">
        <v>1633.64</v>
      </c>
    </row>
    <row r="895" spans="1:4" x14ac:dyDescent="0.25">
      <c r="A895" s="7">
        <v>43869.375</v>
      </c>
      <c r="B895" s="1" t="s">
        <v>76</v>
      </c>
      <c r="C895" s="1">
        <v>16312.87</v>
      </c>
      <c r="D895" s="1">
        <v>2462.75</v>
      </c>
    </row>
    <row r="896" spans="1:4" x14ac:dyDescent="0.25">
      <c r="A896" s="7">
        <v>43869.375</v>
      </c>
      <c r="B896" s="1" t="s">
        <v>72</v>
      </c>
      <c r="C896" s="1">
        <v>7503.1</v>
      </c>
      <c r="D896" s="1">
        <v>2961.48</v>
      </c>
    </row>
    <row r="897" spans="1:4" x14ac:dyDescent="0.25">
      <c r="A897" s="7">
        <v>43869.375</v>
      </c>
      <c r="B897" s="1" t="s">
        <v>73</v>
      </c>
      <c r="C897" s="1">
        <v>8271.14</v>
      </c>
      <c r="D897" s="1">
        <v>1097.3599999999999</v>
      </c>
    </row>
    <row r="898" spans="1:4" x14ac:dyDescent="0.25">
      <c r="A898" s="7">
        <v>43869.375</v>
      </c>
      <c r="B898" s="1" t="s">
        <v>68</v>
      </c>
      <c r="C898" s="1">
        <v>10929.65</v>
      </c>
      <c r="D898" s="1">
        <v>2309.9499999999998</v>
      </c>
    </row>
    <row r="899" spans="1:4" x14ac:dyDescent="0.25">
      <c r="A899" s="7">
        <v>43869.375</v>
      </c>
      <c r="B899" s="1" t="s">
        <v>77</v>
      </c>
      <c r="C899" s="1">
        <v>9978.7999999999993</v>
      </c>
      <c r="D899" s="1">
        <v>2146.0100000000002</v>
      </c>
    </row>
    <row r="900" spans="1:4" x14ac:dyDescent="0.25">
      <c r="A900" s="7">
        <v>43869.375</v>
      </c>
      <c r="B900" s="1" t="s">
        <v>71</v>
      </c>
      <c r="C900" s="1">
        <v>14163.65</v>
      </c>
      <c r="D900" s="1">
        <v>2508.12</v>
      </c>
    </row>
    <row r="901" spans="1:4" x14ac:dyDescent="0.25">
      <c r="A901" s="7">
        <v>43869.375</v>
      </c>
      <c r="B901" s="1" t="s">
        <v>69</v>
      </c>
      <c r="C901" s="1">
        <v>4809.18</v>
      </c>
      <c r="D901" s="1">
        <v>1884.02</v>
      </c>
    </row>
    <row r="902" spans="1:4" x14ac:dyDescent="0.25">
      <c r="A902" s="7">
        <v>43869.375</v>
      </c>
      <c r="B902" s="1" t="s">
        <v>70</v>
      </c>
      <c r="C902" s="1">
        <v>7506.05</v>
      </c>
      <c r="D902" s="1">
        <v>2296.6799999999998</v>
      </c>
    </row>
    <row r="903" spans="1:4" x14ac:dyDescent="0.25">
      <c r="A903" s="7">
        <v>43869.375</v>
      </c>
      <c r="B903" s="1" t="s">
        <v>78</v>
      </c>
      <c r="C903" s="1">
        <v>1750.91</v>
      </c>
      <c r="D903" s="1">
        <v>533.61</v>
      </c>
    </row>
    <row r="904" spans="1:4" x14ac:dyDescent="0.25">
      <c r="A904" s="7">
        <v>43869.416666666664</v>
      </c>
      <c r="B904" s="1" t="s">
        <v>75</v>
      </c>
      <c r="C904" s="1">
        <v>1128.45</v>
      </c>
      <c r="D904" s="1">
        <v>332.58</v>
      </c>
    </row>
    <row r="905" spans="1:4" x14ac:dyDescent="0.25">
      <c r="A905" s="7">
        <v>43869.416666666664</v>
      </c>
      <c r="B905" s="1" t="s">
        <v>74</v>
      </c>
      <c r="C905" s="1">
        <v>10944.42</v>
      </c>
      <c r="D905" s="1">
        <v>1936.35</v>
      </c>
    </row>
    <row r="906" spans="1:4" x14ac:dyDescent="0.25">
      <c r="A906" s="7">
        <v>43869.416666666664</v>
      </c>
      <c r="B906" s="1" t="s">
        <v>78</v>
      </c>
      <c r="C906" s="1">
        <v>2170.04</v>
      </c>
      <c r="D906" s="1">
        <v>806.4</v>
      </c>
    </row>
    <row r="907" spans="1:4" x14ac:dyDescent="0.25">
      <c r="A907" s="7">
        <v>43869.416666666664</v>
      </c>
      <c r="B907" s="1" t="s">
        <v>72</v>
      </c>
      <c r="C907" s="1">
        <v>9596.14</v>
      </c>
      <c r="D907" s="1">
        <v>4286.8999999999996</v>
      </c>
    </row>
    <row r="908" spans="1:4" x14ac:dyDescent="0.25">
      <c r="A908" s="7">
        <v>43869.416666666664</v>
      </c>
      <c r="B908" s="1" t="s">
        <v>73</v>
      </c>
      <c r="C908" s="1">
        <v>9053.51</v>
      </c>
      <c r="D908" s="1">
        <v>1339.4</v>
      </c>
    </row>
    <row r="909" spans="1:4" x14ac:dyDescent="0.25">
      <c r="A909" s="7">
        <v>43869.416666666664</v>
      </c>
      <c r="B909" s="1" t="s">
        <v>77</v>
      </c>
      <c r="C909" s="1">
        <v>11498.4</v>
      </c>
      <c r="D909" s="1">
        <v>2706.62</v>
      </c>
    </row>
    <row r="910" spans="1:4" x14ac:dyDescent="0.25">
      <c r="A910" s="7">
        <v>43869.416666666664</v>
      </c>
      <c r="B910" s="1" t="s">
        <v>71</v>
      </c>
      <c r="C910" s="1">
        <v>14748.72</v>
      </c>
      <c r="D910" s="1">
        <v>2899.22</v>
      </c>
    </row>
    <row r="911" spans="1:4" x14ac:dyDescent="0.25">
      <c r="A911" s="7">
        <v>43869.416666666664</v>
      </c>
      <c r="B911" s="1" t="s">
        <v>76</v>
      </c>
      <c r="C911" s="1">
        <v>17850.07</v>
      </c>
      <c r="D911" s="1">
        <v>3049.11</v>
      </c>
    </row>
    <row r="912" spans="1:4" x14ac:dyDescent="0.25">
      <c r="A912" s="7">
        <v>43869.416666666664</v>
      </c>
      <c r="B912" s="1" t="s">
        <v>68</v>
      </c>
      <c r="C912" s="1">
        <v>11465.56</v>
      </c>
      <c r="D912" s="1">
        <v>2747.28</v>
      </c>
    </row>
    <row r="913" spans="1:4" x14ac:dyDescent="0.25">
      <c r="A913" s="7">
        <v>43869.416666666664</v>
      </c>
      <c r="B913" s="1" t="s">
        <v>69</v>
      </c>
      <c r="C913" s="1">
        <v>6230.25</v>
      </c>
      <c r="D913" s="1">
        <v>2866.47</v>
      </c>
    </row>
    <row r="914" spans="1:4" x14ac:dyDescent="0.25">
      <c r="A914" s="7">
        <v>43869.416666666664</v>
      </c>
      <c r="B914" s="1" t="s">
        <v>70</v>
      </c>
      <c r="C914" s="1">
        <v>8913.2099999999991</v>
      </c>
      <c r="D914" s="1">
        <v>2944.81</v>
      </c>
    </row>
    <row r="915" spans="1:4" x14ac:dyDescent="0.25">
      <c r="A915" s="7">
        <v>43869.458333333336</v>
      </c>
      <c r="B915" s="1" t="s">
        <v>75</v>
      </c>
      <c r="C915" s="1">
        <v>1211.74</v>
      </c>
      <c r="D915" s="1">
        <v>364.92</v>
      </c>
    </row>
    <row r="916" spans="1:4" x14ac:dyDescent="0.25">
      <c r="A916" s="7">
        <v>43869.458333333336</v>
      </c>
      <c r="B916" s="1" t="s">
        <v>74</v>
      </c>
      <c r="C916" s="1">
        <v>10412.32</v>
      </c>
      <c r="D916" s="1">
        <v>1940.67</v>
      </c>
    </row>
    <row r="917" spans="1:4" x14ac:dyDescent="0.25">
      <c r="A917" s="7">
        <v>43869.458333333336</v>
      </c>
      <c r="B917" s="1" t="s">
        <v>78</v>
      </c>
      <c r="C917" s="1">
        <v>2369.88</v>
      </c>
      <c r="D917" s="1">
        <v>959.57</v>
      </c>
    </row>
    <row r="918" spans="1:4" x14ac:dyDescent="0.25">
      <c r="A918" s="7">
        <v>43869.458333333336</v>
      </c>
      <c r="B918" s="1" t="s">
        <v>68</v>
      </c>
      <c r="C918" s="1">
        <v>10787.28</v>
      </c>
      <c r="D918" s="1">
        <v>2748.57</v>
      </c>
    </row>
    <row r="919" spans="1:4" x14ac:dyDescent="0.25">
      <c r="A919" s="7">
        <v>43869.458333333336</v>
      </c>
      <c r="B919" s="1" t="s">
        <v>71</v>
      </c>
      <c r="C919" s="1">
        <v>13745.04</v>
      </c>
      <c r="D919" s="1">
        <v>2867.38</v>
      </c>
    </row>
    <row r="920" spans="1:4" x14ac:dyDescent="0.25">
      <c r="A920" s="7">
        <v>43869.458333333336</v>
      </c>
      <c r="B920" s="1" t="s">
        <v>70</v>
      </c>
      <c r="C920" s="1">
        <v>9039.01</v>
      </c>
      <c r="D920" s="1">
        <v>3114.37</v>
      </c>
    </row>
    <row r="921" spans="1:4" x14ac:dyDescent="0.25">
      <c r="A921" s="7">
        <v>43869.458333333336</v>
      </c>
      <c r="B921" s="1" t="s">
        <v>76</v>
      </c>
      <c r="C921" s="1">
        <v>17189.59</v>
      </c>
      <c r="D921" s="1">
        <v>3042.91</v>
      </c>
    </row>
    <row r="922" spans="1:4" x14ac:dyDescent="0.25">
      <c r="A922" s="7">
        <v>43869.458333333336</v>
      </c>
      <c r="B922" s="1" t="s">
        <v>73</v>
      </c>
      <c r="C922" s="1">
        <v>8757.3700000000008</v>
      </c>
      <c r="D922" s="1">
        <v>1324.54</v>
      </c>
    </row>
    <row r="923" spans="1:4" x14ac:dyDescent="0.25">
      <c r="A923" s="7">
        <v>43869.458333333336</v>
      </c>
      <c r="B923" s="1" t="s">
        <v>72</v>
      </c>
      <c r="C923" s="1">
        <v>10200.64</v>
      </c>
      <c r="D923" s="1">
        <v>4871.3599999999997</v>
      </c>
    </row>
    <row r="924" spans="1:4" x14ac:dyDescent="0.25">
      <c r="A924" s="7">
        <v>43869.458333333336</v>
      </c>
      <c r="B924" s="1" t="s">
        <v>77</v>
      </c>
      <c r="C924" s="1">
        <v>11383.09</v>
      </c>
      <c r="D924" s="1">
        <v>2818.06</v>
      </c>
    </row>
    <row r="925" spans="1:4" x14ac:dyDescent="0.25">
      <c r="A925" s="7">
        <v>43869.458333333336</v>
      </c>
      <c r="B925" s="1" t="s">
        <v>69</v>
      </c>
      <c r="C925" s="1">
        <v>6735.38</v>
      </c>
      <c r="D925" s="1">
        <v>3492.85</v>
      </c>
    </row>
    <row r="926" spans="1:4" x14ac:dyDescent="0.25">
      <c r="A926" s="7">
        <v>43869.5</v>
      </c>
      <c r="B926" s="1" t="s">
        <v>75</v>
      </c>
      <c r="C926" s="1">
        <v>1161.74</v>
      </c>
      <c r="D926" s="1">
        <v>364.73</v>
      </c>
    </row>
    <row r="927" spans="1:4" x14ac:dyDescent="0.25">
      <c r="A927" s="7">
        <v>43869.5</v>
      </c>
      <c r="B927" s="1" t="s">
        <v>74</v>
      </c>
      <c r="C927" s="1">
        <v>9247.1200000000008</v>
      </c>
      <c r="D927" s="1">
        <v>1800.18</v>
      </c>
    </row>
    <row r="928" spans="1:4" x14ac:dyDescent="0.25">
      <c r="A928" s="7">
        <v>43869.5</v>
      </c>
      <c r="B928" s="1" t="s">
        <v>76</v>
      </c>
      <c r="C928" s="1">
        <v>15461.03</v>
      </c>
      <c r="D928" s="1">
        <v>2781.61</v>
      </c>
    </row>
    <row r="929" spans="1:4" x14ac:dyDescent="0.25">
      <c r="A929" s="7">
        <v>43869.5</v>
      </c>
      <c r="B929" s="1" t="s">
        <v>68</v>
      </c>
      <c r="C929" s="1">
        <v>9516.84</v>
      </c>
      <c r="D929" s="1">
        <v>2463.81</v>
      </c>
    </row>
    <row r="930" spans="1:4" x14ac:dyDescent="0.25">
      <c r="A930" s="7">
        <v>43869.5</v>
      </c>
      <c r="B930" s="1" t="s">
        <v>77</v>
      </c>
      <c r="C930" s="1">
        <v>10299.27</v>
      </c>
      <c r="D930" s="1">
        <v>2555.9299999999998</v>
      </c>
    </row>
    <row r="931" spans="1:4" x14ac:dyDescent="0.25">
      <c r="A931" s="7">
        <v>43869.5</v>
      </c>
      <c r="B931" s="1" t="s">
        <v>69</v>
      </c>
      <c r="C931" s="1">
        <v>6415.02</v>
      </c>
      <c r="D931" s="1">
        <v>3552.47</v>
      </c>
    </row>
    <row r="932" spans="1:4" x14ac:dyDescent="0.25">
      <c r="A932" s="7">
        <v>43869.5</v>
      </c>
      <c r="B932" s="1" t="s">
        <v>70</v>
      </c>
      <c r="C932" s="1">
        <v>8282.73</v>
      </c>
      <c r="D932" s="1">
        <v>2895.49</v>
      </c>
    </row>
    <row r="933" spans="1:4" x14ac:dyDescent="0.25">
      <c r="A933" s="7">
        <v>43869.5</v>
      </c>
      <c r="B933" s="1" t="s">
        <v>78</v>
      </c>
      <c r="C933" s="1">
        <v>2255.6</v>
      </c>
      <c r="D933" s="1">
        <v>950.51</v>
      </c>
    </row>
    <row r="934" spans="1:4" x14ac:dyDescent="0.25">
      <c r="A934" s="7">
        <v>43869.5</v>
      </c>
      <c r="B934" s="1" t="s">
        <v>72</v>
      </c>
      <c r="C934" s="1">
        <v>9635.56</v>
      </c>
      <c r="D934" s="1">
        <v>4778.3900000000003</v>
      </c>
    </row>
    <row r="935" spans="1:4" x14ac:dyDescent="0.25">
      <c r="A935" s="7">
        <v>43869.5</v>
      </c>
      <c r="B935" s="1" t="s">
        <v>73</v>
      </c>
      <c r="C935" s="1">
        <v>7926.55</v>
      </c>
      <c r="D935" s="1">
        <v>1181.25</v>
      </c>
    </row>
    <row r="936" spans="1:4" x14ac:dyDescent="0.25">
      <c r="A936" s="7">
        <v>43869.5</v>
      </c>
      <c r="B936" s="1" t="s">
        <v>71</v>
      </c>
      <c r="C936" s="1">
        <v>12097.65</v>
      </c>
      <c r="D936" s="1">
        <v>2584.7199999999998</v>
      </c>
    </row>
    <row r="937" spans="1:4" x14ac:dyDescent="0.25">
      <c r="A937" s="7">
        <v>43869.541666666664</v>
      </c>
      <c r="B937" s="1" t="s">
        <v>75</v>
      </c>
      <c r="C937" s="1">
        <v>985.46</v>
      </c>
      <c r="D937" s="1">
        <v>308.13</v>
      </c>
    </row>
    <row r="938" spans="1:4" x14ac:dyDescent="0.25">
      <c r="A938" s="7">
        <v>43869.541666666664</v>
      </c>
      <c r="B938" s="1" t="s">
        <v>74</v>
      </c>
      <c r="C938" s="1">
        <v>7700.18</v>
      </c>
      <c r="D938" s="1">
        <v>1445.96</v>
      </c>
    </row>
    <row r="939" spans="1:4" x14ac:dyDescent="0.25">
      <c r="A939" s="7">
        <v>43869.541666666664</v>
      </c>
      <c r="B939" s="1" t="s">
        <v>76</v>
      </c>
      <c r="C939" s="1">
        <v>13056.66</v>
      </c>
      <c r="D939" s="1">
        <v>2319.67</v>
      </c>
    </row>
    <row r="940" spans="1:4" x14ac:dyDescent="0.25">
      <c r="A940" s="7">
        <v>43869.541666666664</v>
      </c>
      <c r="B940" s="1" t="s">
        <v>72</v>
      </c>
      <c r="C940" s="1">
        <v>7852.36</v>
      </c>
      <c r="D940" s="1">
        <v>3934.3</v>
      </c>
    </row>
    <row r="941" spans="1:4" x14ac:dyDescent="0.25">
      <c r="A941" s="7">
        <v>43869.541666666664</v>
      </c>
      <c r="B941" s="1" t="s">
        <v>73</v>
      </c>
      <c r="C941" s="1">
        <v>6156.17</v>
      </c>
      <c r="D941" s="1">
        <v>907.51</v>
      </c>
    </row>
    <row r="942" spans="1:4" x14ac:dyDescent="0.25">
      <c r="A942" s="7">
        <v>43869.541666666664</v>
      </c>
      <c r="B942" s="1" t="s">
        <v>68</v>
      </c>
      <c r="C942" s="1">
        <v>7388.26</v>
      </c>
      <c r="D942" s="1">
        <v>1906.51</v>
      </c>
    </row>
    <row r="943" spans="1:4" x14ac:dyDescent="0.25">
      <c r="A943" s="7">
        <v>43869.541666666664</v>
      </c>
      <c r="B943" s="1" t="s">
        <v>77</v>
      </c>
      <c r="C943" s="1">
        <v>8497.6299999999992</v>
      </c>
      <c r="D943" s="1">
        <v>2084.4499999999998</v>
      </c>
    </row>
    <row r="944" spans="1:4" x14ac:dyDescent="0.25">
      <c r="A944" s="7">
        <v>43869.541666666664</v>
      </c>
      <c r="B944" s="1" t="s">
        <v>71</v>
      </c>
      <c r="C944" s="1">
        <v>9830.6200000000008</v>
      </c>
      <c r="D944" s="1">
        <v>2017.24</v>
      </c>
    </row>
    <row r="945" spans="1:4" x14ac:dyDescent="0.25">
      <c r="A945" s="7">
        <v>43869.541666666664</v>
      </c>
      <c r="B945" s="1" t="s">
        <v>69</v>
      </c>
      <c r="C945" s="1">
        <v>5184.74</v>
      </c>
      <c r="D945" s="1">
        <v>2860.64</v>
      </c>
    </row>
    <row r="946" spans="1:4" x14ac:dyDescent="0.25">
      <c r="A946" s="7">
        <v>43869.541666666664</v>
      </c>
      <c r="B946" s="1" t="s">
        <v>70</v>
      </c>
      <c r="C946" s="1">
        <v>6583.52</v>
      </c>
      <c r="D946" s="1">
        <v>2289.0100000000002</v>
      </c>
    </row>
    <row r="947" spans="1:4" x14ac:dyDescent="0.25">
      <c r="A947" s="7">
        <v>43869.541666666664</v>
      </c>
      <c r="B947" s="1" t="s">
        <v>78</v>
      </c>
      <c r="C947" s="1">
        <v>1831.64</v>
      </c>
      <c r="D947" s="1">
        <v>710.57</v>
      </c>
    </row>
    <row r="948" spans="1:4" x14ac:dyDescent="0.25">
      <c r="A948" s="7">
        <v>43869.583333333336</v>
      </c>
      <c r="B948" s="1" t="s">
        <v>75</v>
      </c>
      <c r="C948" s="1">
        <v>960.17</v>
      </c>
      <c r="D948" s="1">
        <v>308.97000000000003</v>
      </c>
    </row>
    <row r="949" spans="1:4" x14ac:dyDescent="0.25">
      <c r="A949" s="7">
        <v>43869.583333333336</v>
      </c>
      <c r="B949" s="1" t="s">
        <v>74</v>
      </c>
      <c r="C949" s="1">
        <v>7665.14</v>
      </c>
      <c r="D949" s="1">
        <v>1384.08</v>
      </c>
    </row>
    <row r="950" spans="1:4" x14ac:dyDescent="0.25">
      <c r="A950" s="7">
        <v>43869.583333333336</v>
      </c>
      <c r="B950" s="1" t="s">
        <v>76</v>
      </c>
      <c r="C950" s="1">
        <v>12616.08</v>
      </c>
      <c r="D950" s="1">
        <v>2180.23</v>
      </c>
    </row>
    <row r="951" spans="1:4" x14ac:dyDescent="0.25">
      <c r="A951" s="7">
        <v>43869.583333333336</v>
      </c>
      <c r="B951" s="1" t="s">
        <v>73</v>
      </c>
      <c r="C951" s="1">
        <v>5890.87</v>
      </c>
      <c r="D951" s="1">
        <v>793.52</v>
      </c>
    </row>
    <row r="952" spans="1:4" x14ac:dyDescent="0.25">
      <c r="A952" s="7">
        <v>43869.583333333336</v>
      </c>
      <c r="B952" s="1" t="s">
        <v>72</v>
      </c>
      <c r="C952" s="1">
        <v>7565.13</v>
      </c>
      <c r="D952" s="1">
        <v>3663.15</v>
      </c>
    </row>
    <row r="953" spans="1:4" x14ac:dyDescent="0.25">
      <c r="A953" s="7">
        <v>43869.583333333336</v>
      </c>
      <c r="B953" s="1" t="s">
        <v>68</v>
      </c>
      <c r="C953" s="1">
        <v>7437.36</v>
      </c>
      <c r="D953" s="1">
        <v>1741.06</v>
      </c>
    </row>
    <row r="954" spans="1:4" x14ac:dyDescent="0.25">
      <c r="A954" s="7">
        <v>43869.583333333336</v>
      </c>
      <c r="B954" s="1" t="s">
        <v>77</v>
      </c>
      <c r="C954" s="1">
        <v>8053.91</v>
      </c>
      <c r="D954" s="1">
        <v>1952.2</v>
      </c>
    </row>
    <row r="955" spans="1:4" x14ac:dyDescent="0.25">
      <c r="A955" s="7">
        <v>43869.583333333336</v>
      </c>
      <c r="B955" s="1" t="s">
        <v>71</v>
      </c>
      <c r="C955" s="1">
        <v>9988.7199999999993</v>
      </c>
      <c r="D955" s="1">
        <v>1896.48</v>
      </c>
    </row>
    <row r="956" spans="1:4" x14ac:dyDescent="0.25">
      <c r="A956" s="7">
        <v>43869.583333333336</v>
      </c>
      <c r="B956" s="1" t="s">
        <v>69</v>
      </c>
      <c r="C956" s="1">
        <v>4967.99</v>
      </c>
      <c r="D956" s="1">
        <v>2603.15</v>
      </c>
    </row>
    <row r="957" spans="1:4" x14ac:dyDescent="0.25">
      <c r="A957" s="7">
        <v>43869.583333333336</v>
      </c>
      <c r="B957" s="1" t="s">
        <v>70</v>
      </c>
      <c r="C957" s="1">
        <v>6511.18</v>
      </c>
      <c r="D957" s="1">
        <v>2178.56</v>
      </c>
    </row>
    <row r="958" spans="1:4" x14ac:dyDescent="0.25">
      <c r="A958" s="7">
        <v>43869.583333333336</v>
      </c>
      <c r="B958" s="1" t="s">
        <v>78</v>
      </c>
      <c r="C958" s="1">
        <v>1780.47</v>
      </c>
      <c r="D958" s="1">
        <v>658.99</v>
      </c>
    </row>
    <row r="959" spans="1:4" x14ac:dyDescent="0.25">
      <c r="A959" s="7">
        <v>43869.625</v>
      </c>
      <c r="B959" s="1" t="s">
        <v>75</v>
      </c>
      <c r="C959" s="1">
        <v>994.17</v>
      </c>
      <c r="D959" s="1">
        <v>315.14</v>
      </c>
    </row>
    <row r="960" spans="1:4" x14ac:dyDescent="0.25">
      <c r="A960" s="7">
        <v>43869.625</v>
      </c>
      <c r="B960" s="1" t="s">
        <v>74</v>
      </c>
      <c r="C960" s="1">
        <v>7980.99</v>
      </c>
      <c r="D960" s="1">
        <v>1425.36</v>
      </c>
    </row>
    <row r="961" spans="1:4" x14ac:dyDescent="0.25">
      <c r="A961" s="7">
        <v>43869.625</v>
      </c>
      <c r="B961" s="1" t="s">
        <v>73</v>
      </c>
      <c r="C961" s="1">
        <v>6537.64</v>
      </c>
      <c r="D961" s="1">
        <v>906.33</v>
      </c>
    </row>
    <row r="962" spans="1:4" x14ac:dyDescent="0.25">
      <c r="A962" s="7">
        <v>43869.625</v>
      </c>
      <c r="B962" s="1" t="s">
        <v>71</v>
      </c>
      <c r="C962" s="1">
        <v>10800.22</v>
      </c>
      <c r="D962" s="1">
        <v>2073.14</v>
      </c>
    </row>
    <row r="963" spans="1:4" x14ac:dyDescent="0.25">
      <c r="A963" s="7">
        <v>43869.625</v>
      </c>
      <c r="B963" s="1" t="s">
        <v>77</v>
      </c>
      <c r="C963" s="1">
        <v>8304.0499999999993</v>
      </c>
      <c r="D963" s="1">
        <v>2003.38</v>
      </c>
    </row>
    <row r="964" spans="1:4" x14ac:dyDescent="0.25">
      <c r="A964" s="7">
        <v>43869.625</v>
      </c>
      <c r="B964" s="1" t="s">
        <v>70</v>
      </c>
      <c r="C964" s="1">
        <v>7042.13</v>
      </c>
      <c r="D964" s="1">
        <v>2361.58</v>
      </c>
    </row>
    <row r="965" spans="1:4" x14ac:dyDescent="0.25">
      <c r="A965" s="7">
        <v>43869.625</v>
      </c>
      <c r="B965" s="1" t="s">
        <v>78</v>
      </c>
      <c r="C965" s="1">
        <v>1877.17</v>
      </c>
      <c r="D965" s="1">
        <v>694.61</v>
      </c>
    </row>
    <row r="966" spans="1:4" x14ac:dyDescent="0.25">
      <c r="A966" s="7">
        <v>43869.625</v>
      </c>
      <c r="B966" s="1" t="s">
        <v>76</v>
      </c>
      <c r="C966" s="1">
        <v>12954.79</v>
      </c>
      <c r="D966" s="1">
        <v>2249.79</v>
      </c>
    </row>
    <row r="967" spans="1:4" x14ac:dyDescent="0.25">
      <c r="A967" s="7">
        <v>43869.625</v>
      </c>
      <c r="B967" s="1" t="s">
        <v>72</v>
      </c>
      <c r="C967" s="1">
        <v>7741.4</v>
      </c>
      <c r="D967" s="1">
        <v>3719.73</v>
      </c>
    </row>
    <row r="968" spans="1:4" x14ac:dyDescent="0.25">
      <c r="A968" s="7">
        <v>43869.625</v>
      </c>
      <c r="B968" s="1" t="s">
        <v>68</v>
      </c>
      <c r="C968" s="1">
        <v>8088.67</v>
      </c>
      <c r="D968" s="1">
        <v>1855.04</v>
      </c>
    </row>
    <row r="969" spans="1:4" x14ac:dyDescent="0.25">
      <c r="A969" s="7">
        <v>43869.625</v>
      </c>
      <c r="B969" s="1" t="s">
        <v>69</v>
      </c>
      <c r="C969" s="1">
        <v>4969.58</v>
      </c>
      <c r="D969" s="1">
        <v>2502.79</v>
      </c>
    </row>
    <row r="970" spans="1:4" x14ac:dyDescent="0.25">
      <c r="A970" s="7">
        <v>43869.666666666664</v>
      </c>
      <c r="B970" s="1" t="s">
        <v>75</v>
      </c>
      <c r="C970" s="1">
        <v>1064.42</v>
      </c>
      <c r="D970" s="1">
        <v>329.8</v>
      </c>
    </row>
    <row r="971" spans="1:4" x14ac:dyDescent="0.25">
      <c r="A971" s="7">
        <v>43869.666666666664</v>
      </c>
      <c r="B971" s="1" t="s">
        <v>74</v>
      </c>
      <c r="C971" s="1">
        <v>8329.43</v>
      </c>
      <c r="D971" s="1">
        <v>1541.05</v>
      </c>
    </row>
    <row r="972" spans="1:4" x14ac:dyDescent="0.25">
      <c r="A972" s="7">
        <v>43869.666666666664</v>
      </c>
      <c r="B972" s="1" t="s">
        <v>78</v>
      </c>
      <c r="C972" s="1">
        <v>1881.48</v>
      </c>
      <c r="D972" s="1">
        <v>699.99</v>
      </c>
    </row>
    <row r="973" spans="1:4" x14ac:dyDescent="0.25">
      <c r="A973" s="7">
        <v>43869.666666666664</v>
      </c>
      <c r="B973" s="1" t="s">
        <v>71</v>
      </c>
      <c r="C973" s="1">
        <v>11414.33</v>
      </c>
      <c r="D973" s="1">
        <v>2361.14</v>
      </c>
    </row>
    <row r="974" spans="1:4" x14ac:dyDescent="0.25">
      <c r="A974" s="7">
        <v>43869.666666666664</v>
      </c>
      <c r="B974" s="1" t="s">
        <v>69</v>
      </c>
      <c r="C974" s="1">
        <v>5149.34</v>
      </c>
      <c r="D974" s="1">
        <v>2582.79</v>
      </c>
    </row>
    <row r="975" spans="1:4" x14ac:dyDescent="0.25">
      <c r="A975" s="7">
        <v>43869.666666666664</v>
      </c>
      <c r="B975" s="1" t="s">
        <v>70</v>
      </c>
      <c r="C975" s="1">
        <v>7361.01</v>
      </c>
      <c r="D975" s="1">
        <v>2549.4899999999998</v>
      </c>
    </row>
    <row r="976" spans="1:4" x14ac:dyDescent="0.25">
      <c r="A976" s="7">
        <v>43869.666666666664</v>
      </c>
      <c r="B976" s="1" t="s">
        <v>76</v>
      </c>
      <c r="C976" s="1">
        <v>13677.23</v>
      </c>
      <c r="D976" s="1">
        <v>2535.7600000000002</v>
      </c>
    </row>
    <row r="977" spans="1:4" x14ac:dyDescent="0.25">
      <c r="A977" s="7">
        <v>43869.666666666664</v>
      </c>
      <c r="B977" s="1" t="s">
        <v>72</v>
      </c>
      <c r="C977" s="1">
        <v>8061.92</v>
      </c>
      <c r="D977" s="1">
        <v>3907.24</v>
      </c>
    </row>
    <row r="978" spans="1:4" x14ac:dyDescent="0.25">
      <c r="A978" s="7">
        <v>43869.666666666664</v>
      </c>
      <c r="B978" s="1" t="s">
        <v>73</v>
      </c>
      <c r="C978" s="1">
        <v>7170.37</v>
      </c>
      <c r="D978" s="1">
        <v>1078.8900000000001</v>
      </c>
    </row>
    <row r="979" spans="1:4" x14ac:dyDescent="0.25">
      <c r="A979" s="7">
        <v>43869.666666666664</v>
      </c>
      <c r="B979" s="1" t="s">
        <v>68</v>
      </c>
      <c r="C979" s="1">
        <v>8584.41</v>
      </c>
      <c r="D979" s="1">
        <v>2103.6999999999998</v>
      </c>
    </row>
    <row r="980" spans="1:4" x14ac:dyDescent="0.25">
      <c r="A980" s="7">
        <v>43869.666666666664</v>
      </c>
      <c r="B980" s="1" t="s">
        <v>77</v>
      </c>
      <c r="C980" s="1">
        <v>8835.01</v>
      </c>
      <c r="D980" s="1">
        <v>2174.0500000000002</v>
      </c>
    </row>
    <row r="981" spans="1:4" x14ac:dyDescent="0.25">
      <c r="A981" s="7">
        <v>43869.708333333336</v>
      </c>
      <c r="B981" s="1" t="s">
        <v>75</v>
      </c>
      <c r="C981" s="1">
        <v>1096.6500000000001</v>
      </c>
      <c r="D981" s="1">
        <v>360.51</v>
      </c>
    </row>
    <row r="982" spans="1:4" x14ac:dyDescent="0.25">
      <c r="A982" s="7">
        <v>43869.708333333336</v>
      </c>
      <c r="B982" s="1" t="s">
        <v>74</v>
      </c>
      <c r="C982" s="1">
        <v>8842.06</v>
      </c>
      <c r="D982" s="1">
        <v>1736.01</v>
      </c>
    </row>
    <row r="983" spans="1:4" x14ac:dyDescent="0.25">
      <c r="A983" s="7">
        <v>43869.708333333336</v>
      </c>
      <c r="B983" s="1" t="s">
        <v>78</v>
      </c>
      <c r="C983" s="1">
        <v>2071.89</v>
      </c>
      <c r="D983" s="1">
        <v>772.4</v>
      </c>
    </row>
    <row r="984" spans="1:4" x14ac:dyDescent="0.25">
      <c r="A984" s="7">
        <v>43869.708333333336</v>
      </c>
      <c r="B984" s="1" t="s">
        <v>68</v>
      </c>
      <c r="C984" s="1">
        <v>9049.73</v>
      </c>
      <c r="D984" s="1">
        <v>2426.64</v>
      </c>
    </row>
    <row r="985" spans="1:4" x14ac:dyDescent="0.25">
      <c r="A985" s="7">
        <v>43869.708333333336</v>
      </c>
      <c r="B985" s="1" t="s">
        <v>69</v>
      </c>
      <c r="C985" s="1">
        <v>5487.77</v>
      </c>
      <c r="D985" s="1">
        <v>2867.82</v>
      </c>
    </row>
    <row r="986" spans="1:4" x14ac:dyDescent="0.25">
      <c r="A986" s="7">
        <v>43869.708333333336</v>
      </c>
      <c r="B986" s="1" t="s">
        <v>70</v>
      </c>
      <c r="C986" s="1">
        <v>7564.86</v>
      </c>
      <c r="D986" s="1">
        <v>2764.2</v>
      </c>
    </row>
    <row r="987" spans="1:4" x14ac:dyDescent="0.25">
      <c r="A987" s="7">
        <v>43869.708333333336</v>
      </c>
      <c r="B987" s="1" t="s">
        <v>76</v>
      </c>
      <c r="C987" s="1">
        <v>14484.18</v>
      </c>
      <c r="D987" s="1">
        <v>2787.82</v>
      </c>
    </row>
    <row r="988" spans="1:4" x14ac:dyDescent="0.25">
      <c r="A988" s="7">
        <v>43869.708333333336</v>
      </c>
      <c r="B988" s="1" t="s">
        <v>73</v>
      </c>
      <c r="C988" s="1">
        <v>7601.8</v>
      </c>
      <c r="D988" s="1">
        <v>1245.57</v>
      </c>
    </row>
    <row r="989" spans="1:4" x14ac:dyDescent="0.25">
      <c r="A989" s="7">
        <v>43869.708333333336</v>
      </c>
      <c r="B989" s="1" t="s">
        <v>72</v>
      </c>
      <c r="C989" s="1">
        <v>8683.9</v>
      </c>
      <c r="D989" s="1">
        <v>4289.22</v>
      </c>
    </row>
    <row r="990" spans="1:4" x14ac:dyDescent="0.25">
      <c r="A990" s="7">
        <v>43869.708333333336</v>
      </c>
      <c r="B990" s="1" t="s">
        <v>77</v>
      </c>
      <c r="C990" s="1">
        <v>9502.07</v>
      </c>
      <c r="D990" s="1">
        <v>2372.4299999999998</v>
      </c>
    </row>
    <row r="991" spans="1:4" x14ac:dyDescent="0.25">
      <c r="A991" s="7">
        <v>43869.708333333336</v>
      </c>
      <c r="B991" s="1" t="s">
        <v>71</v>
      </c>
      <c r="C991" s="1">
        <v>11976.92</v>
      </c>
      <c r="D991" s="1">
        <v>2656.16</v>
      </c>
    </row>
    <row r="992" spans="1:4" x14ac:dyDescent="0.25">
      <c r="A992" s="7">
        <v>43869.75</v>
      </c>
      <c r="B992" s="1" t="s">
        <v>75</v>
      </c>
      <c r="C992" s="1">
        <v>1128.23</v>
      </c>
      <c r="D992" s="1">
        <v>339.58</v>
      </c>
    </row>
    <row r="993" spans="1:4" x14ac:dyDescent="0.25">
      <c r="A993" s="7">
        <v>43869.75</v>
      </c>
      <c r="B993" s="1" t="s">
        <v>74</v>
      </c>
      <c r="C993" s="1">
        <v>9500.7000000000007</v>
      </c>
      <c r="D993" s="1">
        <v>1912.78</v>
      </c>
    </row>
    <row r="994" spans="1:4" x14ac:dyDescent="0.25">
      <c r="A994" s="7">
        <v>43869.75</v>
      </c>
      <c r="B994" s="1" t="s">
        <v>72</v>
      </c>
      <c r="C994" s="1">
        <v>9200.7099999999991</v>
      </c>
      <c r="D994" s="1">
        <v>4612.59</v>
      </c>
    </row>
    <row r="995" spans="1:4" x14ac:dyDescent="0.25">
      <c r="A995" s="7">
        <v>43869.75</v>
      </c>
      <c r="B995" s="1" t="s">
        <v>76</v>
      </c>
      <c r="C995" s="1">
        <v>15130.36</v>
      </c>
      <c r="D995" s="1">
        <v>3014.91</v>
      </c>
    </row>
    <row r="996" spans="1:4" x14ac:dyDescent="0.25">
      <c r="A996" s="7">
        <v>43869.75</v>
      </c>
      <c r="B996" s="1" t="s">
        <v>68</v>
      </c>
      <c r="C996" s="1">
        <v>9728.58</v>
      </c>
      <c r="D996" s="1">
        <v>2707.15</v>
      </c>
    </row>
    <row r="997" spans="1:4" x14ac:dyDescent="0.25">
      <c r="A997" s="7">
        <v>43869.75</v>
      </c>
      <c r="B997" s="1" t="s">
        <v>77</v>
      </c>
      <c r="C997" s="1">
        <v>10075.92</v>
      </c>
      <c r="D997" s="1">
        <v>2557.48</v>
      </c>
    </row>
    <row r="998" spans="1:4" x14ac:dyDescent="0.25">
      <c r="A998" s="7">
        <v>43869.75</v>
      </c>
      <c r="B998" s="1" t="s">
        <v>71</v>
      </c>
      <c r="C998" s="1">
        <v>12604.91</v>
      </c>
      <c r="D998" s="1">
        <v>2878.08</v>
      </c>
    </row>
    <row r="999" spans="1:4" x14ac:dyDescent="0.25">
      <c r="A999" s="7">
        <v>43869.75</v>
      </c>
      <c r="B999" s="1" t="s">
        <v>69</v>
      </c>
      <c r="C999" s="1">
        <v>5935.45</v>
      </c>
      <c r="D999" s="1">
        <v>3139.3</v>
      </c>
    </row>
    <row r="1000" spans="1:4" x14ac:dyDescent="0.25">
      <c r="A1000" s="7">
        <v>43869.75</v>
      </c>
      <c r="B1000" s="1" t="s">
        <v>70</v>
      </c>
      <c r="C1000" s="1">
        <v>7790.42</v>
      </c>
      <c r="D1000" s="1">
        <v>2836.15</v>
      </c>
    </row>
    <row r="1001" spans="1:4" x14ac:dyDescent="0.25">
      <c r="A1001" s="7">
        <v>43869.75</v>
      </c>
      <c r="B1001" s="1" t="s">
        <v>78</v>
      </c>
      <c r="C1001" s="1">
        <v>2205.48</v>
      </c>
      <c r="D1001" s="1">
        <v>827.13</v>
      </c>
    </row>
    <row r="1002" spans="1:4" x14ac:dyDescent="0.25">
      <c r="A1002" s="7">
        <v>43869.75</v>
      </c>
      <c r="B1002" s="1" t="s">
        <v>73</v>
      </c>
      <c r="C1002" s="1">
        <v>7884.65</v>
      </c>
      <c r="D1002" s="1">
        <v>1337.67</v>
      </c>
    </row>
    <row r="1003" spans="1:4" x14ac:dyDescent="0.25">
      <c r="A1003" s="7">
        <v>43869.791666666664</v>
      </c>
      <c r="B1003" s="1" t="s">
        <v>74</v>
      </c>
      <c r="C1003" s="1">
        <v>13892.44</v>
      </c>
      <c r="D1003" s="1">
        <v>2563.91</v>
      </c>
    </row>
    <row r="1004" spans="1:4" x14ac:dyDescent="0.25">
      <c r="A1004" s="7">
        <v>43869.791666666664</v>
      </c>
      <c r="B1004" s="1" t="s">
        <v>75</v>
      </c>
      <c r="C1004" s="1">
        <v>1778.08</v>
      </c>
      <c r="D1004" s="1">
        <v>521.58000000000004</v>
      </c>
    </row>
    <row r="1005" spans="1:4" x14ac:dyDescent="0.25">
      <c r="A1005" s="7">
        <v>43869.791666666664</v>
      </c>
      <c r="B1005" s="1" t="s">
        <v>76</v>
      </c>
      <c r="C1005" s="1">
        <v>22687.710999999999</v>
      </c>
      <c r="D1005" s="1">
        <v>4135.97</v>
      </c>
    </row>
    <row r="1006" spans="1:4" x14ac:dyDescent="0.25">
      <c r="A1006" s="7">
        <v>43869.791666666664</v>
      </c>
      <c r="B1006" s="1" t="s">
        <v>72</v>
      </c>
      <c r="C1006" s="1">
        <v>13400.88</v>
      </c>
      <c r="D1006" s="1">
        <v>6257.15</v>
      </c>
    </row>
    <row r="1007" spans="1:4" x14ac:dyDescent="0.25">
      <c r="A1007" s="7">
        <v>43869.791666666664</v>
      </c>
      <c r="B1007" s="1" t="s">
        <v>73</v>
      </c>
      <c r="C1007" s="1">
        <v>12512.58</v>
      </c>
      <c r="D1007" s="1">
        <v>1810.63</v>
      </c>
    </row>
    <row r="1008" spans="1:4" x14ac:dyDescent="0.25">
      <c r="A1008" s="7">
        <v>43869.791666666664</v>
      </c>
      <c r="B1008" s="1" t="s">
        <v>68</v>
      </c>
      <c r="C1008" s="1">
        <v>15943.34</v>
      </c>
      <c r="D1008" s="1">
        <v>3896.73</v>
      </c>
    </row>
    <row r="1009" spans="1:4" x14ac:dyDescent="0.25">
      <c r="A1009" s="7">
        <v>43869.791666666664</v>
      </c>
      <c r="B1009" s="1" t="s">
        <v>77</v>
      </c>
      <c r="C1009" s="1">
        <v>15216.33</v>
      </c>
      <c r="D1009" s="1">
        <v>3604.04</v>
      </c>
    </row>
    <row r="1010" spans="1:4" x14ac:dyDescent="0.25">
      <c r="A1010" s="7">
        <v>43869.791666666664</v>
      </c>
      <c r="B1010" s="1" t="s">
        <v>71</v>
      </c>
      <c r="C1010" s="1">
        <v>20308.68</v>
      </c>
      <c r="D1010" s="1">
        <v>4029.01</v>
      </c>
    </row>
    <row r="1011" spans="1:4" x14ac:dyDescent="0.25">
      <c r="A1011" s="7">
        <v>43869.791666666664</v>
      </c>
      <c r="B1011" s="1" t="s">
        <v>70</v>
      </c>
      <c r="C1011" s="1">
        <v>12947.92</v>
      </c>
      <c r="D1011" s="1">
        <v>4325.97</v>
      </c>
    </row>
    <row r="1012" spans="1:4" x14ac:dyDescent="0.25">
      <c r="A1012" s="7">
        <v>43869.791666666664</v>
      </c>
      <c r="B1012" s="1" t="s">
        <v>78</v>
      </c>
      <c r="C1012" s="1">
        <v>3272.84</v>
      </c>
      <c r="D1012" s="1">
        <v>1232.52</v>
      </c>
    </row>
    <row r="1013" spans="1:4" x14ac:dyDescent="0.25">
      <c r="A1013" s="7">
        <v>43869.791666666664</v>
      </c>
      <c r="B1013" s="1" t="s">
        <v>69</v>
      </c>
      <c r="C1013" s="1">
        <v>8396.14</v>
      </c>
      <c r="D1013" s="1">
        <v>4190.07</v>
      </c>
    </row>
    <row r="1014" spans="1:4" x14ac:dyDescent="0.25">
      <c r="A1014" s="7">
        <v>43869.833333333336</v>
      </c>
      <c r="B1014" s="1" t="s">
        <v>75</v>
      </c>
      <c r="C1014" s="1">
        <v>1884.21</v>
      </c>
      <c r="D1014" s="1">
        <v>551.95000000000005</v>
      </c>
    </row>
    <row r="1015" spans="1:4" x14ac:dyDescent="0.25">
      <c r="A1015" s="7">
        <v>43869.833333333336</v>
      </c>
      <c r="B1015" s="1" t="s">
        <v>74</v>
      </c>
      <c r="C1015" s="1">
        <v>14988.79</v>
      </c>
      <c r="D1015" s="1">
        <v>2663.67</v>
      </c>
    </row>
    <row r="1016" spans="1:4" x14ac:dyDescent="0.25">
      <c r="A1016" s="7">
        <v>43869.833333333336</v>
      </c>
      <c r="B1016" s="1" t="s">
        <v>76</v>
      </c>
      <c r="C1016" s="1">
        <v>23858.35</v>
      </c>
      <c r="D1016" s="1">
        <v>4139.37</v>
      </c>
    </row>
    <row r="1017" spans="1:4" x14ac:dyDescent="0.25">
      <c r="A1017" s="7">
        <v>43869.833333333336</v>
      </c>
      <c r="B1017" s="1" t="s">
        <v>68</v>
      </c>
      <c r="C1017" s="1">
        <v>17031.34</v>
      </c>
      <c r="D1017" s="1">
        <v>4042.97</v>
      </c>
    </row>
    <row r="1018" spans="1:4" x14ac:dyDescent="0.25">
      <c r="A1018" s="7">
        <v>43869.833333333336</v>
      </c>
      <c r="B1018" s="1" t="s">
        <v>77</v>
      </c>
      <c r="C1018" s="1">
        <v>15564.96</v>
      </c>
      <c r="D1018" s="1">
        <v>3670.13</v>
      </c>
    </row>
    <row r="1019" spans="1:4" x14ac:dyDescent="0.25">
      <c r="A1019" s="7">
        <v>43869.833333333336</v>
      </c>
      <c r="B1019" s="1" t="s">
        <v>71</v>
      </c>
      <c r="C1019" s="1">
        <v>21582.539000000001</v>
      </c>
      <c r="D1019" s="1">
        <v>4072.57</v>
      </c>
    </row>
    <row r="1020" spans="1:4" x14ac:dyDescent="0.25">
      <c r="A1020" s="7">
        <v>43869.833333333336</v>
      </c>
      <c r="B1020" s="1" t="s">
        <v>70</v>
      </c>
      <c r="C1020" s="1">
        <v>13181.54</v>
      </c>
      <c r="D1020" s="1">
        <v>4310.75</v>
      </c>
    </row>
    <row r="1021" spans="1:4" x14ac:dyDescent="0.25">
      <c r="A1021" s="7">
        <v>43869.833333333336</v>
      </c>
      <c r="B1021" s="1" t="s">
        <v>78</v>
      </c>
      <c r="C1021" s="1">
        <v>3401.3</v>
      </c>
      <c r="D1021" s="1">
        <v>1321.64</v>
      </c>
    </row>
    <row r="1022" spans="1:4" x14ac:dyDescent="0.25">
      <c r="A1022" s="7">
        <v>43869.833333333336</v>
      </c>
      <c r="B1022" s="1" t="s">
        <v>73</v>
      </c>
      <c r="C1022" s="1">
        <v>12919.3</v>
      </c>
      <c r="D1022" s="1">
        <v>1800.7</v>
      </c>
    </row>
    <row r="1023" spans="1:4" x14ac:dyDescent="0.25">
      <c r="A1023" s="7">
        <v>43869.833333333336</v>
      </c>
      <c r="B1023" s="1" t="s">
        <v>72</v>
      </c>
      <c r="C1023" s="1">
        <v>13633.72</v>
      </c>
      <c r="D1023" s="1">
        <v>6372.59</v>
      </c>
    </row>
    <row r="1024" spans="1:4" x14ac:dyDescent="0.25">
      <c r="A1024" s="7">
        <v>43869.833333333336</v>
      </c>
      <c r="B1024" s="1" t="s">
        <v>69</v>
      </c>
      <c r="C1024" s="1">
        <v>8810.36</v>
      </c>
      <c r="D1024" s="1">
        <v>4488.59</v>
      </c>
    </row>
    <row r="1025" spans="1:4" x14ac:dyDescent="0.25">
      <c r="A1025" s="7">
        <v>43869.875</v>
      </c>
      <c r="B1025" s="1" t="s">
        <v>75</v>
      </c>
      <c r="C1025" s="1">
        <v>1773.98</v>
      </c>
      <c r="D1025" s="1">
        <v>518.21</v>
      </c>
    </row>
    <row r="1026" spans="1:4" x14ac:dyDescent="0.25">
      <c r="A1026" s="7">
        <v>43869.875</v>
      </c>
      <c r="B1026" s="1" t="s">
        <v>74</v>
      </c>
      <c r="C1026" s="1">
        <v>13103.6</v>
      </c>
      <c r="D1026" s="1">
        <v>2341.73</v>
      </c>
    </row>
    <row r="1027" spans="1:4" x14ac:dyDescent="0.25">
      <c r="A1027" s="7">
        <v>43869.875</v>
      </c>
      <c r="B1027" s="1" t="s">
        <v>78</v>
      </c>
      <c r="C1027" s="1">
        <v>3281.98</v>
      </c>
      <c r="D1027" s="1">
        <v>1273.5899999999999</v>
      </c>
    </row>
    <row r="1028" spans="1:4" x14ac:dyDescent="0.25">
      <c r="A1028" s="7">
        <v>43869.875</v>
      </c>
      <c r="B1028" s="1" t="s">
        <v>68</v>
      </c>
      <c r="C1028" s="1">
        <v>15083.74</v>
      </c>
      <c r="D1028" s="1">
        <v>3572.73</v>
      </c>
    </row>
    <row r="1029" spans="1:4" x14ac:dyDescent="0.25">
      <c r="A1029" s="7">
        <v>43869.875</v>
      </c>
      <c r="B1029" s="1" t="s">
        <v>77</v>
      </c>
      <c r="C1029" s="1">
        <v>14078.98</v>
      </c>
      <c r="D1029" s="1">
        <v>3262.67</v>
      </c>
    </row>
    <row r="1030" spans="1:4" x14ac:dyDescent="0.25">
      <c r="A1030" s="7">
        <v>43869.875</v>
      </c>
      <c r="B1030" s="1" t="s">
        <v>70</v>
      </c>
      <c r="C1030" s="1">
        <v>11860.28</v>
      </c>
      <c r="D1030" s="1">
        <v>3887.61</v>
      </c>
    </row>
    <row r="1031" spans="1:4" x14ac:dyDescent="0.25">
      <c r="A1031" s="7">
        <v>43869.875</v>
      </c>
      <c r="B1031" s="1" t="s">
        <v>69</v>
      </c>
      <c r="C1031" s="1">
        <v>8317.81</v>
      </c>
      <c r="D1031" s="1">
        <v>4248.6099999999997</v>
      </c>
    </row>
    <row r="1032" spans="1:4" x14ac:dyDescent="0.25">
      <c r="A1032" s="7">
        <v>43869.875</v>
      </c>
      <c r="B1032" s="1" t="s">
        <v>76</v>
      </c>
      <c r="C1032" s="1">
        <v>21188.109</v>
      </c>
      <c r="D1032" s="1">
        <v>3707.32</v>
      </c>
    </row>
    <row r="1033" spans="1:4" x14ac:dyDescent="0.25">
      <c r="A1033" s="7">
        <v>43869.875</v>
      </c>
      <c r="B1033" s="1" t="s">
        <v>72</v>
      </c>
      <c r="C1033" s="1">
        <v>12690.53</v>
      </c>
      <c r="D1033" s="1">
        <v>5990.04</v>
      </c>
    </row>
    <row r="1034" spans="1:4" x14ac:dyDescent="0.25">
      <c r="A1034" s="7">
        <v>43869.875</v>
      </c>
      <c r="B1034" s="1" t="s">
        <v>73</v>
      </c>
      <c r="C1034" s="1">
        <v>11502.05</v>
      </c>
      <c r="D1034" s="1">
        <v>1587.01</v>
      </c>
    </row>
    <row r="1035" spans="1:4" x14ac:dyDescent="0.25">
      <c r="A1035" s="7">
        <v>43869.875</v>
      </c>
      <c r="B1035" s="1" t="s">
        <v>71</v>
      </c>
      <c r="C1035" s="1">
        <v>18275.721000000001</v>
      </c>
      <c r="D1035" s="1">
        <v>3514.57</v>
      </c>
    </row>
    <row r="1036" spans="1:4" x14ac:dyDescent="0.25">
      <c r="A1036" s="7">
        <v>43869.916666666664</v>
      </c>
      <c r="B1036" s="1" t="s">
        <v>75</v>
      </c>
      <c r="C1036" s="1">
        <v>1362.59</v>
      </c>
      <c r="D1036" s="1">
        <v>432.84</v>
      </c>
    </row>
    <row r="1037" spans="1:4" x14ac:dyDescent="0.25">
      <c r="A1037" s="7">
        <v>43869.916666666664</v>
      </c>
      <c r="B1037" s="1" t="s">
        <v>74</v>
      </c>
      <c r="C1037" s="1">
        <v>8650.0400000000009</v>
      </c>
      <c r="D1037" s="1">
        <v>1636.15</v>
      </c>
    </row>
    <row r="1038" spans="1:4" x14ac:dyDescent="0.25">
      <c r="A1038" s="7">
        <v>43869.916666666664</v>
      </c>
      <c r="B1038" s="1" t="s">
        <v>78</v>
      </c>
      <c r="C1038" s="1">
        <v>2521.5500000000002</v>
      </c>
      <c r="D1038" s="1">
        <v>956.19</v>
      </c>
    </row>
    <row r="1039" spans="1:4" x14ac:dyDescent="0.25">
      <c r="A1039" s="7">
        <v>43869.916666666664</v>
      </c>
      <c r="B1039" s="1" t="s">
        <v>72</v>
      </c>
      <c r="C1039" s="1">
        <v>9662.58</v>
      </c>
      <c r="D1039" s="1">
        <v>4705.08</v>
      </c>
    </row>
    <row r="1040" spans="1:4" x14ac:dyDescent="0.25">
      <c r="A1040" s="7">
        <v>43869.916666666664</v>
      </c>
      <c r="B1040" s="1" t="s">
        <v>73</v>
      </c>
      <c r="C1040" s="1">
        <v>7810.42</v>
      </c>
      <c r="D1040" s="1">
        <v>1178.8</v>
      </c>
    </row>
    <row r="1041" spans="1:4" x14ac:dyDescent="0.25">
      <c r="A1041" s="7">
        <v>43869.916666666664</v>
      </c>
      <c r="B1041" s="1" t="s">
        <v>71</v>
      </c>
      <c r="C1041" s="1">
        <v>11586.37</v>
      </c>
      <c r="D1041" s="1">
        <v>2445.34</v>
      </c>
    </row>
    <row r="1042" spans="1:4" x14ac:dyDescent="0.25">
      <c r="A1042" s="7">
        <v>43869.916666666664</v>
      </c>
      <c r="B1042" s="1" t="s">
        <v>69</v>
      </c>
      <c r="C1042" s="1">
        <v>6549.12</v>
      </c>
      <c r="D1042" s="1">
        <v>3419.67</v>
      </c>
    </row>
    <row r="1043" spans="1:4" x14ac:dyDescent="0.25">
      <c r="A1043" s="7">
        <v>43869.916666666664</v>
      </c>
      <c r="B1043" s="1" t="s">
        <v>70</v>
      </c>
      <c r="C1043" s="1">
        <v>8371.75</v>
      </c>
      <c r="D1043" s="1">
        <v>2806.21</v>
      </c>
    </row>
    <row r="1044" spans="1:4" x14ac:dyDescent="0.25">
      <c r="A1044" s="7">
        <v>43869.916666666664</v>
      </c>
      <c r="B1044" s="1" t="s">
        <v>76</v>
      </c>
      <c r="C1044" s="1">
        <v>14792.19</v>
      </c>
      <c r="D1044" s="1">
        <v>2687.68</v>
      </c>
    </row>
    <row r="1045" spans="1:4" x14ac:dyDescent="0.25">
      <c r="A1045" s="7">
        <v>43869.916666666664</v>
      </c>
      <c r="B1045" s="1" t="s">
        <v>68</v>
      </c>
      <c r="C1045" s="1">
        <v>10323.93</v>
      </c>
      <c r="D1045" s="1">
        <v>2608.4</v>
      </c>
    </row>
    <row r="1046" spans="1:4" x14ac:dyDescent="0.25">
      <c r="A1046" s="7">
        <v>43869.916666666664</v>
      </c>
      <c r="B1046" s="1" t="s">
        <v>77</v>
      </c>
      <c r="C1046" s="1">
        <v>10284.209999999999</v>
      </c>
      <c r="D1046" s="1">
        <v>2434.88</v>
      </c>
    </row>
    <row r="1047" spans="1:4" x14ac:dyDescent="0.25">
      <c r="A1047" s="7">
        <v>43869.958333333336</v>
      </c>
      <c r="B1047" s="1" t="s">
        <v>75</v>
      </c>
      <c r="C1047" s="1">
        <v>860.77</v>
      </c>
      <c r="D1047" s="1">
        <v>286.62</v>
      </c>
    </row>
    <row r="1048" spans="1:4" x14ac:dyDescent="0.25">
      <c r="A1048" s="7">
        <v>43869.958333333336</v>
      </c>
      <c r="B1048" s="1" t="s">
        <v>74</v>
      </c>
      <c r="C1048" s="1">
        <v>4089.68</v>
      </c>
      <c r="D1048" s="1">
        <v>880.51</v>
      </c>
    </row>
    <row r="1049" spans="1:4" x14ac:dyDescent="0.25">
      <c r="A1049" s="7">
        <v>43869.958333333336</v>
      </c>
      <c r="B1049" s="1" t="s">
        <v>73</v>
      </c>
      <c r="C1049" s="1">
        <v>3973.77</v>
      </c>
      <c r="D1049" s="1">
        <v>682.7</v>
      </c>
    </row>
    <row r="1050" spans="1:4" x14ac:dyDescent="0.25">
      <c r="A1050" s="7">
        <v>43869.958333333336</v>
      </c>
      <c r="B1050" s="1" t="s">
        <v>72</v>
      </c>
      <c r="C1050" s="1">
        <v>5663.15</v>
      </c>
      <c r="D1050" s="1">
        <v>2944.76</v>
      </c>
    </row>
    <row r="1051" spans="1:4" x14ac:dyDescent="0.25">
      <c r="A1051" s="7">
        <v>43869.958333333336</v>
      </c>
      <c r="B1051" s="1" t="s">
        <v>68</v>
      </c>
      <c r="C1051" s="1">
        <v>5077.46</v>
      </c>
      <c r="D1051" s="1">
        <v>1521.36</v>
      </c>
    </row>
    <row r="1052" spans="1:4" x14ac:dyDescent="0.25">
      <c r="A1052" s="7">
        <v>43869.958333333336</v>
      </c>
      <c r="B1052" s="1" t="s">
        <v>71</v>
      </c>
      <c r="C1052" s="1">
        <v>5249.16</v>
      </c>
      <c r="D1052" s="1">
        <v>1276.83</v>
      </c>
    </row>
    <row r="1053" spans="1:4" x14ac:dyDescent="0.25">
      <c r="A1053" s="7">
        <v>43869.958333333336</v>
      </c>
      <c r="B1053" s="1" t="s">
        <v>70</v>
      </c>
      <c r="C1053" s="1">
        <v>4355.3</v>
      </c>
      <c r="D1053" s="1">
        <v>1619.1</v>
      </c>
    </row>
    <row r="1054" spans="1:4" x14ac:dyDescent="0.25">
      <c r="A1054" s="7">
        <v>43869.958333333336</v>
      </c>
      <c r="B1054" s="1" t="s">
        <v>78</v>
      </c>
      <c r="C1054" s="1">
        <v>1493.95</v>
      </c>
      <c r="D1054" s="1">
        <v>637.28</v>
      </c>
    </row>
    <row r="1055" spans="1:4" x14ac:dyDescent="0.25">
      <c r="A1055" s="7">
        <v>43869.958333333336</v>
      </c>
      <c r="B1055" s="1" t="s">
        <v>76</v>
      </c>
      <c r="C1055" s="1">
        <v>7362.32</v>
      </c>
      <c r="D1055" s="1">
        <v>1459.44</v>
      </c>
    </row>
    <row r="1056" spans="1:4" x14ac:dyDescent="0.25">
      <c r="A1056" s="7">
        <v>43869.958333333336</v>
      </c>
      <c r="B1056" s="1" t="s">
        <v>77</v>
      </c>
      <c r="C1056" s="1">
        <v>5646.59</v>
      </c>
      <c r="D1056" s="1">
        <v>1437.11</v>
      </c>
    </row>
    <row r="1057" spans="1:4" x14ac:dyDescent="0.25">
      <c r="A1057" s="7">
        <v>43869.958333333336</v>
      </c>
      <c r="B1057" s="1" t="s">
        <v>69</v>
      </c>
      <c r="C1057" s="1">
        <v>3982.71</v>
      </c>
      <c r="D1057" s="1">
        <v>2228.3000000000002</v>
      </c>
    </row>
    <row r="1058" spans="1:4" x14ac:dyDescent="0.25">
      <c r="A1058" s="7">
        <v>43898</v>
      </c>
      <c r="B1058" s="1" t="s">
        <v>75</v>
      </c>
      <c r="C1058" s="1">
        <v>445.55</v>
      </c>
      <c r="D1058" s="1">
        <v>180.02</v>
      </c>
    </row>
    <row r="1059" spans="1:4" x14ac:dyDescent="0.25">
      <c r="A1059" s="7">
        <v>43898</v>
      </c>
      <c r="B1059" s="1" t="s">
        <v>74</v>
      </c>
      <c r="C1059" s="1">
        <v>1761.79</v>
      </c>
      <c r="D1059" s="1">
        <v>439.34</v>
      </c>
    </row>
    <row r="1060" spans="1:4" x14ac:dyDescent="0.25">
      <c r="A1060" s="7">
        <v>43898</v>
      </c>
      <c r="B1060" s="1" t="s">
        <v>76</v>
      </c>
      <c r="C1060" s="1">
        <v>3064.19</v>
      </c>
      <c r="D1060" s="1">
        <v>669.46</v>
      </c>
    </row>
    <row r="1061" spans="1:4" x14ac:dyDescent="0.25">
      <c r="A1061" s="7">
        <v>43898</v>
      </c>
      <c r="B1061" s="1" t="s">
        <v>73</v>
      </c>
      <c r="C1061" s="1">
        <v>1712.55</v>
      </c>
      <c r="D1061" s="1">
        <v>345.37</v>
      </c>
    </row>
    <row r="1062" spans="1:4" x14ac:dyDescent="0.25">
      <c r="A1062" s="7">
        <v>43898</v>
      </c>
      <c r="B1062" s="1" t="s">
        <v>68</v>
      </c>
      <c r="C1062" s="1">
        <v>2202.9499999999998</v>
      </c>
      <c r="D1062" s="1">
        <v>764.13</v>
      </c>
    </row>
    <row r="1063" spans="1:4" x14ac:dyDescent="0.25">
      <c r="A1063" s="7">
        <v>43898</v>
      </c>
      <c r="B1063" s="1" t="s">
        <v>77</v>
      </c>
      <c r="C1063" s="1">
        <v>2678.31</v>
      </c>
      <c r="D1063" s="1">
        <v>744.01</v>
      </c>
    </row>
    <row r="1064" spans="1:4" x14ac:dyDescent="0.25">
      <c r="A1064" s="7">
        <v>43898</v>
      </c>
      <c r="B1064" s="1" t="s">
        <v>71</v>
      </c>
      <c r="C1064" s="1">
        <v>2300.56</v>
      </c>
      <c r="D1064" s="1">
        <v>623.12</v>
      </c>
    </row>
    <row r="1065" spans="1:4" x14ac:dyDescent="0.25">
      <c r="A1065" s="7">
        <v>43898</v>
      </c>
      <c r="B1065" s="1" t="s">
        <v>70</v>
      </c>
      <c r="C1065" s="1">
        <v>2024.43</v>
      </c>
      <c r="D1065" s="1">
        <v>800.93</v>
      </c>
    </row>
    <row r="1066" spans="1:4" x14ac:dyDescent="0.25">
      <c r="A1066" s="7">
        <v>43898</v>
      </c>
      <c r="B1066" s="1" t="s">
        <v>78</v>
      </c>
      <c r="C1066" s="1">
        <v>756.49</v>
      </c>
      <c r="D1066" s="1">
        <v>350.37</v>
      </c>
    </row>
    <row r="1067" spans="1:4" x14ac:dyDescent="0.25">
      <c r="A1067" s="7">
        <v>43898</v>
      </c>
      <c r="B1067" s="1" t="s">
        <v>72</v>
      </c>
      <c r="C1067" s="1">
        <v>2866.69</v>
      </c>
      <c r="D1067" s="1">
        <v>1662.19</v>
      </c>
    </row>
    <row r="1068" spans="1:4" x14ac:dyDescent="0.25">
      <c r="A1068" s="7">
        <v>43898</v>
      </c>
      <c r="B1068" s="1" t="s">
        <v>69</v>
      </c>
      <c r="C1068" s="1">
        <v>2045.33</v>
      </c>
      <c r="D1068" s="1">
        <v>1200.68</v>
      </c>
    </row>
    <row r="1069" spans="1:4" x14ac:dyDescent="0.25">
      <c r="A1069" s="7">
        <v>43898.041666666664</v>
      </c>
      <c r="B1069" s="1" t="s">
        <v>74</v>
      </c>
      <c r="C1069" s="1">
        <v>832.5</v>
      </c>
      <c r="D1069" s="1">
        <v>222.92</v>
      </c>
    </row>
    <row r="1070" spans="1:4" x14ac:dyDescent="0.25">
      <c r="A1070" s="7">
        <v>43898.041666666664</v>
      </c>
      <c r="B1070" s="1" t="s">
        <v>75</v>
      </c>
      <c r="C1070" s="1">
        <v>240.18</v>
      </c>
      <c r="D1070" s="1">
        <v>92.98</v>
      </c>
    </row>
    <row r="1071" spans="1:4" x14ac:dyDescent="0.25">
      <c r="A1071" s="7">
        <v>43898.041666666664</v>
      </c>
      <c r="B1071" s="1" t="s">
        <v>76</v>
      </c>
      <c r="C1071" s="1">
        <v>1322.61</v>
      </c>
      <c r="D1071" s="1">
        <v>301.82</v>
      </c>
    </row>
    <row r="1072" spans="1:4" x14ac:dyDescent="0.25">
      <c r="A1072" s="7">
        <v>43898.041666666664</v>
      </c>
      <c r="B1072" s="1" t="s">
        <v>68</v>
      </c>
      <c r="C1072" s="1">
        <v>973.67</v>
      </c>
      <c r="D1072" s="1">
        <v>360.71</v>
      </c>
    </row>
    <row r="1073" spans="1:4" x14ac:dyDescent="0.25">
      <c r="A1073" s="7">
        <v>43898.041666666664</v>
      </c>
      <c r="B1073" s="1" t="s">
        <v>77</v>
      </c>
      <c r="C1073" s="1">
        <v>1239.3800000000001</v>
      </c>
      <c r="D1073" s="1">
        <v>350.16</v>
      </c>
    </row>
    <row r="1074" spans="1:4" x14ac:dyDescent="0.25">
      <c r="A1074" s="7">
        <v>43898.041666666664</v>
      </c>
      <c r="B1074" s="1" t="s">
        <v>71</v>
      </c>
      <c r="C1074" s="1">
        <v>1040.08</v>
      </c>
      <c r="D1074" s="1">
        <v>299.25</v>
      </c>
    </row>
    <row r="1075" spans="1:4" x14ac:dyDescent="0.25">
      <c r="A1075" s="7">
        <v>43898.041666666664</v>
      </c>
      <c r="B1075" s="1" t="s">
        <v>69</v>
      </c>
      <c r="C1075" s="1">
        <v>1040.8</v>
      </c>
      <c r="D1075" s="1">
        <v>641.85</v>
      </c>
    </row>
    <row r="1076" spans="1:4" x14ac:dyDescent="0.25">
      <c r="A1076" s="7">
        <v>43898.041666666664</v>
      </c>
      <c r="B1076" s="1" t="s">
        <v>70</v>
      </c>
      <c r="C1076" s="1">
        <v>927.21</v>
      </c>
      <c r="D1076" s="1">
        <v>389.76</v>
      </c>
    </row>
    <row r="1077" spans="1:4" x14ac:dyDescent="0.25">
      <c r="A1077" s="7">
        <v>43898.041666666664</v>
      </c>
      <c r="B1077" s="1" t="s">
        <v>78</v>
      </c>
      <c r="C1077" s="1">
        <v>367.77</v>
      </c>
      <c r="D1077" s="1">
        <v>164.71</v>
      </c>
    </row>
    <row r="1078" spans="1:4" x14ac:dyDescent="0.25">
      <c r="A1078" s="7">
        <v>43898.041666666664</v>
      </c>
      <c r="B1078" s="1" t="s">
        <v>72</v>
      </c>
      <c r="C1078" s="1">
        <v>1471.77</v>
      </c>
      <c r="D1078" s="1">
        <v>867.28</v>
      </c>
    </row>
    <row r="1079" spans="1:4" x14ac:dyDescent="0.25">
      <c r="A1079" s="7">
        <v>43898.041666666664</v>
      </c>
      <c r="B1079" s="1" t="s">
        <v>73</v>
      </c>
      <c r="C1079" s="1">
        <v>738.88</v>
      </c>
      <c r="D1079" s="1">
        <v>166.32</v>
      </c>
    </row>
    <row r="1080" spans="1:4" x14ac:dyDescent="0.25">
      <c r="A1080" s="7">
        <v>43898.083333333336</v>
      </c>
      <c r="B1080" s="1" t="s">
        <v>75</v>
      </c>
      <c r="C1080" s="1">
        <v>116.06</v>
      </c>
      <c r="D1080" s="1">
        <v>46.68</v>
      </c>
    </row>
    <row r="1081" spans="1:4" x14ac:dyDescent="0.25">
      <c r="A1081" s="7">
        <v>43898.083333333336</v>
      </c>
      <c r="B1081" s="1" t="s">
        <v>74</v>
      </c>
      <c r="C1081" s="1">
        <v>413.27</v>
      </c>
      <c r="D1081" s="1">
        <v>111.82</v>
      </c>
    </row>
    <row r="1082" spans="1:4" x14ac:dyDescent="0.25">
      <c r="A1082" s="7">
        <v>43898.083333333336</v>
      </c>
      <c r="B1082" s="1" t="s">
        <v>76</v>
      </c>
      <c r="C1082" s="1">
        <v>635.24</v>
      </c>
      <c r="D1082" s="1">
        <v>149.91999999999999</v>
      </c>
    </row>
    <row r="1083" spans="1:4" x14ac:dyDescent="0.25">
      <c r="A1083" s="7">
        <v>43898.083333333336</v>
      </c>
      <c r="B1083" s="1" t="s">
        <v>68</v>
      </c>
      <c r="C1083" s="1">
        <v>463.8</v>
      </c>
      <c r="D1083" s="1">
        <v>173.58</v>
      </c>
    </row>
    <row r="1084" spans="1:4" x14ac:dyDescent="0.25">
      <c r="A1084" s="7">
        <v>43898.083333333336</v>
      </c>
      <c r="B1084" s="1" t="s">
        <v>77</v>
      </c>
      <c r="C1084" s="1">
        <v>656.59</v>
      </c>
      <c r="D1084" s="1">
        <v>179.87</v>
      </c>
    </row>
    <row r="1085" spans="1:4" x14ac:dyDescent="0.25">
      <c r="A1085" s="7">
        <v>43898.083333333336</v>
      </c>
      <c r="B1085" s="1" t="s">
        <v>71</v>
      </c>
      <c r="C1085" s="1">
        <v>499.31</v>
      </c>
      <c r="D1085" s="1">
        <v>154.81</v>
      </c>
    </row>
    <row r="1086" spans="1:4" x14ac:dyDescent="0.25">
      <c r="A1086" s="7">
        <v>43898.083333333336</v>
      </c>
      <c r="B1086" s="1" t="s">
        <v>70</v>
      </c>
      <c r="C1086" s="1">
        <v>480.99</v>
      </c>
      <c r="D1086" s="1">
        <v>185.55</v>
      </c>
    </row>
    <row r="1087" spans="1:4" x14ac:dyDescent="0.25">
      <c r="A1087" s="7">
        <v>43898.083333333336</v>
      </c>
      <c r="B1087" s="1" t="s">
        <v>69</v>
      </c>
      <c r="C1087" s="1">
        <v>508.26</v>
      </c>
      <c r="D1087" s="1">
        <v>331.44</v>
      </c>
    </row>
    <row r="1088" spans="1:4" x14ac:dyDescent="0.25">
      <c r="A1088" s="7">
        <v>43898.083333333336</v>
      </c>
      <c r="B1088" s="1" t="s">
        <v>78</v>
      </c>
      <c r="C1088" s="1">
        <v>172.44</v>
      </c>
      <c r="D1088" s="1">
        <v>76.97</v>
      </c>
    </row>
    <row r="1089" spans="1:4" x14ac:dyDescent="0.25">
      <c r="A1089" s="7">
        <v>43898.083333333336</v>
      </c>
      <c r="B1089" s="1" t="s">
        <v>73</v>
      </c>
      <c r="C1089" s="1">
        <v>335.57</v>
      </c>
      <c r="D1089" s="1">
        <v>78.290000000000006</v>
      </c>
    </row>
    <row r="1090" spans="1:4" x14ac:dyDescent="0.25">
      <c r="A1090" s="7">
        <v>43898.083333333336</v>
      </c>
      <c r="B1090" s="1" t="s">
        <v>72</v>
      </c>
      <c r="C1090" s="1">
        <v>734.14</v>
      </c>
      <c r="D1090" s="1">
        <v>419.02</v>
      </c>
    </row>
    <row r="1091" spans="1:4" x14ac:dyDescent="0.25">
      <c r="A1091" s="7">
        <v>43898.125</v>
      </c>
      <c r="B1091" s="1" t="s">
        <v>75</v>
      </c>
      <c r="C1091" s="1">
        <v>57.28</v>
      </c>
      <c r="D1091" s="1">
        <v>25.95</v>
      </c>
    </row>
    <row r="1092" spans="1:4" x14ac:dyDescent="0.25">
      <c r="A1092" s="7">
        <v>43898.125</v>
      </c>
      <c r="B1092" s="1" t="s">
        <v>74</v>
      </c>
      <c r="C1092" s="1">
        <v>208.86</v>
      </c>
      <c r="D1092" s="1">
        <v>57.25</v>
      </c>
    </row>
    <row r="1093" spans="1:4" x14ac:dyDescent="0.25">
      <c r="A1093" s="7">
        <v>43898.125</v>
      </c>
      <c r="B1093" s="1" t="s">
        <v>78</v>
      </c>
      <c r="C1093" s="1">
        <v>87.18</v>
      </c>
      <c r="D1093" s="1">
        <v>44.16</v>
      </c>
    </row>
    <row r="1094" spans="1:4" x14ac:dyDescent="0.25">
      <c r="A1094" s="7">
        <v>43898.125</v>
      </c>
      <c r="B1094" s="1" t="s">
        <v>73</v>
      </c>
      <c r="C1094" s="1">
        <v>204.81</v>
      </c>
      <c r="D1094" s="1">
        <v>45.53</v>
      </c>
    </row>
    <row r="1095" spans="1:4" x14ac:dyDescent="0.25">
      <c r="A1095" s="7">
        <v>43898.125</v>
      </c>
      <c r="B1095" s="1" t="s">
        <v>77</v>
      </c>
      <c r="C1095" s="1">
        <v>364.41</v>
      </c>
      <c r="D1095" s="1">
        <v>100.55</v>
      </c>
    </row>
    <row r="1096" spans="1:4" x14ac:dyDescent="0.25">
      <c r="A1096" s="7">
        <v>43898.125</v>
      </c>
      <c r="B1096" s="1" t="s">
        <v>71</v>
      </c>
      <c r="C1096" s="1">
        <v>300.32</v>
      </c>
      <c r="D1096" s="1">
        <v>83.79</v>
      </c>
    </row>
    <row r="1097" spans="1:4" x14ac:dyDescent="0.25">
      <c r="A1097" s="7">
        <v>43898.125</v>
      </c>
      <c r="B1097" s="1" t="s">
        <v>69</v>
      </c>
      <c r="C1097" s="1">
        <v>273.12</v>
      </c>
      <c r="D1097" s="1">
        <v>165.99</v>
      </c>
    </row>
    <row r="1098" spans="1:4" x14ac:dyDescent="0.25">
      <c r="A1098" s="7">
        <v>43898.125</v>
      </c>
      <c r="B1098" s="1" t="s">
        <v>76</v>
      </c>
      <c r="C1098" s="1">
        <v>362.76</v>
      </c>
      <c r="D1098" s="1">
        <v>68.94</v>
      </c>
    </row>
    <row r="1099" spans="1:4" x14ac:dyDescent="0.25">
      <c r="A1099" s="7">
        <v>43898.125</v>
      </c>
      <c r="B1099" s="1" t="s">
        <v>72</v>
      </c>
      <c r="C1099" s="1">
        <v>375.78</v>
      </c>
      <c r="D1099" s="1">
        <v>227.9</v>
      </c>
    </row>
    <row r="1100" spans="1:4" x14ac:dyDescent="0.25">
      <c r="A1100" s="7">
        <v>43898.125</v>
      </c>
      <c r="B1100" s="1" t="s">
        <v>68</v>
      </c>
      <c r="C1100" s="1">
        <v>240.87</v>
      </c>
      <c r="D1100" s="1">
        <v>84.6</v>
      </c>
    </row>
    <row r="1101" spans="1:4" x14ac:dyDescent="0.25">
      <c r="A1101" s="7">
        <v>43898.125</v>
      </c>
      <c r="B1101" s="1" t="s">
        <v>70</v>
      </c>
      <c r="C1101" s="1">
        <v>275.32</v>
      </c>
      <c r="D1101" s="1">
        <v>103.67</v>
      </c>
    </row>
    <row r="1102" spans="1:4" x14ac:dyDescent="0.25">
      <c r="A1102" s="7">
        <v>43898.166666666664</v>
      </c>
      <c r="B1102" s="1" t="s">
        <v>75</v>
      </c>
      <c r="C1102" s="1">
        <v>38.270000000000003</v>
      </c>
      <c r="D1102" s="1">
        <v>15.7</v>
      </c>
    </row>
    <row r="1103" spans="1:4" x14ac:dyDescent="0.25">
      <c r="A1103" s="7">
        <v>43898.166666666664</v>
      </c>
      <c r="B1103" s="1" t="s">
        <v>74</v>
      </c>
      <c r="C1103" s="1">
        <v>170.31</v>
      </c>
      <c r="D1103" s="1">
        <v>39.9</v>
      </c>
    </row>
    <row r="1104" spans="1:4" x14ac:dyDescent="0.25">
      <c r="A1104" s="7">
        <v>43898.166666666664</v>
      </c>
      <c r="B1104" s="1" t="s">
        <v>78</v>
      </c>
      <c r="C1104" s="1">
        <v>64.17</v>
      </c>
      <c r="D1104" s="1">
        <v>23.9</v>
      </c>
    </row>
    <row r="1105" spans="1:4" x14ac:dyDescent="0.25">
      <c r="A1105" s="7">
        <v>43898.166666666664</v>
      </c>
      <c r="B1105" s="1" t="s">
        <v>72</v>
      </c>
      <c r="C1105" s="1">
        <v>258.33999999999997</v>
      </c>
      <c r="D1105" s="1">
        <v>135.06</v>
      </c>
    </row>
    <row r="1106" spans="1:4" x14ac:dyDescent="0.25">
      <c r="A1106" s="7">
        <v>43898.166666666664</v>
      </c>
      <c r="B1106" s="1" t="s">
        <v>73</v>
      </c>
      <c r="C1106" s="1">
        <v>178.08</v>
      </c>
      <c r="D1106" s="1">
        <v>32.35</v>
      </c>
    </row>
    <row r="1107" spans="1:4" x14ac:dyDescent="0.25">
      <c r="A1107" s="7">
        <v>43898.166666666664</v>
      </c>
      <c r="B1107" s="1" t="s">
        <v>68</v>
      </c>
      <c r="C1107" s="1">
        <v>214.53</v>
      </c>
      <c r="D1107" s="1">
        <v>60.69</v>
      </c>
    </row>
    <row r="1108" spans="1:4" x14ac:dyDescent="0.25">
      <c r="A1108" s="7">
        <v>43898.166666666664</v>
      </c>
      <c r="B1108" s="1" t="s">
        <v>71</v>
      </c>
      <c r="C1108" s="1">
        <v>258.14</v>
      </c>
      <c r="D1108" s="1">
        <v>55.88</v>
      </c>
    </row>
    <row r="1109" spans="1:4" x14ac:dyDescent="0.25">
      <c r="A1109" s="7">
        <v>43898.166666666664</v>
      </c>
      <c r="B1109" s="1" t="s">
        <v>70</v>
      </c>
      <c r="C1109" s="1">
        <v>217.67</v>
      </c>
      <c r="D1109" s="1">
        <v>76.489999999999995</v>
      </c>
    </row>
    <row r="1110" spans="1:4" x14ac:dyDescent="0.25">
      <c r="A1110" s="7">
        <v>43898.166666666664</v>
      </c>
      <c r="B1110" s="1" t="s">
        <v>76</v>
      </c>
      <c r="C1110" s="1">
        <v>243.96</v>
      </c>
      <c r="D1110" s="1">
        <v>49.67</v>
      </c>
    </row>
    <row r="1111" spans="1:4" x14ac:dyDescent="0.25">
      <c r="A1111" s="7">
        <v>43898.166666666664</v>
      </c>
      <c r="B1111" s="1" t="s">
        <v>77</v>
      </c>
      <c r="C1111" s="1">
        <v>265.5</v>
      </c>
      <c r="D1111" s="1">
        <v>62.36</v>
      </c>
    </row>
    <row r="1112" spans="1:4" x14ac:dyDescent="0.25">
      <c r="A1112" s="7">
        <v>43898.166666666664</v>
      </c>
      <c r="B1112" s="1" t="s">
        <v>69</v>
      </c>
      <c r="C1112" s="1">
        <v>190.11</v>
      </c>
      <c r="D1112" s="1">
        <v>101</v>
      </c>
    </row>
    <row r="1113" spans="1:4" x14ac:dyDescent="0.25">
      <c r="A1113" s="7">
        <v>43898.208333333336</v>
      </c>
      <c r="B1113" s="1" t="s">
        <v>75</v>
      </c>
      <c r="C1113" s="1">
        <v>59.93</v>
      </c>
      <c r="D1113" s="1">
        <v>17.440000000000001</v>
      </c>
    </row>
    <row r="1114" spans="1:4" x14ac:dyDescent="0.25">
      <c r="A1114" s="7">
        <v>43898.208333333336</v>
      </c>
      <c r="B1114" s="1" t="s">
        <v>74</v>
      </c>
      <c r="C1114" s="1">
        <v>502.24</v>
      </c>
      <c r="D1114" s="1">
        <v>71.86</v>
      </c>
    </row>
    <row r="1115" spans="1:4" x14ac:dyDescent="0.25">
      <c r="A1115" s="7">
        <v>43898.208333333336</v>
      </c>
      <c r="B1115" s="1" t="s">
        <v>76</v>
      </c>
      <c r="C1115" s="1">
        <v>691.33</v>
      </c>
      <c r="D1115" s="1">
        <v>103.09</v>
      </c>
    </row>
    <row r="1116" spans="1:4" x14ac:dyDescent="0.25">
      <c r="A1116" s="7">
        <v>43898.208333333336</v>
      </c>
      <c r="B1116" s="1" t="s">
        <v>68</v>
      </c>
      <c r="C1116" s="1">
        <v>870.9</v>
      </c>
      <c r="D1116" s="1">
        <v>143.44999999999999</v>
      </c>
    </row>
    <row r="1117" spans="1:4" x14ac:dyDescent="0.25">
      <c r="A1117" s="7">
        <v>43898.208333333336</v>
      </c>
      <c r="B1117" s="1" t="s">
        <v>77</v>
      </c>
      <c r="C1117" s="1">
        <v>539.49</v>
      </c>
      <c r="D1117" s="1">
        <v>102.44</v>
      </c>
    </row>
    <row r="1118" spans="1:4" x14ac:dyDescent="0.25">
      <c r="A1118" s="7">
        <v>43898.208333333336</v>
      </c>
      <c r="B1118" s="1" t="s">
        <v>71</v>
      </c>
      <c r="C1118" s="1">
        <v>1114.54</v>
      </c>
      <c r="D1118" s="1">
        <v>138.80000000000001</v>
      </c>
    </row>
    <row r="1119" spans="1:4" x14ac:dyDescent="0.25">
      <c r="A1119" s="7">
        <v>43898.208333333336</v>
      </c>
      <c r="B1119" s="1" t="s">
        <v>70</v>
      </c>
      <c r="C1119" s="1">
        <v>543.01</v>
      </c>
      <c r="D1119" s="1">
        <v>152.37</v>
      </c>
    </row>
    <row r="1120" spans="1:4" x14ac:dyDescent="0.25">
      <c r="A1120" s="7">
        <v>43898.208333333336</v>
      </c>
      <c r="B1120" s="1" t="s">
        <v>78</v>
      </c>
      <c r="C1120" s="1">
        <v>112.31</v>
      </c>
      <c r="D1120" s="1">
        <v>28.81</v>
      </c>
    </row>
    <row r="1121" spans="1:4" x14ac:dyDescent="0.25">
      <c r="A1121" s="7">
        <v>43898.208333333336</v>
      </c>
      <c r="B1121" s="1" t="s">
        <v>73</v>
      </c>
      <c r="C1121" s="1">
        <v>535.48</v>
      </c>
      <c r="D1121" s="1">
        <v>66.150000000000006</v>
      </c>
    </row>
    <row r="1122" spans="1:4" x14ac:dyDescent="0.25">
      <c r="A1122" s="7">
        <v>43898.208333333336</v>
      </c>
      <c r="B1122" s="1" t="s">
        <v>72</v>
      </c>
      <c r="C1122" s="1">
        <v>492.45</v>
      </c>
      <c r="D1122" s="1">
        <v>189.79</v>
      </c>
    </row>
    <row r="1123" spans="1:4" x14ac:dyDescent="0.25">
      <c r="A1123" s="7">
        <v>43898.208333333336</v>
      </c>
      <c r="B1123" s="1" t="s">
        <v>69</v>
      </c>
      <c r="C1123" s="1">
        <v>322.89</v>
      </c>
      <c r="D1123" s="1">
        <v>133.94</v>
      </c>
    </row>
    <row r="1124" spans="1:4" x14ac:dyDescent="0.25">
      <c r="A1124" s="7">
        <v>43898.25</v>
      </c>
      <c r="B1124" s="1" t="s">
        <v>75</v>
      </c>
      <c r="C1124" s="1">
        <v>165.29</v>
      </c>
      <c r="D1124" s="1">
        <v>32.69</v>
      </c>
    </row>
    <row r="1125" spans="1:4" x14ac:dyDescent="0.25">
      <c r="A1125" s="7">
        <v>43898.25</v>
      </c>
      <c r="B1125" s="1" t="s">
        <v>74</v>
      </c>
      <c r="C1125" s="1">
        <v>2049.92</v>
      </c>
      <c r="D1125" s="1">
        <v>245.25</v>
      </c>
    </row>
    <row r="1126" spans="1:4" x14ac:dyDescent="0.25">
      <c r="A1126" s="7">
        <v>43898.25</v>
      </c>
      <c r="B1126" s="1" t="s">
        <v>76</v>
      </c>
      <c r="C1126" s="1">
        <v>2784.05</v>
      </c>
      <c r="D1126" s="1">
        <v>324.55</v>
      </c>
    </row>
    <row r="1127" spans="1:4" x14ac:dyDescent="0.25">
      <c r="A1127" s="7">
        <v>43898.25</v>
      </c>
      <c r="B1127" s="1" t="s">
        <v>68</v>
      </c>
      <c r="C1127" s="1">
        <v>3005.21</v>
      </c>
      <c r="D1127" s="1">
        <v>442.43</v>
      </c>
    </row>
    <row r="1128" spans="1:4" x14ac:dyDescent="0.25">
      <c r="A1128" s="7">
        <v>43898.25</v>
      </c>
      <c r="B1128" s="1" t="s">
        <v>77</v>
      </c>
      <c r="C1128" s="1">
        <v>1619.61</v>
      </c>
      <c r="D1128" s="1">
        <v>281.85000000000002</v>
      </c>
    </row>
    <row r="1129" spans="1:4" x14ac:dyDescent="0.25">
      <c r="A1129" s="7">
        <v>43898.25</v>
      </c>
      <c r="B1129" s="1" t="s">
        <v>69</v>
      </c>
      <c r="C1129" s="1">
        <v>742.65</v>
      </c>
      <c r="D1129" s="1">
        <v>239.38</v>
      </c>
    </row>
    <row r="1130" spans="1:4" x14ac:dyDescent="0.25">
      <c r="A1130" s="7">
        <v>43898.25</v>
      </c>
      <c r="B1130" s="1" t="s">
        <v>70</v>
      </c>
      <c r="C1130" s="1">
        <v>1661.9</v>
      </c>
      <c r="D1130" s="1">
        <v>418.43</v>
      </c>
    </row>
    <row r="1131" spans="1:4" x14ac:dyDescent="0.25">
      <c r="A1131" s="7">
        <v>43898.25</v>
      </c>
      <c r="B1131" s="1" t="s">
        <v>78</v>
      </c>
      <c r="C1131" s="1">
        <v>276.49</v>
      </c>
      <c r="D1131" s="1">
        <v>58.83</v>
      </c>
    </row>
    <row r="1132" spans="1:4" x14ac:dyDescent="0.25">
      <c r="A1132" s="7">
        <v>43898.25</v>
      </c>
      <c r="B1132" s="1" t="s">
        <v>72</v>
      </c>
      <c r="C1132" s="1">
        <v>1172.67</v>
      </c>
      <c r="D1132" s="1">
        <v>396.95</v>
      </c>
    </row>
    <row r="1133" spans="1:4" x14ac:dyDescent="0.25">
      <c r="A1133" s="7">
        <v>43898.25</v>
      </c>
      <c r="B1133" s="1" t="s">
        <v>73</v>
      </c>
      <c r="C1133" s="1">
        <v>1930.56</v>
      </c>
      <c r="D1133" s="1">
        <v>179.72</v>
      </c>
    </row>
    <row r="1134" spans="1:4" x14ac:dyDescent="0.25">
      <c r="A1134" s="7">
        <v>43898.25</v>
      </c>
      <c r="B1134" s="1" t="s">
        <v>71</v>
      </c>
      <c r="C1134" s="1">
        <v>3948.71</v>
      </c>
      <c r="D1134" s="1">
        <v>486.94</v>
      </c>
    </row>
    <row r="1135" spans="1:4" x14ac:dyDescent="0.25">
      <c r="A1135" s="7">
        <v>43898.291666666664</v>
      </c>
      <c r="B1135" s="1" t="s">
        <v>75</v>
      </c>
      <c r="C1135" s="1">
        <v>362.29</v>
      </c>
      <c r="D1135" s="1">
        <v>71.8</v>
      </c>
    </row>
    <row r="1136" spans="1:4" x14ac:dyDescent="0.25">
      <c r="A1136" s="7">
        <v>43898.291666666664</v>
      </c>
      <c r="B1136" s="1" t="s">
        <v>74</v>
      </c>
      <c r="C1136" s="1">
        <v>4719.21</v>
      </c>
      <c r="D1136" s="1">
        <v>591.25</v>
      </c>
    </row>
    <row r="1137" spans="1:4" x14ac:dyDescent="0.25">
      <c r="A1137" s="7">
        <v>43898.291666666664</v>
      </c>
      <c r="B1137" s="1" t="s">
        <v>76</v>
      </c>
      <c r="C1137" s="1">
        <v>6549.56</v>
      </c>
      <c r="D1137" s="1">
        <v>817.13</v>
      </c>
    </row>
    <row r="1138" spans="1:4" x14ac:dyDescent="0.25">
      <c r="A1138" s="7">
        <v>43898.291666666664</v>
      </c>
      <c r="B1138" s="1" t="s">
        <v>72</v>
      </c>
      <c r="C1138" s="1">
        <v>2582.9699999999998</v>
      </c>
      <c r="D1138" s="1">
        <v>884</v>
      </c>
    </row>
    <row r="1139" spans="1:4" x14ac:dyDescent="0.25">
      <c r="A1139" s="7">
        <v>43898.291666666664</v>
      </c>
      <c r="B1139" s="1" t="s">
        <v>73</v>
      </c>
      <c r="C1139" s="1">
        <v>4016.99</v>
      </c>
      <c r="D1139" s="1">
        <v>413.62</v>
      </c>
    </row>
    <row r="1140" spans="1:4" x14ac:dyDescent="0.25">
      <c r="A1140" s="7">
        <v>43898.291666666664</v>
      </c>
      <c r="B1140" s="1" t="s">
        <v>68</v>
      </c>
      <c r="C1140" s="1">
        <v>5690.48</v>
      </c>
      <c r="D1140" s="1">
        <v>958.07</v>
      </c>
    </row>
    <row r="1141" spans="1:4" x14ac:dyDescent="0.25">
      <c r="A1141" s="7">
        <v>43898.291666666664</v>
      </c>
      <c r="B1141" s="1" t="s">
        <v>77</v>
      </c>
      <c r="C1141" s="1">
        <v>3640.29</v>
      </c>
      <c r="D1141" s="1">
        <v>658.3</v>
      </c>
    </row>
    <row r="1142" spans="1:4" x14ac:dyDescent="0.25">
      <c r="A1142" s="7">
        <v>43898.291666666664</v>
      </c>
      <c r="B1142" s="1" t="s">
        <v>71</v>
      </c>
      <c r="C1142" s="1">
        <v>7241.34</v>
      </c>
      <c r="D1142" s="1">
        <v>1051.05</v>
      </c>
    </row>
    <row r="1143" spans="1:4" x14ac:dyDescent="0.25">
      <c r="A1143" s="7">
        <v>43898.291666666664</v>
      </c>
      <c r="B1143" s="1" t="s">
        <v>70</v>
      </c>
      <c r="C1143" s="1">
        <v>3382</v>
      </c>
      <c r="D1143" s="1">
        <v>902.03</v>
      </c>
    </row>
    <row r="1144" spans="1:4" x14ac:dyDescent="0.25">
      <c r="A1144" s="7">
        <v>43898.291666666664</v>
      </c>
      <c r="B1144" s="1" t="s">
        <v>69</v>
      </c>
      <c r="C1144" s="1">
        <v>1571.72</v>
      </c>
      <c r="D1144" s="1">
        <v>499.96</v>
      </c>
    </row>
    <row r="1145" spans="1:4" x14ac:dyDescent="0.25">
      <c r="A1145" s="7">
        <v>43898.291666666664</v>
      </c>
      <c r="B1145" s="1" t="s">
        <v>78</v>
      </c>
      <c r="C1145" s="1">
        <v>561.87</v>
      </c>
      <c r="D1145" s="1">
        <v>125.45</v>
      </c>
    </row>
    <row r="1146" spans="1:4" x14ac:dyDescent="0.25">
      <c r="A1146" s="7">
        <v>43898.333333333336</v>
      </c>
      <c r="B1146" s="1" t="s">
        <v>75</v>
      </c>
      <c r="C1146" s="1">
        <v>632.76</v>
      </c>
      <c r="D1146" s="1">
        <v>160.44</v>
      </c>
    </row>
    <row r="1147" spans="1:4" x14ac:dyDescent="0.25">
      <c r="A1147" s="7">
        <v>43898.333333333336</v>
      </c>
      <c r="B1147" s="1" t="s">
        <v>74</v>
      </c>
      <c r="C1147" s="1">
        <v>7310.8</v>
      </c>
      <c r="D1147" s="1">
        <v>1069.43</v>
      </c>
    </row>
    <row r="1148" spans="1:4" x14ac:dyDescent="0.25">
      <c r="A1148" s="7">
        <v>43898.333333333336</v>
      </c>
      <c r="B1148" s="1" t="s">
        <v>78</v>
      </c>
      <c r="C1148" s="1">
        <v>1015.4</v>
      </c>
      <c r="D1148" s="1">
        <v>272.52999999999997</v>
      </c>
    </row>
    <row r="1149" spans="1:4" x14ac:dyDescent="0.25">
      <c r="A1149" s="7">
        <v>43898.333333333336</v>
      </c>
      <c r="B1149" s="1" t="s">
        <v>73</v>
      </c>
      <c r="C1149" s="1">
        <v>6191.92</v>
      </c>
      <c r="D1149" s="1">
        <v>758.42</v>
      </c>
    </row>
    <row r="1150" spans="1:4" x14ac:dyDescent="0.25">
      <c r="A1150" s="7">
        <v>43898.333333333336</v>
      </c>
      <c r="B1150" s="1" t="s">
        <v>72</v>
      </c>
      <c r="C1150" s="1">
        <v>4655.58</v>
      </c>
      <c r="D1150" s="1">
        <v>1750.63</v>
      </c>
    </row>
    <row r="1151" spans="1:4" x14ac:dyDescent="0.25">
      <c r="A1151" s="7">
        <v>43898.333333333336</v>
      </c>
      <c r="B1151" s="1" t="s">
        <v>77</v>
      </c>
      <c r="C1151" s="1">
        <v>6138.14</v>
      </c>
      <c r="D1151" s="1">
        <v>1243.42</v>
      </c>
    </row>
    <row r="1152" spans="1:4" x14ac:dyDescent="0.25">
      <c r="A1152" s="7">
        <v>43898.333333333336</v>
      </c>
      <c r="B1152" s="1" t="s">
        <v>71</v>
      </c>
      <c r="C1152" s="1">
        <v>10273.4</v>
      </c>
      <c r="D1152" s="1">
        <v>1709.08</v>
      </c>
    </row>
    <row r="1153" spans="1:4" x14ac:dyDescent="0.25">
      <c r="A1153" s="7">
        <v>43898.333333333336</v>
      </c>
      <c r="B1153" s="1" t="s">
        <v>70</v>
      </c>
      <c r="C1153" s="1">
        <v>5401.25</v>
      </c>
      <c r="D1153" s="1">
        <v>1601.1</v>
      </c>
    </row>
    <row r="1154" spans="1:4" x14ac:dyDescent="0.25">
      <c r="A1154" s="7">
        <v>43898.333333333336</v>
      </c>
      <c r="B1154" s="1" t="s">
        <v>76</v>
      </c>
      <c r="C1154" s="1">
        <v>10792.96</v>
      </c>
      <c r="D1154" s="1">
        <v>1485.09</v>
      </c>
    </row>
    <row r="1155" spans="1:4" x14ac:dyDescent="0.25">
      <c r="A1155" s="7">
        <v>43898.333333333336</v>
      </c>
      <c r="B1155" s="1" t="s">
        <v>68</v>
      </c>
      <c r="C1155" s="1">
        <v>8124.64</v>
      </c>
      <c r="D1155" s="1">
        <v>1576.72</v>
      </c>
    </row>
    <row r="1156" spans="1:4" x14ac:dyDescent="0.25">
      <c r="A1156" s="7">
        <v>43898.333333333336</v>
      </c>
      <c r="B1156" s="1" t="s">
        <v>69</v>
      </c>
      <c r="C1156" s="1">
        <v>2876.53</v>
      </c>
      <c r="D1156" s="1">
        <v>1021.18</v>
      </c>
    </row>
    <row r="1157" spans="1:4" x14ac:dyDescent="0.25">
      <c r="A1157" s="7">
        <v>43898.375</v>
      </c>
      <c r="B1157" s="1" t="s">
        <v>75</v>
      </c>
      <c r="C1157" s="1">
        <v>904.13</v>
      </c>
      <c r="D1157" s="1">
        <v>251.1</v>
      </c>
    </row>
    <row r="1158" spans="1:4" x14ac:dyDescent="0.25">
      <c r="A1158" s="7">
        <v>43898.375</v>
      </c>
      <c r="B1158" s="1" t="s">
        <v>74</v>
      </c>
      <c r="C1158" s="1">
        <v>9208.9500000000007</v>
      </c>
      <c r="D1158" s="1">
        <v>1563.75</v>
      </c>
    </row>
    <row r="1159" spans="1:4" x14ac:dyDescent="0.25">
      <c r="A1159" s="7">
        <v>43898.375</v>
      </c>
      <c r="B1159" s="1" t="s">
        <v>78</v>
      </c>
      <c r="C1159" s="1">
        <v>1568.77</v>
      </c>
      <c r="D1159" s="1">
        <v>536.74</v>
      </c>
    </row>
    <row r="1160" spans="1:4" x14ac:dyDescent="0.25">
      <c r="A1160" s="7">
        <v>43898.375</v>
      </c>
      <c r="B1160" s="1" t="s">
        <v>71</v>
      </c>
      <c r="C1160" s="1">
        <v>12417.86</v>
      </c>
      <c r="D1160" s="1">
        <v>2347.02</v>
      </c>
    </row>
    <row r="1161" spans="1:4" x14ac:dyDescent="0.25">
      <c r="A1161" s="7">
        <v>43898.375</v>
      </c>
      <c r="B1161" s="1" t="s">
        <v>76</v>
      </c>
      <c r="C1161" s="1">
        <v>14363.46</v>
      </c>
      <c r="D1161" s="1">
        <v>2276.9</v>
      </c>
    </row>
    <row r="1162" spans="1:4" x14ac:dyDescent="0.25">
      <c r="A1162" s="7">
        <v>43898.375</v>
      </c>
      <c r="B1162" s="1" t="s">
        <v>72</v>
      </c>
      <c r="C1162" s="1">
        <v>7000.88</v>
      </c>
      <c r="D1162" s="1">
        <v>2941.79</v>
      </c>
    </row>
    <row r="1163" spans="1:4" x14ac:dyDescent="0.25">
      <c r="A1163" s="7">
        <v>43898.375</v>
      </c>
      <c r="B1163" s="1" t="s">
        <v>73</v>
      </c>
      <c r="C1163" s="1">
        <v>7846.35</v>
      </c>
      <c r="D1163" s="1">
        <v>1070.74</v>
      </c>
    </row>
    <row r="1164" spans="1:4" x14ac:dyDescent="0.25">
      <c r="A1164" s="7">
        <v>43898.375</v>
      </c>
      <c r="B1164" s="1" t="s">
        <v>68</v>
      </c>
      <c r="C1164" s="1">
        <v>9955.14</v>
      </c>
      <c r="D1164" s="1">
        <v>2203.6999999999998</v>
      </c>
    </row>
    <row r="1165" spans="1:4" x14ac:dyDescent="0.25">
      <c r="A1165" s="7">
        <v>43898.375</v>
      </c>
      <c r="B1165" s="1" t="s">
        <v>77</v>
      </c>
      <c r="C1165" s="1">
        <v>8728.25</v>
      </c>
      <c r="D1165" s="1">
        <v>1956.99</v>
      </c>
    </row>
    <row r="1166" spans="1:4" x14ac:dyDescent="0.25">
      <c r="A1166" s="7">
        <v>43898.375</v>
      </c>
      <c r="B1166" s="1" t="s">
        <v>69</v>
      </c>
      <c r="C1166" s="1">
        <v>4426.6000000000004</v>
      </c>
      <c r="D1166" s="1">
        <v>1861.01</v>
      </c>
    </row>
    <row r="1167" spans="1:4" x14ac:dyDescent="0.25">
      <c r="A1167" s="7">
        <v>43898.375</v>
      </c>
      <c r="B1167" s="1" t="s">
        <v>70</v>
      </c>
      <c r="C1167" s="1">
        <v>7429.09</v>
      </c>
      <c r="D1167" s="1">
        <v>2394.48</v>
      </c>
    </row>
    <row r="1168" spans="1:4" x14ac:dyDescent="0.25">
      <c r="A1168" s="7">
        <v>43898.416666666664</v>
      </c>
      <c r="B1168" s="1" t="s">
        <v>75</v>
      </c>
      <c r="C1168" s="1">
        <v>1084.6600000000001</v>
      </c>
      <c r="D1168" s="1">
        <v>332.56</v>
      </c>
    </row>
    <row r="1169" spans="1:4" x14ac:dyDescent="0.25">
      <c r="A1169" s="7">
        <v>43898.416666666664</v>
      </c>
      <c r="B1169" s="1" t="s">
        <v>74</v>
      </c>
      <c r="C1169" s="1">
        <v>10071.870000000001</v>
      </c>
      <c r="D1169" s="1">
        <v>1919.67</v>
      </c>
    </row>
    <row r="1170" spans="1:4" x14ac:dyDescent="0.25">
      <c r="A1170" s="7">
        <v>43898.416666666664</v>
      </c>
      <c r="B1170" s="1" t="s">
        <v>78</v>
      </c>
      <c r="C1170" s="1">
        <v>2095.89</v>
      </c>
      <c r="D1170" s="1">
        <v>847.49</v>
      </c>
    </row>
    <row r="1171" spans="1:4" x14ac:dyDescent="0.25">
      <c r="A1171" s="7">
        <v>43898.416666666664</v>
      </c>
      <c r="B1171" s="1" t="s">
        <v>68</v>
      </c>
      <c r="C1171" s="1">
        <v>10668.7</v>
      </c>
      <c r="D1171" s="1">
        <v>2675.17</v>
      </c>
    </row>
    <row r="1172" spans="1:4" x14ac:dyDescent="0.25">
      <c r="A1172" s="7">
        <v>43898.416666666664</v>
      </c>
      <c r="B1172" s="1" t="s">
        <v>70</v>
      </c>
      <c r="C1172" s="1">
        <v>8484.4</v>
      </c>
      <c r="D1172" s="1">
        <v>2943.14</v>
      </c>
    </row>
    <row r="1173" spans="1:4" x14ac:dyDescent="0.25">
      <c r="A1173" s="7">
        <v>43898.416666666664</v>
      </c>
      <c r="B1173" s="1" t="s">
        <v>69</v>
      </c>
      <c r="C1173" s="1">
        <v>5752.35</v>
      </c>
      <c r="D1173" s="1">
        <v>2887.11</v>
      </c>
    </row>
    <row r="1174" spans="1:4" x14ac:dyDescent="0.25">
      <c r="A1174" s="7">
        <v>43898.416666666664</v>
      </c>
      <c r="B1174" s="1" t="s">
        <v>76</v>
      </c>
      <c r="C1174" s="1">
        <v>16416.688999999998</v>
      </c>
      <c r="D1174" s="1">
        <v>2832.06</v>
      </c>
    </row>
    <row r="1175" spans="1:4" x14ac:dyDescent="0.25">
      <c r="A1175" s="7">
        <v>43898.416666666664</v>
      </c>
      <c r="B1175" s="1" t="s">
        <v>72</v>
      </c>
      <c r="C1175" s="1">
        <v>8920.08</v>
      </c>
      <c r="D1175" s="1">
        <v>4186.57</v>
      </c>
    </row>
    <row r="1176" spans="1:4" x14ac:dyDescent="0.25">
      <c r="A1176" s="7">
        <v>43898.416666666664</v>
      </c>
      <c r="B1176" s="1" t="s">
        <v>73</v>
      </c>
      <c r="C1176" s="1">
        <v>8421.6299999999992</v>
      </c>
      <c r="D1176" s="1">
        <v>1295.1600000000001</v>
      </c>
    </row>
    <row r="1177" spans="1:4" x14ac:dyDescent="0.25">
      <c r="A1177" s="7">
        <v>43898.416666666664</v>
      </c>
      <c r="B1177" s="1" t="s">
        <v>77</v>
      </c>
      <c r="C1177" s="1">
        <v>10266.1</v>
      </c>
      <c r="D1177" s="1">
        <v>2444.91</v>
      </c>
    </row>
    <row r="1178" spans="1:4" x14ac:dyDescent="0.25">
      <c r="A1178" s="7">
        <v>43898.416666666664</v>
      </c>
      <c r="B1178" s="1" t="s">
        <v>71</v>
      </c>
      <c r="C1178" s="1">
        <v>13384.18</v>
      </c>
      <c r="D1178" s="1">
        <v>2799.24</v>
      </c>
    </row>
    <row r="1179" spans="1:4" x14ac:dyDescent="0.25">
      <c r="A1179" s="7">
        <v>43898.458333333336</v>
      </c>
      <c r="B1179" s="1" t="s">
        <v>75</v>
      </c>
      <c r="C1179" s="1">
        <v>1122.6199999999999</v>
      </c>
      <c r="D1179" s="1">
        <v>375.22</v>
      </c>
    </row>
    <row r="1180" spans="1:4" x14ac:dyDescent="0.25">
      <c r="A1180" s="7">
        <v>43898.458333333336</v>
      </c>
      <c r="B1180" s="1" t="s">
        <v>74</v>
      </c>
      <c r="C1180" s="1">
        <v>9628.4</v>
      </c>
      <c r="D1180" s="1">
        <v>1945.87</v>
      </c>
    </row>
    <row r="1181" spans="1:4" x14ac:dyDescent="0.25">
      <c r="A1181" s="7">
        <v>43898.458333333336</v>
      </c>
      <c r="B1181" s="1" t="s">
        <v>68</v>
      </c>
      <c r="C1181" s="1">
        <v>9953.19</v>
      </c>
      <c r="D1181" s="1">
        <v>2697.73</v>
      </c>
    </row>
    <row r="1182" spans="1:4" x14ac:dyDescent="0.25">
      <c r="A1182" s="7">
        <v>43898.458333333336</v>
      </c>
      <c r="B1182" s="1" t="s">
        <v>71</v>
      </c>
      <c r="C1182" s="1">
        <v>12519</v>
      </c>
      <c r="D1182" s="1">
        <v>2736.27</v>
      </c>
    </row>
    <row r="1183" spans="1:4" x14ac:dyDescent="0.25">
      <c r="A1183" s="7">
        <v>43898.458333333336</v>
      </c>
      <c r="B1183" s="1" t="s">
        <v>69</v>
      </c>
      <c r="C1183" s="1">
        <v>6241.61</v>
      </c>
      <c r="D1183" s="1">
        <v>3485.32</v>
      </c>
    </row>
    <row r="1184" spans="1:4" x14ac:dyDescent="0.25">
      <c r="A1184" s="7">
        <v>43898.458333333336</v>
      </c>
      <c r="B1184" s="1" t="s">
        <v>70</v>
      </c>
      <c r="C1184" s="1">
        <v>8352.74</v>
      </c>
      <c r="D1184" s="1">
        <v>3034.39</v>
      </c>
    </row>
    <row r="1185" spans="1:4" x14ac:dyDescent="0.25">
      <c r="A1185" s="7">
        <v>43898.458333333336</v>
      </c>
      <c r="B1185" s="1" t="s">
        <v>78</v>
      </c>
      <c r="C1185" s="1">
        <v>2256.41</v>
      </c>
      <c r="D1185" s="1">
        <v>999.97</v>
      </c>
    </row>
    <row r="1186" spans="1:4" x14ac:dyDescent="0.25">
      <c r="A1186" s="7">
        <v>43898.458333333336</v>
      </c>
      <c r="B1186" s="1" t="s">
        <v>76</v>
      </c>
      <c r="C1186" s="1">
        <v>16121.64</v>
      </c>
      <c r="D1186" s="1">
        <v>2982.54</v>
      </c>
    </row>
    <row r="1187" spans="1:4" x14ac:dyDescent="0.25">
      <c r="A1187" s="7">
        <v>43898.458333333336</v>
      </c>
      <c r="B1187" s="1" t="s">
        <v>72</v>
      </c>
      <c r="C1187" s="1">
        <v>9418.9599999999991</v>
      </c>
      <c r="D1187" s="1">
        <v>4795.24</v>
      </c>
    </row>
    <row r="1188" spans="1:4" x14ac:dyDescent="0.25">
      <c r="A1188" s="7">
        <v>43898.458333333336</v>
      </c>
      <c r="B1188" s="1" t="s">
        <v>73</v>
      </c>
      <c r="C1188" s="1">
        <v>8076.35</v>
      </c>
      <c r="D1188" s="1">
        <v>1320.88</v>
      </c>
    </row>
    <row r="1189" spans="1:4" x14ac:dyDescent="0.25">
      <c r="A1189" s="7">
        <v>43898.458333333336</v>
      </c>
      <c r="B1189" s="1" t="s">
        <v>77</v>
      </c>
      <c r="C1189" s="1">
        <v>10251.01</v>
      </c>
      <c r="D1189" s="1">
        <v>2572.98</v>
      </c>
    </row>
    <row r="1190" spans="1:4" x14ac:dyDescent="0.25">
      <c r="A1190" s="7">
        <v>43898.5</v>
      </c>
      <c r="B1190" s="1" t="s">
        <v>74</v>
      </c>
      <c r="C1190" s="1">
        <v>8599.01</v>
      </c>
      <c r="D1190" s="1">
        <v>1734.82</v>
      </c>
    </row>
    <row r="1191" spans="1:4" x14ac:dyDescent="0.25">
      <c r="A1191" s="7">
        <v>43898.5</v>
      </c>
      <c r="B1191" s="1" t="s">
        <v>75</v>
      </c>
      <c r="C1191" s="1">
        <v>1115.31</v>
      </c>
      <c r="D1191" s="1">
        <v>357.07</v>
      </c>
    </row>
    <row r="1192" spans="1:4" x14ac:dyDescent="0.25">
      <c r="A1192" s="7">
        <v>43898.5</v>
      </c>
      <c r="B1192" s="1" t="s">
        <v>72</v>
      </c>
      <c r="C1192" s="1">
        <v>8837.6</v>
      </c>
      <c r="D1192" s="1">
        <v>4576.08</v>
      </c>
    </row>
    <row r="1193" spans="1:4" x14ac:dyDescent="0.25">
      <c r="A1193" s="7">
        <v>43898.5</v>
      </c>
      <c r="B1193" s="1" t="s">
        <v>76</v>
      </c>
      <c r="C1193" s="1">
        <v>14746.15</v>
      </c>
      <c r="D1193" s="1">
        <v>2743.7</v>
      </c>
    </row>
    <row r="1194" spans="1:4" x14ac:dyDescent="0.25">
      <c r="A1194" s="7">
        <v>43898.5</v>
      </c>
      <c r="B1194" s="1" t="s">
        <v>73</v>
      </c>
      <c r="C1194" s="1">
        <v>7204.47</v>
      </c>
      <c r="D1194" s="1">
        <v>1156.1199999999999</v>
      </c>
    </row>
    <row r="1195" spans="1:4" x14ac:dyDescent="0.25">
      <c r="A1195" s="7">
        <v>43898.5</v>
      </c>
      <c r="B1195" s="1" t="s">
        <v>68</v>
      </c>
      <c r="C1195" s="1">
        <v>8804.5300000000007</v>
      </c>
      <c r="D1195" s="1">
        <v>2391.35</v>
      </c>
    </row>
    <row r="1196" spans="1:4" x14ac:dyDescent="0.25">
      <c r="A1196" s="7">
        <v>43898.5</v>
      </c>
      <c r="B1196" s="1" t="s">
        <v>77</v>
      </c>
      <c r="C1196" s="1">
        <v>9263.58</v>
      </c>
      <c r="D1196" s="1">
        <v>2347.35</v>
      </c>
    </row>
    <row r="1197" spans="1:4" x14ac:dyDescent="0.25">
      <c r="A1197" s="7">
        <v>43898.5</v>
      </c>
      <c r="B1197" s="1" t="s">
        <v>71</v>
      </c>
      <c r="C1197" s="1">
        <v>11095.74</v>
      </c>
      <c r="D1197" s="1">
        <v>2427.4499999999998</v>
      </c>
    </row>
    <row r="1198" spans="1:4" x14ac:dyDescent="0.25">
      <c r="A1198" s="7">
        <v>43898.5</v>
      </c>
      <c r="B1198" s="1" t="s">
        <v>69</v>
      </c>
      <c r="C1198" s="1">
        <v>5840.27</v>
      </c>
      <c r="D1198" s="1">
        <v>3462.48</v>
      </c>
    </row>
    <row r="1199" spans="1:4" x14ac:dyDescent="0.25">
      <c r="A1199" s="7">
        <v>43898.5</v>
      </c>
      <c r="B1199" s="1" t="s">
        <v>70</v>
      </c>
      <c r="C1199" s="1">
        <v>7584.74</v>
      </c>
      <c r="D1199" s="1">
        <v>2732.47</v>
      </c>
    </row>
    <row r="1200" spans="1:4" x14ac:dyDescent="0.25">
      <c r="A1200" s="7">
        <v>43898.5</v>
      </c>
      <c r="B1200" s="1" t="s">
        <v>78</v>
      </c>
      <c r="C1200" s="1">
        <v>2153.42</v>
      </c>
      <c r="D1200" s="1">
        <v>974.11</v>
      </c>
    </row>
    <row r="1201" spans="1:4" x14ac:dyDescent="0.25">
      <c r="A1201" s="7">
        <v>43898.541666666664</v>
      </c>
      <c r="B1201" s="1" t="s">
        <v>75</v>
      </c>
      <c r="C1201" s="1">
        <v>945.63</v>
      </c>
      <c r="D1201" s="1">
        <v>323.24</v>
      </c>
    </row>
    <row r="1202" spans="1:4" x14ac:dyDescent="0.25">
      <c r="A1202" s="7">
        <v>43898.541666666664</v>
      </c>
      <c r="B1202" s="1" t="s">
        <v>74</v>
      </c>
      <c r="C1202" s="1">
        <v>7184.67</v>
      </c>
      <c r="D1202" s="1">
        <v>1417.97</v>
      </c>
    </row>
    <row r="1203" spans="1:4" x14ac:dyDescent="0.25">
      <c r="A1203" s="7">
        <v>43898.541666666664</v>
      </c>
      <c r="B1203" s="1" t="s">
        <v>76</v>
      </c>
      <c r="C1203" s="1">
        <v>12468.13</v>
      </c>
      <c r="D1203" s="1">
        <v>2304.39</v>
      </c>
    </row>
    <row r="1204" spans="1:4" x14ac:dyDescent="0.25">
      <c r="A1204" s="7">
        <v>43898.541666666664</v>
      </c>
      <c r="B1204" s="1" t="s">
        <v>73</v>
      </c>
      <c r="C1204" s="1">
        <v>5591.54</v>
      </c>
      <c r="D1204" s="1">
        <v>885.55</v>
      </c>
    </row>
    <row r="1205" spans="1:4" x14ac:dyDescent="0.25">
      <c r="A1205" s="7">
        <v>43898.541666666664</v>
      </c>
      <c r="B1205" s="1" t="s">
        <v>68</v>
      </c>
      <c r="C1205" s="1">
        <v>6949.05</v>
      </c>
      <c r="D1205" s="1">
        <v>1872.33</v>
      </c>
    </row>
    <row r="1206" spans="1:4" x14ac:dyDescent="0.25">
      <c r="A1206" s="7">
        <v>43898.541666666664</v>
      </c>
      <c r="B1206" s="1" t="s">
        <v>77</v>
      </c>
      <c r="C1206" s="1">
        <v>7660.38</v>
      </c>
      <c r="D1206" s="1">
        <v>1916.56</v>
      </c>
    </row>
    <row r="1207" spans="1:4" x14ac:dyDescent="0.25">
      <c r="A1207" s="7">
        <v>43898.541666666664</v>
      </c>
      <c r="B1207" s="1" t="s">
        <v>71</v>
      </c>
      <c r="C1207" s="1">
        <v>9019.92</v>
      </c>
      <c r="D1207" s="1">
        <v>1932.28</v>
      </c>
    </row>
    <row r="1208" spans="1:4" x14ac:dyDescent="0.25">
      <c r="A1208" s="7">
        <v>43898.541666666664</v>
      </c>
      <c r="B1208" s="1" t="s">
        <v>70</v>
      </c>
      <c r="C1208" s="1">
        <v>5989.72</v>
      </c>
      <c r="D1208" s="1">
        <v>2157.21</v>
      </c>
    </row>
    <row r="1209" spans="1:4" x14ac:dyDescent="0.25">
      <c r="A1209" s="7">
        <v>43898.541666666664</v>
      </c>
      <c r="B1209" s="1" t="s">
        <v>78</v>
      </c>
      <c r="C1209" s="1">
        <v>1712.37</v>
      </c>
      <c r="D1209" s="1">
        <v>740.54</v>
      </c>
    </row>
    <row r="1210" spans="1:4" x14ac:dyDescent="0.25">
      <c r="A1210" s="7">
        <v>43898.541666666664</v>
      </c>
      <c r="B1210" s="1" t="s">
        <v>72</v>
      </c>
      <c r="C1210" s="1">
        <v>7132.49</v>
      </c>
      <c r="D1210" s="1">
        <v>3695.03</v>
      </c>
    </row>
    <row r="1211" spans="1:4" x14ac:dyDescent="0.25">
      <c r="A1211" s="7">
        <v>43898.541666666664</v>
      </c>
      <c r="B1211" s="1" t="s">
        <v>69</v>
      </c>
      <c r="C1211" s="1">
        <v>4726.51</v>
      </c>
      <c r="D1211" s="1">
        <v>2821.75</v>
      </c>
    </row>
    <row r="1212" spans="1:4" x14ac:dyDescent="0.25">
      <c r="A1212" s="7">
        <v>43898.583333333336</v>
      </c>
      <c r="B1212" s="1" t="s">
        <v>75</v>
      </c>
      <c r="C1212" s="1">
        <v>904.18</v>
      </c>
      <c r="D1212" s="1">
        <v>293.82</v>
      </c>
    </row>
    <row r="1213" spans="1:4" x14ac:dyDescent="0.25">
      <c r="A1213" s="7">
        <v>43898.583333333336</v>
      </c>
      <c r="B1213" s="1" t="s">
        <v>74</v>
      </c>
      <c r="C1213" s="1">
        <v>7045.86</v>
      </c>
      <c r="D1213" s="1">
        <v>1324.27</v>
      </c>
    </row>
    <row r="1214" spans="1:4" x14ac:dyDescent="0.25">
      <c r="A1214" s="7">
        <v>43898.583333333336</v>
      </c>
      <c r="B1214" s="1" t="s">
        <v>78</v>
      </c>
      <c r="C1214" s="1">
        <v>1671.35</v>
      </c>
      <c r="D1214" s="1">
        <v>683.73</v>
      </c>
    </row>
    <row r="1215" spans="1:4" x14ac:dyDescent="0.25">
      <c r="A1215" s="7">
        <v>43898.583333333336</v>
      </c>
      <c r="B1215" s="1" t="s">
        <v>68</v>
      </c>
      <c r="C1215" s="1">
        <v>7036.86</v>
      </c>
      <c r="D1215" s="1">
        <v>1716.48</v>
      </c>
    </row>
    <row r="1216" spans="1:4" x14ac:dyDescent="0.25">
      <c r="A1216" s="7">
        <v>43898.583333333336</v>
      </c>
      <c r="B1216" s="1" t="s">
        <v>77</v>
      </c>
      <c r="C1216" s="1">
        <v>7262.32</v>
      </c>
      <c r="D1216" s="1">
        <v>1782.71</v>
      </c>
    </row>
    <row r="1217" spans="1:4" x14ac:dyDescent="0.25">
      <c r="A1217" s="7">
        <v>43898.583333333336</v>
      </c>
      <c r="B1217" s="1" t="s">
        <v>71</v>
      </c>
      <c r="C1217" s="1">
        <v>9055.3799999999992</v>
      </c>
      <c r="D1217" s="1">
        <v>1803.53</v>
      </c>
    </row>
    <row r="1218" spans="1:4" x14ac:dyDescent="0.25">
      <c r="A1218" s="7">
        <v>43898.583333333336</v>
      </c>
      <c r="B1218" s="1" t="s">
        <v>69</v>
      </c>
      <c r="C1218" s="1">
        <v>4549.63</v>
      </c>
      <c r="D1218" s="1">
        <v>2583.81</v>
      </c>
    </row>
    <row r="1219" spans="1:4" x14ac:dyDescent="0.25">
      <c r="A1219" s="7">
        <v>43898.583333333336</v>
      </c>
      <c r="B1219" s="1" t="s">
        <v>70</v>
      </c>
      <c r="C1219" s="1">
        <v>5992.44</v>
      </c>
      <c r="D1219" s="1">
        <v>2025.14</v>
      </c>
    </row>
    <row r="1220" spans="1:4" x14ac:dyDescent="0.25">
      <c r="A1220" s="7">
        <v>43898.583333333336</v>
      </c>
      <c r="B1220" s="1" t="s">
        <v>72</v>
      </c>
      <c r="C1220" s="1">
        <v>6783.79</v>
      </c>
      <c r="D1220" s="1">
        <v>3431.12</v>
      </c>
    </row>
    <row r="1221" spans="1:4" x14ac:dyDescent="0.25">
      <c r="A1221" s="7">
        <v>43898.583333333336</v>
      </c>
      <c r="B1221" s="1" t="s">
        <v>76</v>
      </c>
      <c r="C1221" s="1">
        <v>11952.42</v>
      </c>
      <c r="D1221" s="1">
        <v>2152.9499999999998</v>
      </c>
    </row>
    <row r="1222" spans="1:4" x14ac:dyDescent="0.25">
      <c r="A1222" s="7">
        <v>43898.583333333336</v>
      </c>
      <c r="B1222" s="1" t="s">
        <v>73</v>
      </c>
      <c r="C1222" s="1">
        <v>5459.59</v>
      </c>
      <c r="D1222" s="1">
        <v>789.59</v>
      </c>
    </row>
    <row r="1223" spans="1:4" x14ac:dyDescent="0.25">
      <c r="A1223" s="7">
        <v>43898.625</v>
      </c>
      <c r="B1223" s="1" t="s">
        <v>75</v>
      </c>
      <c r="C1223" s="1">
        <v>933.67</v>
      </c>
      <c r="D1223" s="1">
        <v>297.37</v>
      </c>
    </row>
    <row r="1224" spans="1:4" x14ac:dyDescent="0.25">
      <c r="A1224" s="7">
        <v>43898.625</v>
      </c>
      <c r="B1224" s="1" t="s">
        <v>74</v>
      </c>
      <c r="C1224" s="1">
        <v>7284.42</v>
      </c>
      <c r="D1224" s="1">
        <v>1369.7</v>
      </c>
    </row>
    <row r="1225" spans="1:4" x14ac:dyDescent="0.25">
      <c r="A1225" s="7">
        <v>43898.625</v>
      </c>
      <c r="B1225" s="1" t="s">
        <v>78</v>
      </c>
      <c r="C1225" s="1">
        <v>1768.43</v>
      </c>
      <c r="D1225" s="1">
        <v>703.08</v>
      </c>
    </row>
    <row r="1226" spans="1:4" x14ac:dyDescent="0.25">
      <c r="A1226" s="7">
        <v>43898.625</v>
      </c>
      <c r="B1226" s="1" t="s">
        <v>69</v>
      </c>
      <c r="C1226" s="1">
        <v>4473.99</v>
      </c>
      <c r="D1226" s="1">
        <v>2456.31</v>
      </c>
    </row>
    <row r="1227" spans="1:4" x14ac:dyDescent="0.25">
      <c r="A1227" s="7">
        <v>43898.625</v>
      </c>
      <c r="B1227" s="1" t="s">
        <v>70</v>
      </c>
      <c r="C1227" s="1">
        <v>6378.61</v>
      </c>
      <c r="D1227" s="1">
        <v>2175.25</v>
      </c>
    </row>
    <row r="1228" spans="1:4" x14ac:dyDescent="0.25">
      <c r="A1228" s="7">
        <v>43898.625</v>
      </c>
      <c r="B1228" s="1" t="s">
        <v>76</v>
      </c>
      <c r="C1228" s="1">
        <v>11902.08</v>
      </c>
      <c r="D1228" s="1">
        <v>2142.11</v>
      </c>
    </row>
    <row r="1229" spans="1:4" x14ac:dyDescent="0.25">
      <c r="A1229" s="7">
        <v>43898.625</v>
      </c>
      <c r="B1229" s="1" t="s">
        <v>72</v>
      </c>
      <c r="C1229" s="1">
        <v>6887.16</v>
      </c>
      <c r="D1229" s="1">
        <v>3419.46</v>
      </c>
    </row>
    <row r="1230" spans="1:4" x14ac:dyDescent="0.25">
      <c r="A1230" s="7">
        <v>43898.625</v>
      </c>
      <c r="B1230" s="1" t="s">
        <v>73</v>
      </c>
      <c r="C1230" s="1">
        <v>6202.88</v>
      </c>
      <c r="D1230" s="1">
        <v>887.53</v>
      </c>
    </row>
    <row r="1231" spans="1:4" x14ac:dyDescent="0.25">
      <c r="A1231" s="7">
        <v>43898.625</v>
      </c>
      <c r="B1231" s="1" t="s">
        <v>68</v>
      </c>
      <c r="C1231" s="1">
        <v>7590.41</v>
      </c>
      <c r="D1231" s="1">
        <v>1810.63</v>
      </c>
    </row>
    <row r="1232" spans="1:4" x14ac:dyDescent="0.25">
      <c r="A1232" s="7">
        <v>43898.625</v>
      </c>
      <c r="B1232" s="1" t="s">
        <v>77</v>
      </c>
      <c r="C1232" s="1">
        <v>7342.38</v>
      </c>
      <c r="D1232" s="1">
        <v>1782.35</v>
      </c>
    </row>
    <row r="1233" spans="1:4" x14ac:dyDescent="0.25">
      <c r="A1233" s="7">
        <v>43898.625</v>
      </c>
      <c r="B1233" s="1" t="s">
        <v>71</v>
      </c>
      <c r="C1233" s="1">
        <v>9703.98</v>
      </c>
      <c r="D1233" s="1">
        <v>1924.23</v>
      </c>
    </row>
    <row r="1234" spans="1:4" x14ac:dyDescent="0.25">
      <c r="A1234" s="7">
        <v>43898.666666666664</v>
      </c>
      <c r="B1234" s="1" t="s">
        <v>75</v>
      </c>
      <c r="C1234" s="1">
        <v>950.37</v>
      </c>
      <c r="D1234" s="1">
        <v>313.3</v>
      </c>
    </row>
    <row r="1235" spans="1:4" x14ac:dyDescent="0.25">
      <c r="A1235" s="7">
        <v>43898.666666666664</v>
      </c>
      <c r="B1235" s="1" t="s">
        <v>74</v>
      </c>
      <c r="C1235" s="1">
        <v>7583.14</v>
      </c>
      <c r="D1235" s="1">
        <v>1461.7</v>
      </c>
    </row>
    <row r="1236" spans="1:4" x14ac:dyDescent="0.25">
      <c r="A1236" s="7">
        <v>43898.666666666664</v>
      </c>
      <c r="B1236" s="1" t="s">
        <v>72</v>
      </c>
      <c r="C1236" s="1">
        <v>7060.95</v>
      </c>
      <c r="D1236" s="1">
        <v>3563.73</v>
      </c>
    </row>
    <row r="1237" spans="1:4" x14ac:dyDescent="0.25">
      <c r="A1237" s="7">
        <v>43898.666666666664</v>
      </c>
      <c r="B1237" s="1" t="s">
        <v>73</v>
      </c>
      <c r="C1237" s="1">
        <v>6666.42</v>
      </c>
      <c r="D1237" s="1">
        <v>1058.53</v>
      </c>
    </row>
    <row r="1238" spans="1:4" x14ac:dyDescent="0.25">
      <c r="A1238" s="7">
        <v>43898.666666666664</v>
      </c>
      <c r="B1238" s="1" t="s">
        <v>68</v>
      </c>
      <c r="C1238" s="1">
        <v>7924.98</v>
      </c>
      <c r="D1238" s="1">
        <v>1971.71</v>
      </c>
    </row>
    <row r="1239" spans="1:4" x14ac:dyDescent="0.25">
      <c r="A1239" s="7">
        <v>43898.666666666664</v>
      </c>
      <c r="B1239" s="1" t="s">
        <v>71</v>
      </c>
      <c r="C1239" s="1">
        <v>10073.67</v>
      </c>
      <c r="D1239" s="1">
        <v>2154.65</v>
      </c>
    </row>
    <row r="1240" spans="1:4" x14ac:dyDescent="0.25">
      <c r="A1240" s="7">
        <v>43898.666666666664</v>
      </c>
      <c r="B1240" s="1" t="s">
        <v>70</v>
      </c>
      <c r="C1240" s="1">
        <v>6559.9</v>
      </c>
      <c r="D1240" s="1">
        <v>2360.1799999999998</v>
      </c>
    </row>
    <row r="1241" spans="1:4" x14ac:dyDescent="0.25">
      <c r="A1241" s="7">
        <v>43898.666666666664</v>
      </c>
      <c r="B1241" s="1" t="s">
        <v>69</v>
      </c>
      <c r="C1241" s="1">
        <v>4559.1899999999996</v>
      </c>
      <c r="D1241" s="1">
        <v>2473.23</v>
      </c>
    </row>
    <row r="1242" spans="1:4" x14ac:dyDescent="0.25">
      <c r="A1242" s="7">
        <v>43898.666666666664</v>
      </c>
      <c r="B1242" s="1" t="s">
        <v>78</v>
      </c>
      <c r="C1242" s="1">
        <v>1726.75</v>
      </c>
      <c r="D1242" s="1">
        <v>675.57</v>
      </c>
    </row>
    <row r="1243" spans="1:4" x14ac:dyDescent="0.25">
      <c r="A1243" s="7">
        <v>43898.666666666664</v>
      </c>
      <c r="B1243" s="1" t="s">
        <v>76</v>
      </c>
      <c r="C1243" s="1">
        <v>12469.58</v>
      </c>
      <c r="D1243" s="1">
        <v>2333.7800000000002</v>
      </c>
    </row>
    <row r="1244" spans="1:4" x14ac:dyDescent="0.25">
      <c r="A1244" s="7">
        <v>43898.666666666664</v>
      </c>
      <c r="B1244" s="1" t="s">
        <v>77</v>
      </c>
      <c r="C1244" s="1">
        <v>7807.14</v>
      </c>
      <c r="D1244" s="1">
        <v>1944.16</v>
      </c>
    </row>
    <row r="1245" spans="1:4" x14ac:dyDescent="0.25">
      <c r="A1245" s="7">
        <v>43898.708333333336</v>
      </c>
      <c r="B1245" s="1" t="s">
        <v>75</v>
      </c>
      <c r="C1245" s="1">
        <v>1002.52</v>
      </c>
      <c r="D1245" s="1">
        <v>318.67</v>
      </c>
    </row>
    <row r="1246" spans="1:4" x14ac:dyDescent="0.25">
      <c r="A1246" s="7">
        <v>43898.708333333336</v>
      </c>
      <c r="B1246" s="1" t="s">
        <v>74</v>
      </c>
      <c r="C1246" s="1">
        <v>8225.9599999999991</v>
      </c>
      <c r="D1246" s="1">
        <v>1696.92</v>
      </c>
    </row>
    <row r="1247" spans="1:4" x14ac:dyDescent="0.25">
      <c r="A1247" s="7">
        <v>43898.708333333336</v>
      </c>
      <c r="B1247" s="1" t="s">
        <v>76</v>
      </c>
      <c r="C1247" s="1">
        <v>13534.05</v>
      </c>
      <c r="D1247" s="1">
        <v>2667.55</v>
      </c>
    </row>
    <row r="1248" spans="1:4" x14ac:dyDescent="0.25">
      <c r="A1248" s="7">
        <v>43898.708333333336</v>
      </c>
      <c r="B1248" s="1" t="s">
        <v>73</v>
      </c>
      <c r="C1248" s="1">
        <v>7191.2</v>
      </c>
      <c r="D1248" s="1">
        <v>1227.79</v>
      </c>
    </row>
    <row r="1249" spans="1:4" x14ac:dyDescent="0.25">
      <c r="A1249" s="7">
        <v>43898.708333333336</v>
      </c>
      <c r="B1249" s="1" t="s">
        <v>72</v>
      </c>
      <c r="C1249" s="1">
        <v>7617.53</v>
      </c>
      <c r="D1249" s="1">
        <v>3937.21</v>
      </c>
    </row>
    <row r="1250" spans="1:4" x14ac:dyDescent="0.25">
      <c r="A1250" s="7">
        <v>43898.708333333336</v>
      </c>
      <c r="B1250" s="1" t="s">
        <v>71</v>
      </c>
      <c r="C1250" s="1">
        <v>10608.24</v>
      </c>
      <c r="D1250" s="1">
        <v>2471.91</v>
      </c>
    </row>
    <row r="1251" spans="1:4" x14ac:dyDescent="0.25">
      <c r="A1251" s="7">
        <v>43898.708333333336</v>
      </c>
      <c r="B1251" s="1" t="s">
        <v>68</v>
      </c>
      <c r="C1251" s="1">
        <v>8544.08</v>
      </c>
      <c r="D1251" s="1">
        <v>2277.04</v>
      </c>
    </row>
    <row r="1252" spans="1:4" x14ac:dyDescent="0.25">
      <c r="A1252" s="7">
        <v>43898.708333333336</v>
      </c>
      <c r="B1252" s="1" t="s">
        <v>77</v>
      </c>
      <c r="C1252" s="1">
        <v>8514.82</v>
      </c>
      <c r="D1252" s="1">
        <v>2179.21</v>
      </c>
    </row>
    <row r="1253" spans="1:4" x14ac:dyDescent="0.25">
      <c r="A1253" s="7">
        <v>43898.708333333336</v>
      </c>
      <c r="B1253" s="1" t="s">
        <v>70</v>
      </c>
      <c r="C1253" s="1">
        <v>7027.62</v>
      </c>
      <c r="D1253" s="1">
        <v>2591.1</v>
      </c>
    </row>
    <row r="1254" spans="1:4" x14ac:dyDescent="0.25">
      <c r="A1254" s="7">
        <v>43898.708333333336</v>
      </c>
      <c r="B1254" s="1" t="s">
        <v>78</v>
      </c>
      <c r="C1254" s="1">
        <v>1897.28</v>
      </c>
      <c r="D1254" s="1">
        <v>767.91</v>
      </c>
    </row>
    <row r="1255" spans="1:4" x14ac:dyDescent="0.25">
      <c r="A1255" s="7">
        <v>43898.708333333336</v>
      </c>
      <c r="B1255" s="1" t="s">
        <v>69</v>
      </c>
      <c r="C1255" s="1">
        <v>4862.2299999999996</v>
      </c>
      <c r="D1255" s="1">
        <v>2631.21</v>
      </c>
    </row>
    <row r="1256" spans="1:4" x14ac:dyDescent="0.25">
      <c r="A1256" s="7">
        <v>43898.75</v>
      </c>
      <c r="B1256" s="1" t="s">
        <v>74</v>
      </c>
      <c r="C1256" s="1">
        <v>9107.58</v>
      </c>
      <c r="D1256" s="1">
        <v>1912.61</v>
      </c>
    </row>
    <row r="1257" spans="1:4" x14ac:dyDescent="0.25">
      <c r="A1257" s="7">
        <v>43898.75</v>
      </c>
      <c r="B1257" s="1" t="s">
        <v>75</v>
      </c>
      <c r="C1257" s="1">
        <v>1012.87</v>
      </c>
      <c r="D1257" s="1">
        <v>331.61</v>
      </c>
    </row>
    <row r="1258" spans="1:4" x14ac:dyDescent="0.25">
      <c r="A1258" s="7">
        <v>43898.75</v>
      </c>
      <c r="B1258" s="1" t="s">
        <v>76</v>
      </c>
      <c r="C1258" s="1">
        <v>14490.53</v>
      </c>
      <c r="D1258" s="1">
        <v>2953.38</v>
      </c>
    </row>
    <row r="1259" spans="1:4" x14ac:dyDescent="0.25">
      <c r="A1259" s="7">
        <v>43898.75</v>
      </c>
      <c r="B1259" s="1" t="s">
        <v>68</v>
      </c>
      <c r="C1259" s="1">
        <v>9265.3700000000008</v>
      </c>
      <c r="D1259" s="1">
        <v>2635.38</v>
      </c>
    </row>
    <row r="1260" spans="1:4" x14ac:dyDescent="0.25">
      <c r="A1260" s="7">
        <v>43898.75</v>
      </c>
      <c r="B1260" s="1" t="s">
        <v>77</v>
      </c>
      <c r="C1260" s="1">
        <v>9131.34</v>
      </c>
      <c r="D1260" s="1">
        <v>2393.31</v>
      </c>
    </row>
    <row r="1261" spans="1:4" x14ac:dyDescent="0.25">
      <c r="A1261" s="7">
        <v>43898.75</v>
      </c>
      <c r="B1261" s="1" t="s">
        <v>71</v>
      </c>
      <c r="C1261" s="1">
        <v>11474.14</v>
      </c>
      <c r="D1261" s="1">
        <v>2751.58</v>
      </c>
    </row>
    <row r="1262" spans="1:4" x14ac:dyDescent="0.25">
      <c r="A1262" s="7">
        <v>43898.75</v>
      </c>
      <c r="B1262" s="1" t="s">
        <v>70</v>
      </c>
      <c r="C1262" s="1">
        <v>7295.55</v>
      </c>
      <c r="D1262" s="1">
        <v>2755.87</v>
      </c>
    </row>
    <row r="1263" spans="1:4" x14ac:dyDescent="0.25">
      <c r="A1263" s="7">
        <v>43898.75</v>
      </c>
      <c r="B1263" s="1" t="s">
        <v>69</v>
      </c>
      <c r="C1263" s="1">
        <v>5333.19</v>
      </c>
      <c r="D1263" s="1">
        <v>2884.58</v>
      </c>
    </row>
    <row r="1264" spans="1:4" x14ac:dyDescent="0.25">
      <c r="A1264" s="7">
        <v>43898.75</v>
      </c>
      <c r="B1264" s="1" t="s">
        <v>78</v>
      </c>
      <c r="C1264" s="1">
        <v>2050.44</v>
      </c>
      <c r="D1264" s="1">
        <v>835.68</v>
      </c>
    </row>
    <row r="1265" spans="1:4" x14ac:dyDescent="0.25">
      <c r="A1265" s="7">
        <v>43898.75</v>
      </c>
      <c r="B1265" s="1" t="s">
        <v>72</v>
      </c>
      <c r="C1265" s="1">
        <v>8296.65</v>
      </c>
      <c r="D1265" s="1">
        <v>4235.6000000000004</v>
      </c>
    </row>
    <row r="1266" spans="1:4" x14ac:dyDescent="0.25">
      <c r="A1266" s="7">
        <v>43898.75</v>
      </c>
      <c r="B1266" s="1" t="s">
        <v>73</v>
      </c>
      <c r="C1266" s="1">
        <v>7566.43</v>
      </c>
      <c r="D1266" s="1">
        <v>1325.51</v>
      </c>
    </row>
    <row r="1267" spans="1:4" x14ac:dyDescent="0.25">
      <c r="A1267" s="7">
        <v>43898.791666666664</v>
      </c>
      <c r="B1267" s="1" t="s">
        <v>75</v>
      </c>
      <c r="C1267" s="1">
        <v>1667.47</v>
      </c>
      <c r="D1267" s="1">
        <v>510.8</v>
      </c>
    </row>
    <row r="1268" spans="1:4" x14ac:dyDescent="0.25">
      <c r="A1268" s="7">
        <v>43898.791666666664</v>
      </c>
      <c r="B1268" s="1" t="s">
        <v>74</v>
      </c>
      <c r="C1268" s="1">
        <v>13437.58</v>
      </c>
      <c r="D1268" s="1">
        <v>2503.92</v>
      </c>
    </row>
    <row r="1269" spans="1:4" x14ac:dyDescent="0.25">
      <c r="A1269" s="7">
        <v>43898.791666666664</v>
      </c>
      <c r="B1269" s="1" t="s">
        <v>76</v>
      </c>
      <c r="C1269" s="1">
        <v>22090.51</v>
      </c>
      <c r="D1269" s="1">
        <v>4112.6899999999996</v>
      </c>
    </row>
    <row r="1270" spans="1:4" x14ac:dyDescent="0.25">
      <c r="A1270" s="7">
        <v>43898.791666666664</v>
      </c>
      <c r="B1270" s="1" t="s">
        <v>68</v>
      </c>
      <c r="C1270" s="1">
        <v>15366.94</v>
      </c>
      <c r="D1270" s="1">
        <v>3836.58</v>
      </c>
    </row>
    <row r="1271" spans="1:4" x14ac:dyDescent="0.25">
      <c r="A1271" s="7">
        <v>43898.791666666664</v>
      </c>
      <c r="B1271" s="1" t="s">
        <v>77</v>
      </c>
      <c r="C1271" s="1">
        <v>14031.46</v>
      </c>
      <c r="D1271" s="1">
        <v>3477.02</v>
      </c>
    </row>
    <row r="1272" spans="1:4" x14ac:dyDescent="0.25">
      <c r="A1272" s="7">
        <v>43898.791666666664</v>
      </c>
      <c r="B1272" s="1" t="s">
        <v>70</v>
      </c>
      <c r="C1272" s="1">
        <v>12143.38</v>
      </c>
      <c r="D1272" s="1">
        <v>4148.25</v>
      </c>
    </row>
    <row r="1273" spans="1:4" x14ac:dyDescent="0.25">
      <c r="A1273" s="7">
        <v>43898.791666666664</v>
      </c>
      <c r="B1273" s="1" t="s">
        <v>69</v>
      </c>
      <c r="C1273" s="1">
        <v>7700.38</v>
      </c>
      <c r="D1273" s="1">
        <v>3986.13</v>
      </c>
    </row>
    <row r="1274" spans="1:4" x14ac:dyDescent="0.25">
      <c r="A1274" s="7">
        <v>43898.791666666664</v>
      </c>
      <c r="B1274" s="1" t="s">
        <v>78</v>
      </c>
      <c r="C1274" s="1">
        <v>3097.2</v>
      </c>
      <c r="D1274" s="1">
        <v>1235.56</v>
      </c>
    </row>
    <row r="1275" spans="1:4" x14ac:dyDescent="0.25">
      <c r="A1275" s="7">
        <v>43898.791666666664</v>
      </c>
      <c r="B1275" s="1" t="s">
        <v>72</v>
      </c>
      <c r="C1275" s="1">
        <v>12217.95</v>
      </c>
      <c r="D1275" s="1">
        <v>5858.76</v>
      </c>
    </row>
    <row r="1276" spans="1:4" x14ac:dyDescent="0.25">
      <c r="A1276" s="7">
        <v>43898.791666666664</v>
      </c>
      <c r="B1276" s="1" t="s">
        <v>73</v>
      </c>
      <c r="C1276" s="1">
        <v>12081.77</v>
      </c>
      <c r="D1276" s="1">
        <v>1799.04</v>
      </c>
    </row>
    <row r="1277" spans="1:4" x14ac:dyDescent="0.25">
      <c r="A1277" s="7">
        <v>43898.791666666664</v>
      </c>
      <c r="B1277" s="1" t="s">
        <v>71</v>
      </c>
      <c r="C1277" s="1">
        <v>19067.050999999999</v>
      </c>
      <c r="D1277" s="1">
        <v>3895.06</v>
      </c>
    </row>
    <row r="1278" spans="1:4" x14ac:dyDescent="0.25">
      <c r="A1278" s="7">
        <v>43898.833333333336</v>
      </c>
      <c r="B1278" s="1" t="s">
        <v>75</v>
      </c>
      <c r="C1278" s="1">
        <v>1752.21</v>
      </c>
      <c r="D1278" s="1">
        <v>526.97</v>
      </c>
    </row>
    <row r="1279" spans="1:4" x14ac:dyDescent="0.25">
      <c r="A1279" s="7">
        <v>43898.833333333336</v>
      </c>
      <c r="B1279" s="1" t="s">
        <v>74</v>
      </c>
      <c r="C1279" s="1">
        <v>14037.78</v>
      </c>
      <c r="D1279" s="1">
        <v>2554.17</v>
      </c>
    </row>
    <row r="1280" spans="1:4" x14ac:dyDescent="0.25">
      <c r="A1280" s="7">
        <v>43898.833333333336</v>
      </c>
      <c r="B1280" s="1" t="s">
        <v>78</v>
      </c>
      <c r="C1280" s="1">
        <v>3291.45</v>
      </c>
      <c r="D1280" s="1">
        <v>1275.4000000000001</v>
      </c>
    </row>
    <row r="1281" spans="1:4" x14ac:dyDescent="0.25">
      <c r="A1281" s="7">
        <v>43898.833333333336</v>
      </c>
      <c r="B1281" s="1" t="s">
        <v>77</v>
      </c>
      <c r="C1281" s="1">
        <v>14484</v>
      </c>
      <c r="D1281" s="1">
        <v>3528.6</v>
      </c>
    </row>
    <row r="1282" spans="1:4" x14ac:dyDescent="0.25">
      <c r="A1282" s="7">
        <v>43898.833333333336</v>
      </c>
      <c r="B1282" s="1" t="s">
        <v>71</v>
      </c>
      <c r="C1282" s="1">
        <v>20524.52</v>
      </c>
      <c r="D1282" s="1">
        <v>4014.09</v>
      </c>
    </row>
    <row r="1283" spans="1:4" x14ac:dyDescent="0.25">
      <c r="A1283" s="7">
        <v>43898.833333333336</v>
      </c>
      <c r="B1283" s="1" t="s">
        <v>69</v>
      </c>
      <c r="C1283" s="1">
        <v>8095.78</v>
      </c>
      <c r="D1283" s="1">
        <v>4308.6000000000004</v>
      </c>
    </row>
    <row r="1284" spans="1:4" x14ac:dyDescent="0.25">
      <c r="A1284" s="7">
        <v>43898.833333333336</v>
      </c>
      <c r="B1284" s="1" t="s">
        <v>76</v>
      </c>
      <c r="C1284" s="1">
        <v>22838.16</v>
      </c>
      <c r="D1284" s="1">
        <v>4033.59</v>
      </c>
    </row>
    <row r="1285" spans="1:4" x14ac:dyDescent="0.25">
      <c r="A1285" s="7">
        <v>43898.833333333336</v>
      </c>
      <c r="B1285" s="1" t="s">
        <v>72</v>
      </c>
      <c r="C1285" s="1">
        <v>12608.6</v>
      </c>
      <c r="D1285" s="1">
        <v>6000.07</v>
      </c>
    </row>
    <row r="1286" spans="1:4" x14ac:dyDescent="0.25">
      <c r="A1286" s="7">
        <v>43898.833333333336</v>
      </c>
      <c r="B1286" s="1" t="s">
        <v>73</v>
      </c>
      <c r="C1286" s="1">
        <v>12557.93</v>
      </c>
      <c r="D1286" s="1">
        <v>1782.84</v>
      </c>
    </row>
    <row r="1287" spans="1:4" x14ac:dyDescent="0.25">
      <c r="A1287" s="7">
        <v>43898.833333333336</v>
      </c>
      <c r="B1287" s="1" t="s">
        <v>68</v>
      </c>
      <c r="C1287" s="1">
        <v>16408.759999999998</v>
      </c>
      <c r="D1287" s="1">
        <v>3953.18</v>
      </c>
    </row>
    <row r="1288" spans="1:4" x14ac:dyDescent="0.25">
      <c r="A1288" s="7">
        <v>43898.833333333336</v>
      </c>
      <c r="B1288" s="1" t="s">
        <v>70</v>
      </c>
      <c r="C1288" s="1">
        <v>12392.05</v>
      </c>
      <c r="D1288" s="1">
        <v>4063.61</v>
      </c>
    </row>
    <row r="1289" spans="1:4" x14ac:dyDescent="0.25">
      <c r="A1289" s="7">
        <v>43898.875</v>
      </c>
      <c r="B1289" s="1" t="s">
        <v>75</v>
      </c>
      <c r="C1289" s="1">
        <v>1693.98</v>
      </c>
      <c r="D1289" s="1">
        <v>520.59</v>
      </c>
    </row>
    <row r="1290" spans="1:4" x14ac:dyDescent="0.25">
      <c r="A1290" s="7">
        <v>43898.875</v>
      </c>
      <c r="B1290" s="1" t="s">
        <v>74</v>
      </c>
      <c r="C1290" s="1">
        <v>12065.59</v>
      </c>
      <c r="D1290" s="1">
        <v>2228.4299999999998</v>
      </c>
    </row>
    <row r="1291" spans="1:4" x14ac:dyDescent="0.25">
      <c r="A1291" s="7">
        <v>43898.875</v>
      </c>
      <c r="B1291" s="1" t="s">
        <v>78</v>
      </c>
      <c r="C1291" s="1">
        <v>3096.3</v>
      </c>
      <c r="D1291" s="1">
        <v>1233.98</v>
      </c>
    </row>
    <row r="1292" spans="1:4" x14ac:dyDescent="0.25">
      <c r="A1292" s="7">
        <v>43898.875</v>
      </c>
      <c r="B1292" s="1" t="s">
        <v>72</v>
      </c>
      <c r="C1292" s="1">
        <v>11724.96</v>
      </c>
      <c r="D1292" s="1">
        <v>5571.49</v>
      </c>
    </row>
    <row r="1293" spans="1:4" x14ac:dyDescent="0.25">
      <c r="A1293" s="7">
        <v>43898.875</v>
      </c>
      <c r="B1293" s="1" t="s">
        <v>73</v>
      </c>
      <c r="C1293" s="1">
        <v>11028.93</v>
      </c>
      <c r="D1293" s="1">
        <v>1574</v>
      </c>
    </row>
    <row r="1294" spans="1:4" x14ac:dyDescent="0.25">
      <c r="A1294" s="7">
        <v>43898.875</v>
      </c>
      <c r="B1294" s="1" t="s">
        <v>68</v>
      </c>
      <c r="C1294" s="1">
        <v>13976.4</v>
      </c>
      <c r="D1294" s="1">
        <v>3470.88</v>
      </c>
    </row>
    <row r="1295" spans="1:4" x14ac:dyDescent="0.25">
      <c r="A1295" s="7">
        <v>43898.875</v>
      </c>
      <c r="B1295" s="1" t="s">
        <v>71</v>
      </c>
      <c r="C1295" s="1">
        <v>17300.84</v>
      </c>
      <c r="D1295" s="1">
        <v>3402.1</v>
      </c>
    </row>
    <row r="1296" spans="1:4" x14ac:dyDescent="0.25">
      <c r="A1296" s="7">
        <v>43898.875</v>
      </c>
      <c r="B1296" s="1" t="s">
        <v>70</v>
      </c>
      <c r="C1296" s="1">
        <v>11138.81</v>
      </c>
      <c r="D1296" s="1">
        <v>3644.67</v>
      </c>
    </row>
    <row r="1297" spans="1:4" x14ac:dyDescent="0.25">
      <c r="A1297" s="7">
        <v>43898.875</v>
      </c>
      <c r="B1297" s="1" t="s">
        <v>76</v>
      </c>
      <c r="C1297" s="1">
        <v>20178.539000000001</v>
      </c>
      <c r="D1297" s="1">
        <v>3551.81</v>
      </c>
    </row>
    <row r="1298" spans="1:4" x14ac:dyDescent="0.25">
      <c r="A1298" s="7">
        <v>43898.875</v>
      </c>
      <c r="B1298" s="1" t="s">
        <v>77</v>
      </c>
      <c r="C1298" s="1">
        <v>13072.77</v>
      </c>
      <c r="D1298" s="1">
        <v>3144.23</v>
      </c>
    </row>
    <row r="1299" spans="1:4" x14ac:dyDescent="0.25">
      <c r="A1299" s="7">
        <v>43898.875</v>
      </c>
      <c r="B1299" s="1" t="s">
        <v>69</v>
      </c>
      <c r="C1299" s="1">
        <v>7628.37</v>
      </c>
      <c r="D1299" s="1">
        <v>4041.27</v>
      </c>
    </row>
    <row r="1300" spans="1:4" x14ac:dyDescent="0.25">
      <c r="A1300" s="7">
        <v>43898.916666666664</v>
      </c>
      <c r="B1300" s="1" t="s">
        <v>75</v>
      </c>
      <c r="C1300" s="1">
        <v>1320.37</v>
      </c>
      <c r="D1300" s="1">
        <v>413.65</v>
      </c>
    </row>
    <row r="1301" spans="1:4" x14ac:dyDescent="0.25">
      <c r="A1301" s="7">
        <v>43898.916666666664</v>
      </c>
      <c r="B1301" s="1" t="s">
        <v>74</v>
      </c>
      <c r="C1301" s="1">
        <v>7649.43</v>
      </c>
      <c r="D1301" s="1">
        <v>1556.68</v>
      </c>
    </row>
    <row r="1302" spans="1:4" x14ac:dyDescent="0.25">
      <c r="A1302" s="7">
        <v>43898.916666666664</v>
      </c>
      <c r="B1302" s="1" t="s">
        <v>73</v>
      </c>
      <c r="C1302" s="1">
        <v>7446.9</v>
      </c>
      <c r="D1302" s="1">
        <v>1170.24</v>
      </c>
    </row>
    <row r="1303" spans="1:4" x14ac:dyDescent="0.25">
      <c r="A1303" s="7">
        <v>43898.916666666664</v>
      </c>
      <c r="B1303" s="1" t="s">
        <v>71</v>
      </c>
      <c r="C1303" s="1">
        <v>10548.61</v>
      </c>
      <c r="D1303" s="1">
        <v>2332.19</v>
      </c>
    </row>
    <row r="1304" spans="1:4" x14ac:dyDescent="0.25">
      <c r="A1304" s="7">
        <v>43898.916666666664</v>
      </c>
      <c r="B1304" s="1" t="s">
        <v>68</v>
      </c>
      <c r="C1304" s="1">
        <v>9330.17</v>
      </c>
      <c r="D1304" s="1">
        <v>2509.15</v>
      </c>
    </row>
    <row r="1305" spans="1:4" x14ac:dyDescent="0.25">
      <c r="A1305" s="7">
        <v>43898.916666666664</v>
      </c>
      <c r="B1305" s="1" t="s">
        <v>70</v>
      </c>
      <c r="C1305" s="1">
        <v>7790.56</v>
      </c>
      <c r="D1305" s="1">
        <v>2691.23</v>
      </c>
    </row>
    <row r="1306" spans="1:4" x14ac:dyDescent="0.25">
      <c r="A1306" s="7">
        <v>43898.916666666664</v>
      </c>
      <c r="B1306" s="1" t="s">
        <v>78</v>
      </c>
      <c r="C1306" s="1">
        <v>2286.92</v>
      </c>
      <c r="D1306" s="1">
        <v>920.54</v>
      </c>
    </row>
    <row r="1307" spans="1:4" x14ac:dyDescent="0.25">
      <c r="A1307" s="7">
        <v>43898.916666666664</v>
      </c>
      <c r="B1307" s="1" t="s">
        <v>76</v>
      </c>
      <c r="C1307" s="1">
        <v>13488.56</v>
      </c>
      <c r="D1307" s="1">
        <v>2485.62</v>
      </c>
    </row>
    <row r="1308" spans="1:4" x14ac:dyDescent="0.25">
      <c r="A1308" s="7">
        <v>43898.916666666664</v>
      </c>
      <c r="B1308" s="1" t="s">
        <v>72</v>
      </c>
      <c r="C1308" s="1">
        <v>8825.4500000000007</v>
      </c>
      <c r="D1308" s="1">
        <v>4407.74</v>
      </c>
    </row>
    <row r="1309" spans="1:4" x14ac:dyDescent="0.25">
      <c r="A1309" s="7">
        <v>43898.916666666664</v>
      </c>
      <c r="B1309" s="1" t="s">
        <v>77</v>
      </c>
      <c r="C1309" s="1">
        <v>9446.19</v>
      </c>
      <c r="D1309" s="1">
        <v>2309.02</v>
      </c>
    </row>
    <row r="1310" spans="1:4" x14ac:dyDescent="0.25">
      <c r="A1310" s="7">
        <v>43898.916666666664</v>
      </c>
      <c r="B1310" s="1" t="s">
        <v>69</v>
      </c>
      <c r="C1310" s="1">
        <v>6023.19</v>
      </c>
      <c r="D1310" s="1">
        <v>3290.84</v>
      </c>
    </row>
    <row r="1311" spans="1:4" x14ac:dyDescent="0.25">
      <c r="A1311" s="7">
        <v>43898.958333333336</v>
      </c>
      <c r="B1311" s="1" t="s">
        <v>75</v>
      </c>
      <c r="C1311" s="1">
        <v>813.16</v>
      </c>
      <c r="D1311" s="1">
        <v>274.37</v>
      </c>
    </row>
    <row r="1312" spans="1:4" x14ac:dyDescent="0.25">
      <c r="A1312" s="7">
        <v>43898.958333333336</v>
      </c>
      <c r="B1312" s="1" t="s">
        <v>74</v>
      </c>
      <c r="C1312" s="1">
        <v>3545.48</v>
      </c>
      <c r="D1312" s="1">
        <v>843.34</v>
      </c>
    </row>
    <row r="1313" spans="1:4" x14ac:dyDescent="0.25">
      <c r="A1313" s="7">
        <v>43898.958333333336</v>
      </c>
      <c r="B1313" s="1" t="s">
        <v>76</v>
      </c>
      <c r="C1313" s="1">
        <v>6544.85</v>
      </c>
      <c r="D1313" s="1">
        <v>1327.44</v>
      </c>
    </row>
    <row r="1314" spans="1:4" x14ac:dyDescent="0.25">
      <c r="A1314" s="7">
        <v>43898.958333333336</v>
      </c>
      <c r="B1314" s="1" t="s">
        <v>68</v>
      </c>
      <c r="C1314" s="1">
        <v>4488.96</v>
      </c>
      <c r="D1314" s="1">
        <v>1408.08</v>
      </c>
    </row>
    <row r="1315" spans="1:4" x14ac:dyDescent="0.25">
      <c r="A1315" s="7">
        <v>43898.958333333336</v>
      </c>
      <c r="B1315" s="1" t="s">
        <v>77</v>
      </c>
      <c r="C1315" s="1">
        <v>5145.83</v>
      </c>
      <c r="D1315" s="1">
        <v>1340.14</v>
      </c>
    </row>
    <row r="1316" spans="1:4" x14ac:dyDescent="0.25">
      <c r="A1316" s="7">
        <v>43898.958333333336</v>
      </c>
      <c r="B1316" s="1" t="s">
        <v>71</v>
      </c>
      <c r="C1316" s="1">
        <v>4760.05</v>
      </c>
      <c r="D1316" s="1">
        <v>1204.07</v>
      </c>
    </row>
    <row r="1317" spans="1:4" x14ac:dyDescent="0.25">
      <c r="A1317" s="7">
        <v>43898.958333333336</v>
      </c>
      <c r="B1317" s="1" t="s">
        <v>69</v>
      </c>
      <c r="C1317" s="1">
        <v>3633.08</v>
      </c>
      <c r="D1317" s="1">
        <v>2101.88</v>
      </c>
    </row>
    <row r="1318" spans="1:4" x14ac:dyDescent="0.25">
      <c r="A1318" s="7">
        <v>43898.958333333336</v>
      </c>
      <c r="B1318" s="1" t="s">
        <v>70</v>
      </c>
      <c r="C1318" s="1">
        <v>4079.18</v>
      </c>
      <c r="D1318" s="1">
        <v>1503.68</v>
      </c>
    </row>
    <row r="1319" spans="1:4" x14ac:dyDescent="0.25">
      <c r="A1319" s="7">
        <v>43898.958333333336</v>
      </c>
      <c r="B1319" s="1" t="s">
        <v>78</v>
      </c>
      <c r="C1319" s="1">
        <v>1356.29</v>
      </c>
      <c r="D1319" s="1">
        <v>574.71</v>
      </c>
    </row>
    <row r="1320" spans="1:4" x14ac:dyDescent="0.25">
      <c r="A1320" s="7">
        <v>43898.958333333336</v>
      </c>
      <c r="B1320" s="1" t="s">
        <v>72</v>
      </c>
      <c r="C1320" s="1">
        <v>5209.8900000000003</v>
      </c>
      <c r="D1320" s="1">
        <v>2772.53</v>
      </c>
    </row>
    <row r="1321" spans="1:4" x14ac:dyDescent="0.25">
      <c r="A1321" s="7">
        <v>43898.958333333336</v>
      </c>
      <c r="B1321" s="1" t="s">
        <v>73</v>
      </c>
      <c r="C1321" s="1">
        <v>3605.61</v>
      </c>
      <c r="D1321" s="1">
        <v>667.57</v>
      </c>
    </row>
    <row r="1322" spans="1:4" x14ac:dyDescent="0.25">
      <c r="A1322" s="7">
        <v>43929</v>
      </c>
      <c r="B1322" s="1" t="s">
        <v>75</v>
      </c>
      <c r="C1322" s="1">
        <v>446.29</v>
      </c>
      <c r="D1322" s="1">
        <v>158.54</v>
      </c>
    </row>
    <row r="1323" spans="1:4" x14ac:dyDescent="0.25">
      <c r="A1323" s="7">
        <v>43929</v>
      </c>
      <c r="B1323" s="1" t="s">
        <v>74</v>
      </c>
      <c r="C1323" s="1">
        <v>1556.8</v>
      </c>
      <c r="D1323" s="1">
        <v>418.77</v>
      </c>
    </row>
    <row r="1324" spans="1:4" x14ac:dyDescent="0.25">
      <c r="A1324" s="7">
        <v>43929</v>
      </c>
      <c r="B1324" s="1" t="s">
        <v>76</v>
      </c>
      <c r="C1324" s="1">
        <v>2725.9</v>
      </c>
      <c r="D1324" s="1">
        <v>587.37</v>
      </c>
    </row>
    <row r="1325" spans="1:4" x14ac:dyDescent="0.25">
      <c r="A1325" s="7">
        <v>43929</v>
      </c>
      <c r="B1325" s="1" t="s">
        <v>68</v>
      </c>
      <c r="C1325" s="1">
        <v>1918.09</v>
      </c>
      <c r="D1325" s="1">
        <v>702.75</v>
      </c>
    </row>
    <row r="1326" spans="1:4" x14ac:dyDescent="0.25">
      <c r="A1326" s="7">
        <v>43929</v>
      </c>
      <c r="B1326" s="1" t="s">
        <v>77</v>
      </c>
      <c r="C1326" s="1">
        <v>2429.46</v>
      </c>
      <c r="D1326" s="1">
        <v>663.03</v>
      </c>
    </row>
    <row r="1327" spans="1:4" x14ac:dyDescent="0.25">
      <c r="A1327" s="7">
        <v>43929</v>
      </c>
      <c r="B1327" s="1" t="s">
        <v>70</v>
      </c>
      <c r="C1327" s="1">
        <v>1809.08</v>
      </c>
      <c r="D1327" s="1">
        <v>743.51</v>
      </c>
    </row>
    <row r="1328" spans="1:4" x14ac:dyDescent="0.25">
      <c r="A1328" s="7">
        <v>43929</v>
      </c>
      <c r="B1328" s="1" t="s">
        <v>69</v>
      </c>
      <c r="C1328" s="1">
        <v>1834.23</v>
      </c>
      <c r="D1328" s="1">
        <v>1144.3900000000001</v>
      </c>
    </row>
    <row r="1329" spans="1:4" x14ac:dyDescent="0.25">
      <c r="A1329" s="7">
        <v>43929</v>
      </c>
      <c r="B1329" s="1" t="s">
        <v>78</v>
      </c>
      <c r="C1329" s="1">
        <v>659.59</v>
      </c>
      <c r="D1329" s="1">
        <v>315.36</v>
      </c>
    </row>
    <row r="1330" spans="1:4" x14ac:dyDescent="0.25">
      <c r="A1330" s="7">
        <v>43929</v>
      </c>
      <c r="B1330" s="1" t="s">
        <v>72</v>
      </c>
      <c r="C1330" s="1">
        <v>2639.81</v>
      </c>
      <c r="D1330" s="1">
        <v>1512.44</v>
      </c>
    </row>
    <row r="1331" spans="1:4" x14ac:dyDescent="0.25">
      <c r="A1331" s="7">
        <v>43929</v>
      </c>
      <c r="B1331" s="1" t="s">
        <v>73</v>
      </c>
      <c r="C1331" s="1">
        <v>1552.67</v>
      </c>
      <c r="D1331" s="1">
        <v>311.70999999999998</v>
      </c>
    </row>
    <row r="1332" spans="1:4" x14ac:dyDescent="0.25">
      <c r="A1332" s="7">
        <v>43929</v>
      </c>
      <c r="B1332" s="1" t="s">
        <v>71</v>
      </c>
      <c r="C1332" s="1">
        <v>2019.36</v>
      </c>
      <c r="D1332" s="1">
        <v>580.55999999999995</v>
      </c>
    </row>
    <row r="1333" spans="1:4" x14ac:dyDescent="0.25">
      <c r="A1333" s="7">
        <v>43929.041666666664</v>
      </c>
      <c r="B1333" s="1" t="s">
        <v>75</v>
      </c>
      <c r="C1333" s="1">
        <v>232.8</v>
      </c>
      <c r="D1333" s="1">
        <v>86.37</v>
      </c>
    </row>
    <row r="1334" spans="1:4" x14ac:dyDescent="0.25">
      <c r="A1334" s="7">
        <v>43929.041666666664</v>
      </c>
      <c r="B1334" s="1" t="s">
        <v>74</v>
      </c>
      <c r="C1334" s="1">
        <v>715.63</v>
      </c>
      <c r="D1334" s="1">
        <v>196.93</v>
      </c>
    </row>
    <row r="1335" spans="1:4" x14ac:dyDescent="0.25">
      <c r="A1335" s="7">
        <v>43929.041666666664</v>
      </c>
      <c r="B1335" s="1" t="s">
        <v>72</v>
      </c>
      <c r="C1335" s="1">
        <v>1331.1</v>
      </c>
      <c r="D1335" s="1">
        <v>750.42</v>
      </c>
    </row>
    <row r="1336" spans="1:4" x14ac:dyDescent="0.25">
      <c r="A1336" s="7">
        <v>43929.041666666664</v>
      </c>
      <c r="B1336" s="1" t="s">
        <v>73</v>
      </c>
      <c r="C1336" s="1">
        <v>671.31</v>
      </c>
      <c r="D1336" s="1">
        <v>151.83000000000001</v>
      </c>
    </row>
    <row r="1337" spans="1:4" x14ac:dyDescent="0.25">
      <c r="A1337" s="7">
        <v>43929.041666666664</v>
      </c>
      <c r="B1337" s="1" t="s">
        <v>68</v>
      </c>
      <c r="C1337" s="1">
        <v>857.1</v>
      </c>
      <c r="D1337" s="1">
        <v>338.89</v>
      </c>
    </row>
    <row r="1338" spans="1:4" x14ac:dyDescent="0.25">
      <c r="A1338" s="7">
        <v>43929.041666666664</v>
      </c>
      <c r="B1338" s="1" t="s">
        <v>77</v>
      </c>
      <c r="C1338" s="1">
        <v>1162.94</v>
      </c>
      <c r="D1338" s="1">
        <v>307.75</v>
      </c>
    </row>
    <row r="1339" spans="1:4" x14ac:dyDescent="0.25">
      <c r="A1339" s="7">
        <v>43929.041666666664</v>
      </c>
      <c r="B1339" s="1" t="s">
        <v>71</v>
      </c>
      <c r="C1339" s="1">
        <v>917.77</v>
      </c>
      <c r="D1339" s="1">
        <v>278.31</v>
      </c>
    </row>
    <row r="1340" spans="1:4" x14ac:dyDescent="0.25">
      <c r="A1340" s="7">
        <v>43929.041666666664</v>
      </c>
      <c r="B1340" s="1" t="s">
        <v>70</v>
      </c>
      <c r="C1340" s="1">
        <v>817.43</v>
      </c>
      <c r="D1340" s="1">
        <v>346.07</v>
      </c>
    </row>
    <row r="1341" spans="1:4" x14ac:dyDescent="0.25">
      <c r="A1341" s="7">
        <v>43929.041666666664</v>
      </c>
      <c r="B1341" s="1" t="s">
        <v>69</v>
      </c>
      <c r="C1341" s="1">
        <v>917.83</v>
      </c>
      <c r="D1341" s="1">
        <v>584.62</v>
      </c>
    </row>
    <row r="1342" spans="1:4" x14ac:dyDescent="0.25">
      <c r="A1342" s="7">
        <v>43929.041666666664</v>
      </c>
      <c r="B1342" s="1" t="s">
        <v>78</v>
      </c>
      <c r="C1342" s="1">
        <v>337.1</v>
      </c>
      <c r="D1342" s="1">
        <v>177.12</v>
      </c>
    </row>
    <row r="1343" spans="1:4" x14ac:dyDescent="0.25">
      <c r="A1343" s="7">
        <v>43929.041666666664</v>
      </c>
      <c r="B1343" s="1" t="s">
        <v>76</v>
      </c>
      <c r="C1343" s="1">
        <v>1161.94</v>
      </c>
      <c r="D1343" s="1">
        <v>274.39999999999998</v>
      </c>
    </row>
    <row r="1344" spans="1:4" x14ac:dyDescent="0.25">
      <c r="A1344" s="7">
        <v>43929.083333333336</v>
      </c>
      <c r="B1344" s="1" t="s">
        <v>75</v>
      </c>
      <c r="C1344" s="1">
        <v>105.94</v>
      </c>
      <c r="D1344" s="1">
        <v>43.67</v>
      </c>
    </row>
    <row r="1345" spans="1:4" x14ac:dyDescent="0.25">
      <c r="A1345" s="7">
        <v>43929.083333333336</v>
      </c>
      <c r="B1345" s="1" t="s">
        <v>74</v>
      </c>
      <c r="C1345" s="1">
        <v>365.25</v>
      </c>
      <c r="D1345" s="1">
        <v>90.01</v>
      </c>
    </row>
    <row r="1346" spans="1:4" x14ac:dyDescent="0.25">
      <c r="A1346" s="7">
        <v>43929.083333333336</v>
      </c>
      <c r="B1346" s="1" t="s">
        <v>78</v>
      </c>
      <c r="C1346" s="1">
        <v>171.99</v>
      </c>
      <c r="D1346" s="1">
        <v>86.59</v>
      </c>
    </row>
    <row r="1347" spans="1:4" x14ac:dyDescent="0.25">
      <c r="A1347" s="7">
        <v>43929.083333333336</v>
      </c>
      <c r="B1347" s="1" t="s">
        <v>73</v>
      </c>
      <c r="C1347" s="1">
        <v>359.58</v>
      </c>
      <c r="D1347" s="1">
        <v>69.239999999999995</v>
      </c>
    </row>
    <row r="1348" spans="1:4" x14ac:dyDescent="0.25">
      <c r="A1348" s="7">
        <v>43929.083333333336</v>
      </c>
      <c r="B1348" s="1" t="s">
        <v>72</v>
      </c>
      <c r="C1348" s="1">
        <v>666.68</v>
      </c>
      <c r="D1348" s="1">
        <v>394.47</v>
      </c>
    </row>
    <row r="1349" spans="1:4" x14ac:dyDescent="0.25">
      <c r="A1349" s="7">
        <v>43929.083333333336</v>
      </c>
      <c r="B1349" s="1" t="s">
        <v>71</v>
      </c>
      <c r="C1349" s="1">
        <v>458.32</v>
      </c>
      <c r="D1349" s="1">
        <v>137.27000000000001</v>
      </c>
    </row>
    <row r="1350" spans="1:4" x14ac:dyDescent="0.25">
      <c r="A1350" s="7">
        <v>43929.083333333336</v>
      </c>
      <c r="B1350" s="1" t="s">
        <v>70</v>
      </c>
      <c r="C1350" s="1">
        <v>410.68</v>
      </c>
      <c r="D1350" s="1">
        <v>175.89</v>
      </c>
    </row>
    <row r="1351" spans="1:4" x14ac:dyDescent="0.25">
      <c r="A1351" s="7">
        <v>43929.083333333336</v>
      </c>
      <c r="B1351" s="1" t="s">
        <v>76</v>
      </c>
      <c r="C1351" s="1">
        <v>579.12</v>
      </c>
      <c r="D1351" s="1">
        <v>141.74</v>
      </c>
    </row>
    <row r="1352" spans="1:4" x14ac:dyDescent="0.25">
      <c r="A1352" s="7">
        <v>43929.083333333336</v>
      </c>
      <c r="B1352" s="1" t="s">
        <v>68</v>
      </c>
      <c r="C1352" s="1">
        <v>416.29</v>
      </c>
      <c r="D1352" s="1">
        <v>152.69</v>
      </c>
    </row>
    <row r="1353" spans="1:4" x14ac:dyDescent="0.25">
      <c r="A1353" s="7">
        <v>43929.083333333336</v>
      </c>
      <c r="B1353" s="1" t="s">
        <v>77</v>
      </c>
      <c r="C1353" s="1">
        <v>596.32000000000005</v>
      </c>
      <c r="D1353" s="1">
        <v>161.05000000000001</v>
      </c>
    </row>
    <row r="1354" spans="1:4" x14ac:dyDescent="0.25">
      <c r="A1354" s="7">
        <v>43929.083333333336</v>
      </c>
      <c r="B1354" s="1" t="s">
        <v>69</v>
      </c>
      <c r="C1354" s="1">
        <v>477.35</v>
      </c>
      <c r="D1354" s="1">
        <v>269.87</v>
      </c>
    </row>
    <row r="1355" spans="1:4" x14ac:dyDescent="0.25">
      <c r="A1355" s="7">
        <v>43929.125</v>
      </c>
      <c r="B1355" s="1" t="s">
        <v>75</v>
      </c>
      <c r="C1355" s="1">
        <v>54.75</v>
      </c>
      <c r="D1355" s="1">
        <v>25.01</v>
      </c>
    </row>
    <row r="1356" spans="1:4" x14ac:dyDescent="0.25">
      <c r="A1356" s="7">
        <v>43929.125</v>
      </c>
      <c r="B1356" s="1" t="s">
        <v>74</v>
      </c>
      <c r="C1356" s="1">
        <v>211.09</v>
      </c>
      <c r="D1356" s="1">
        <v>50.61</v>
      </c>
    </row>
    <row r="1357" spans="1:4" x14ac:dyDescent="0.25">
      <c r="A1357" s="7">
        <v>43929.125</v>
      </c>
      <c r="B1357" s="1" t="s">
        <v>78</v>
      </c>
      <c r="C1357" s="1">
        <v>105.54</v>
      </c>
      <c r="D1357" s="1">
        <v>46.48</v>
      </c>
    </row>
    <row r="1358" spans="1:4" x14ac:dyDescent="0.25">
      <c r="A1358" s="7">
        <v>43929.125</v>
      </c>
      <c r="B1358" s="1" t="s">
        <v>72</v>
      </c>
      <c r="C1358" s="1">
        <v>360.72</v>
      </c>
      <c r="D1358" s="1">
        <v>203.75</v>
      </c>
    </row>
    <row r="1359" spans="1:4" x14ac:dyDescent="0.25">
      <c r="A1359" s="7">
        <v>43929.125</v>
      </c>
      <c r="B1359" s="1" t="s">
        <v>68</v>
      </c>
      <c r="C1359" s="1">
        <v>224</v>
      </c>
      <c r="D1359" s="1">
        <v>76.650000000000006</v>
      </c>
    </row>
    <row r="1360" spans="1:4" x14ac:dyDescent="0.25">
      <c r="A1360" s="7">
        <v>43929.125</v>
      </c>
      <c r="B1360" s="1" t="s">
        <v>71</v>
      </c>
      <c r="C1360" s="1">
        <v>295.62</v>
      </c>
      <c r="D1360" s="1">
        <v>82.44</v>
      </c>
    </row>
    <row r="1361" spans="1:4" x14ac:dyDescent="0.25">
      <c r="A1361" s="7">
        <v>43929.125</v>
      </c>
      <c r="B1361" s="1" t="s">
        <v>69</v>
      </c>
      <c r="C1361" s="1">
        <v>247.95</v>
      </c>
      <c r="D1361" s="1">
        <v>161.11000000000001</v>
      </c>
    </row>
    <row r="1362" spans="1:4" x14ac:dyDescent="0.25">
      <c r="A1362" s="7">
        <v>43929.125</v>
      </c>
      <c r="B1362" s="1" t="s">
        <v>70</v>
      </c>
      <c r="C1362" s="1">
        <v>236.5</v>
      </c>
      <c r="D1362" s="1">
        <v>93.05</v>
      </c>
    </row>
    <row r="1363" spans="1:4" x14ac:dyDescent="0.25">
      <c r="A1363" s="7">
        <v>43929.125</v>
      </c>
      <c r="B1363" s="1" t="s">
        <v>76</v>
      </c>
      <c r="C1363" s="1">
        <v>324.41000000000003</v>
      </c>
      <c r="D1363" s="1">
        <v>70.52</v>
      </c>
    </row>
    <row r="1364" spans="1:4" x14ac:dyDescent="0.25">
      <c r="A1364" s="7">
        <v>43929.125</v>
      </c>
      <c r="B1364" s="1" t="s">
        <v>73</v>
      </c>
      <c r="C1364" s="1">
        <v>245.19</v>
      </c>
      <c r="D1364" s="1">
        <v>51.33</v>
      </c>
    </row>
    <row r="1365" spans="1:4" x14ac:dyDescent="0.25">
      <c r="A1365" s="7">
        <v>43929.125</v>
      </c>
      <c r="B1365" s="1" t="s">
        <v>77</v>
      </c>
      <c r="C1365" s="1">
        <v>338.34</v>
      </c>
      <c r="D1365" s="1">
        <v>97.07</v>
      </c>
    </row>
    <row r="1366" spans="1:4" x14ac:dyDescent="0.25">
      <c r="A1366" s="7">
        <v>43929.166666666664</v>
      </c>
      <c r="B1366" s="1" t="s">
        <v>75</v>
      </c>
      <c r="C1366" s="1">
        <v>42.84</v>
      </c>
      <c r="D1366" s="1">
        <v>16.399999999999999</v>
      </c>
    </row>
    <row r="1367" spans="1:4" x14ac:dyDescent="0.25">
      <c r="A1367" s="7">
        <v>43929.166666666664</v>
      </c>
      <c r="B1367" s="1" t="s">
        <v>74</v>
      </c>
      <c r="C1367" s="1">
        <v>167.08</v>
      </c>
      <c r="D1367" s="1">
        <v>37.51</v>
      </c>
    </row>
    <row r="1368" spans="1:4" x14ac:dyDescent="0.25">
      <c r="A1368" s="7">
        <v>43929.166666666664</v>
      </c>
      <c r="B1368" s="1" t="s">
        <v>76</v>
      </c>
      <c r="C1368" s="1">
        <v>215.49</v>
      </c>
      <c r="D1368" s="1">
        <v>45.49</v>
      </c>
    </row>
    <row r="1369" spans="1:4" x14ac:dyDescent="0.25">
      <c r="A1369" s="7">
        <v>43929.166666666664</v>
      </c>
      <c r="B1369" s="1" t="s">
        <v>68</v>
      </c>
      <c r="C1369" s="1">
        <v>223.35</v>
      </c>
      <c r="D1369" s="1">
        <v>48.14</v>
      </c>
    </row>
    <row r="1370" spans="1:4" x14ac:dyDescent="0.25">
      <c r="A1370" s="7">
        <v>43929.166666666664</v>
      </c>
      <c r="B1370" s="1" t="s">
        <v>77</v>
      </c>
      <c r="C1370" s="1">
        <v>242.13</v>
      </c>
      <c r="D1370" s="1">
        <v>64.38</v>
      </c>
    </row>
    <row r="1371" spans="1:4" x14ac:dyDescent="0.25">
      <c r="A1371" s="7">
        <v>43929.166666666664</v>
      </c>
      <c r="B1371" s="1" t="s">
        <v>70</v>
      </c>
      <c r="C1371" s="1">
        <v>200.33</v>
      </c>
      <c r="D1371" s="1">
        <v>66.680000000000007</v>
      </c>
    </row>
    <row r="1372" spans="1:4" x14ac:dyDescent="0.25">
      <c r="A1372" s="7">
        <v>43929.166666666664</v>
      </c>
      <c r="B1372" s="1" t="s">
        <v>69</v>
      </c>
      <c r="C1372" s="1">
        <v>165.32</v>
      </c>
      <c r="D1372" s="1">
        <v>88.97</v>
      </c>
    </row>
    <row r="1373" spans="1:4" x14ac:dyDescent="0.25">
      <c r="A1373" s="7">
        <v>43929.166666666664</v>
      </c>
      <c r="B1373" s="1" t="s">
        <v>78</v>
      </c>
      <c r="C1373" s="1">
        <v>71.430000000000007</v>
      </c>
      <c r="D1373" s="1">
        <v>28.09</v>
      </c>
    </row>
    <row r="1374" spans="1:4" x14ac:dyDescent="0.25">
      <c r="A1374" s="7">
        <v>43929.166666666664</v>
      </c>
      <c r="B1374" s="1" t="s">
        <v>72</v>
      </c>
      <c r="C1374" s="1">
        <v>239.11</v>
      </c>
      <c r="D1374" s="1">
        <v>132.25</v>
      </c>
    </row>
    <row r="1375" spans="1:4" x14ac:dyDescent="0.25">
      <c r="A1375" s="7">
        <v>43929.166666666664</v>
      </c>
      <c r="B1375" s="1" t="s">
        <v>73</v>
      </c>
      <c r="C1375" s="1">
        <v>250.83</v>
      </c>
      <c r="D1375" s="1">
        <v>44.66</v>
      </c>
    </row>
    <row r="1376" spans="1:4" x14ac:dyDescent="0.25">
      <c r="A1376" s="7">
        <v>43929.166666666664</v>
      </c>
      <c r="B1376" s="1" t="s">
        <v>71</v>
      </c>
      <c r="C1376" s="1">
        <v>260.33</v>
      </c>
      <c r="D1376" s="1">
        <v>53.29</v>
      </c>
    </row>
    <row r="1377" spans="1:4" x14ac:dyDescent="0.25">
      <c r="A1377" s="7">
        <v>43929.208333333336</v>
      </c>
      <c r="B1377" s="1" t="s">
        <v>75</v>
      </c>
      <c r="C1377" s="1">
        <v>53.96</v>
      </c>
      <c r="D1377" s="1">
        <v>19.239999999999998</v>
      </c>
    </row>
    <row r="1378" spans="1:4" x14ac:dyDescent="0.25">
      <c r="A1378" s="7">
        <v>43929.208333333336</v>
      </c>
      <c r="B1378" s="1" t="s">
        <v>74</v>
      </c>
      <c r="C1378" s="1">
        <v>490.22</v>
      </c>
      <c r="D1378" s="1">
        <v>73.53</v>
      </c>
    </row>
    <row r="1379" spans="1:4" x14ac:dyDescent="0.25">
      <c r="A1379" s="7">
        <v>43929.208333333336</v>
      </c>
      <c r="B1379" s="1" t="s">
        <v>76</v>
      </c>
      <c r="C1379" s="1">
        <v>723.39</v>
      </c>
      <c r="D1379" s="1">
        <v>104.55</v>
      </c>
    </row>
    <row r="1380" spans="1:4" x14ac:dyDescent="0.25">
      <c r="A1380" s="7">
        <v>43929.208333333336</v>
      </c>
      <c r="B1380" s="1" t="s">
        <v>73</v>
      </c>
      <c r="C1380" s="1">
        <v>388.16</v>
      </c>
      <c r="D1380" s="1">
        <v>50.96</v>
      </c>
    </row>
    <row r="1381" spans="1:4" x14ac:dyDescent="0.25">
      <c r="A1381" s="7">
        <v>43929.208333333336</v>
      </c>
      <c r="B1381" s="1" t="s">
        <v>72</v>
      </c>
      <c r="C1381" s="1">
        <v>415.39</v>
      </c>
      <c r="D1381" s="1">
        <v>166.9</v>
      </c>
    </row>
    <row r="1382" spans="1:4" x14ac:dyDescent="0.25">
      <c r="A1382" s="7">
        <v>43929.208333333336</v>
      </c>
      <c r="B1382" s="1" t="s">
        <v>68</v>
      </c>
      <c r="C1382" s="1">
        <v>522.86</v>
      </c>
      <c r="D1382" s="1">
        <v>94.56</v>
      </c>
    </row>
    <row r="1383" spans="1:4" x14ac:dyDescent="0.25">
      <c r="A1383" s="7">
        <v>43929.208333333336</v>
      </c>
      <c r="B1383" s="1" t="s">
        <v>77</v>
      </c>
      <c r="C1383" s="1">
        <v>512.51</v>
      </c>
      <c r="D1383" s="1">
        <v>98.61</v>
      </c>
    </row>
    <row r="1384" spans="1:4" x14ac:dyDescent="0.25">
      <c r="A1384" s="7">
        <v>43929.208333333336</v>
      </c>
      <c r="B1384" s="1" t="s">
        <v>71</v>
      </c>
      <c r="C1384" s="1">
        <v>828.12</v>
      </c>
      <c r="D1384" s="1">
        <v>107.88</v>
      </c>
    </row>
    <row r="1385" spans="1:4" x14ac:dyDescent="0.25">
      <c r="A1385" s="7">
        <v>43929.208333333336</v>
      </c>
      <c r="B1385" s="1" t="s">
        <v>69</v>
      </c>
      <c r="C1385" s="1">
        <v>274.27999999999997</v>
      </c>
      <c r="D1385" s="1">
        <v>108.73</v>
      </c>
    </row>
    <row r="1386" spans="1:4" x14ac:dyDescent="0.25">
      <c r="A1386" s="7">
        <v>43929.208333333336</v>
      </c>
      <c r="B1386" s="1" t="s">
        <v>70</v>
      </c>
      <c r="C1386" s="1">
        <v>464.25</v>
      </c>
      <c r="D1386" s="1">
        <v>137.91999999999999</v>
      </c>
    </row>
    <row r="1387" spans="1:4" x14ac:dyDescent="0.25">
      <c r="A1387" s="7">
        <v>43929.208333333336</v>
      </c>
      <c r="B1387" s="1" t="s">
        <v>78</v>
      </c>
      <c r="C1387" s="1">
        <v>114.01</v>
      </c>
      <c r="D1387" s="1">
        <v>27.9</v>
      </c>
    </row>
    <row r="1388" spans="1:4" x14ac:dyDescent="0.25">
      <c r="A1388" s="7">
        <v>43929.25</v>
      </c>
      <c r="B1388" s="1" t="s">
        <v>75</v>
      </c>
      <c r="C1388" s="1">
        <v>152.41</v>
      </c>
      <c r="D1388" s="1">
        <v>35.57</v>
      </c>
    </row>
    <row r="1389" spans="1:4" x14ac:dyDescent="0.25">
      <c r="A1389" s="7">
        <v>43929.25</v>
      </c>
      <c r="B1389" s="1" t="s">
        <v>74</v>
      </c>
      <c r="C1389" s="1">
        <v>2101.34</v>
      </c>
      <c r="D1389" s="1">
        <v>243.08</v>
      </c>
    </row>
    <row r="1390" spans="1:4" x14ac:dyDescent="0.25">
      <c r="A1390" s="7">
        <v>43929.25</v>
      </c>
      <c r="B1390" s="1" t="s">
        <v>72</v>
      </c>
      <c r="C1390" s="1">
        <v>1016.55</v>
      </c>
      <c r="D1390" s="1">
        <v>336.7</v>
      </c>
    </row>
    <row r="1391" spans="1:4" x14ac:dyDescent="0.25">
      <c r="A1391" s="7">
        <v>43929.25</v>
      </c>
      <c r="B1391" s="1" t="s">
        <v>76</v>
      </c>
      <c r="C1391" s="1">
        <v>3261.83</v>
      </c>
      <c r="D1391" s="1">
        <v>375.21</v>
      </c>
    </row>
    <row r="1392" spans="1:4" x14ac:dyDescent="0.25">
      <c r="A1392" s="7">
        <v>43929.25</v>
      </c>
      <c r="B1392" s="1" t="s">
        <v>73</v>
      </c>
      <c r="C1392" s="1">
        <v>1133.0899999999999</v>
      </c>
      <c r="D1392" s="1">
        <v>106.89</v>
      </c>
    </row>
    <row r="1393" spans="1:4" x14ac:dyDescent="0.25">
      <c r="A1393" s="7">
        <v>43929.25</v>
      </c>
      <c r="B1393" s="1" t="s">
        <v>68</v>
      </c>
      <c r="C1393" s="1">
        <v>1644.32</v>
      </c>
      <c r="D1393" s="1">
        <v>255.46</v>
      </c>
    </row>
    <row r="1394" spans="1:4" x14ac:dyDescent="0.25">
      <c r="A1394" s="7">
        <v>43929.25</v>
      </c>
      <c r="B1394" s="1" t="s">
        <v>77</v>
      </c>
      <c r="C1394" s="1">
        <v>1651.76</v>
      </c>
      <c r="D1394" s="1">
        <v>277.93</v>
      </c>
    </row>
    <row r="1395" spans="1:4" x14ac:dyDescent="0.25">
      <c r="A1395" s="7">
        <v>43929.25</v>
      </c>
      <c r="B1395" s="1" t="s">
        <v>71</v>
      </c>
      <c r="C1395" s="1">
        <v>2827.81</v>
      </c>
      <c r="D1395" s="1">
        <v>360.19</v>
      </c>
    </row>
    <row r="1396" spans="1:4" x14ac:dyDescent="0.25">
      <c r="A1396" s="7">
        <v>43929.25</v>
      </c>
      <c r="B1396" s="1" t="s">
        <v>70</v>
      </c>
      <c r="C1396" s="1">
        <v>1364.25</v>
      </c>
      <c r="D1396" s="1">
        <v>356.24</v>
      </c>
    </row>
    <row r="1397" spans="1:4" x14ac:dyDescent="0.25">
      <c r="A1397" s="7">
        <v>43929.25</v>
      </c>
      <c r="B1397" s="1" t="s">
        <v>78</v>
      </c>
      <c r="C1397" s="1">
        <v>239.36</v>
      </c>
      <c r="D1397" s="1">
        <v>55.78</v>
      </c>
    </row>
    <row r="1398" spans="1:4" x14ac:dyDescent="0.25">
      <c r="A1398" s="7">
        <v>43929.25</v>
      </c>
      <c r="B1398" s="1" t="s">
        <v>69</v>
      </c>
      <c r="C1398" s="1">
        <v>663.13</v>
      </c>
      <c r="D1398" s="1">
        <v>215.85</v>
      </c>
    </row>
    <row r="1399" spans="1:4" x14ac:dyDescent="0.25">
      <c r="A1399" s="7">
        <v>43929.291666666664</v>
      </c>
      <c r="B1399" s="1" t="s">
        <v>75</v>
      </c>
      <c r="C1399" s="1">
        <v>335.7</v>
      </c>
      <c r="D1399" s="1">
        <v>67.959999999999994</v>
      </c>
    </row>
    <row r="1400" spans="1:4" x14ac:dyDescent="0.25">
      <c r="A1400" s="7">
        <v>43929.291666666664</v>
      </c>
      <c r="B1400" s="1" t="s">
        <v>74</v>
      </c>
      <c r="C1400" s="1">
        <v>4598.2</v>
      </c>
      <c r="D1400" s="1">
        <v>608.22</v>
      </c>
    </row>
    <row r="1401" spans="1:4" x14ac:dyDescent="0.25">
      <c r="A1401" s="7">
        <v>43929.291666666664</v>
      </c>
      <c r="B1401" s="1" t="s">
        <v>78</v>
      </c>
      <c r="C1401" s="1">
        <v>478.37</v>
      </c>
      <c r="D1401" s="1">
        <v>121.58</v>
      </c>
    </row>
    <row r="1402" spans="1:4" x14ac:dyDescent="0.25">
      <c r="A1402" s="7">
        <v>43929.291666666664</v>
      </c>
      <c r="B1402" s="1" t="s">
        <v>73</v>
      </c>
      <c r="C1402" s="1">
        <v>2737.87</v>
      </c>
      <c r="D1402" s="1">
        <v>254.04</v>
      </c>
    </row>
    <row r="1403" spans="1:4" x14ac:dyDescent="0.25">
      <c r="A1403" s="7">
        <v>43929.291666666664</v>
      </c>
      <c r="B1403" s="1" t="s">
        <v>71</v>
      </c>
      <c r="C1403" s="1">
        <v>5496.6</v>
      </c>
      <c r="D1403" s="1">
        <v>784.11</v>
      </c>
    </row>
    <row r="1404" spans="1:4" x14ac:dyDescent="0.25">
      <c r="A1404" s="7">
        <v>43929.291666666664</v>
      </c>
      <c r="B1404" s="1" t="s">
        <v>68</v>
      </c>
      <c r="C1404" s="1">
        <v>3582.57</v>
      </c>
      <c r="D1404" s="1">
        <v>570.89</v>
      </c>
    </row>
    <row r="1405" spans="1:4" x14ac:dyDescent="0.25">
      <c r="A1405" s="7">
        <v>43929.291666666664</v>
      </c>
      <c r="B1405" s="1" t="s">
        <v>77</v>
      </c>
      <c r="C1405" s="1">
        <v>3580.62</v>
      </c>
      <c r="D1405" s="1">
        <v>681.18</v>
      </c>
    </row>
    <row r="1406" spans="1:4" x14ac:dyDescent="0.25">
      <c r="A1406" s="7">
        <v>43929.291666666664</v>
      </c>
      <c r="B1406" s="1" t="s">
        <v>76</v>
      </c>
      <c r="C1406" s="1">
        <v>7100.34</v>
      </c>
      <c r="D1406" s="1">
        <v>919.06</v>
      </c>
    </row>
    <row r="1407" spans="1:4" x14ac:dyDescent="0.25">
      <c r="A1407" s="7">
        <v>43929.291666666664</v>
      </c>
      <c r="B1407" s="1" t="s">
        <v>72</v>
      </c>
      <c r="C1407" s="1">
        <v>2211.71</v>
      </c>
      <c r="D1407" s="1">
        <v>779.87</v>
      </c>
    </row>
    <row r="1408" spans="1:4" x14ac:dyDescent="0.25">
      <c r="A1408" s="7">
        <v>43929.291666666664</v>
      </c>
      <c r="B1408" s="1" t="s">
        <v>69</v>
      </c>
      <c r="C1408" s="1">
        <v>1380</v>
      </c>
      <c r="D1408" s="1">
        <v>445.55</v>
      </c>
    </row>
    <row r="1409" spans="1:4" x14ac:dyDescent="0.25">
      <c r="A1409" s="7">
        <v>43929.291666666664</v>
      </c>
      <c r="B1409" s="1" t="s">
        <v>70</v>
      </c>
      <c r="C1409" s="1">
        <v>2813.41</v>
      </c>
      <c r="D1409" s="1">
        <v>784.96</v>
      </c>
    </row>
    <row r="1410" spans="1:4" x14ac:dyDescent="0.25">
      <c r="A1410" s="7">
        <v>43929.333333333336</v>
      </c>
      <c r="B1410" s="1" t="s">
        <v>75</v>
      </c>
      <c r="C1410" s="1">
        <v>588.54999999999995</v>
      </c>
      <c r="D1410" s="1">
        <v>139.78</v>
      </c>
    </row>
    <row r="1411" spans="1:4" x14ac:dyDescent="0.25">
      <c r="A1411" s="7">
        <v>43929.333333333336</v>
      </c>
      <c r="B1411" s="1" t="s">
        <v>74</v>
      </c>
      <c r="C1411" s="1">
        <v>6910.17</v>
      </c>
      <c r="D1411" s="1">
        <v>1036.46</v>
      </c>
    </row>
    <row r="1412" spans="1:4" x14ac:dyDescent="0.25">
      <c r="A1412" s="7">
        <v>43929.333333333336</v>
      </c>
      <c r="B1412" s="1" t="s">
        <v>78</v>
      </c>
      <c r="C1412" s="1">
        <v>934.79</v>
      </c>
      <c r="D1412" s="1">
        <v>268.64</v>
      </c>
    </row>
    <row r="1413" spans="1:4" x14ac:dyDescent="0.25">
      <c r="A1413" s="7">
        <v>43929.333333333336</v>
      </c>
      <c r="B1413" s="1" t="s">
        <v>71</v>
      </c>
      <c r="C1413" s="1">
        <v>8631.17</v>
      </c>
      <c r="D1413" s="1">
        <v>1385</v>
      </c>
    </row>
    <row r="1414" spans="1:4" x14ac:dyDescent="0.25">
      <c r="A1414" s="7">
        <v>43929.333333333336</v>
      </c>
      <c r="B1414" s="1" t="s">
        <v>69</v>
      </c>
      <c r="C1414" s="1">
        <v>2564.36</v>
      </c>
      <c r="D1414" s="1">
        <v>923.82</v>
      </c>
    </row>
    <row r="1415" spans="1:4" x14ac:dyDescent="0.25">
      <c r="A1415" s="7">
        <v>43929.333333333336</v>
      </c>
      <c r="B1415" s="1" t="s">
        <v>70</v>
      </c>
      <c r="C1415" s="1">
        <v>4791.1099999999997</v>
      </c>
      <c r="D1415" s="1">
        <v>1436.72</v>
      </c>
    </row>
    <row r="1416" spans="1:4" x14ac:dyDescent="0.25">
      <c r="A1416" s="7">
        <v>43929.333333333336</v>
      </c>
      <c r="B1416" s="1" t="s">
        <v>72</v>
      </c>
      <c r="C1416" s="1">
        <v>4100.6499999999996</v>
      </c>
      <c r="D1416" s="1">
        <v>1564.6</v>
      </c>
    </row>
    <row r="1417" spans="1:4" x14ac:dyDescent="0.25">
      <c r="A1417" s="7">
        <v>43929.333333333336</v>
      </c>
      <c r="B1417" s="1" t="s">
        <v>76</v>
      </c>
      <c r="C1417" s="1">
        <v>10899.11</v>
      </c>
      <c r="D1417" s="1">
        <v>1582</v>
      </c>
    </row>
    <row r="1418" spans="1:4" x14ac:dyDescent="0.25">
      <c r="A1418" s="7">
        <v>43929.333333333336</v>
      </c>
      <c r="B1418" s="1" t="s">
        <v>73</v>
      </c>
      <c r="C1418" s="1">
        <v>4857.26</v>
      </c>
      <c r="D1418" s="1">
        <v>507.34</v>
      </c>
    </row>
    <row r="1419" spans="1:4" x14ac:dyDescent="0.25">
      <c r="A1419" s="7">
        <v>43929.333333333336</v>
      </c>
      <c r="B1419" s="1" t="s">
        <v>77</v>
      </c>
      <c r="C1419" s="1">
        <v>5853.84</v>
      </c>
      <c r="D1419" s="1">
        <v>1222.33</v>
      </c>
    </row>
    <row r="1420" spans="1:4" x14ac:dyDescent="0.25">
      <c r="A1420" s="7">
        <v>43929.333333333336</v>
      </c>
      <c r="B1420" s="1" t="s">
        <v>68</v>
      </c>
      <c r="C1420" s="1">
        <v>6452.4</v>
      </c>
      <c r="D1420" s="1">
        <v>1100.52</v>
      </c>
    </row>
    <row r="1421" spans="1:4" x14ac:dyDescent="0.25">
      <c r="A1421" s="7">
        <v>43929.375</v>
      </c>
      <c r="B1421" s="1" t="s">
        <v>75</v>
      </c>
      <c r="C1421" s="1">
        <v>857.14</v>
      </c>
      <c r="D1421" s="1">
        <v>245.39</v>
      </c>
    </row>
    <row r="1422" spans="1:4" x14ac:dyDescent="0.25">
      <c r="A1422" s="7">
        <v>43929.375</v>
      </c>
      <c r="B1422" s="1" t="s">
        <v>74</v>
      </c>
      <c r="C1422" s="1">
        <v>8789.33</v>
      </c>
      <c r="D1422" s="1">
        <v>1521.17</v>
      </c>
    </row>
    <row r="1423" spans="1:4" x14ac:dyDescent="0.25">
      <c r="A1423" s="7">
        <v>43929.375</v>
      </c>
      <c r="B1423" s="1" t="s">
        <v>73</v>
      </c>
      <c r="C1423" s="1">
        <v>6643.69</v>
      </c>
      <c r="D1423" s="1">
        <v>814</v>
      </c>
    </row>
    <row r="1424" spans="1:4" x14ac:dyDescent="0.25">
      <c r="A1424" s="7">
        <v>43929.375</v>
      </c>
      <c r="B1424" s="1" t="s">
        <v>68</v>
      </c>
      <c r="C1424" s="1">
        <v>9058.6</v>
      </c>
      <c r="D1424" s="1">
        <v>1736.16</v>
      </c>
    </row>
    <row r="1425" spans="1:4" x14ac:dyDescent="0.25">
      <c r="A1425" s="7">
        <v>43929.375</v>
      </c>
      <c r="B1425" s="1" t="s">
        <v>71</v>
      </c>
      <c r="C1425" s="1">
        <v>11122.37</v>
      </c>
      <c r="D1425" s="1">
        <v>1987.14</v>
      </c>
    </row>
    <row r="1426" spans="1:4" x14ac:dyDescent="0.25">
      <c r="A1426" s="7">
        <v>43929.375</v>
      </c>
      <c r="B1426" s="1" t="s">
        <v>70</v>
      </c>
      <c r="C1426" s="1">
        <v>6733.72</v>
      </c>
      <c r="D1426" s="1">
        <v>2193.48</v>
      </c>
    </row>
    <row r="1427" spans="1:4" x14ac:dyDescent="0.25">
      <c r="A1427" s="7">
        <v>43929.375</v>
      </c>
      <c r="B1427" s="1" t="s">
        <v>69</v>
      </c>
      <c r="C1427" s="1">
        <v>4090.24</v>
      </c>
      <c r="D1427" s="1">
        <v>1762.76</v>
      </c>
    </row>
    <row r="1428" spans="1:4" x14ac:dyDescent="0.25">
      <c r="A1428" s="7">
        <v>43929.375</v>
      </c>
      <c r="B1428" s="1" t="s">
        <v>78</v>
      </c>
      <c r="C1428" s="1">
        <v>1500.17</v>
      </c>
      <c r="D1428" s="1">
        <v>537.04999999999995</v>
      </c>
    </row>
    <row r="1429" spans="1:4" x14ac:dyDescent="0.25">
      <c r="A1429" s="7">
        <v>43929.375</v>
      </c>
      <c r="B1429" s="1" t="s">
        <v>76</v>
      </c>
      <c r="C1429" s="1">
        <v>13996.52</v>
      </c>
      <c r="D1429" s="1">
        <v>2322.16</v>
      </c>
    </row>
    <row r="1430" spans="1:4" x14ac:dyDescent="0.25">
      <c r="A1430" s="7">
        <v>43929.375</v>
      </c>
      <c r="B1430" s="1" t="s">
        <v>72</v>
      </c>
      <c r="C1430" s="1">
        <v>6459.3</v>
      </c>
      <c r="D1430" s="1">
        <v>2772.16</v>
      </c>
    </row>
    <row r="1431" spans="1:4" x14ac:dyDescent="0.25">
      <c r="A1431" s="7">
        <v>43929.375</v>
      </c>
      <c r="B1431" s="1" t="s">
        <v>77</v>
      </c>
      <c r="C1431" s="1">
        <v>8085.27</v>
      </c>
      <c r="D1431" s="1">
        <v>1881.09</v>
      </c>
    </row>
    <row r="1432" spans="1:4" x14ac:dyDescent="0.25">
      <c r="A1432" s="7">
        <v>43929.416666666664</v>
      </c>
      <c r="B1432" s="1" t="s">
        <v>75</v>
      </c>
      <c r="C1432" s="1">
        <v>1051.1400000000001</v>
      </c>
      <c r="D1432" s="1">
        <v>332.04</v>
      </c>
    </row>
    <row r="1433" spans="1:4" x14ac:dyDescent="0.25">
      <c r="A1433" s="7">
        <v>43929.416666666664</v>
      </c>
      <c r="B1433" s="1" t="s">
        <v>74</v>
      </c>
      <c r="C1433" s="1">
        <v>9504.2900000000009</v>
      </c>
      <c r="D1433" s="1">
        <v>1872.03</v>
      </c>
    </row>
    <row r="1434" spans="1:4" x14ac:dyDescent="0.25">
      <c r="A1434" s="7">
        <v>43929.416666666664</v>
      </c>
      <c r="B1434" s="1" t="s">
        <v>76</v>
      </c>
      <c r="C1434" s="1">
        <v>15442.58</v>
      </c>
      <c r="D1434" s="1">
        <v>2789.45</v>
      </c>
    </row>
    <row r="1435" spans="1:4" x14ac:dyDescent="0.25">
      <c r="A1435" s="7">
        <v>43929.416666666664</v>
      </c>
      <c r="B1435" s="1" t="s">
        <v>72</v>
      </c>
      <c r="C1435" s="1">
        <v>8531.15</v>
      </c>
      <c r="D1435" s="1">
        <v>4188.6400000000003</v>
      </c>
    </row>
    <row r="1436" spans="1:4" x14ac:dyDescent="0.25">
      <c r="A1436" s="7">
        <v>43929.416666666664</v>
      </c>
      <c r="B1436" s="1" t="s">
        <v>73</v>
      </c>
      <c r="C1436" s="1">
        <v>7765.41</v>
      </c>
      <c r="D1436" s="1">
        <v>1039.69</v>
      </c>
    </row>
    <row r="1437" spans="1:4" x14ac:dyDescent="0.25">
      <c r="A1437" s="7">
        <v>43929.416666666664</v>
      </c>
      <c r="B1437" s="1" t="s">
        <v>77</v>
      </c>
      <c r="C1437" s="1">
        <v>9453.16</v>
      </c>
      <c r="D1437" s="1">
        <v>2394.77</v>
      </c>
    </row>
    <row r="1438" spans="1:4" x14ac:dyDescent="0.25">
      <c r="A1438" s="7">
        <v>43929.416666666664</v>
      </c>
      <c r="B1438" s="1" t="s">
        <v>70</v>
      </c>
      <c r="C1438" s="1">
        <v>8001.1</v>
      </c>
      <c r="D1438" s="1">
        <v>2774.47</v>
      </c>
    </row>
    <row r="1439" spans="1:4" x14ac:dyDescent="0.25">
      <c r="A1439" s="7">
        <v>43929.416666666664</v>
      </c>
      <c r="B1439" s="1" t="s">
        <v>69</v>
      </c>
      <c r="C1439" s="1">
        <v>5460.77</v>
      </c>
      <c r="D1439" s="1">
        <v>2965.17</v>
      </c>
    </row>
    <row r="1440" spans="1:4" x14ac:dyDescent="0.25">
      <c r="A1440" s="7">
        <v>43929.416666666664</v>
      </c>
      <c r="B1440" s="1" t="s">
        <v>78</v>
      </c>
      <c r="C1440" s="1">
        <v>2071.31</v>
      </c>
      <c r="D1440" s="1">
        <v>874.79</v>
      </c>
    </row>
    <row r="1441" spans="1:4" x14ac:dyDescent="0.25">
      <c r="A1441" s="7">
        <v>43929.416666666664</v>
      </c>
      <c r="B1441" s="1" t="s">
        <v>68</v>
      </c>
      <c r="C1441" s="1">
        <v>10631.48</v>
      </c>
      <c r="D1441" s="1">
        <v>2407.29</v>
      </c>
    </row>
    <row r="1442" spans="1:4" x14ac:dyDescent="0.25">
      <c r="A1442" s="7">
        <v>43929.416666666664</v>
      </c>
      <c r="B1442" s="1" t="s">
        <v>71</v>
      </c>
      <c r="C1442" s="1">
        <v>12756.33</v>
      </c>
      <c r="D1442" s="1">
        <v>2524.2800000000002</v>
      </c>
    </row>
    <row r="1443" spans="1:4" x14ac:dyDescent="0.25">
      <c r="A1443" s="7">
        <v>43929.458333333336</v>
      </c>
      <c r="B1443" s="1" t="s">
        <v>74</v>
      </c>
      <c r="C1443" s="1">
        <v>9074.43</v>
      </c>
      <c r="D1443" s="1">
        <v>1874.56</v>
      </c>
    </row>
    <row r="1444" spans="1:4" x14ac:dyDescent="0.25">
      <c r="A1444" s="7">
        <v>43929.458333333336</v>
      </c>
      <c r="B1444" s="1" t="s">
        <v>75</v>
      </c>
      <c r="C1444" s="1">
        <v>1138.32</v>
      </c>
      <c r="D1444" s="1">
        <v>369.24</v>
      </c>
    </row>
    <row r="1445" spans="1:4" x14ac:dyDescent="0.25">
      <c r="A1445" s="7">
        <v>43929.458333333336</v>
      </c>
      <c r="B1445" s="1" t="s">
        <v>76</v>
      </c>
      <c r="C1445" s="1">
        <v>14867.95</v>
      </c>
      <c r="D1445" s="1">
        <v>2824.57</v>
      </c>
    </row>
    <row r="1446" spans="1:4" x14ac:dyDescent="0.25">
      <c r="A1446" s="7">
        <v>43929.458333333336</v>
      </c>
      <c r="B1446" s="1" t="s">
        <v>73</v>
      </c>
      <c r="C1446" s="1">
        <v>7913.2</v>
      </c>
      <c r="D1446" s="1">
        <v>1146.75</v>
      </c>
    </row>
    <row r="1447" spans="1:4" x14ac:dyDescent="0.25">
      <c r="A1447" s="7">
        <v>43929.458333333336</v>
      </c>
      <c r="B1447" s="1" t="s">
        <v>68</v>
      </c>
      <c r="C1447" s="1">
        <v>10715.24</v>
      </c>
      <c r="D1447" s="1">
        <v>2688.72</v>
      </c>
    </row>
    <row r="1448" spans="1:4" x14ac:dyDescent="0.25">
      <c r="A1448" s="7">
        <v>43929.458333333336</v>
      </c>
      <c r="B1448" s="1" t="s">
        <v>77</v>
      </c>
      <c r="C1448" s="1">
        <v>9211.69</v>
      </c>
      <c r="D1448" s="1">
        <v>2443.31</v>
      </c>
    </row>
    <row r="1449" spans="1:4" x14ac:dyDescent="0.25">
      <c r="A1449" s="7">
        <v>43929.458333333336</v>
      </c>
      <c r="B1449" s="1" t="s">
        <v>71</v>
      </c>
      <c r="C1449" s="1">
        <v>12481.38</v>
      </c>
      <c r="D1449" s="1">
        <v>2638.34</v>
      </c>
    </row>
    <row r="1450" spans="1:4" x14ac:dyDescent="0.25">
      <c r="A1450" s="7">
        <v>43929.458333333336</v>
      </c>
      <c r="B1450" s="1" t="s">
        <v>70</v>
      </c>
      <c r="C1450" s="1">
        <v>8142.09</v>
      </c>
      <c r="D1450" s="1">
        <v>2914.46</v>
      </c>
    </row>
    <row r="1451" spans="1:4" x14ac:dyDescent="0.25">
      <c r="A1451" s="7">
        <v>43929.458333333336</v>
      </c>
      <c r="B1451" s="1" t="s">
        <v>78</v>
      </c>
      <c r="C1451" s="1">
        <v>2311.7800000000002</v>
      </c>
      <c r="D1451" s="1">
        <v>1046.57</v>
      </c>
    </row>
    <row r="1452" spans="1:4" x14ac:dyDescent="0.25">
      <c r="A1452" s="7">
        <v>43929.458333333336</v>
      </c>
      <c r="B1452" s="1" t="s">
        <v>72</v>
      </c>
      <c r="C1452" s="1">
        <v>9116.7800000000007</v>
      </c>
      <c r="D1452" s="1">
        <v>4756.1499999999996</v>
      </c>
    </row>
    <row r="1453" spans="1:4" x14ac:dyDescent="0.25">
      <c r="A1453" s="7">
        <v>43929.458333333336</v>
      </c>
      <c r="B1453" s="1" t="s">
        <v>69</v>
      </c>
      <c r="C1453" s="1">
        <v>5788.95</v>
      </c>
      <c r="D1453" s="1">
        <v>3429.85</v>
      </c>
    </row>
    <row r="1454" spans="1:4" x14ac:dyDescent="0.25">
      <c r="A1454" s="7">
        <v>43929.5</v>
      </c>
      <c r="B1454" s="1" t="s">
        <v>75</v>
      </c>
      <c r="C1454" s="1">
        <v>1081.3900000000001</v>
      </c>
      <c r="D1454" s="1">
        <v>379.37</v>
      </c>
    </row>
    <row r="1455" spans="1:4" x14ac:dyDescent="0.25">
      <c r="A1455" s="7">
        <v>43929.5</v>
      </c>
      <c r="B1455" s="1" t="s">
        <v>74</v>
      </c>
      <c r="C1455" s="1">
        <v>8065.22</v>
      </c>
      <c r="D1455" s="1">
        <v>1688.17</v>
      </c>
    </row>
    <row r="1456" spans="1:4" x14ac:dyDescent="0.25">
      <c r="A1456" s="7">
        <v>43929.5</v>
      </c>
      <c r="B1456" s="1" t="s">
        <v>76</v>
      </c>
      <c r="C1456" s="1">
        <v>13625.14</v>
      </c>
      <c r="D1456" s="1">
        <v>2605.7600000000002</v>
      </c>
    </row>
    <row r="1457" spans="1:4" x14ac:dyDescent="0.25">
      <c r="A1457" s="7">
        <v>43929.5</v>
      </c>
      <c r="B1457" s="1" t="s">
        <v>68</v>
      </c>
      <c r="C1457" s="1">
        <v>9443.34</v>
      </c>
      <c r="D1457" s="1">
        <v>2401.19</v>
      </c>
    </row>
    <row r="1458" spans="1:4" x14ac:dyDescent="0.25">
      <c r="A1458" s="7">
        <v>43929.5</v>
      </c>
      <c r="B1458" s="1" t="s">
        <v>77</v>
      </c>
      <c r="C1458" s="1">
        <v>8553.49</v>
      </c>
      <c r="D1458" s="1">
        <v>2255.37</v>
      </c>
    </row>
    <row r="1459" spans="1:4" x14ac:dyDescent="0.25">
      <c r="A1459" s="7">
        <v>43929.5</v>
      </c>
      <c r="B1459" s="1" t="s">
        <v>71</v>
      </c>
      <c r="C1459" s="1">
        <v>11249.71</v>
      </c>
      <c r="D1459" s="1">
        <v>2379.58</v>
      </c>
    </row>
    <row r="1460" spans="1:4" x14ac:dyDescent="0.25">
      <c r="A1460" s="7">
        <v>43929.5</v>
      </c>
      <c r="B1460" s="1" t="s">
        <v>69</v>
      </c>
      <c r="C1460" s="1">
        <v>5642.4</v>
      </c>
      <c r="D1460" s="1">
        <v>3485.34</v>
      </c>
    </row>
    <row r="1461" spans="1:4" x14ac:dyDescent="0.25">
      <c r="A1461" s="7">
        <v>43929.5</v>
      </c>
      <c r="B1461" s="1" t="s">
        <v>70</v>
      </c>
      <c r="C1461" s="1">
        <v>7488.92</v>
      </c>
      <c r="D1461" s="1">
        <v>2725.23</v>
      </c>
    </row>
    <row r="1462" spans="1:4" x14ac:dyDescent="0.25">
      <c r="A1462" s="7">
        <v>43929.5</v>
      </c>
      <c r="B1462" s="1" t="s">
        <v>78</v>
      </c>
      <c r="C1462" s="1">
        <v>2236.31</v>
      </c>
      <c r="D1462" s="1">
        <v>1055.19</v>
      </c>
    </row>
    <row r="1463" spans="1:4" x14ac:dyDescent="0.25">
      <c r="A1463" s="7">
        <v>43929.5</v>
      </c>
      <c r="B1463" s="1" t="s">
        <v>72</v>
      </c>
      <c r="C1463" s="1">
        <v>8649.1200000000008</v>
      </c>
      <c r="D1463" s="1">
        <v>4660.34</v>
      </c>
    </row>
    <row r="1464" spans="1:4" x14ac:dyDescent="0.25">
      <c r="A1464" s="7">
        <v>43929.5</v>
      </c>
      <c r="B1464" s="1" t="s">
        <v>73</v>
      </c>
      <c r="C1464" s="1">
        <v>7264.39</v>
      </c>
      <c r="D1464" s="1">
        <v>1088.46</v>
      </c>
    </row>
    <row r="1465" spans="1:4" x14ac:dyDescent="0.25">
      <c r="A1465" s="7">
        <v>43929.541666666664</v>
      </c>
      <c r="B1465" s="1" t="s">
        <v>75</v>
      </c>
      <c r="C1465" s="1">
        <v>963.67</v>
      </c>
      <c r="D1465" s="1">
        <v>326.77</v>
      </c>
    </row>
    <row r="1466" spans="1:4" x14ac:dyDescent="0.25">
      <c r="A1466" s="7">
        <v>43929.541666666664</v>
      </c>
      <c r="B1466" s="1" t="s">
        <v>74</v>
      </c>
      <c r="C1466" s="1">
        <v>6683.46</v>
      </c>
      <c r="D1466" s="1">
        <v>1376.2</v>
      </c>
    </row>
    <row r="1467" spans="1:4" x14ac:dyDescent="0.25">
      <c r="A1467" s="7">
        <v>43929.541666666664</v>
      </c>
      <c r="B1467" s="1" t="s">
        <v>78</v>
      </c>
      <c r="C1467" s="1">
        <v>1864.58</v>
      </c>
      <c r="D1467" s="1">
        <v>846.95</v>
      </c>
    </row>
    <row r="1468" spans="1:4" x14ac:dyDescent="0.25">
      <c r="A1468" s="7">
        <v>43929.541666666664</v>
      </c>
      <c r="B1468" s="1" t="s">
        <v>77</v>
      </c>
      <c r="C1468" s="1">
        <v>7429.23</v>
      </c>
      <c r="D1468" s="1">
        <v>1927.96</v>
      </c>
    </row>
    <row r="1469" spans="1:4" x14ac:dyDescent="0.25">
      <c r="A1469" s="7">
        <v>43929.541666666664</v>
      </c>
      <c r="B1469" s="1" t="s">
        <v>69</v>
      </c>
      <c r="C1469" s="1">
        <v>4729.45</v>
      </c>
      <c r="D1469" s="1">
        <v>2902.37</v>
      </c>
    </row>
    <row r="1470" spans="1:4" x14ac:dyDescent="0.25">
      <c r="A1470" s="7">
        <v>43929.541666666664</v>
      </c>
      <c r="B1470" s="1" t="s">
        <v>76</v>
      </c>
      <c r="C1470" s="1">
        <v>11862.59</v>
      </c>
      <c r="D1470" s="1">
        <v>2259.75</v>
      </c>
    </row>
    <row r="1471" spans="1:4" x14ac:dyDescent="0.25">
      <c r="A1471" s="7">
        <v>43929.541666666664</v>
      </c>
      <c r="B1471" s="1" t="s">
        <v>73</v>
      </c>
      <c r="C1471" s="1">
        <v>5890.89</v>
      </c>
      <c r="D1471" s="1">
        <v>877.44</v>
      </c>
    </row>
    <row r="1472" spans="1:4" x14ac:dyDescent="0.25">
      <c r="A1472" s="7">
        <v>43929.541666666664</v>
      </c>
      <c r="B1472" s="1" t="s">
        <v>72</v>
      </c>
      <c r="C1472" s="1">
        <v>6992.1</v>
      </c>
      <c r="D1472" s="1">
        <v>3804.94</v>
      </c>
    </row>
    <row r="1473" spans="1:4" x14ac:dyDescent="0.25">
      <c r="A1473" s="7">
        <v>43929.541666666664</v>
      </c>
      <c r="B1473" s="1" t="s">
        <v>68</v>
      </c>
      <c r="C1473" s="1">
        <v>7362.51</v>
      </c>
      <c r="D1473" s="1">
        <v>1931.94</v>
      </c>
    </row>
    <row r="1474" spans="1:4" x14ac:dyDescent="0.25">
      <c r="A1474" s="7">
        <v>43929.541666666664</v>
      </c>
      <c r="B1474" s="1" t="s">
        <v>71</v>
      </c>
      <c r="C1474" s="1">
        <v>9437.3799999999992</v>
      </c>
      <c r="D1474" s="1">
        <v>1953.6</v>
      </c>
    </row>
    <row r="1475" spans="1:4" x14ac:dyDescent="0.25">
      <c r="A1475" s="7">
        <v>43929.541666666664</v>
      </c>
      <c r="B1475" s="1" t="s">
        <v>70</v>
      </c>
      <c r="C1475" s="1">
        <v>6038.13</v>
      </c>
      <c r="D1475" s="1">
        <v>2171.16</v>
      </c>
    </row>
    <row r="1476" spans="1:4" x14ac:dyDescent="0.25">
      <c r="A1476" s="7">
        <v>43929.583333333336</v>
      </c>
      <c r="B1476" s="1" t="s">
        <v>75</v>
      </c>
      <c r="C1476" s="1">
        <v>943.63</v>
      </c>
      <c r="D1476" s="1">
        <v>307.14999999999998</v>
      </c>
    </row>
    <row r="1477" spans="1:4" x14ac:dyDescent="0.25">
      <c r="A1477" s="7">
        <v>43929.583333333336</v>
      </c>
      <c r="B1477" s="1" t="s">
        <v>74</v>
      </c>
      <c r="C1477" s="1">
        <v>7007.41</v>
      </c>
      <c r="D1477" s="1">
        <v>1361.47</v>
      </c>
    </row>
    <row r="1478" spans="1:4" x14ac:dyDescent="0.25">
      <c r="A1478" s="7">
        <v>43929.583333333336</v>
      </c>
      <c r="B1478" s="1" t="s">
        <v>78</v>
      </c>
      <c r="C1478" s="1">
        <v>1825.36</v>
      </c>
      <c r="D1478" s="1">
        <v>775.85</v>
      </c>
    </row>
    <row r="1479" spans="1:4" x14ac:dyDescent="0.25">
      <c r="A1479" s="7">
        <v>43929.583333333336</v>
      </c>
      <c r="B1479" s="1" t="s">
        <v>72</v>
      </c>
      <c r="C1479" s="1">
        <v>6998.99</v>
      </c>
      <c r="D1479" s="1">
        <v>3675.46</v>
      </c>
    </row>
    <row r="1480" spans="1:4" x14ac:dyDescent="0.25">
      <c r="A1480" s="7">
        <v>43929.583333333336</v>
      </c>
      <c r="B1480" s="1" t="s">
        <v>73</v>
      </c>
      <c r="C1480" s="1">
        <v>5890.48</v>
      </c>
      <c r="D1480" s="1">
        <v>836.99</v>
      </c>
    </row>
    <row r="1481" spans="1:4" x14ac:dyDescent="0.25">
      <c r="A1481" s="7">
        <v>43929.583333333336</v>
      </c>
      <c r="B1481" s="1" t="s">
        <v>68</v>
      </c>
      <c r="C1481" s="1">
        <v>7494.95</v>
      </c>
      <c r="D1481" s="1">
        <v>1811.48</v>
      </c>
    </row>
    <row r="1482" spans="1:4" x14ac:dyDescent="0.25">
      <c r="A1482" s="7">
        <v>43929.583333333336</v>
      </c>
      <c r="B1482" s="1" t="s">
        <v>71</v>
      </c>
      <c r="C1482" s="1">
        <v>9645.84</v>
      </c>
      <c r="D1482" s="1">
        <v>1883.3</v>
      </c>
    </row>
    <row r="1483" spans="1:4" x14ac:dyDescent="0.25">
      <c r="A1483" s="7">
        <v>43929.583333333336</v>
      </c>
      <c r="B1483" s="1" t="s">
        <v>69</v>
      </c>
      <c r="C1483" s="1">
        <v>4597.7700000000004</v>
      </c>
      <c r="D1483" s="1">
        <v>2753.06</v>
      </c>
    </row>
    <row r="1484" spans="1:4" x14ac:dyDescent="0.25">
      <c r="A1484" s="7">
        <v>43929.583333333336</v>
      </c>
      <c r="B1484" s="1" t="s">
        <v>70</v>
      </c>
      <c r="C1484" s="1">
        <v>6134.36</v>
      </c>
      <c r="D1484" s="1">
        <v>2125.4499999999998</v>
      </c>
    </row>
    <row r="1485" spans="1:4" x14ac:dyDescent="0.25">
      <c r="A1485" s="7">
        <v>43929.583333333336</v>
      </c>
      <c r="B1485" s="1" t="s">
        <v>76</v>
      </c>
      <c r="C1485" s="1">
        <v>11698.62</v>
      </c>
      <c r="D1485" s="1">
        <v>2124.33</v>
      </c>
    </row>
    <row r="1486" spans="1:4" x14ac:dyDescent="0.25">
      <c r="A1486" s="7">
        <v>43929.583333333336</v>
      </c>
      <c r="B1486" s="1" t="s">
        <v>77</v>
      </c>
      <c r="C1486" s="1">
        <v>7199.03</v>
      </c>
      <c r="D1486" s="1">
        <v>1835.07</v>
      </c>
    </row>
    <row r="1487" spans="1:4" x14ac:dyDescent="0.25">
      <c r="A1487" s="7">
        <v>43929.625</v>
      </c>
      <c r="B1487" s="1" t="s">
        <v>75</v>
      </c>
      <c r="C1487" s="1">
        <v>974.41</v>
      </c>
      <c r="D1487" s="1">
        <v>323.97000000000003</v>
      </c>
    </row>
    <row r="1488" spans="1:4" x14ac:dyDescent="0.25">
      <c r="A1488" s="7">
        <v>43929.625</v>
      </c>
      <c r="B1488" s="1" t="s">
        <v>74</v>
      </c>
      <c r="C1488" s="1">
        <v>7842.18</v>
      </c>
      <c r="D1488" s="1">
        <v>1477.4</v>
      </c>
    </row>
    <row r="1489" spans="1:4" x14ac:dyDescent="0.25">
      <c r="A1489" s="7">
        <v>43929.625</v>
      </c>
      <c r="B1489" s="1" t="s">
        <v>72</v>
      </c>
      <c r="C1489" s="1">
        <v>7195.32</v>
      </c>
      <c r="D1489" s="1">
        <v>3686.88</v>
      </c>
    </row>
    <row r="1490" spans="1:4" x14ac:dyDescent="0.25">
      <c r="A1490" s="7">
        <v>43929.625</v>
      </c>
      <c r="B1490" s="1" t="s">
        <v>76</v>
      </c>
      <c r="C1490" s="1">
        <v>12383.3</v>
      </c>
      <c r="D1490" s="1">
        <v>2233.61</v>
      </c>
    </row>
    <row r="1491" spans="1:4" x14ac:dyDescent="0.25">
      <c r="A1491" s="7">
        <v>43929.625</v>
      </c>
      <c r="B1491" s="1" t="s">
        <v>73</v>
      </c>
      <c r="C1491" s="1">
        <v>6672.05</v>
      </c>
      <c r="D1491" s="1">
        <v>934.91</v>
      </c>
    </row>
    <row r="1492" spans="1:4" x14ac:dyDescent="0.25">
      <c r="A1492" s="7">
        <v>43929.625</v>
      </c>
      <c r="B1492" s="1" t="s">
        <v>68</v>
      </c>
      <c r="C1492" s="1">
        <v>8328.66</v>
      </c>
      <c r="D1492" s="1">
        <v>1950.96</v>
      </c>
    </row>
    <row r="1493" spans="1:4" x14ac:dyDescent="0.25">
      <c r="A1493" s="7">
        <v>43929.625</v>
      </c>
      <c r="B1493" s="1" t="s">
        <v>71</v>
      </c>
      <c r="C1493" s="1">
        <v>10355.69</v>
      </c>
      <c r="D1493" s="1">
        <v>2006.08</v>
      </c>
    </row>
    <row r="1494" spans="1:4" x14ac:dyDescent="0.25">
      <c r="A1494" s="7">
        <v>43929.625</v>
      </c>
      <c r="B1494" s="1" t="s">
        <v>70</v>
      </c>
      <c r="C1494" s="1">
        <v>6623.28</v>
      </c>
      <c r="D1494" s="1">
        <v>2303.08</v>
      </c>
    </row>
    <row r="1495" spans="1:4" x14ac:dyDescent="0.25">
      <c r="A1495" s="7">
        <v>43929.625</v>
      </c>
      <c r="B1495" s="1" t="s">
        <v>78</v>
      </c>
      <c r="C1495" s="1">
        <v>1862.51</v>
      </c>
      <c r="D1495" s="1">
        <v>799.88</v>
      </c>
    </row>
    <row r="1496" spans="1:4" x14ac:dyDescent="0.25">
      <c r="A1496" s="7">
        <v>43929.625</v>
      </c>
      <c r="B1496" s="1" t="s">
        <v>77</v>
      </c>
      <c r="C1496" s="1">
        <v>7555.06</v>
      </c>
      <c r="D1496" s="1">
        <v>1919.42</v>
      </c>
    </row>
    <row r="1497" spans="1:4" x14ac:dyDescent="0.25">
      <c r="A1497" s="7">
        <v>43929.625</v>
      </c>
      <c r="B1497" s="1" t="s">
        <v>69</v>
      </c>
      <c r="C1497" s="1">
        <v>4708.97</v>
      </c>
      <c r="D1497" s="1">
        <v>2706.73</v>
      </c>
    </row>
    <row r="1498" spans="1:4" x14ac:dyDescent="0.25">
      <c r="A1498" s="7">
        <v>43929.666666666664</v>
      </c>
      <c r="B1498" s="1" t="s">
        <v>75</v>
      </c>
      <c r="C1498" s="1">
        <v>1001.41</v>
      </c>
      <c r="D1498" s="1">
        <v>343.19</v>
      </c>
    </row>
    <row r="1499" spans="1:4" x14ac:dyDescent="0.25">
      <c r="A1499" s="7">
        <v>43929.666666666664</v>
      </c>
      <c r="B1499" s="1" t="s">
        <v>74</v>
      </c>
      <c r="C1499" s="1">
        <v>8231.4699999999993</v>
      </c>
      <c r="D1499" s="1">
        <v>1576.54</v>
      </c>
    </row>
    <row r="1500" spans="1:4" x14ac:dyDescent="0.25">
      <c r="A1500" s="7">
        <v>43929.666666666664</v>
      </c>
      <c r="B1500" s="1" t="s">
        <v>76</v>
      </c>
      <c r="C1500" s="1">
        <v>13074.09</v>
      </c>
      <c r="D1500" s="1">
        <v>2450.9699999999998</v>
      </c>
    </row>
    <row r="1501" spans="1:4" x14ac:dyDescent="0.25">
      <c r="A1501" s="7">
        <v>43929.666666666664</v>
      </c>
      <c r="B1501" s="1" t="s">
        <v>68</v>
      </c>
      <c r="C1501" s="1">
        <v>8775.02</v>
      </c>
      <c r="D1501" s="1">
        <v>2117.23</v>
      </c>
    </row>
    <row r="1502" spans="1:4" x14ac:dyDescent="0.25">
      <c r="A1502" s="7">
        <v>43929.666666666664</v>
      </c>
      <c r="B1502" s="1" t="s">
        <v>77</v>
      </c>
      <c r="C1502" s="1">
        <v>8123.15</v>
      </c>
      <c r="D1502" s="1">
        <v>2086.88</v>
      </c>
    </row>
    <row r="1503" spans="1:4" x14ac:dyDescent="0.25">
      <c r="A1503" s="7">
        <v>43929.666666666664</v>
      </c>
      <c r="B1503" s="1" t="s">
        <v>71</v>
      </c>
      <c r="C1503" s="1">
        <v>10849.22</v>
      </c>
      <c r="D1503" s="1">
        <v>2244.6</v>
      </c>
    </row>
    <row r="1504" spans="1:4" x14ac:dyDescent="0.25">
      <c r="A1504" s="7">
        <v>43929.666666666664</v>
      </c>
      <c r="B1504" s="1" t="s">
        <v>69</v>
      </c>
      <c r="C1504" s="1">
        <v>4827.99</v>
      </c>
      <c r="D1504" s="1">
        <v>2738.5</v>
      </c>
    </row>
    <row r="1505" spans="1:4" x14ac:dyDescent="0.25">
      <c r="A1505" s="7">
        <v>43929.666666666664</v>
      </c>
      <c r="B1505" s="1" t="s">
        <v>70</v>
      </c>
      <c r="C1505" s="1">
        <v>6770.52</v>
      </c>
      <c r="D1505" s="1">
        <v>2419.44</v>
      </c>
    </row>
    <row r="1506" spans="1:4" x14ac:dyDescent="0.25">
      <c r="A1506" s="7">
        <v>43929.666666666664</v>
      </c>
      <c r="B1506" s="1" t="s">
        <v>78</v>
      </c>
      <c r="C1506" s="1">
        <v>1816.81</v>
      </c>
      <c r="D1506" s="1">
        <v>763.61</v>
      </c>
    </row>
    <row r="1507" spans="1:4" x14ac:dyDescent="0.25">
      <c r="A1507" s="7">
        <v>43929.666666666664</v>
      </c>
      <c r="B1507" s="1" t="s">
        <v>73</v>
      </c>
      <c r="C1507" s="1">
        <v>7295.06</v>
      </c>
      <c r="D1507" s="1">
        <v>1094.03</v>
      </c>
    </row>
    <row r="1508" spans="1:4" x14ac:dyDescent="0.25">
      <c r="A1508" s="7">
        <v>43929.666666666664</v>
      </c>
      <c r="B1508" s="1" t="s">
        <v>72</v>
      </c>
      <c r="C1508" s="1">
        <v>7489.49</v>
      </c>
      <c r="D1508" s="1">
        <v>3825.98</v>
      </c>
    </row>
    <row r="1509" spans="1:4" x14ac:dyDescent="0.25">
      <c r="A1509" s="7">
        <v>43929.708333333336</v>
      </c>
      <c r="B1509" s="1" t="s">
        <v>74</v>
      </c>
      <c r="C1509" s="1">
        <v>8732.34</v>
      </c>
      <c r="D1509" s="1">
        <v>1773.03</v>
      </c>
    </row>
    <row r="1510" spans="1:4" x14ac:dyDescent="0.25">
      <c r="A1510" s="7">
        <v>43929.708333333336</v>
      </c>
      <c r="B1510" s="1" t="s">
        <v>75</v>
      </c>
      <c r="C1510" s="1">
        <v>1018.31</v>
      </c>
      <c r="D1510" s="1">
        <v>337.48</v>
      </c>
    </row>
    <row r="1511" spans="1:4" x14ac:dyDescent="0.25">
      <c r="A1511" s="7">
        <v>43929.708333333336</v>
      </c>
      <c r="B1511" s="1" t="s">
        <v>76</v>
      </c>
      <c r="C1511" s="1">
        <v>13793.11</v>
      </c>
      <c r="D1511" s="1">
        <v>2742.6</v>
      </c>
    </row>
    <row r="1512" spans="1:4" x14ac:dyDescent="0.25">
      <c r="A1512" s="7">
        <v>43929.708333333336</v>
      </c>
      <c r="B1512" s="1" t="s">
        <v>68</v>
      </c>
      <c r="C1512" s="1">
        <v>9259.58</v>
      </c>
      <c r="D1512" s="1">
        <v>2391.44</v>
      </c>
    </row>
    <row r="1513" spans="1:4" x14ac:dyDescent="0.25">
      <c r="A1513" s="7">
        <v>43929.708333333336</v>
      </c>
      <c r="B1513" s="1" t="s">
        <v>77</v>
      </c>
      <c r="C1513" s="1">
        <v>8814.36</v>
      </c>
      <c r="D1513" s="1">
        <v>2381.38</v>
      </c>
    </row>
    <row r="1514" spans="1:4" x14ac:dyDescent="0.25">
      <c r="A1514" s="7">
        <v>43929.708333333336</v>
      </c>
      <c r="B1514" s="1" t="s">
        <v>69</v>
      </c>
      <c r="C1514" s="1">
        <v>5180.8999999999996</v>
      </c>
      <c r="D1514" s="1">
        <v>2916.17</v>
      </c>
    </row>
    <row r="1515" spans="1:4" x14ac:dyDescent="0.25">
      <c r="A1515" s="7">
        <v>43929.708333333336</v>
      </c>
      <c r="B1515" s="1" t="s">
        <v>70</v>
      </c>
      <c r="C1515" s="1">
        <v>7089.82</v>
      </c>
      <c r="D1515" s="1">
        <v>2636.6</v>
      </c>
    </row>
    <row r="1516" spans="1:4" x14ac:dyDescent="0.25">
      <c r="A1516" s="7">
        <v>43929.708333333336</v>
      </c>
      <c r="B1516" s="1" t="s">
        <v>78</v>
      </c>
      <c r="C1516" s="1">
        <v>2007.19</v>
      </c>
      <c r="D1516" s="1">
        <v>833.8</v>
      </c>
    </row>
    <row r="1517" spans="1:4" x14ac:dyDescent="0.25">
      <c r="A1517" s="7">
        <v>43929.708333333336</v>
      </c>
      <c r="B1517" s="1" t="s">
        <v>72</v>
      </c>
      <c r="C1517" s="1">
        <v>7952.9</v>
      </c>
      <c r="D1517" s="1">
        <v>4199.55</v>
      </c>
    </row>
    <row r="1518" spans="1:4" x14ac:dyDescent="0.25">
      <c r="A1518" s="7">
        <v>43929.708333333336</v>
      </c>
      <c r="B1518" s="1" t="s">
        <v>73</v>
      </c>
      <c r="C1518" s="1">
        <v>7678.04</v>
      </c>
      <c r="D1518" s="1">
        <v>1259.9000000000001</v>
      </c>
    </row>
    <row r="1519" spans="1:4" x14ac:dyDescent="0.25">
      <c r="A1519" s="7">
        <v>43929.708333333336</v>
      </c>
      <c r="B1519" s="1" t="s">
        <v>71</v>
      </c>
      <c r="C1519" s="1">
        <v>11371.44</v>
      </c>
      <c r="D1519" s="1">
        <v>2500.0100000000002</v>
      </c>
    </row>
    <row r="1520" spans="1:4" x14ac:dyDescent="0.25">
      <c r="A1520" s="7">
        <v>43929.75</v>
      </c>
      <c r="B1520" s="1" t="s">
        <v>75</v>
      </c>
      <c r="C1520" s="1">
        <v>1052.71</v>
      </c>
      <c r="D1520" s="1">
        <v>348.63</v>
      </c>
    </row>
    <row r="1521" spans="1:4" x14ac:dyDescent="0.25">
      <c r="A1521" s="7">
        <v>43929.75</v>
      </c>
      <c r="B1521" s="1" t="s">
        <v>74</v>
      </c>
      <c r="C1521" s="1">
        <v>9360.2800000000007</v>
      </c>
      <c r="D1521" s="1">
        <v>1896.17</v>
      </c>
    </row>
    <row r="1522" spans="1:4" x14ac:dyDescent="0.25">
      <c r="A1522" s="7">
        <v>43929.75</v>
      </c>
      <c r="B1522" s="1" t="s">
        <v>72</v>
      </c>
      <c r="C1522" s="1">
        <v>8378.3799999999992</v>
      </c>
      <c r="D1522" s="1">
        <v>4440.63</v>
      </c>
    </row>
    <row r="1523" spans="1:4" x14ac:dyDescent="0.25">
      <c r="A1523" s="7">
        <v>43929.75</v>
      </c>
      <c r="B1523" s="1" t="s">
        <v>71</v>
      </c>
      <c r="C1523" s="1">
        <v>11985.9</v>
      </c>
      <c r="D1523" s="1">
        <v>2706.66</v>
      </c>
    </row>
    <row r="1524" spans="1:4" x14ac:dyDescent="0.25">
      <c r="A1524" s="7">
        <v>43929.75</v>
      </c>
      <c r="B1524" s="1" t="s">
        <v>77</v>
      </c>
      <c r="C1524" s="1">
        <v>9287.91</v>
      </c>
      <c r="D1524" s="1">
        <v>2530.4699999999998</v>
      </c>
    </row>
    <row r="1525" spans="1:4" x14ac:dyDescent="0.25">
      <c r="A1525" s="7">
        <v>43929.75</v>
      </c>
      <c r="B1525" s="1" t="s">
        <v>69</v>
      </c>
      <c r="C1525" s="1">
        <v>5501.65</v>
      </c>
      <c r="D1525" s="1">
        <v>3106.33</v>
      </c>
    </row>
    <row r="1526" spans="1:4" x14ac:dyDescent="0.25">
      <c r="A1526" s="7">
        <v>43929.75</v>
      </c>
      <c r="B1526" s="1" t="s">
        <v>70</v>
      </c>
      <c r="C1526" s="1">
        <v>7323.18</v>
      </c>
      <c r="D1526" s="1">
        <v>2730.84</v>
      </c>
    </row>
    <row r="1527" spans="1:4" x14ac:dyDescent="0.25">
      <c r="A1527" s="7">
        <v>43929.75</v>
      </c>
      <c r="B1527" s="1" t="s">
        <v>78</v>
      </c>
      <c r="C1527" s="1">
        <v>2125.3200000000002</v>
      </c>
      <c r="D1527" s="1">
        <v>875.06</v>
      </c>
    </row>
    <row r="1528" spans="1:4" x14ac:dyDescent="0.25">
      <c r="A1528" s="7">
        <v>43929.75</v>
      </c>
      <c r="B1528" s="1" t="s">
        <v>76</v>
      </c>
      <c r="C1528" s="1">
        <v>14539.01</v>
      </c>
      <c r="D1528" s="1">
        <v>2877.6</v>
      </c>
    </row>
    <row r="1529" spans="1:4" x14ac:dyDescent="0.25">
      <c r="A1529" s="7">
        <v>43929.75</v>
      </c>
      <c r="B1529" s="1" t="s">
        <v>73</v>
      </c>
      <c r="C1529" s="1">
        <v>7775.39</v>
      </c>
      <c r="D1529" s="1">
        <v>1290.26</v>
      </c>
    </row>
    <row r="1530" spans="1:4" x14ac:dyDescent="0.25">
      <c r="A1530" s="7">
        <v>43929.75</v>
      </c>
      <c r="B1530" s="1" t="s">
        <v>68</v>
      </c>
      <c r="C1530" s="1">
        <v>9845.1</v>
      </c>
      <c r="D1530" s="1">
        <v>2608.9299999999998</v>
      </c>
    </row>
    <row r="1531" spans="1:4" x14ac:dyDescent="0.25">
      <c r="A1531" s="7">
        <v>43929.791666666664</v>
      </c>
      <c r="B1531" s="1" t="s">
        <v>75</v>
      </c>
      <c r="C1531" s="1">
        <v>1731.16</v>
      </c>
      <c r="D1531" s="1">
        <v>538.97</v>
      </c>
    </row>
    <row r="1532" spans="1:4" x14ac:dyDescent="0.25">
      <c r="A1532" s="7">
        <v>43929.791666666664</v>
      </c>
      <c r="B1532" s="1" t="s">
        <v>74</v>
      </c>
      <c r="C1532" s="1">
        <v>13922.33</v>
      </c>
      <c r="D1532" s="1">
        <v>2561.9299999999998</v>
      </c>
    </row>
    <row r="1533" spans="1:4" x14ac:dyDescent="0.25">
      <c r="A1533" s="7">
        <v>43929.791666666664</v>
      </c>
      <c r="B1533" s="1" t="s">
        <v>78</v>
      </c>
      <c r="C1533" s="1">
        <v>3238.74</v>
      </c>
      <c r="D1533" s="1">
        <v>1277.6300000000001</v>
      </c>
    </row>
    <row r="1534" spans="1:4" x14ac:dyDescent="0.25">
      <c r="A1534" s="7">
        <v>43929.791666666664</v>
      </c>
      <c r="B1534" s="1" t="s">
        <v>73</v>
      </c>
      <c r="C1534" s="1">
        <v>12634.68</v>
      </c>
      <c r="D1534" s="1">
        <v>1776.98</v>
      </c>
    </row>
    <row r="1535" spans="1:4" x14ac:dyDescent="0.25">
      <c r="A1535" s="7">
        <v>43929.791666666664</v>
      </c>
      <c r="B1535" s="1" t="s">
        <v>72</v>
      </c>
      <c r="C1535" s="1">
        <v>12650.73</v>
      </c>
      <c r="D1535" s="1">
        <v>6156.62</v>
      </c>
    </row>
    <row r="1536" spans="1:4" x14ac:dyDescent="0.25">
      <c r="A1536" s="7">
        <v>43929.791666666664</v>
      </c>
      <c r="B1536" s="1" t="s">
        <v>71</v>
      </c>
      <c r="C1536" s="1">
        <v>20025.34</v>
      </c>
      <c r="D1536" s="1">
        <v>3826.58</v>
      </c>
    </row>
    <row r="1537" spans="1:4" x14ac:dyDescent="0.25">
      <c r="A1537" s="7">
        <v>43929.791666666664</v>
      </c>
      <c r="B1537" s="1" t="s">
        <v>70</v>
      </c>
      <c r="C1537" s="1">
        <v>12472.92</v>
      </c>
      <c r="D1537" s="1">
        <v>4184.1499999999996</v>
      </c>
    </row>
    <row r="1538" spans="1:4" x14ac:dyDescent="0.25">
      <c r="A1538" s="7">
        <v>43929.791666666664</v>
      </c>
      <c r="B1538" s="1" t="s">
        <v>76</v>
      </c>
      <c r="C1538" s="1">
        <v>22910.359</v>
      </c>
      <c r="D1538" s="1">
        <v>4124.71</v>
      </c>
    </row>
    <row r="1539" spans="1:4" x14ac:dyDescent="0.25">
      <c r="A1539" s="7">
        <v>43929.791666666664</v>
      </c>
      <c r="B1539" s="1" t="s">
        <v>68</v>
      </c>
      <c r="C1539" s="1">
        <v>15929.78</v>
      </c>
      <c r="D1539" s="1">
        <v>3715.32</v>
      </c>
    </row>
    <row r="1540" spans="1:4" x14ac:dyDescent="0.25">
      <c r="A1540" s="7">
        <v>43929.791666666664</v>
      </c>
      <c r="B1540" s="1" t="s">
        <v>77</v>
      </c>
      <c r="C1540" s="1">
        <v>14359.83</v>
      </c>
      <c r="D1540" s="1">
        <v>3615.34</v>
      </c>
    </row>
    <row r="1541" spans="1:4" x14ac:dyDescent="0.25">
      <c r="A1541" s="7">
        <v>43929.791666666664</v>
      </c>
      <c r="B1541" s="1" t="s">
        <v>69</v>
      </c>
      <c r="C1541" s="1">
        <v>7917.71</v>
      </c>
      <c r="D1541" s="1">
        <v>4218.09</v>
      </c>
    </row>
    <row r="1542" spans="1:4" x14ac:dyDescent="0.25">
      <c r="A1542" s="7">
        <v>43929.833333333336</v>
      </c>
      <c r="B1542" s="1" t="s">
        <v>75</v>
      </c>
      <c r="C1542" s="1">
        <v>1856.05</v>
      </c>
      <c r="D1542" s="1">
        <v>567.39</v>
      </c>
    </row>
    <row r="1543" spans="1:4" x14ac:dyDescent="0.25">
      <c r="A1543" s="7">
        <v>43929.833333333336</v>
      </c>
      <c r="B1543" s="1" t="s">
        <v>74</v>
      </c>
      <c r="C1543" s="1">
        <v>14001.81</v>
      </c>
      <c r="D1543" s="1">
        <v>2484.21</v>
      </c>
    </row>
    <row r="1544" spans="1:4" x14ac:dyDescent="0.25">
      <c r="A1544" s="7">
        <v>43929.833333333336</v>
      </c>
      <c r="B1544" s="1" t="s">
        <v>78</v>
      </c>
      <c r="C1544" s="1">
        <v>3390.36</v>
      </c>
      <c r="D1544" s="1">
        <v>1355.03</v>
      </c>
    </row>
    <row r="1545" spans="1:4" x14ac:dyDescent="0.25">
      <c r="A1545" s="7">
        <v>43929.833333333336</v>
      </c>
      <c r="B1545" s="1" t="s">
        <v>73</v>
      </c>
      <c r="C1545" s="1">
        <v>12778.65</v>
      </c>
      <c r="D1545" s="1">
        <v>1748.39</v>
      </c>
    </row>
    <row r="1546" spans="1:4" x14ac:dyDescent="0.25">
      <c r="A1546" s="7">
        <v>43929.833333333336</v>
      </c>
      <c r="B1546" s="1" t="s">
        <v>68</v>
      </c>
      <c r="C1546" s="1">
        <v>16055.78</v>
      </c>
      <c r="D1546" s="1">
        <v>3665.11</v>
      </c>
    </row>
    <row r="1547" spans="1:4" x14ac:dyDescent="0.25">
      <c r="A1547" s="7">
        <v>43929.833333333336</v>
      </c>
      <c r="B1547" s="1" t="s">
        <v>71</v>
      </c>
      <c r="C1547" s="1">
        <v>20460.609</v>
      </c>
      <c r="D1547" s="1">
        <v>3823.34</v>
      </c>
    </row>
    <row r="1548" spans="1:4" x14ac:dyDescent="0.25">
      <c r="A1548" s="7">
        <v>43929.833333333336</v>
      </c>
      <c r="B1548" s="1" t="s">
        <v>70</v>
      </c>
      <c r="C1548" s="1">
        <v>12342.47</v>
      </c>
      <c r="D1548" s="1">
        <v>4090.86</v>
      </c>
    </row>
    <row r="1549" spans="1:4" x14ac:dyDescent="0.25">
      <c r="A1549" s="7">
        <v>43929.833333333336</v>
      </c>
      <c r="B1549" s="1" t="s">
        <v>72</v>
      </c>
      <c r="C1549" s="1">
        <v>12586.36</v>
      </c>
      <c r="D1549" s="1">
        <v>6164.24</v>
      </c>
    </row>
    <row r="1550" spans="1:4" x14ac:dyDescent="0.25">
      <c r="A1550" s="7">
        <v>43929.833333333336</v>
      </c>
      <c r="B1550" s="1" t="s">
        <v>76</v>
      </c>
      <c r="C1550" s="1">
        <v>23324.73</v>
      </c>
      <c r="D1550" s="1">
        <v>4039.57</v>
      </c>
    </row>
    <row r="1551" spans="1:4" x14ac:dyDescent="0.25">
      <c r="A1551" s="7">
        <v>43929.833333333336</v>
      </c>
      <c r="B1551" s="1" t="s">
        <v>77</v>
      </c>
      <c r="C1551" s="1">
        <v>14372.25</v>
      </c>
      <c r="D1551" s="1">
        <v>3528.51</v>
      </c>
    </row>
    <row r="1552" spans="1:4" x14ac:dyDescent="0.25">
      <c r="A1552" s="7">
        <v>43929.833333333336</v>
      </c>
      <c r="B1552" s="1" t="s">
        <v>69</v>
      </c>
      <c r="C1552" s="1">
        <v>8174.85</v>
      </c>
      <c r="D1552" s="1">
        <v>4542.33</v>
      </c>
    </row>
    <row r="1553" spans="1:4" x14ac:dyDescent="0.25">
      <c r="A1553" s="7">
        <v>43929.875</v>
      </c>
      <c r="B1553" s="1" t="s">
        <v>75</v>
      </c>
      <c r="C1553" s="1">
        <v>1784.81</v>
      </c>
      <c r="D1553" s="1">
        <v>534.67999999999995</v>
      </c>
    </row>
    <row r="1554" spans="1:4" x14ac:dyDescent="0.25">
      <c r="A1554" s="7">
        <v>43929.875</v>
      </c>
      <c r="B1554" s="1" t="s">
        <v>74</v>
      </c>
      <c r="C1554" s="1">
        <v>11846.01</v>
      </c>
      <c r="D1554" s="1">
        <v>2166.5300000000002</v>
      </c>
    </row>
    <row r="1555" spans="1:4" x14ac:dyDescent="0.25">
      <c r="A1555" s="7">
        <v>43929.875</v>
      </c>
      <c r="B1555" s="1" t="s">
        <v>76</v>
      </c>
      <c r="C1555" s="1">
        <v>20693.91</v>
      </c>
      <c r="D1555" s="1">
        <v>3611.97</v>
      </c>
    </row>
    <row r="1556" spans="1:4" x14ac:dyDescent="0.25">
      <c r="A1556" s="7">
        <v>43929.875</v>
      </c>
      <c r="B1556" s="1" t="s">
        <v>71</v>
      </c>
      <c r="C1556" s="1">
        <v>17019.631000000001</v>
      </c>
      <c r="D1556" s="1">
        <v>3250.43</v>
      </c>
    </row>
    <row r="1557" spans="1:4" x14ac:dyDescent="0.25">
      <c r="A1557" s="7">
        <v>43929.875</v>
      </c>
      <c r="B1557" s="1" t="s">
        <v>68</v>
      </c>
      <c r="C1557" s="1">
        <v>14093.42</v>
      </c>
      <c r="D1557" s="1">
        <v>3298.73</v>
      </c>
    </row>
    <row r="1558" spans="1:4" x14ac:dyDescent="0.25">
      <c r="A1558" s="7">
        <v>43929.875</v>
      </c>
      <c r="B1558" s="1" t="s">
        <v>77</v>
      </c>
      <c r="C1558" s="1">
        <v>13111.46</v>
      </c>
      <c r="D1558" s="1">
        <v>3229.28</v>
      </c>
    </row>
    <row r="1559" spans="1:4" x14ac:dyDescent="0.25">
      <c r="A1559" s="7">
        <v>43929.875</v>
      </c>
      <c r="B1559" s="1" t="s">
        <v>69</v>
      </c>
      <c r="C1559" s="1">
        <v>7796.05</v>
      </c>
      <c r="D1559" s="1">
        <v>4271.84</v>
      </c>
    </row>
    <row r="1560" spans="1:4" x14ac:dyDescent="0.25">
      <c r="A1560" s="7">
        <v>43929.875</v>
      </c>
      <c r="B1560" s="1" t="s">
        <v>70</v>
      </c>
      <c r="C1560" s="1">
        <v>11183.68</v>
      </c>
      <c r="D1560" s="1">
        <v>3660.15</v>
      </c>
    </row>
    <row r="1561" spans="1:4" x14ac:dyDescent="0.25">
      <c r="A1561" s="7">
        <v>43929.875</v>
      </c>
      <c r="B1561" s="1" t="s">
        <v>78</v>
      </c>
      <c r="C1561" s="1">
        <v>3392.92</v>
      </c>
      <c r="D1561" s="1">
        <v>1312.7</v>
      </c>
    </row>
    <row r="1562" spans="1:4" x14ac:dyDescent="0.25">
      <c r="A1562" s="7">
        <v>43929.875</v>
      </c>
      <c r="B1562" s="1" t="s">
        <v>72</v>
      </c>
      <c r="C1562" s="1">
        <v>11781.9</v>
      </c>
      <c r="D1562" s="1">
        <v>5721.05</v>
      </c>
    </row>
    <row r="1563" spans="1:4" x14ac:dyDescent="0.25">
      <c r="A1563" s="7">
        <v>43929.875</v>
      </c>
      <c r="B1563" s="1" t="s">
        <v>73</v>
      </c>
      <c r="C1563" s="1">
        <v>11331.3</v>
      </c>
      <c r="D1563" s="1">
        <v>1583.82</v>
      </c>
    </row>
    <row r="1564" spans="1:4" x14ac:dyDescent="0.25">
      <c r="A1564" s="7">
        <v>43929.916666666664</v>
      </c>
      <c r="B1564" s="1" t="s">
        <v>75</v>
      </c>
      <c r="C1564" s="1">
        <v>1334.95</v>
      </c>
      <c r="D1564" s="1">
        <v>439.29</v>
      </c>
    </row>
    <row r="1565" spans="1:4" x14ac:dyDescent="0.25">
      <c r="A1565" s="7">
        <v>43929.916666666664</v>
      </c>
      <c r="B1565" s="1" t="s">
        <v>74</v>
      </c>
      <c r="C1565" s="1">
        <v>7288.24</v>
      </c>
      <c r="D1565" s="1">
        <v>1456.57</v>
      </c>
    </row>
    <row r="1566" spans="1:4" x14ac:dyDescent="0.25">
      <c r="A1566" s="7">
        <v>43929.916666666664</v>
      </c>
      <c r="B1566" s="1" t="s">
        <v>76</v>
      </c>
      <c r="C1566" s="1">
        <v>13532.51</v>
      </c>
      <c r="D1566" s="1">
        <v>2474.19</v>
      </c>
    </row>
    <row r="1567" spans="1:4" x14ac:dyDescent="0.25">
      <c r="A1567" s="7">
        <v>43929.916666666664</v>
      </c>
      <c r="B1567" s="1" t="s">
        <v>68</v>
      </c>
      <c r="C1567" s="1">
        <v>9372.33</v>
      </c>
      <c r="D1567" s="1">
        <v>2418.98</v>
      </c>
    </row>
    <row r="1568" spans="1:4" x14ac:dyDescent="0.25">
      <c r="A1568" s="7">
        <v>43929.916666666664</v>
      </c>
      <c r="B1568" s="1" t="s">
        <v>77</v>
      </c>
      <c r="C1568" s="1">
        <v>9262.44</v>
      </c>
      <c r="D1568" s="1">
        <v>2380.02</v>
      </c>
    </row>
    <row r="1569" spans="1:4" x14ac:dyDescent="0.25">
      <c r="A1569" s="7">
        <v>43929.916666666664</v>
      </c>
      <c r="B1569" s="1" t="s">
        <v>70</v>
      </c>
      <c r="C1569" s="1">
        <v>7820.96</v>
      </c>
      <c r="D1569" s="1">
        <v>2670.13</v>
      </c>
    </row>
    <row r="1570" spans="1:4" x14ac:dyDescent="0.25">
      <c r="A1570" s="7">
        <v>43929.916666666664</v>
      </c>
      <c r="B1570" s="1" t="s">
        <v>69</v>
      </c>
      <c r="C1570" s="1">
        <v>6077.16</v>
      </c>
      <c r="D1570" s="1">
        <v>3415.25</v>
      </c>
    </row>
    <row r="1571" spans="1:4" x14ac:dyDescent="0.25">
      <c r="A1571" s="7">
        <v>43929.916666666664</v>
      </c>
      <c r="B1571" s="1" t="s">
        <v>78</v>
      </c>
      <c r="C1571" s="1">
        <v>2565.87</v>
      </c>
      <c r="D1571" s="1">
        <v>1027.42</v>
      </c>
    </row>
    <row r="1572" spans="1:4" x14ac:dyDescent="0.25">
      <c r="A1572" s="7">
        <v>43929.916666666664</v>
      </c>
      <c r="B1572" s="1" t="s">
        <v>73</v>
      </c>
      <c r="C1572" s="1">
        <v>7632.85</v>
      </c>
      <c r="D1572" s="1">
        <v>1162.78</v>
      </c>
    </row>
    <row r="1573" spans="1:4" x14ac:dyDescent="0.25">
      <c r="A1573" s="7">
        <v>43929.916666666664</v>
      </c>
      <c r="B1573" s="1" t="s">
        <v>72</v>
      </c>
      <c r="C1573" s="1">
        <v>8918.06</v>
      </c>
      <c r="D1573" s="1">
        <v>4450.66</v>
      </c>
    </row>
    <row r="1574" spans="1:4" x14ac:dyDescent="0.25">
      <c r="A1574" s="7">
        <v>43929.916666666664</v>
      </c>
      <c r="B1574" s="1" t="s">
        <v>71</v>
      </c>
      <c r="C1574" s="1">
        <v>10217.299999999999</v>
      </c>
      <c r="D1574" s="1">
        <v>2197.35</v>
      </c>
    </row>
    <row r="1575" spans="1:4" x14ac:dyDescent="0.25">
      <c r="A1575" s="7">
        <v>43929.958333333336</v>
      </c>
      <c r="B1575" s="1" t="s">
        <v>75</v>
      </c>
      <c r="C1575" s="1">
        <v>841.83</v>
      </c>
      <c r="D1575" s="1">
        <v>304.89999999999998</v>
      </c>
    </row>
    <row r="1576" spans="1:4" x14ac:dyDescent="0.25">
      <c r="A1576" s="7">
        <v>43929.958333333336</v>
      </c>
      <c r="B1576" s="1" t="s">
        <v>74</v>
      </c>
      <c r="C1576" s="1">
        <v>3343.47</v>
      </c>
      <c r="D1576" s="1">
        <v>793.98</v>
      </c>
    </row>
    <row r="1577" spans="1:4" x14ac:dyDescent="0.25">
      <c r="A1577" s="7">
        <v>43929.958333333336</v>
      </c>
      <c r="B1577" s="1" t="s">
        <v>76</v>
      </c>
      <c r="C1577" s="1">
        <v>6315.77</v>
      </c>
      <c r="D1577" s="1">
        <v>1268.17</v>
      </c>
    </row>
    <row r="1578" spans="1:4" x14ac:dyDescent="0.25">
      <c r="A1578" s="7">
        <v>43929.958333333336</v>
      </c>
      <c r="B1578" s="1" t="s">
        <v>72</v>
      </c>
      <c r="C1578" s="1">
        <v>5186.72</v>
      </c>
      <c r="D1578" s="1">
        <v>2809.76</v>
      </c>
    </row>
    <row r="1579" spans="1:4" x14ac:dyDescent="0.25">
      <c r="A1579" s="7">
        <v>43929.958333333336</v>
      </c>
      <c r="B1579" s="1" t="s">
        <v>73</v>
      </c>
      <c r="C1579" s="1">
        <v>3764.22</v>
      </c>
      <c r="D1579" s="1">
        <v>652.20000000000005</v>
      </c>
    </row>
    <row r="1580" spans="1:4" x14ac:dyDescent="0.25">
      <c r="A1580" s="7">
        <v>43929.958333333336</v>
      </c>
      <c r="B1580" s="1" t="s">
        <v>68</v>
      </c>
      <c r="C1580" s="1">
        <v>4590.67</v>
      </c>
      <c r="D1580" s="1">
        <v>1407.01</v>
      </c>
    </row>
    <row r="1581" spans="1:4" x14ac:dyDescent="0.25">
      <c r="A1581" s="7">
        <v>43929.958333333336</v>
      </c>
      <c r="B1581" s="1" t="s">
        <v>77</v>
      </c>
      <c r="C1581" s="1">
        <v>4980.37</v>
      </c>
      <c r="D1581" s="1">
        <v>1340.54</v>
      </c>
    </row>
    <row r="1582" spans="1:4" x14ac:dyDescent="0.25">
      <c r="A1582" s="7">
        <v>43929.958333333336</v>
      </c>
      <c r="B1582" s="1" t="s">
        <v>71</v>
      </c>
      <c r="C1582" s="1">
        <v>4642.33</v>
      </c>
      <c r="D1582" s="1">
        <v>1166.8800000000001</v>
      </c>
    </row>
    <row r="1583" spans="1:4" x14ac:dyDescent="0.25">
      <c r="A1583" s="7">
        <v>43929.958333333336</v>
      </c>
      <c r="B1583" s="1" t="s">
        <v>69</v>
      </c>
      <c r="C1583" s="1">
        <v>3573.02</v>
      </c>
      <c r="D1583" s="1">
        <v>2147.35</v>
      </c>
    </row>
    <row r="1584" spans="1:4" x14ac:dyDescent="0.25">
      <c r="A1584" s="7">
        <v>43929.958333333336</v>
      </c>
      <c r="B1584" s="1" t="s">
        <v>70</v>
      </c>
      <c r="C1584" s="1">
        <v>4041.11</v>
      </c>
      <c r="D1584" s="1">
        <v>1557.98</v>
      </c>
    </row>
    <row r="1585" spans="1:4" x14ac:dyDescent="0.25">
      <c r="A1585" s="7">
        <v>43929.958333333336</v>
      </c>
      <c r="B1585" s="1" t="s">
        <v>78</v>
      </c>
      <c r="C1585" s="1">
        <v>1520.04</v>
      </c>
      <c r="D1585" s="1">
        <v>674.05</v>
      </c>
    </row>
    <row r="1586" spans="1:4" x14ac:dyDescent="0.25">
      <c r="A1586" s="7">
        <v>43959</v>
      </c>
      <c r="B1586" s="1" t="s">
        <v>75</v>
      </c>
      <c r="C1586" s="1">
        <v>488.96</v>
      </c>
      <c r="D1586" s="1">
        <v>166.97</v>
      </c>
    </row>
    <row r="1587" spans="1:4" x14ac:dyDescent="0.25">
      <c r="A1587" s="7">
        <v>43959</v>
      </c>
      <c r="B1587" s="1" t="s">
        <v>74</v>
      </c>
      <c r="C1587" s="1">
        <v>1403.35</v>
      </c>
      <c r="D1587" s="1">
        <v>367.78</v>
      </c>
    </row>
    <row r="1588" spans="1:4" x14ac:dyDescent="0.25">
      <c r="A1588" s="7">
        <v>43959</v>
      </c>
      <c r="B1588" s="1" t="s">
        <v>72</v>
      </c>
      <c r="C1588" s="1">
        <v>2588.33</v>
      </c>
      <c r="D1588" s="1">
        <v>1514.7</v>
      </c>
    </row>
    <row r="1589" spans="1:4" x14ac:dyDescent="0.25">
      <c r="A1589" s="7">
        <v>43959</v>
      </c>
      <c r="B1589" s="1" t="s">
        <v>73</v>
      </c>
      <c r="C1589" s="1">
        <v>1649.77</v>
      </c>
      <c r="D1589" s="1">
        <v>324.52</v>
      </c>
    </row>
    <row r="1590" spans="1:4" x14ac:dyDescent="0.25">
      <c r="A1590" s="7">
        <v>43959</v>
      </c>
      <c r="B1590" s="1" t="s">
        <v>71</v>
      </c>
      <c r="C1590" s="1">
        <v>2030.09</v>
      </c>
      <c r="D1590" s="1">
        <v>583.54999999999995</v>
      </c>
    </row>
    <row r="1591" spans="1:4" x14ac:dyDescent="0.25">
      <c r="A1591" s="7">
        <v>43959</v>
      </c>
      <c r="B1591" s="1" t="s">
        <v>68</v>
      </c>
      <c r="C1591" s="1">
        <v>2083.2399999999998</v>
      </c>
      <c r="D1591" s="1">
        <v>711.15</v>
      </c>
    </row>
    <row r="1592" spans="1:4" x14ac:dyDescent="0.25">
      <c r="A1592" s="7">
        <v>43959</v>
      </c>
      <c r="B1592" s="1" t="s">
        <v>77</v>
      </c>
      <c r="C1592" s="1">
        <v>2350.38</v>
      </c>
      <c r="D1592" s="1">
        <v>666.39</v>
      </c>
    </row>
    <row r="1593" spans="1:4" x14ac:dyDescent="0.25">
      <c r="A1593" s="7">
        <v>43959</v>
      </c>
      <c r="B1593" s="1" t="s">
        <v>70</v>
      </c>
      <c r="C1593" s="1">
        <v>1840.35</v>
      </c>
      <c r="D1593" s="1">
        <v>770.58</v>
      </c>
    </row>
    <row r="1594" spans="1:4" x14ac:dyDescent="0.25">
      <c r="A1594" s="7">
        <v>43959</v>
      </c>
      <c r="B1594" s="1" t="s">
        <v>78</v>
      </c>
      <c r="C1594" s="1">
        <v>735.16</v>
      </c>
      <c r="D1594" s="1">
        <v>334.99</v>
      </c>
    </row>
    <row r="1595" spans="1:4" x14ac:dyDescent="0.25">
      <c r="A1595" s="7">
        <v>43959</v>
      </c>
      <c r="B1595" s="1" t="s">
        <v>76</v>
      </c>
      <c r="C1595" s="1">
        <v>2665.42</v>
      </c>
      <c r="D1595" s="1">
        <v>582.66</v>
      </c>
    </row>
    <row r="1596" spans="1:4" x14ac:dyDescent="0.25">
      <c r="A1596" s="7">
        <v>43959</v>
      </c>
      <c r="B1596" s="1" t="s">
        <v>69</v>
      </c>
      <c r="C1596" s="1">
        <v>1818.75</v>
      </c>
      <c r="D1596" s="1">
        <v>1159.7</v>
      </c>
    </row>
    <row r="1597" spans="1:4" x14ac:dyDescent="0.25">
      <c r="A1597" s="7">
        <v>43959.041666666664</v>
      </c>
      <c r="B1597" s="1" t="s">
        <v>75</v>
      </c>
      <c r="C1597" s="1">
        <v>240.04</v>
      </c>
      <c r="D1597" s="1">
        <v>83.97</v>
      </c>
    </row>
    <row r="1598" spans="1:4" x14ac:dyDescent="0.25">
      <c r="A1598" s="7">
        <v>43959.041666666664</v>
      </c>
      <c r="B1598" s="1" t="s">
        <v>74</v>
      </c>
      <c r="C1598" s="1">
        <v>657.39</v>
      </c>
      <c r="D1598" s="1">
        <v>177.02</v>
      </c>
    </row>
    <row r="1599" spans="1:4" x14ac:dyDescent="0.25">
      <c r="A1599" s="7">
        <v>43959.041666666664</v>
      </c>
      <c r="B1599" s="1" t="s">
        <v>78</v>
      </c>
      <c r="C1599" s="1">
        <v>367.16</v>
      </c>
      <c r="D1599" s="1">
        <v>175.41</v>
      </c>
    </row>
    <row r="1600" spans="1:4" x14ac:dyDescent="0.25">
      <c r="A1600" s="7">
        <v>43959.041666666664</v>
      </c>
      <c r="B1600" s="1" t="s">
        <v>71</v>
      </c>
      <c r="C1600" s="1">
        <v>931.4</v>
      </c>
      <c r="D1600" s="1">
        <v>273.12</v>
      </c>
    </row>
    <row r="1601" spans="1:4" x14ac:dyDescent="0.25">
      <c r="A1601" s="7">
        <v>43959.041666666664</v>
      </c>
      <c r="B1601" s="1" t="s">
        <v>69</v>
      </c>
      <c r="C1601" s="1">
        <v>935.77</v>
      </c>
      <c r="D1601" s="1">
        <v>594.86</v>
      </c>
    </row>
    <row r="1602" spans="1:4" x14ac:dyDescent="0.25">
      <c r="A1602" s="7">
        <v>43959.041666666664</v>
      </c>
      <c r="B1602" s="1" t="s">
        <v>70</v>
      </c>
      <c r="C1602" s="1">
        <v>886.93</v>
      </c>
      <c r="D1602" s="1">
        <v>378.22</v>
      </c>
    </row>
    <row r="1603" spans="1:4" x14ac:dyDescent="0.25">
      <c r="A1603" s="7">
        <v>43959.041666666664</v>
      </c>
      <c r="B1603" s="1" t="s">
        <v>76</v>
      </c>
      <c r="C1603" s="1">
        <v>1175.25</v>
      </c>
      <c r="D1603" s="1">
        <v>269.41000000000003</v>
      </c>
    </row>
    <row r="1604" spans="1:4" x14ac:dyDescent="0.25">
      <c r="A1604" s="7">
        <v>43959.041666666664</v>
      </c>
      <c r="B1604" s="1" t="s">
        <v>73</v>
      </c>
      <c r="C1604" s="1">
        <v>733.24</v>
      </c>
      <c r="D1604" s="1">
        <v>145.57</v>
      </c>
    </row>
    <row r="1605" spans="1:4" x14ac:dyDescent="0.25">
      <c r="A1605" s="7">
        <v>43959.041666666664</v>
      </c>
      <c r="B1605" s="1" t="s">
        <v>72</v>
      </c>
      <c r="C1605" s="1">
        <v>1284.22</v>
      </c>
      <c r="D1605" s="1">
        <v>742.93</v>
      </c>
    </row>
    <row r="1606" spans="1:4" x14ac:dyDescent="0.25">
      <c r="A1606" s="7">
        <v>43959.041666666664</v>
      </c>
      <c r="B1606" s="1" t="s">
        <v>68</v>
      </c>
      <c r="C1606" s="1">
        <v>960.75</v>
      </c>
      <c r="D1606" s="1">
        <v>339.19</v>
      </c>
    </row>
    <row r="1607" spans="1:4" x14ac:dyDescent="0.25">
      <c r="A1607" s="7">
        <v>43959.041666666664</v>
      </c>
      <c r="B1607" s="1" t="s">
        <v>77</v>
      </c>
      <c r="C1607" s="1">
        <v>1078.05</v>
      </c>
      <c r="D1607" s="1">
        <v>347.45</v>
      </c>
    </row>
    <row r="1608" spans="1:4" x14ac:dyDescent="0.25">
      <c r="A1608" s="7">
        <v>43959.083333333336</v>
      </c>
      <c r="B1608" s="1" t="s">
        <v>75</v>
      </c>
      <c r="C1608" s="1">
        <v>128.11000000000001</v>
      </c>
      <c r="D1608" s="1">
        <v>42.61</v>
      </c>
    </row>
    <row r="1609" spans="1:4" x14ac:dyDescent="0.25">
      <c r="A1609" s="7">
        <v>43959.083333333336</v>
      </c>
      <c r="B1609" s="1" t="s">
        <v>74</v>
      </c>
      <c r="C1609" s="1">
        <v>353.8</v>
      </c>
      <c r="D1609" s="1">
        <v>94.6</v>
      </c>
    </row>
    <row r="1610" spans="1:4" x14ac:dyDescent="0.25">
      <c r="A1610" s="7">
        <v>43959.083333333336</v>
      </c>
      <c r="B1610" s="1" t="s">
        <v>68</v>
      </c>
      <c r="C1610" s="1">
        <v>469.37</v>
      </c>
      <c r="D1610" s="1">
        <v>142.9</v>
      </c>
    </row>
    <row r="1611" spans="1:4" x14ac:dyDescent="0.25">
      <c r="A1611" s="7">
        <v>43959.083333333336</v>
      </c>
      <c r="B1611" s="1" t="s">
        <v>69</v>
      </c>
      <c r="C1611" s="1">
        <v>457.73</v>
      </c>
      <c r="D1611" s="1">
        <v>279.66000000000003</v>
      </c>
    </row>
    <row r="1612" spans="1:4" x14ac:dyDescent="0.25">
      <c r="A1612" s="7">
        <v>43959.083333333336</v>
      </c>
      <c r="B1612" s="1" t="s">
        <v>70</v>
      </c>
      <c r="C1612" s="1">
        <v>472.75</v>
      </c>
      <c r="D1612" s="1">
        <v>200.72</v>
      </c>
    </row>
    <row r="1613" spans="1:4" x14ac:dyDescent="0.25">
      <c r="A1613" s="7">
        <v>43959.083333333336</v>
      </c>
      <c r="B1613" s="1" t="s">
        <v>78</v>
      </c>
      <c r="C1613" s="1">
        <v>178.34</v>
      </c>
      <c r="D1613" s="1">
        <v>82.22</v>
      </c>
    </row>
    <row r="1614" spans="1:4" x14ac:dyDescent="0.25">
      <c r="A1614" s="7">
        <v>43959.083333333336</v>
      </c>
      <c r="B1614" s="1" t="s">
        <v>72</v>
      </c>
      <c r="C1614" s="1">
        <v>648.85</v>
      </c>
      <c r="D1614" s="1">
        <v>376.74</v>
      </c>
    </row>
    <row r="1615" spans="1:4" x14ac:dyDescent="0.25">
      <c r="A1615" s="7">
        <v>43959.083333333336</v>
      </c>
      <c r="B1615" s="1" t="s">
        <v>76</v>
      </c>
      <c r="C1615" s="1">
        <v>561.59</v>
      </c>
      <c r="D1615" s="1">
        <v>134.41</v>
      </c>
    </row>
    <row r="1616" spans="1:4" x14ac:dyDescent="0.25">
      <c r="A1616" s="7">
        <v>43959.083333333336</v>
      </c>
      <c r="B1616" s="1" t="s">
        <v>73</v>
      </c>
      <c r="C1616" s="1">
        <v>342.89</v>
      </c>
      <c r="D1616" s="1">
        <v>59.12</v>
      </c>
    </row>
    <row r="1617" spans="1:4" x14ac:dyDescent="0.25">
      <c r="A1617" s="7">
        <v>43959.083333333336</v>
      </c>
      <c r="B1617" s="1" t="s">
        <v>77</v>
      </c>
      <c r="C1617" s="1">
        <v>550.09</v>
      </c>
      <c r="D1617" s="1">
        <v>171.92</v>
      </c>
    </row>
    <row r="1618" spans="1:4" x14ac:dyDescent="0.25">
      <c r="A1618" s="7">
        <v>43959.083333333336</v>
      </c>
      <c r="B1618" s="1" t="s">
        <v>71</v>
      </c>
      <c r="C1618" s="1">
        <v>474.35</v>
      </c>
      <c r="D1618" s="1">
        <v>142.02000000000001</v>
      </c>
    </row>
    <row r="1619" spans="1:4" x14ac:dyDescent="0.25">
      <c r="A1619" s="7">
        <v>43959.125</v>
      </c>
      <c r="B1619" s="1" t="s">
        <v>75</v>
      </c>
      <c r="C1619" s="1">
        <v>60.14</v>
      </c>
      <c r="D1619" s="1">
        <v>18.98</v>
      </c>
    </row>
    <row r="1620" spans="1:4" x14ac:dyDescent="0.25">
      <c r="A1620" s="7">
        <v>43959.125</v>
      </c>
      <c r="B1620" s="1" t="s">
        <v>74</v>
      </c>
      <c r="C1620" s="1">
        <v>218.01</v>
      </c>
      <c r="D1620" s="1">
        <v>58.17</v>
      </c>
    </row>
    <row r="1621" spans="1:4" x14ac:dyDescent="0.25">
      <c r="A1621" s="7">
        <v>43959.125</v>
      </c>
      <c r="B1621" s="1" t="s">
        <v>76</v>
      </c>
      <c r="C1621" s="1">
        <v>302.19</v>
      </c>
      <c r="D1621" s="1">
        <v>70.88</v>
      </c>
    </row>
    <row r="1622" spans="1:4" x14ac:dyDescent="0.25">
      <c r="A1622" s="7">
        <v>43959.125</v>
      </c>
      <c r="B1622" s="1" t="s">
        <v>71</v>
      </c>
      <c r="C1622" s="1">
        <v>281.66000000000003</v>
      </c>
      <c r="D1622" s="1">
        <v>68.430000000000007</v>
      </c>
    </row>
    <row r="1623" spans="1:4" x14ac:dyDescent="0.25">
      <c r="A1623" s="7">
        <v>43959.125</v>
      </c>
      <c r="B1623" s="1" t="s">
        <v>68</v>
      </c>
      <c r="C1623" s="1">
        <v>254.04</v>
      </c>
      <c r="D1623" s="1">
        <v>84.42</v>
      </c>
    </row>
    <row r="1624" spans="1:4" x14ac:dyDescent="0.25">
      <c r="A1624" s="7">
        <v>43959.125</v>
      </c>
      <c r="B1624" s="1" t="s">
        <v>77</v>
      </c>
      <c r="C1624" s="1">
        <v>325.5</v>
      </c>
      <c r="D1624" s="1">
        <v>89.31</v>
      </c>
    </row>
    <row r="1625" spans="1:4" x14ac:dyDescent="0.25">
      <c r="A1625" s="7">
        <v>43959.125</v>
      </c>
      <c r="B1625" s="1" t="s">
        <v>70</v>
      </c>
      <c r="C1625" s="1">
        <v>279.55</v>
      </c>
      <c r="D1625" s="1">
        <v>117.41</v>
      </c>
    </row>
    <row r="1626" spans="1:4" x14ac:dyDescent="0.25">
      <c r="A1626" s="7">
        <v>43959.125</v>
      </c>
      <c r="B1626" s="1" t="s">
        <v>69</v>
      </c>
      <c r="C1626" s="1">
        <v>248.81</v>
      </c>
      <c r="D1626" s="1">
        <v>128.85</v>
      </c>
    </row>
    <row r="1627" spans="1:4" x14ac:dyDescent="0.25">
      <c r="A1627" s="7">
        <v>43959.125</v>
      </c>
      <c r="B1627" s="1" t="s">
        <v>78</v>
      </c>
      <c r="C1627" s="1">
        <v>93.08</v>
      </c>
      <c r="D1627" s="1">
        <v>42.48</v>
      </c>
    </row>
    <row r="1628" spans="1:4" x14ac:dyDescent="0.25">
      <c r="A1628" s="7">
        <v>43959.125</v>
      </c>
      <c r="B1628" s="1" t="s">
        <v>72</v>
      </c>
      <c r="C1628" s="1">
        <v>353.46</v>
      </c>
      <c r="D1628" s="1">
        <v>193</v>
      </c>
    </row>
    <row r="1629" spans="1:4" x14ac:dyDescent="0.25">
      <c r="A1629" s="7">
        <v>43959.125</v>
      </c>
      <c r="B1629" s="1" t="s">
        <v>73</v>
      </c>
      <c r="C1629" s="1">
        <v>193.79</v>
      </c>
      <c r="D1629" s="1">
        <v>32.07</v>
      </c>
    </row>
    <row r="1630" spans="1:4" x14ac:dyDescent="0.25">
      <c r="A1630" s="7">
        <v>43959.166666666664</v>
      </c>
      <c r="B1630" s="1" t="s">
        <v>74</v>
      </c>
      <c r="C1630" s="1">
        <v>166.75</v>
      </c>
      <c r="D1630" s="1">
        <v>32.49</v>
      </c>
    </row>
    <row r="1631" spans="1:4" x14ac:dyDescent="0.25">
      <c r="A1631" s="7">
        <v>43959.166666666664</v>
      </c>
      <c r="B1631" s="1" t="s">
        <v>75</v>
      </c>
      <c r="C1631" s="1">
        <v>33.36</v>
      </c>
      <c r="D1631" s="1">
        <v>11.64</v>
      </c>
    </row>
    <row r="1632" spans="1:4" x14ac:dyDescent="0.25">
      <c r="A1632" s="7">
        <v>43959.166666666664</v>
      </c>
      <c r="B1632" s="1" t="s">
        <v>76</v>
      </c>
      <c r="C1632" s="1">
        <v>231.94</v>
      </c>
      <c r="D1632" s="1">
        <v>54.54</v>
      </c>
    </row>
    <row r="1633" spans="1:4" x14ac:dyDescent="0.25">
      <c r="A1633" s="7">
        <v>43959.166666666664</v>
      </c>
      <c r="B1633" s="1" t="s">
        <v>73</v>
      </c>
      <c r="C1633" s="1">
        <v>154.96</v>
      </c>
      <c r="D1633" s="1">
        <v>24.46</v>
      </c>
    </row>
    <row r="1634" spans="1:4" x14ac:dyDescent="0.25">
      <c r="A1634" s="7">
        <v>43959.166666666664</v>
      </c>
      <c r="B1634" s="1" t="s">
        <v>72</v>
      </c>
      <c r="C1634" s="1">
        <v>269.11</v>
      </c>
      <c r="D1634" s="1">
        <v>119.6</v>
      </c>
    </row>
    <row r="1635" spans="1:4" x14ac:dyDescent="0.25">
      <c r="A1635" s="7">
        <v>43959.166666666664</v>
      </c>
      <c r="B1635" s="1" t="s">
        <v>68</v>
      </c>
      <c r="C1635" s="1">
        <v>225.37</v>
      </c>
      <c r="D1635" s="1">
        <v>49.25</v>
      </c>
    </row>
    <row r="1636" spans="1:4" x14ac:dyDescent="0.25">
      <c r="A1636" s="7">
        <v>43959.166666666664</v>
      </c>
      <c r="B1636" s="1" t="s">
        <v>77</v>
      </c>
      <c r="C1636" s="1">
        <v>255.3</v>
      </c>
      <c r="D1636" s="1">
        <v>65.09</v>
      </c>
    </row>
    <row r="1637" spans="1:4" x14ac:dyDescent="0.25">
      <c r="A1637" s="7">
        <v>43959.166666666664</v>
      </c>
      <c r="B1637" s="1" t="s">
        <v>71</v>
      </c>
      <c r="C1637" s="1">
        <v>249.62</v>
      </c>
      <c r="D1637" s="1">
        <v>52.77</v>
      </c>
    </row>
    <row r="1638" spans="1:4" x14ac:dyDescent="0.25">
      <c r="A1638" s="7">
        <v>43959.166666666664</v>
      </c>
      <c r="B1638" s="1" t="s">
        <v>70</v>
      </c>
      <c r="C1638" s="1">
        <v>218.96</v>
      </c>
      <c r="D1638" s="1">
        <v>70.680000000000007</v>
      </c>
    </row>
    <row r="1639" spans="1:4" x14ac:dyDescent="0.25">
      <c r="A1639" s="7">
        <v>43959.166666666664</v>
      </c>
      <c r="B1639" s="1" t="s">
        <v>78</v>
      </c>
      <c r="C1639" s="1">
        <v>67.739999999999995</v>
      </c>
      <c r="D1639" s="1">
        <v>19.350000000000001</v>
      </c>
    </row>
    <row r="1640" spans="1:4" x14ac:dyDescent="0.25">
      <c r="A1640" s="7">
        <v>43959.166666666664</v>
      </c>
      <c r="B1640" s="1" t="s">
        <v>69</v>
      </c>
      <c r="C1640" s="1">
        <v>171.51</v>
      </c>
      <c r="D1640" s="1">
        <v>74.89</v>
      </c>
    </row>
    <row r="1641" spans="1:4" x14ac:dyDescent="0.25">
      <c r="A1641" s="7">
        <v>43959.208333333336</v>
      </c>
      <c r="B1641" s="1" t="s">
        <v>75</v>
      </c>
      <c r="C1641" s="1">
        <v>58.23</v>
      </c>
      <c r="D1641" s="1">
        <v>18.07</v>
      </c>
    </row>
    <row r="1642" spans="1:4" x14ac:dyDescent="0.25">
      <c r="A1642" s="7">
        <v>43959.208333333336</v>
      </c>
      <c r="B1642" s="1" t="s">
        <v>74</v>
      </c>
      <c r="C1642" s="1">
        <v>505.35</v>
      </c>
      <c r="D1642" s="1">
        <v>71.69</v>
      </c>
    </row>
    <row r="1643" spans="1:4" x14ac:dyDescent="0.25">
      <c r="A1643" s="7">
        <v>43959.208333333336</v>
      </c>
      <c r="B1643" s="1" t="s">
        <v>76</v>
      </c>
      <c r="C1643" s="1">
        <v>729.77</v>
      </c>
      <c r="D1643" s="1">
        <v>108.09</v>
      </c>
    </row>
    <row r="1644" spans="1:4" x14ac:dyDescent="0.25">
      <c r="A1644" s="7">
        <v>43959.208333333336</v>
      </c>
      <c r="B1644" s="1" t="s">
        <v>73</v>
      </c>
      <c r="C1644" s="1">
        <v>448.78</v>
      </c>
      <c r="D1644" s="1">
        <v>51.31</v>
      </c>
    </row>
    <row r="1645" spans="1:4" x14ac:dyDescent="0.25">
      <c r="A1645" s="7">
        <v>43959.208333333336</v>
      </c>
      <c r="B1645" s="1" t="s">
        <v>68</v>
      </c>
      <c r="C1645" s="1">
        <v>745.05</v>
      </c>
      <c r="D1645" s="1">
        <v>115.54</v>
      </c>
    </row>
    <row r="1646" spans="1:4" x14ac:dyDescent="0.25">
      <c r="A1646" s="7">
        <v>43959.208333333336</v>
      </c>
      <c r="B1646" s="1" t="s">
        <v>77</v>
      </c>
      <c r="C1646" s="1">
        <v>518.25</v>
      </c>
      <c r="D1646" s="1">
        <v>100.87</v>
      </c>
    </row>
    <row r="1647" spans="1:4" x14ac:dyDescent="0.25">
      <c r="A1647" s="7">
        <v>43959.208333333336</v>
      </c>
      <c r="B1647" s="1" t="s">
        <v>71</v>
      </c>
      <c r="C1647" s="1">
        <v>976.17</v>
      </c>
      <c r="D1647" s="1">
        <v>131.47</v>
      </c>
    </row>
    <row r="1648" spans="1:4" x14ac:dyDescent="0.25">
      <c r="A1648" s="7">
        <v>43959.208333333336</v>
      </c>
      <c r="B1648" s="1" t="s">
        <v>70</v>
      </c>
      <c r="C1648" s="1">
        <v>467.32</v>
      </c>
      <c r="D1648" s="1">
        <v>131.19</v>
      </c>
    </row>
    <row r="1649" spans="1:4" x14ac:dyDescent="0.25">
      <c r="A1649" s="7">
        <v>43959.208333333336</v>
      </c>
      <c r="B1649" s="1" t="s">
        <v>78</v>
      </c>
      <c r="C1649" s="1">
        <v>114.78</v>
      </c>
      <c r="D1649" s="1">
        <v>29.45</v>
      </c>
    </row>
    <row r="1650" spans="1:4" x14ac:dyDescent="0.25">
      <c r="A1650" s="7">
        <v>43959.208333333336</v>
      </c>
      <c r="B1650" s="1" t="s">
        <v>72</v>
      </c>
      <c r="C1650" s="1">
        <v>432.77</v>
      </c>
      <c r="D1650" s="1">
        <v>165.25</v>
      </c>
    </row>
    <row r="1651" spans="1:4" x14ac:dyDescent="0.25">
      <c r="A1651" s="7">
        <v>43959.208333333336</v>
      </c>
      <c r="B1651" s="1" t="s">
        <v>69</v>
      </c>
      <c r="C1651" s="1">
        <v>265.13</v>
      </c>
      <c r="D1651" s="1">
        <v>97.32</v>
      </c>
    </row>
    <row r="1652" spans="1:4" x14ac:dyDescent="0.25">
      <c r="A1652" s="7">
        <v>43959.25</v>
      </c>
      <c r="B1652" s="1" t="s">
        <v>75</v>
      </c>
      <c r="C1652" s="1">
        <v>162.32</v>
      </c>
      <c r="D1652" s="1">
        <v>32.65</v>
      </c>
    </row>
    <row r="1653" spans="1:4" x14ac:dyDescent="0.25">
      <c r="A1653" s="7">
        <v>43959.25</v>
      </c>
      <c r="B1653" s="1" t="s">
        <v>74</v>
      </c>
      <c r="C1653" s="1">
        <v>2209.73</v>
      </c>
      <c r="D1653" s="1">
        <v>262.68</v>
      </c>
    </row>
    <row r="1654" spans="1:4" x14ac:dyDescent="0.25">
      <c r="A1654" s="7">
        <v>43959.25</v>
      </c>
      <c r="B1654" s="1" t="s">
        <v>78</v>
      </c>
      <c r="C1654" s="1">
        <v>264</v>
      </c>
      <c r="D1654" s="1">
        <v>69.069999999999993</v>
      </c>
    </row>
    <row r="1655" spans="1:4" x14ac:dyDescent="0.25">
      <c r="A1655" s="7">
        <v>43959.25</v>
      </c>
      <c r="B1655" s="1" t="s">
        <v>77</v>
      </c>
      <c r="C1655" s="1">
        <v>1631.73</v>
      </c>
      <c r="D1655" s="1">
        <v>291.43</v>
      </c>
    </row>
    <row r="1656" spans="1:4" x14ac:dyDescent="0.25">
      <c r="A1656" s="7">
        <v>43959.25</v>
      </c>
      <c r="B1656" s="1" t="s">
        <v>71</v>
      </c>
      <c r="C1656" s="1">
        <v>3672.43</v>
      </c>
      <c r="D1656" s="1">
        <v>459.12</v>
      </c>
    </row>
    <row r="1657" spans="1:4" x14ac:dyDescent="0.25">
      <c r="A1657" s="7">
        <v>43959.25</v>
      </c>
      <c r="B1657" s="1" t="s">
        <v>69</v>
      </c>
      <c r="C1657" s="1">
        <v>637.53</v>
      </c>
      <c r="D1657" s="1">
        <v>203.98</v>
      </c>
    </row>
    <row r="1658" spans="1:4" x14ac:dyDescent="0.25">
      <c r="A1658" s="7">
        <v>43959.25</v>
      </c>
      <c r="B1658" s="1" t="s">
        <v>76</v>
      </c>
      <c r="C1658" s="1">
        <v>3358.24</v>
      </c>
      <c r="D1658" s="1">
        <v>388.65</v>
      </c>
    </row>
    <row r="1659" spans="1:4" x14ac:dyDescent="0.25">
      <c r="A1659" s="7">
        <v>43959.25</v>
      </c>
      <c r="B1659" s="1" t="s">
        <v>72</v>
      </c>
      <c r="C1659" s="1">
        <v>1021.99</v>
      </c>
      <c r="D1659" s="1">
        <v>345.61</v>
      </c>
    </row>
    <row r="1660" spans="1:4" x14ac:dyDescent="0.25">
      <c r="A1660" s="7">
        <v>43959.25</v>
      </c>
      <c r="B1660" s="1" t="s">
        <v>73</v>
      </c>
      <c r="C1660" s="1">
        <v>1662.41</v>
      </c>
      <c r="D1660" s="1">
        <v>152.30000000000001</v>
      </c>
    </row>
    <row r="1661" spans="1:4" x14ac:dyDescent="0.25">
      <c r="A1661" s="7">
        <v>43959.25</v>
      </c>
      <c r="B1661" s="1" t="s">
        <v>68</v>
      </c>
      <c r="C1661" s="1">
        <v>2690.77</v>
      </c>
      <c r="D1661" s="1">
        <v>397.08</v>
      </c>
    </row>
    <row r="1662" spans="1:4" x14ac:dyDescent="0.25">
      <c r="A1662" s="7">
        <v>43959.25</v>
      </c>
      <c r="B1662" s="1" t="s">
        <v>70</v>
      </c>
      <c r="C1662" s="1">
        <v>1416.88</v>
      </c>
      <c r="D1662" s="1">
        <v>358.83</v>
      </c>
    </row>
    <row r="1663" spans="1:4" x14ac:dyDescent="0.25">
      <c r="A1663" s="7">
        <v>43959.291666666664</v>
      </c>
      <c r="B1663" s="1" t="s">
        <v>75</v>
      </c>
      <c r="C1663" s="1">
        <v>354.33</v>
      </c>
      <c r="D1663" s="1">
        <v>79.930000000000007</v>
      </c>
    </row>
    <row r="1664" spans="1:4" x14ac:dyDescent="0.25">
      <c r="A1664" s="7">
        <v>43959.291666666664</v>
      </c>
      <c r="B1664" s="1" t="s">
        <v>74</v>
      </c>
      <c r="C1664" s="1">
        <v>4709.6000000000004</v>
      </c>
      <c r="D1664" s="1">
        <v>615.87</v>
      </c>
    </row>
    <row r="1665" spans="1:4" x14ac:dyDescent="0.25">
      <c r="A1665" s="7">
        <v>43959.291666666664</v>
      </c>
      <c r="B1665" s="1" t="s">
        <v>78</v>
      </c>
      <c r="C1665" s="1">
        <v>558.74</v>
      </c>
      <c r="D1665" s="1">
        <v>149.87</v>
      </c>
    </row>
    <row r="1666" spans="1:4" x14ac:dyDescent="0.25">
      <c r="A1666" s="7">
        <v>43959.291666666664</v>
      </c>
      <c r="B1666" s="1" t="s">
        <v>68</v>
      </c>
      <c r="C1666" s="1">
        <v>5166.82</v>
      </c>
      <c r="D1666" s="1">
        <v>835.45</v>
      </c>
    </row>
    <row r="1667" spans="1:4" x14ac:dyDescent="0.25">
      <c r="A1667" s="7">
        <v>43959.291666666664</v>
      </c>
      <c r="B1667" s="1" t="s">
        <v>69</v>
      </c>
      <c r="C1667" s="1">
        <v>1458.16</v>
      </c>
      <c r="D1667" s="1">
        <v>483.17</v>
      </c>
    </row>
    <row r="1668" spans="1:4" x14ac:dyDescent="0.25">
      <c r="A1668" s="7">
        <v>43959.291666666664</v>
      </c>
      <c r="B1668" s="1" t="s">
        <v>70</v>
      </c>
      <c r="C1668" s="1">
        <v>3103.25</v>
      </c>
      <c r="D1668" s="1">
        <v>850.81</v>
      </c>
    </row>
    <row r="1669" spans="1:4" x14ac:dyDescent="0.25">
      <c r="A1669" s="7">
        <v>43959.291666666664</v>
      </c>
      <c r="B1669" s="1" t="s">
        <v>76</v>
      </c>
      <c r="C1669" s="1">
        <v>7429.22</v>
      </c>
      <c r="D1669" s="1">
        <v>948.24</v>
      </c>
    </row>
    <row r="1670" spans="1:4" x14ac:dyDescent="0.25">
      <c r="A1670" s="7">
        <v>43959.291666666664</v>
      </c>
      <c r="B1670" s="1" t="s">
        <v>73</v>
      </c>
      <c r="C1670" s="1">
        <v>3691.03</v>
      </c>
      <c r="D1670" s="1">
        <v>370.12</v>
      </c>
    </row>
    <row r="1671" spans="1:4" x14ac:dyDescent="0.25">
      <c r="A1671" s="7">
        <v>43959.291666666664</v>
      </c>
      <c r="B1671" s="1" t="s">
        <v>72</v>
      </c>
      <c r="C1671" s="1">
        <v>2308.84</v>
      </c>
      <c r="D1671" s="1">
        <v>803.86</v>
      </c>
    </row>
    <row r="1672" spans="1:4" x14ac:dyDescent="0.25">
      <c r="A1672" s="7">
        <v>43959.291666666664</v>
      </c>
      <c r="B1672" s="1" t="s">
        <v>77</v>
      </c>
      <c r="C1672" s="1">
        <v>3651.87</v>
      </c>
      <c r="D1672" s="1">
        <v>706.65</v>
      </c>
    </row>
    <row r="1673" spans="1:4" x14ac:dyDescent="0.25">
      <c r="A1673" s="7">
        <v>43959.291666666664</v>
      </c>
      <c r="B1673" s="1" t="s">
        <v>71</v>
      </c>
      <c r="C1673" s="1">
        <v>6647.38</v>
      </c>
      <c r="D1673" s="1">
        <v>1001.91</v>
      </c>
    </row>
    <row r="1674" spans="1:4" x14ac:dyDescent="0.25">
      <c r="A1674" s="7">
        <v>43959.333333333336</v>
      </c>
      <c r="B1674" s="1" t="s">
        <v>75</v>
      </c>
      <c r="C1674" s="1">
        <v>626.25</v>
      </c>
      <c r="D1674" s="1">
        <v>156.27000000000001</v>
      </c>
    </row>
    <row r="1675" spans="1:4" x14ac:dyDescent="0.25">
      <c r="A1675" s="7">
        <v>43959.333333333336</v>
      </c>
      <c r="B1675" s="1" t="s">
        <v>74</v>
      </c>
      <c r="C1675" s="1">
        <v>6943.57</v>
      </c>
      <c r="D1675" s="1">
        <v>1050.1500000000001</v>
      </c>
    </row>
    <row r="1676" spans="1:4" x14ac:dyDescent="0.25">
      <c r="A1676" s="7">
        <v>43959.333333333336</v>
      </c>
      <c r="B1676" s="1" t="s">
        <v>72</v>
      </c>
      <c r="C1676" s="1">
        <v>4390.87</v>
      </c>
      <c r="D1676" s="1">
        <v>1689.54</v>
      </c>
    </row>
    <row r="1677" spans="1:4" x14ac:dyDescent="0.25">
      <c r="A1677" s="7">
        <v>43959.333333333336</v>
      </c>
      <c r="B1677" s="1" t="s">
        <v>73</v>
      </c>
      <c r="C1677" s="1">
        <v>5844.68</v>
      </c>
      <c r="D1677" s="1">
        <v>704.31</v>
      </c>
    </row>
    <row r="1678" spans="1:4" x14ac:dyDescent="0.25">
      <c r="A1678" s="7">
        <v>43959.333333333336</v>
      </c>
      <c r="B1678" s="1" t="s">
        <v>71</v>
      </c>
      <c r="C1678" s="1">
        <v>9351.19</v>
      </c>
      <c r="D1678" s="1">
        <v>1613.26</v>
      </c>
    </row>
    <row r="1679" spans="1:4" x14ac:dyDescent="0.25">
      <c r="A1679" s="7">
        <v>43959.333333333336</v>
      </c>
      <c r="B1679" s="1" t="s">
        <v>68</v>
      </c>
      <c r="C1679" s="1">
        <v>7391.85</v>
      </c>
      <c r="D1679" s="1">
        <v>1408.69</v>
      </c>
    </row>
    <row r="1680" spans="1:4" x14ac:dyDescent="0.25">
      <c r="A1680" s="7">
        <v>43959.333333333336</v>
      </c>
      <c r="B1680" s="1" t="s">
        <v>69</v>
      </c>
      <c r="C1680" s="1">
        <v>2696.9</v>
      </c>
      <c r="D1680" s="1">
        <v>1017.52</v>
      </c>
    </row>
    <row r="1681" spans="1:4" x14ac:dyDescent="0.25">
      <c r="A1681" s="7">
        <v>43959.333333333336</v>
      </c>
      <c r="B1681" s="1" t="s">
        <v>70</v>
      </c>
      <c r="C1681" s="1">
        <v>5205.1099999999997</v>
      </c>
      <c r="D1681" s="1">
        <v>1548.72</v>
      </c>
    </row>
    <row r="1682" spans="1:4" x14ac:dyDescent="0.25">
      <c r="A1682" s="7">
        <v>43959.333333333336</v>
      </c>
      <c r="B1682" s="1" t="s">
        <v>78</v>
      </c>
      <c r="C1682" s="1">
        <v>958.2</v>
      </c>
      <c r="D1682" s="1">
        <v>294.24</v>
      </c>
    </row>
    <row r="1683" spans="1:4" x14ac:dyDescent="0.25">
      <c r="A1683" s="7">
        <v>43959.333333333336</v>
      </c>
      <c r="B1683" s="1" t="s">
        <v>76</v>
      </c>
      <c r="C1683" s="1">
        <v>11204.99</v>
      </c>
      <c r="D1683" s="1">
        <v>1620.67</v>
      </c>
    </row>
    <row r="1684" spans="1:4" x14ac:dyDescent="0.25">
      <c r="A1684" s="7">
        <v>43959.333333333336</v>
      </c>
      <c r="B1684" s="1" t="s">
        <v>77</v>
      </c>
      <c r="C1684" s="1">
        <v>5943.07</v>
      </c>
      <c r="D1684" s="1">
        <v>1287.8499999999999</v>
      </c>
    </row>
    <row r="1685" spans="1:4" x14ac:dyDescent="0.25">
      <c r="A1685" s="7">
        <v>43959.375</v>
      </c>
      <c r="B1685" s="1" t="s">
        <v>75</v>
      </c>
      <c r="C1685" s="1">
        <v>889.76</v>
      </c>
      <c r="D1685" s="1">
        <v>248</v>
      </c>
    </row>
    <row r="1686" spans="1:4" x14ac:dyDescent="0.25">
      <c r="A1686" s="7">
        <v>43959.375</v>
      </c>
      <c r="B1686" s="1" t="s">
        <v>74</v>
      </c>
      <c r="C1686" s="1">
        <v>8680.25</v>
      </c>
      <c r="D1686" s="1">
        <v>1529.33</v>
      </c>
    </row>
    <row r="1687" spans="1:4" x14ac:dyDescent="0.25">
      <c r="A1687" s="7">
        <v>43959.375</v>
      </c>
      <c r="B1687" s="1" t="s">
        <v>76</v>
      </c>
      <c r="C1687" s="1">
        <v>14306.64</v>
      </c>
      <c r="D1687" s="1">
        <v>2373.11</v>
      </c>
    </row>
    <row r="1688" spans="1:4" x14ac:dyDescent="0.25">
      <c r="A1688" s="7">
        <v>43959.375</v>
      </c>
      <c r="B1688" s="1" t="s">
        <v>73</v>
      </c>
      <c r="C1688" s="1">
        <v>7449.41</v>
      </c>
      <c r="D1688" s="1">
        <v>1039.52</v>
      </c>
    </row>
    <row r="1689" spans="1:4" x14ac:dyDescent="0.25">
      <c r="A1689" s="7">
        <v>43959.375</v>
      </c>
      <c r="B1689" s="1" t="s">
        <v>68</v>
      </c>
      <c r="C1689" s="1">
        <v>9309.49</v>
      </c>
      <c r="D1689" s="1">
        <v>1991.13</v>
      </c>
    </row>
    <row r="1690" spans="1:4" x14ac:dyDescent="0.25">
      <c r="A1690" s="7">
        <v>43959.375</v>
      </c>
      <c r="B1690" s="1" t="s">
        <v>77</v>
      </c>
      <c r="C1690" s="1">
        <v>8267.31</v>
      </c>
      <c r="D1690" s="1">
        <v>2007.16</v>
      </c>
    </row>
    <row r="1691" spans="1:4" x14ac:dyDescent="0.25">
      <c r="A1691" s="7">
        <v>43959.375</v>
      </c>
      <c r="B1691" s="1" t="s">
        <v>71</v>
      </c>
      <c r="C1691" s="1">
        <v>11418.55</v>
      </c>
      <c r="D1691" s="1">
        <v>2223.1999999999998</v>
      </c>
    </row>
    <row r="1692" spans="1:4" x14ac:dyDescent="0.25">
      <c r="A1692" s="7">
        <v>43959.375</v>
      </c>
      <c r="B1692" s="1" t="s">
        <v>70</v>
      </c>
      <c r="C1692" s="1">
        <v>7036.01</v>
      </c>
      <c r="D1692" s="1">
        <v>2329.84</v>
      </c>
    </row>
    <row r="1693" spans="1:4" x14ac:dyDescent="0.25">
      <c r="A1693" s="7">
        <v>43959.375</v>
      </c>
      <c r="B1693" s="1" t="s">
        <v>78</v>
      </c>
      <c r="C1693" s="1">
        <v>1516.69</v>
      </c>
      <c r="D1693" s="1">
        <v>583.66999999999996</v>
      </c>
    </row>
    <row r="1694" spans="1:4" x14ac:dyDescent="0.25">
      <c r="A1694" s="7">
        <v>43959.375</v>
      </c>
      <c r="B1694" s="1" t="s">
        <v>72</v>
      </c>
      <c r="C1694" s="1">
        <v>6745.73</v>
      </c>
      <c r="D1694" s="1">
        <v>3053.24</v>
      </c>
    </row>
    <row r="1695" spans="1:4" x14ac:dyDescent="0.25">
      <c r="A1695" s="7">
        <v>43959.375</v>
      </c>
      <c r="B1695" s="1" t="s">
        <v>69</v>
      </c>
      <c r="C1695" s="1">
        <v>4285.04</v>
      </c>
      <c r="D1695" s="1">
        <v>2008.09</v>
      </c>
    </row>
    <row r="1696" spans="1:4" x14ac:dyDescent="0.25">
      <c r="A1696" s="7">
        <v>43959.416666666664</v>
      </c>
      <c r="B1696" s="1" t="s">
        <v>75</v>
      </c>
      <c r="C1696" s="1">
        <v>1079.18</v>
      </c>
      <c r="D1696" s="1">
        <v>358.3</v>
      </c>
    </row>
    <row r="1697" spans="1:4" x14ac:dyDescent="0.25">
      <c r="A1697" s="7">
        <v>43959.416666666664</v>
      </c>
      <c r="B1697" s="1" t="s">
        <v>74</v>
      </c>
      <c r="C1697" s="1">
        <v>9522.43</v>
      </c>
      <c r="D1697" s="1">
        <v>1853.76</v>
      </c>
    </row>
    <row r="1698" spans="1:4" x14ac:dyDescent="0.25">
      <c r="A1698" s="7">
        <v>43959.416666666664</v>
      </c>
      <c r="B1698" s="1" t="s">
        <v>76</v>
      </c>
      <c r="C1698" s="1">
        <v>15782.55</v>
      </c>
      <c r="D1698" s="1">
        <v>2867.38</v>
      </c>
    </row>
    <row r="1699" spans="1:4" x14ac:dyDescent="0.25">
      <c r="A1699" s="7">
        <v>43959.416666666664</v>
      </c>
      <c r="B1699" s="1" t="s">
        <v>68</v>
      </c>
      <c r="C1699" s="1">
        <v>10022.280000000001</v>
      </c>
      <c r="D1699" s="1">
        <v>2488.61</v>
      </c>
    </row>
    <row r="1700" spans="1:4" x14ac:dyDescent="0.25">
      <c r="A1700" s="7">
        <v>43959.416666666664</v>
      </c>
      <c r="B1700" s="1" t="s">
        <v>77</v>
      </c>
      <c r="C1700" s="1">
        <v>9651.08</v>
      </c>
      <c r="D1700" s="1">
        <v>2545.23</v>
      </c>
    </row>
    <row r="1701" spans="1:4" x14ac:dyDescent="0.25">
      <c r="A1701" s="7">
        <v>43959.416666666664</v>
      </c>
      <c r="B1701" s="1" t="s">
        <v>71</v>
      </c>
      <c r="C1701" s="1">
        <v>12433.74</v>
      </c>
      <c r="D1701" s="1">
        <v>2638.82</v>
      </c>
    </row>
    <row r="1702" spans="1:4" x14ac:dyDescent="0.25">
      <c r="A1702" s="7">
        <v>43959.416666666664</v>
      </c>
      <c r="B1702" s="1" t="s">
        <v>69</v>
      </c>
      <c r="C1702" s="1">
        <v>5674.41</v>
      </c>
      <c r="D1702" s="1">
        <v>3133.54</v>
      </c>
    </row>
    <row r="1703" spans="1:4" x14ac:dyDescent="0.25">
      <c r="A1703" s="7">
        <v>43959.416666666664</v>
      </c>
      <c r="B1703" s="1" t="s">
        <v>70</v>
      </c>
      <c r="C1703" s="1">
        <v>8113.56</v>
      </c>
      <c r="D1703" s="1">
        <v>2892.95</v>
      </c>
    </row>
    <row r="1704" spans="1:4" x14ac:dyDescent="0.25">
      <c r="A1704" s="7">
        <v>43959.416666666664</v>
      </c>
      <c r="B1704" s="1" t="s">
        <v>78</v>
      </c>
      <c r="C1704" s="1">
        <v>2029.38</v>
      </c>
      <c r="D1704" s="1">
        <v>932.11</v>
      </c>
    </row>
    <row r="1705" spans="1:4" x14ac:dyDescent="0.25">
      <c r="A1705" s="7">
        <v>43959.416666666664</v>
      </c>
      <c r="B1705" s="1" t="s">
        <v>73</v>
      </c>
      <c r="C1705" s="1">
        <v>8133.6</v>
      </c>
      <c r="D1705" s="1">
        <v>1224.28</v>
      </c>
    </row>
    <row r="1706" spans="1:4" x14ac:dyDescent="0.25">
      <c r="A1706" s="7">
        <v>43959.416666666664</v>
      </c>
      <c r="B1706" s="1" t="s">
        <v>72</v>
      </c>
      <c r="C1706" s="1">
        <v>8744.14</v>
      </c>
      <c r="D1706" s="1">
        <v>4468.1099999999997</v>
      </c>
    </row>
    <row r="1707" spans="1:4" x14ac:dyDescent="0.25">
      <c r="A1707" s="7">
        <v>43959.458333333336</v>
      </c>
      <c r="B1707" s="1" t="s">
        <v>75</v>
      </c>
      <c r="C1707" s="1">
        <v>1127.76</v>
      </c>
      <c r="D1707" s="1">
        <v>390.87</v>
      </c>
    </row>
    <row r="1708" spans="1:4" x14ac:dyDescent="0.25">
      <c r="A1708" s="7">
        <v>43959.458333333336</v>
      </c>
      <c r="B1708" s="1" t="s">
        <v>74</v>
      </c>
      <c r="C1708" s="1">
        <v>9240.84</v>
      </c>
      <c r="D1708" s="1">
        <v>1879.25</v>
      </c>
    </row>
    <row r="1709" spans="1:4" x14ac:dyDescent="0.25">
      <c r="A1709" s="7">
        <v>43959.458333333336</v>
      </c>
      <c r="B1709" s="1" t="s">
        <v>76</v>
      </c>
      <c r="C1709" s="1">
        <v>15329.63</v>
      </c>
      <c r="D1709" s="1">
        <v>2908.52</v>
      </c>
    </row>
    <row r="1710" spans="1:4" x14ac:dyDescent="0.25">
      <c r="A1710" s="7">
        <v>43959.458333333336</v>
      </c>
      <c r="B1710" s="1" t="s">
        <v>77</v>
      </c>
      <c r="C1710" s="1">
        <v>9676.67</v>
      </c>
      <c r="D1710" s="1">
        <v>2610.7800000000002</v>
      </c>
    </row>
    <row r="1711" spans="1:4" x14ac:dyDescent="0.25">
      <c r="A1711" s="7">
        <v>43959.458333333336</v>
      </c>
      <c r="B1711" s="1" t="s">
        <v>69</v>
      </c>
      <c r="C1711" s="1">
        <v>6158.58</v>
      </c>
      <c r="D1711" s="1">
        <v>3775.19</v>
      </c>
    </row>
    <row r="1712" spans="1:4" x14ac:dyDescent="0.25">
      <c r="A1712" s="7">
        <v>43959.458333333336</v>
      </c>
      <c r="B1712" s="1" t="s">
        <v>70</v>
      </c>
      <c r="C1712" s="1">
        <v>8158.53</v>
      </c>
      <c r="D1712" s="1">
        <v>2973.01</v>
      </c>
    </row>
    <row r="1713" spans="1:4" x14ac:dyDescent="0.25">
      <c r="A1713" s="7">
        <v>43959.458333333336</v>
      </c>
      <c r="B1713" s="1" t="s">
        <v>78</v>
      </c>
      <c r="C1713" s="1">
        <v>2164.31</v>
      </c>
      <c r="D1713" s="1">
        <v>1062.3599999999999</v>
      </c>
    </row>
    <row r="1714" spans="1:4" x14ac:dyDescent="0.25">
      <c r="A1714" s="7">
        <v>43959.458333333336</v>
      </c>
      <c r="B1714" s="1" t="s">
        <v>72</v>
      </c>
      <c r="C1714" s="1">
        <v>9349.34</v>
      </c>
      <c r="D1714" s="1">
        <v>5113.47</v>
      </c>
    </row>
    <row r="1715" spans="1:4" x14ac:dyDescent="0.25">
      <c r="A1715" s="7">
        <v>43959.458333333336</v>
      </c>
      <c r="B1715" s="1" t="s">
        <v>73</v>
      </c>
      <c r="C1715" s="1">
        <v>7821.82</v>
      </c>
      <c r="D1715" s="1">
        <v>1232.56</v>
      </c>
    </row>
    <row r="1716" spans="1:4" x14ac:dyDescent="0.25">
      <c r="A1716" s="7">
        <v>43959.458333333336</v>
      </c>
      <c r="B1716" s="1" t="s">
        <v>71</v>
      </c>
      <c r="C1716" s="1">
        <v>11857.25</v>
      </c>
      <c r="D1716" s="1">
        <v>2638.64</v>
      </c>
    </row>
    <row r="1717" spans="1:4" x14ac:dyDescent="0.25">
      <c r="A1717" s="7">
        <v>43959.458333333336</v>
      </c>
      <c r="B1717" s="1" t="s">
        <v>68</v>
      </c>
      <c r="C1717" s="1">
        <v>9686.65</v>
      </c>
      <c r="D1717" s="1">
        <v>2613.81</v>
      </c>
    </row>
    <row r="1718" spans="1:4" x14ac:dyDescent="0.25">
      <c r="A1718" s="7">
        <v>43959.5</v>
      </c>
      <c r="B1718" s="1" t="s">
        <v>75</v>
      </c>
      <c r="C1718" s="1">
        <v>1093.27</v>
      </c>
      <c r="D1718" s="1">
        <v>377.98</v>
      </c>
    </row>
    <row r="1719" spans="1:4" x14ac:dyDescent="0.25">
      <c r="A1719" s="7">
        <v>43959.5</v>
      </c>
      <c r="B1719" s="1" t="s">
        <v>74</v>
      </c>
      <c r="C1719" s="1">
        <v>8401.81</v>
      </c>
      <c r="D1719" s="1">
        <v>1770.63</v>
      </c>
    </row>
    <row r="1720" spans="1:4" x14ac:dyDescent="0.25">
      <c r="A1720" s="7">
        <v>43959.5</v>
      </c>
      <c r="B1720" s="1" t="s">
        <v>78</v>
      </c>
      <c r="C1720" s="1">
        <v>2097.54</v>
      </c>
      <c r="D1720" s="1">
        <v>1049.8499999999999</v>
      </c>
    </row>
    <row r="1721" spans="1:4" x14ac:dyDescent="0.25">
      <c r="A1721" s="7">
        <v>43959.5</v>
      </c>
      <c r="B1721" s="1" t="s">
        <v>72</v>
      </c>
      <c r="C1721" s="1">
        <v>8826.3799999999992</v>
      </c>
      <c r="D1721" s="1">
        <v>5052.96</v>
      </c>
    </row>
    <row r="1722" spans="1:4" x14ac:dyDescent="0.25">
      <c r="A1722" s="7">
        <v>43959.5</v>
      </c>
      <c r="B1722" s="1" t="s">
        <v>73</v>
      </c>
      <c r="C1722" s="1">
        <v>7050.5</v>
      </c>
      <c r="D1722" s="1">
        <v>1092.6199999999999</v>
      </c>
    </row>
    <row r="1723" spans="1:4" x14ac:dyDescent="0.25">
      <c r="A1723" s="7">
        <v>43959.5</v>
      </c>
      <c r="B1723" s="1" t="s">
        <v>71</v>
      </c>
      <c r="C1723" s="1">
        <v>10635.36</v>
      </c>
      <c r="D1723" s="1">
        <v>2399.71</v>
      </c>
    </row>
    <row r="1724" spans="1:4" x14ac:dyDescent="0.25">
      <c r="A1724" s="7">
        <v>43959.5</v>
      </c>
      <c r="B1724" s="1" t="s">
        <v>69</v>
      </c>
      <c r="C1724" s="1">
        <v>5776.73</v>
      </c>
      <c r="D1724" s="1">
        <v>3837.03</v>
      </c>
    </row>
    <row r="1725" spans="1:4" x14ac:dyDescent="0.25">
      <c r="A1725" s="7">
        <v>43959.5</v>
      </c>
      <c r="B1725" s="1" t="s">
        <v>76</v>
      </c>
      <c r="C1725" s="1">
        <v>13884.03</v>
      </c>
      <c r="D1725" s="1">
        <v>2683.95</v>
      </c>
    </row>
    <row r="1726" spans="1:4" x14ac:dyDescent="0.25">
      <c r="A1726" s="7">
        <v>43959.5</v>
      </c>
      <c r="B1726" s="1" t="s">
        <v>68</v>
      </c>
      <c r="C1726" s="1">
        <v>8638.99</v>
      </c>
      <c r="D1726" s="1">
        <v>2390.66</v>
      </c>
    </row>
    <row r="1727" spans="1:4" x14ac:dyDescent="0.25">
      <c r="A1727" s="7">
        <v>43959.5</v>
      </c>
      <c r="B1727" s="1" t="s">
        <v>77</v>
      </c>
      <c r="C1727" s="1">
        <v>8808.2900000000009</v>
      </c>
      <c r="D1727" s="1">
        <v>2459.19</v>
      </c>
    </row>
    <row r="1728" spans="1:4" x14ac:dyDescent="0.25">
      <c r="A1728" s="7">
        <v>43959.5</v>
      </c>
      <c r="B1728" s="1" t="s">
        <v>70</v>
      </c>
      <c r="C1728" s="1">
        <v>7395.22</v>
      </c>
      <c r="D1728" s="1">
        <v>2737.33</v>
      </c>
    </row>
    <row r="1729" spans="1:4" x14ac:dyDescent="0.25">
      <c r="A1729" s="7">
        <v>43959.541666666664</v>
      </c>
      <c r="B1729" s="1" t="s">
        <v>75</v>
      </c>
      <c r="C1729" s="1">
        <v>960.9</v>
      </c>
      <c r="D1729" s="1">
        <v>325.98</v>
      </c>
    </row>
    <row r="1730" spans="1:4" x14ac:dyDescent="0.25">
      <c r="A1730" s="7">
        <v>43959.541666666664</v>
      </c>
      <c r="B1730" s="1" t="s">
        <v>74</v>
      </c>
      <c r="C1730" s="1">
        <v>7390</v>
      </c>
      <c r="D1730" s="1">
        <v>1502.26</v>
      </c>
    </row>
    <row r="1731" spans="1:4" x14ac:dyDescent="0.25">
      <c r="A1731" s="7">
        <v>43959.541666666664</v>
      </c>
      <c r="B1731" s="1" t="s">
        <v>78</v>
      </c>
      <c r="C1731" s="1">
        <v>1817.59</v>
      </c>
      <c r="D1731" s="1">
        <v>865.85</v>
      </c>
    </row>
    <row r="1732" spans="1:4" x14ac:dyDescent="0.25">
      <c r="A1732" s="7">
        <v>43959.541666666664</v>
      </c>
      <c r="B1732" s="1" t="s">
        <v>73</v>
      </c>
      <c r="C1732" s="1">
        <v>5770.84</v>
      </c>
      <c r="D1732" s="1">
        <v>881.6</v>
      </c>
    </row>
    <row r="1733" spans="1:4" x14ac:dyDescent="0.25">
      <c r="A1733" s="7">
        <v>43959.541666666664</v>
      </c>
      <c r="B1733" s="1" t="s">
        <v>72</v>
      </c>
      <c r="C1733" s="1">
        <v>7279.1</v>
      </c>
      <c r="D1733" s="1">
        <v>4231.24</v>
      </c>
    </row>
    <row r="1734" spans="1:4" x14ac:dyDescent="0.25">
      <c r="A1734" s="7">
        <v>43959.541666666664</v>
      </c>
      <c r="B1734" s="1" t="s">
        <v>68</v>
      </c>
      <c r="C1734" s="1">
        <v>7275.07</v>
      </c>
      <c r="D1734" s="1">
        <v>1964.6</v>
      </c>
    </row>
    <row r="1735" spans="1:4" x14ac:dyDescent="0.25">
      <c r="A1735" s="7">
        <v>43959.541666666664</v>
      </c>
      <c r="B1735" s="1" t="s">
        <v>71</v>
      </c>
      <c r="C1735" s="1">
        <v>8971.19</v>
      </c>
      <c r="D1735" s="1">
        <v>1959.11</v>
      </c>
    </row>
    <row r="1736" spans="1:4" x14ac:dyDescent="0.25">
      <c r="A1736" s="7">
        <v>43959.541666666664</v>
      </c>
      <c r="B1736" s="1" t="s">
        <v>70</v>
      </c>
      <c r="C1736" s="1">
        <v>6056.53</v>
      </c>
      <c r="D1736" s="1">
        <v>2195.16</v>
      </c>
    </row>
    <row r="1737" spans="1:4" x14ac:dyDescent="0.25">
      <c r="A1737" s="7">
        <v>43959.541666666664</v>
      </c>
      <c r="B1737" s="1" t="s">
        <v>76</v>
      </c>
      <c r="C1737" s="1">
        <v>12552.38</v>
      </c>
      <c r="D1737" s="1">
        <v>2363.83</v>
      </c>
    </row>
    <row r="1738" spans="1:4" x14ac:dyDescent="0.25">
      <c r="A1738" s="7">
        <v>43959.541666666664</v>
      </c>
      <c r="B1738" s="1" t="s">
        <v>77</v>
      </c>
      <c r="C1738" s="1">
        <v>7898.66</v>
      </c>
      <c r="D1738" s="1">
        <v>2154.09</v>
      </c>
    </row>
    <row r="1739" spans="1:4" x14ac:dyDescent="0.25">
      <c r="A1739" s="7">
        <v>43959.541666666664</v>
      </c>
      <c r="B1739" s="1" t="s">
        <v>69</v>
      </c>
      <c r="C1739" s="1">
        <v>4918.2299999999996</v>
      </c>
      <c r="D1739" s="1">
        <v>3253.57</v>
      </c>
    </row>
    <row r="1740" spans="1:4" x14ac:dyDescent="0.25">
      <c r="A1740" s="7">
        <v>43959.583333333336</v>
      </c>
      <c r="B1740" s="1" t="s">
        <v>75</v>
      </c>
      <c r="C1740" s="1">
        <v>949.93</v>
      </c>
      <c r="D1740" s="1">
        <v>321.81</v>
      </c>
    </row>
    <row r="1741" spans="1:4" x14ac:dyDescent="0.25">
      <c r="A1741" s="7">
        <v>43959.583333333336</v>
      </c>
      <c r="B1741" s="1" t="s">
        <v>74</v>
      </c>
      <c r="C1741" s="1">
        <v>7320.39</v>
      </c>
      <c r="D1741" s="1">
        <v>1439.61</v>
      </c>
    </row>
    <row r="1742" spans="1:4" x14ac:dyDescent="0.25">
      <c r="A1742" s="7">
        <v>43959.583333333336</v>
      </c>
      <c r="B1742" s="1" t="s">
        <v>76</v>
      </c>
      <c r="C1742" s="1">
        <v>12028.27</v>
      </c>
      <c r="D1742" s="1">
        <v>2209.62</v>
      </c>
    </row>
    <row r="1743" spans="1:4" x14ac:dyDescent="0.25">
      <c r="A1743" s="7">
        <v>43959.583333333336</v>
      </c>
      <c r="B1743" s="1" t="s">
        <v>68</v>
      </c>
      <c r="C1743" s="1">
        <v>7832.85</v>
      </c>
      <c r="D1743" s="1">
        <v>1924.48</v>
      </c>
    </row>
    <row r="1744" spans="1:4" x14ac:dyDescent="0.25">
      <c r="A1744" s="7">
        <v>43959.583333333336</v>
      </c>
      <c r="B1744" s="1" t="s">
        <v>77</v>
      </c>
      <c r="C1744" s="1">
        <v>7413.33</v>
      </c>
      <c r="D1744" s="1">
        <v>2030.06</v>
      </c>
    </row>
    <row r="1745" spans="1:4" x14ac:dyDescent="0.25">
      <c r="A1745" s="7">
        <v>43959.583333333336</v>
      </c>
      <c r="B1745" s="1" t="s">
        <v>71</v>
      </c>
      <c r="C1745" s="1">
        <v>9486.44</v>
      </c>
      <c r="D1745" s="1">
        <v>1938.35</v>
      </c>
    </row>
    <row r="1746" spans="1:4" x14ac:dyDescent="0.25">
      <c r="A1746" s="7">
        <v>43959.583333333336</v>
      </c>
      <c r="B1746" s="1" t="s">
        <v>69</v>
      </c>
      <c r="C1746" s="1">
        <v>4775.04</v>
      </c>
      <c r="D1746" s="1">
        <v>3010.48</v>
      </c>
    </row>
    <row r="1747" spans="1:4" x14ac:dyDescent="0.25">
      <c r="A1747" s="7">
        <v>43959.583333333336</v>
      </c>
      <c r="B1747" s="1" t="s">
        <v>70</v>
      </c>
      <c r="C1747" s="1">
        <v>6169.46</v>
      </c>
      <c r="D1747" s="1">
        <v>2164.04</v>
      </c>
    </row>
    <row r="1748" spans="1:4" x14ac:dyDescent="0.25">
      <c r="A1748" s="7">
        <v>43959.583333333336</v>
      </c>
      <c r="B1748" s="1" t="s">
        <v>78</v>
      </c>
      <c r="C1748" s="1">
        <v>1755.52</v>
      </c>
      <c r="D1748" s="1">
        <v>815.95</v>
      </c>
    </row>
    <row r="1749" spans="1:4" x14ac:dyDescent="0.25">
      <c r="A1749" s="7">
        <v>43959.583333333336</v>
      </c>
      <c r="B1749" s="1" t="s">
        <v>72</v>
      </c>
      <c r="C1749" s="1">
        <v>7171.27</v>
      </c>
      <c r="D1749" s="1">
        <v>3978.8</v>
      </c>
    </row>
    <row r="1750" spans="1:4" x14ac:dyDescent="0.25">
      <c r="A1750" s="7">
        <v>43959.583333333336</v>
      </c>
      <c r="B1750" s="1" t="s">
        <v>73</v>
      </c>
      <c r="C1750" s="1">
        <v>5803.4</v>
      </c>
      <c r="D1750" s="1">
        <v>807.73</v>
      </c>
    </row>
    <row r="1751" spans="1:4" x14ac:dyDescent="0.25">
      <c r="A1751" s="7">
        <v>43959.625</v>
      </c>
      <c r="B1751" s="1" t="s">
        <v>75</v>
      </c>
      <c r="C1751" s="1">
        <v>970.21</v>
      </c>
      <c r="D1751" s="1">
        <v>319.14999999999998</v>
      </c>
    </row>
    <row r="1752" spans="1:4" x14ac:dyDescent="0.25">
      <c r="A1752" s="7">
        <v>43959.625</v>
      </c>
      <c r="B1752" s="1" t="s">
        <v>74</v>
      </c>
      <c r="C1752" s="1">
        <v>7604.19</v>
      </c>
      <c r="D1752" s="1">
        <v>1493.5</v>
      </c>
    </row>
    <row r="1753" spans="1:4" x14ac:dyDescent="0.25">
      <c r="A1753" s="7">
        <v>43959.625</v>
      </c>
      <c r="B1753" s="1" t="s">
        <v>76</v>
      </c>
      <c r="C1753" s="1">
        <v>12209.77</v>
      </c>
      <c r="D1753" s="1">
        <v>2265.11</v>
      </c>
    </row>
    <row r="1754" spans="1:4" x14ac:dyDescent="0.25">
      <c r="A1754" s="7">
        <v>43959.625</v>
      </c>
      <c r="B1754" s="1" t="s">
        <v>71</v>
      </c>
      <c r="C1754" s="1">
        <v>10463.61</v>
      </c>
      <c r="D1754" s="1">
        <v>2089.35</v>
      </c>
    </row>
    <row r="1755" spans="1:4" x14ac:dyDescent="0.25">
      <c r="A1755" s="7">
        <v>43959.625</v>
      </c>
      <c r="B1755" s="1" t="s">
        <v>68</v>
      </c>
      <c r="C1755" s="1">
        <v>8634.14</v>
      </c>
      <c r="D1755" s="1">
        <v>2023.93</v>
      </c>
    </row>
    <row r="1756" spans="1:4" x14ac:dyDescent="0.25">
      <c r="A1756" s="7">
        <v>43959.625</v>
      </c>
      <c r="B1756" s="1" t="s">
        <v>77</v>
      </c>
      <c r="C1756" s="1">
        <v>7601.98</v>
      </c>
      <c r="D1756" s="1">
        <v>2043.71</v>
      </c>
    </row>
    <row r="1757" spans="1:4" x14ac:dyDescent="0.25">
      <c r="A1757" s="7">
        <v>43959.625</v>
      </c>
      <c r="B1757" s="1" t="s">
        <v>70</v>
      </c>
      <c r="C1757" s="1">
        <v>6707.55</v>
      </c>
      <c r="D1757" s="1">
        <v>2375.96</v>
      </c>
    </row>
    <row r="1758" spans="1:4" x14ac:dyDescent="0.25">
      <c r="A1758" s="7">
        <v>43959.625</v>
      </c>
      <c r="B1758" s="1" t="s">
        <v>69</v>
      </c>
      <c r="C1758" s="1">
        <v>4811.3599999999997</v>
      </c>
      <c r="D1758" s="1">
        <v>3008.08</v>
      </c>
    </row>
    <row r="1759" spans="1:4" x14ac:dyDescent="0.25">
      <c r="A1759" s="7">
        <v>43959.625</v>
      </c>
      <c r="B1759" s="1" t="s">
        <v>78</v>
      </c>
      <c r="C1759" s="1">
        <v>1800.94</v>
      </c>
      <c r="D1759" s="1">
        <v>830.25</v>
      </c>
    </row>
    <row r="1760" spans="1:4" x14ac:dyDescent="0.25">
      <c r="A1760" s="7">
        <v>43959.625</v>
      </c>
      <c r="B1760" s="1" t="s">
        <v>72</v>
      </c>
      <c r="C1760" s="1">
        <v>7461.59</v>
      </c>
      <c r="D1760" s="1">
        <v>4034.37</v>
      </c>
    </row>
    <row r="1761" spans="1:4" x14ac:dyDescent="0.25">
      <c r="A1761" s="7">
        <v>43959.625</v>
      </c>
      <c r="B1761" s="1" t="s">
        <v>73</v>
      </c>
      <c r="C1761" s="1">
        <v>6426.74</v>
      </c>
      <c r="D1761" s="1">
        <v>853.27</v>
      </c>
    </row>
    <row r="1762" spans="1:4" x14ac:dyDescent="0.25">
      <c r="A1762" s="7">
        <v>43959.666666666664</v>
      </c>
      <c r="B1762" s="1" t="s">
        <v>75</v>
      </c>
      <c r="C1762" s="1">
        <v>1015.94</v>
      </c>
      <c r="D1762" s="1">
        <v>334.49</v>
      </c>
    </row>
    <row r="1763" spans="1:4" x14ac:dyDescent="0.25">
      <c r="A1763" s="7">
        <v>43959.666666666664</v>
      </c>
      <c r="B1763" s="1" t="s">
        <v>74</v>
      </c>
      <c r="C1763" s="1">
        <v>7968.04</v>
      </c>
      <c r="D1763" s="1">
        <v>1586.35</v>
      </c>
    </row>
    <row r="1764" spans="1:4" x14ac:dyDescent="0.25">
      <c r="A1764" s="7">
        <v>43959.666666666664</v>
      </c>
      <c r="B1764" s="1" t="s">
        <v>76</v>
      </c>
      <c r="C1764" s="1">
        <v>12807.13</v>
      </c>
      <c r="D1764" s="1">
        <v>2424.63</v>
      </c>
    </row>
    <row r="1765" spans="1:4" x14ac:dyDescent="0.25">
      <c r="A1765" s="7">
        <v>43959.666666666664</v>
      </c>
      <c r="B1765" s="1" t="s">
        <v>73</v>
      </c>
      <c r="C1765" s="1">
        <v>6789.25</v>
      </c>
      <c r="D1765" s="1">
        <v>930.45</v>
      </c>
    </row>
    <row r="1766" spans="1:4" x14ac:dyDescent="0.25">
      <c r="A1766" s="7">
        <v>43959.666666666664</v>
      </c>
      <c r="B1766" s="1" t="s">
        <v>72</v>
      </c>
      <c r="C1766" s="1">
        <v>7841.85</v>
      </c>
      <c r="D1766" s="1">
        <v>4234.78</v>
      </c>
    </row>
    <row r="1767" spans="1:4" x14ac:dyDescent="0.25">
      <c r="A1767" s="7">
        <v>43959.666666666664</v>
      </c>
      <c r="B1767" s="1" t="s">
        <v>68</v>
      </c>
      <c r="C1767" s="1">
        <v>8744.2900000000009</v>
      </c>
      <c r="D1767" s="1">
        <v>2087.23</v>
      </c>
    </row>
    <row r="1768" spans="1:4" x14ac:dyDescent="0.25">
      <c r="A1768" s="7">
        <v>43959.666666666664</v>
      </c>
      <c r="B1768" s="1" t="s">
        <v>77</v>
      </c>
      <c r="C1768" s="1">
        <v>8295.73</v>
      </c>
      <c r="D1768" s="1">
        <v>2223.94</v>
      </c>
    </row>
    <row r="1769" spans="1:4" x14ac:dyDescent="0.25">
      <c r="A1769" s="7">
        <v>43959.666666666664</v>
      </c>
      <c r="B1769" s="1" t="s">
        <v>70</v>
      </c>
      <c r="C1769" s="1">
        <v>7169.33</v>
      </c>
      <c r="D1769" s="1">
        <v>2581.7800000000002</v>
      </c>
    </row>
    <row r="1770" spans="1:4" x14ac:dyDescent="0.25">
      <c r="A1770" s="7">
        <v>43959.666666666664</v>
      </c>
      <c r="B1770" s="1" t="s">
        <v>69</v>
      </c>
      <c r="C1770" s="1">
        <v>5050.6499999999996</v>
      </c>
      <c r="D1770" s="1">
        <v>3123.79</v>
      </c>
    </row>
    <row r="1771" spans="1:4" x14ac:dyDescent="0.25">
      <c r="A1771" s="7">
        <v>43959.666666666664</v>
      </c>
      <c r="B1771" s="1" t="s">
        <v>78</v>
      </c>
      <c r="C1771" s="1">
        <v>1798.22</v>
      </c>
      <c r="D1771" s="1">
        <v>794.19</v>
      </c>
    </row>
    <row r="1772" spans="1:4" x14ac:dyDescent="0.25">
      <c r="A1772" s="7">
        <v>43959.666666666664</v>
      </c>
      <c r="B1772" s="1" t="s">
        <v>71</v>
      </c>
      <c r="C1772" s="1">
        <v>10850.77</v>
      </c>
      <c r="D1772" s="1">
        <v>2255.5700000000002</v>
      </c>
    </row>
    <row r="1773" spans="1:4" x14ac:dyDescent="0.25">
      <c r="A1773" s="7">
        <v>43959.708333333336</v>
      </c>
      <c r="B1773" s="1" t="s">
        <v>75</v>
      </c>
      <c r="C1773" s="1">
        <v>1072.26</v>
      </c>
      <c r="D1773" s="1">
        <v>360.65</v>
      </c>
    </row>
    <row r="1774" spans="1:4" x14ac:dyDescent="0.25">
      <c r="A1774" s="7">
        <v>43959.708333333336</v>
      </c>
      <c r="B1774" s="1" t="s">
        <v>74</v>
      </c>
      <c r="C1774" s="1">
        <v>8673.83</v>
      </c>
      <c r="D1774" s="1">
        <v>1777.47</v>
      </c>
    </row>
    <row r="1775" spans="1:4" x14ac:dyDescent="0.25">
      <c r="A1775" s="7">
        <v>43959.708333333336</v>
      </c>
      <c r="B1775" s="1" t="s">
        <v>72</v>
      </c>
      <c r="C1775" s="1">
        <v>8354.4699999999993</v>
      </c>
      <c r="D1775" s="1">
        <v>4543.42</v>
      </c>
    </row>
    <row r="1776" spans="1:4" x14ac:dyDescent="0.25">
      <c r="A1776" s="7">
        <v>43959.708333333336</v>
      </c>
      <c r="B1776" s="1" t="s">
        <v>73</v>
      </c>
      <c r="C1776" s="1">
        <v>7264.88</v>
      </c>
      <c r="D1776" s="1">
        <v>1066.04</v>
      </c>
    </row>
    <row r="1777" spans="1:4" x14ac:dyDescent="0.25">
      <c r="A1777" s="7">
        <v>43959.708333333336</v>
      </c>
      <c r="B1777" s="1" t="s">
        <v>77</v>
      </c>
      <c r="C1777" s="1">
        <v>9339.24</v>
      </c>
      <c r="D1777" s="1">
        <v>2545.91</v>
      </c>
    </row>
    <row r="1778" spans="1:4" x14ac:dyDescent="0.25">
      <c r="A1778" s="7">
        <v>43959.708333333336</v>
      </c>
      <c r="B1778" s="1" t="s">
        <v>71</v>
      </c>
      <c r="C1778" s="1">
        <v>11181.29</v>
      </c>
      <c r="D1778" s="1">
        <v>2501.92</v>
      </c>
    </row>
    <row r="1779" spans="1:4" x14ac:dyDescent="0.25">
      <c r="A1779" s="7">
        <v>43959.708333333336</v>
      </c>
      <c r="B1779" s="1" t="s">
        <v>78</v>
      </c>
      <c r="C1779" s="1">
        <v>1992.26</v>
      </c>
      <c r="D1779" s="1">
        <v>901.93</v>
      </c>
    </row>
    <row r="1780" spans="1:4" x14ac:dyDescent="0.25">
      <c r="A1780" s="7">
        <v>43959.708333333336</v>
      </c>
      <c r="B1780" s="1" t="s">
        <v>76</v>
      </c>
      <c r="C1780" s="1">
        <v>14111.98</v>
      </c>
      <c r="D1780" s="1">
        <v>2780.73</v>
      </c>
    </row>
    <row r="1781" spans="1:4" x14ac:dyDescent="0.25">
      <c r="A1781" s="7">
        <v>43959.708333333336</v>
      </c>
      <c r="B1781" s="1" t="s">
        <v>68</v>
      </c>
      <c r="C1781" s="1">
        <v>9313.76</v>
      </c>
      <c r="D1781" s="1">
        <v>2372.64</v>
      </c>
    </row>
    <row r="1782" spans="1:4" x14ac:dyDescent="0.25">
      <c r="A1782" s="7">
        <v>43959.708333333336</v>
      </c>
      <c r="B1782" s="1" t="s">
        <v>69</v>
      </c>
      <c r="C1782" s="1">
        <v>5483.83</v>
      </c>
      <c r="D1782" s="1">
        <v>3236.4</v>
      </c>
    </row>
    <row r="1783" spans="1:4" x14ac:dyDescent="0.25">
      <c r="A1783" s="7">
        <v>43959.708333333336</v>
      </c>
      <c r="B1783" s="1" t="s">
        <v>70</v>
      </c>
      <c r="C1783" s="1">
        <v>7624.17</v>
      </c>
      <c r="D1783" s="1">
        <v>2806.57</v>
      </c>
    </row>
    <row r="1784" spans="1:4" x14ac:dyDescent="0.25">
      <c r="A1784" s="7">
        <v>43959.75</v>
      </c>
      <c r="B1784" s="1" t="s">
        <v>75</v>
      </c>
      <c r="C1784" s="1">
        <v>1138.7</v>
      </c>
      <c r="D1784" s="1">
        <v>363.22</v>
      </c>
    </row>
    <row r="1785" spans="1:4" x14ac:dyDescent="0.25">
      <c r="A1785" s="7">
        <v>43959.75</v>
      </c>
      <c r="B1785" s="1" t="s">
        <v>74</v>
      </c>
      <c r="C1785" s="1">
        <v>9410.65</v>
      </c>
      <c r="D1785" s="1">
        <v>1838.21</v>
      </c>
    </row>
    <row r="1786" spans="1:4" x14ac:dyDescent="0.25">
      <c r="A1786" s="7">
        <v>43959.75</v>
      </c>
      <c r="B1786" s="1" t="s">
        <v>78</v>
      </c>
      <c r="C1786" s="1">
        <v>2094.65</v>
      </c>
      <c r="D1786" s="1">
        <v>917.54</v>
      </c>
    </row>
    <row r="1787" spans="1:4" x14ac:dyDescent="0.25">
      <c r="A1787" s="7">
        <v>43959.75</v>
      </c>
      <c r="B1787" s="1" t="s">
        <v>73</v>
      </c>
      <c r="C1787" s="1">
        <v>7736.44</v>
      </c>
      <c r="D1787" s="1">
        <v>1138.77</v>
      </c>
    </row>
    <row r="1788" spans="1:4" x14ac:dyDescent="0.25">
      <c r="A1788" s="7">
        <v>43959.75</v>
      </c>
      <c r="B1788" s="1" t="s">
        <v>71</v>
      </c>
      <c r="C1788" s="1">
        <v>11915</v>
      </c>
      <c r="D1788" s="1">
        <v>2643.43</v>
      </c>
    </row>
    <row r="1789" spans="1:4" x14ac:dyDescent="0.25">
      <c r="A1789" s="7">
        <v>43959.75</v>
      </c>
      <c r="B1789" s="1" t="s">
        <v>68</v>
      </c>
      <c r="C1789" s="1">
        <v>9852.3700000000008</v>
      </c>
      <c r="D1789" s="1">
        <v>2594.0700000000002</v>
      </c>
    </row>
    <row r="1790" spans="1:4" x14ac:dyDescent="0.25">
      <c r="A1790" s="7">
        <v>43959.75</v>
      </c>
      <c r="B1790" s="1" t="s">
        <v>70</v>
      </c>
      <c r="C1790" s="1">
        <v>7841.63</v>
      </c>
      <c r="D1790" s="1">
        <v>2844.04</v>
      </c>
    </row>
    <row r="1791" spans="1:4" x14ac:dyDescent="0.25">
      <c r="A1791" s="7">
        <v>43959.75</v>
      </c>
      <c r="B1791" s="1" t="s">
        <v>72</v>
      </c>
      <c r="C1791" s="1">
        <v>8630.73</v>
      </c>
      <c r="D1791" s="1">
        <v>4628.1899999999996</v>
      </c>
    </row>
    <row r="1792" spans="1:4" x14ac:dyDescent="0.25">
      <c r="A1792" s="7">
        <v>43959.75</v>
      </c>
      <c r="B1792" s="1" t="s">
        <v>76</v>
      </c>
      <c r="C1792" s="1">
        <v>15172.51</v>
      </c>
      <c r="D1792" s="1">
        <v>2971.86</v>
      </c>
    </row>
    <row r="1793" spans="1:4" x14ac:dyDescent="0.25">
      <c r="A1793" s="7">
        <v>43959.75</v>
      </c>
      <c r="B1793" s="1" t="s">
        <v>77</v>
      </c>
      <c r="C1793" s="1">
        <v>9804.48</v>
      </c>
      <c r="D1793" s="1">
        <v>2675.07</v>
      </c>
    </row>
    <row r="1794" spans="1:4" x14ac:dyDescent="0.25">
      <c r="A1794" s="7">
        <v>43959.75</v>
      </c>
      <c r="B1794" s="1" t="s">
        <v>69</v>
      </c>
      <c r="C1794" s="1">
        <v>5675.54</v>
      </c>
      <c r="D1794" s="1">
        <v>3289.54</v>
      </c>
    </row>
    <row r="1795" spans="1:4" x14ac:dyDescent="0.25">
      <c r="A1795" s="7">
        <v>43959.791666666664</v>
      </c>
      <c r="B1795" s="1" t="s">
        <v>75</v>
      </c>
      <c r="C1795" s="1">
        <v>1793.1</v>
      </c>
      <c r="D1795" s="1">
        <v>549</v>
      </c>
    </row>
    <row r="1796" spans="1:4" x14ac:dyDescent="0.25">
      <c r="A1796" s="7">
        <v>43959.791666666664</v>
      </c>
      <c r="B1796" s="1" t="s">
        <v>74</v>
      </c>
      <c r="C1796" s="1">
        <v>14418.33</v>
      </c>
      <c r="D1796" s="1">
        <v>2657.13</v>
      </c>
    </row>
    <row r="1797" spans="1:4" x14ac:dyDescent="0.25">
      <c r="A1797" s="7">
        <v>43959.791666666664</v>
      </c>
      <c r="B1797" s="1" t="s">
        <v>68</v>
      </c>
      <c r="C1797" s="1">
        <v>16261.46</v>
      </c>
      <c r="D1797" s="1">
        <v>3650.27</v>
      </c>
    </row>
    <row r="1798" spans="1:4" x14ac:dyDescent="0.25">
      <c r="A1798" s="7">
        <v>43959.791666666664</v>
      </c>
      <c r="B1798" s="1" t="s">
        <v>71</v>
      </c>
      <c r="C1798" s="1">
        <v>20723.07</v>
      </c>
      <c r="D1798" s="1">
        <v>3892.87</v>
      </c>
    </row>
    <row r="1799" spans="1:4" x14ac:dyDescent="0.25">
      <c r="A1799" s="7">
        <v>43959.791666666664</v>
      </c>
      <c r="B1799" s="1" t="s">
        <v>70</v>
      </c>
      <c r="C1799" s="1">
        <v>13385.55</v>
      </c>
      <c r="D1799" s="1">
        <v>4420.74</v>
      </c>
    </row>
    <row r="1800" spans="1:4" x14ac:dyDescent="0.25">
      <c r="A1800" s="7">
        <v>43959.791666666664</v>
      </c>
      <c r="B1800" s="1" t="s">
        <v>69</v>
      </c>
      <c r="C1800" s="1">
        <v>8232.2099999999991</v>
      </c>
      <c r="D1800" s="1">
        <v>4461.8</v>
      </c>
    </row>
    <row r="1801" spans="1:4" x14ac:dyDescent="0.25">
      <c r="A1801" s="7">
        <v>43959.791666666664</v>
      </c>
      <c r="B1801" s="1" t="s">
        <v>78</v>
      </c>
      <c r="C1801" s="1">
        <v>3244.61</v>
      </c>
      <c r="D1801" s="1">
        <v>1339.45</v>
      </c>
    </row>
    <row r="1802" spans="1:4" x14ac:dyDescent="0.25">
      <c r="A1802" s="7">
        <v>43959.791666666664</v>
      </c>
      <c r="B1802" s="1" t="s">
        <v>76</v>
      </c>
      <c r="C1802" s="1">
        <v>23849.24</v>
      </c>
      <c r="D1802" s="1">
        <v>4205.7299999999996</v>
      </c>
    </row>
    <row r="1803" spans="1:4" x14ac:dyDescent="0.25">
      <c r="A1803" s="7">
        <v>43959.791666666664</v>
      </c>
      <c r="B1803" s="1" t="s">
        <v>73</v>
      </c>
      <c r="C1803" s="1">
        <v>12707.82</v>
      </c>
      <c r="D1803" s="1">
        <v>1615.17</v>
      </c>
    </row>
    <row r="1804" spans="1:4" x14ac:dyDescent="0.25">
      <c r="A1804" s="7">
        <v>43959.791666666664</v>
      </c>
      <c r="B1804" s="1" t="s">
        <v>72</v>
      </c>
      <c r="C1804" s="1">
        <v>13091.09</v>
      </c>
      <c r="D1804" s="1">
        <v>6420.07</v>
      </c>
    </row>
    <row r="1805" spans="1:4" x14ac:dyDescent="0.25">
      <c r="A1805" s="7">
        <v>43959.791666666664</v>
      </c>
      <c r="B1805" s="1" t="s">
        <v>77</v>
      </c>
      <c r="C1805" s="1">
        <v>15128.44</v>
      </c>
      <c r="D1805" s="1">
        <v>3791.91</v>
      </c>
    </row>
    <row r="1806" spans="1:4" x14ac:dyDescent="0.25">
      <c r="A1806" s="7">
        <v>43959.833333333336</v>
      </c>
      <c r="B1806" s="1" t="s">
        <v>75</v>
      </c>
      <c r="C1806" s="1">
        <v>1827.8</v>
      </c>
      <c r="D1806" s="1">
        <v>570.69000000000005</v>
      </c>
    </row>
    <row r="1807" spans="1:4" x14ac:dyDescent="0.25">
      <c r="A1807" s="7">
        <v>43959.833333333336</v>
      </c>
      <c r="B1807" s="1" t="s">
        <v>74</v>
      </c>
      <c r="C1807" s="1">
        <v>14916.01</v>
      </c>
      <c r="D1807" s="1">
        <v>2693.99</v>
      </c>
    </row>
    <row r="1808" spans="1:4" x14ac:dyDescent="0.25">
      <c r="A1808" s="7">
        <v>43959.833333333336</v>
      </c>
      <c r="B1808" s="1" t="s">
        <v>76</v>
      </c>
      <c r="C1808" s="1">
        <v>23866.811000000002</v>
      </c>
      <c r="D1808" s="1">
        <v>4106.7299999999996</v>
      </c>
    </row>
    <row r="1809" spans="1:4" x14ac:dyDescent="0.25">
      <c r="A1809" s="7">
        <v>43959.833333333336</v>
      </c>
      <c r="B1809" s="1" t="s">
        <v>68</v>
      </c>
      <c r="C1809" s="1">
        <v>16344.46</v>
      </c>
      <c r="D1809" s="1">
        <v>3683.22</v>
      </c>
    </row>
    <row r="1810" spans="1:4" x14ac:dyDescent="0.25">
      <c r="A1810" s="7">
        <v>43959.833333333336</v>
      </c>
      <c r="B1810" s="1" t="s">
        <v>77</v>
      </c>
      <c r="C1810" s="1">
        <v>14867.66</v>
      </c>
      <c r="D1810" s="1">
        <v>3733.32</v>
      </c>
    </row>
    <row r="1811" spans="1:4" x14ac:dyDescent="0.25">
      <c r="A1811" s="7">
        <v>43959.833333333336</v>
      </c>
      <c r="B1811" s="1" t="s">
        <v>69</v>
      </c>
      <c r="C1811" s="1">
        <v>8406.3799999999992</v>
      </c>
      <c r="D1811" s="1">
        <v>4701.4399999999996</v>
      </c>
    </row>
    <row r="1812" spans="1:4" x14ac:dyDescent="0.25">
      <c r="A1812" s="7">
        <v>43959.833333333336</v>
      </c>
      <c r="B1812" s="1" t="s">
        <v>70</v>
      </c>
      <c r="C1812" s="1">
        <v>12885.67</v>
      </c>
      <c r="D1812" s="1">
        <v>4251.8</v>
      </c>
    </row>
    <row r="1813" spans="1:4" x14ac:dyDescent="0.25">
      <c r="A1813" s="7">
        <v>43959.833333333336</v>
      </c>
      <c r="B1813" s="1" t="s">
        <v>78</v>
      </c>
      <c r="C1813" s="1">
        <v>3407.59</v>
      </c>
      <c r="D1813" s="1">
        <v>1383.74</v>
      </c>
    </row>
    <row r="1814" spans="1:4" x14ac:dyDescent="0.25">
      <c r="A1814" s="7">
        <v>43959.833333333336</v>
      </c>
      <c r="B1814" s="1" t="s">
        <v>72</v>
      </c>
      <c r="C1814" s="1">
        <v>13063.58</v>
      </c>
      <c r="D1814" s="1">
        <v>6420.37</v>
      </c>
    </row>
    <row r="1815" spans="1:4" x14ac:dyDescent="0.25">
      <c r="A1815" s="7">
        <v>43959.833333333336</v>
      </c>
      <c r="B1815" s="1" t="s">
        <v>73</v>
      </c>
      <c r="C1815" s="1">
        <v>12564.3</v>
      </c>
      <c r="D1815" s="1">
        <v>1605.08</v>
      </c>
    </row>
    <row r="1816" spans="1:4" x14ac:dyDescent="0.25">
      <c r="A1816" s="7">
        <v>43959.833333333336</v>
      </c>
      <c r="B1816" s="1" t="s">
        <v>71</v>
      </c>
      <c r="C1816" s="1">
        <v>21119.438999999998</v>
      </c>
      <c r="D1816" s="1">
        <v>3862.32</v>
      </c>
    </row>
    <row r="1817" spans="1:4" x14ac:dyDescent="0.25">
      <c r="A1817" s="7">
        <v>43959.875</v>
      </c>
      <c r="B1817" s="1" t="s">
        <v>75</v>
      </c>
      <c r="C1817" s="1">
        <v>1708.56</v>
      </c>
      <c r="D1817" s="1">
        <v>536.54999999999995</v>
      </c>
    </row>
    <row r="1818" spans="1:4" x14ac:dyDescent="0.25">
      <c r="A1818" s="7">
        <v>43959.875</v>
      </c>
      <c r="B1818" s="1" t="s">
        <v>74</v>
      </c>
      <c r="C1818" s="1">
        <v>13271.33</v>
      </c>
      <c r="D1818" s="1">
        <v>2368.84</v>
      </c>
    </row>
    <row r="1819" spans="1:4" x14ac:dyDescent="0.25">
      <c r="A1819" s="7">
        <v>43959.875</v>
      </c>
      <c r="B1819" s="1" t="s">
        <v>76</v>
      </c>
      <c r="C1819" s="1">
        <v>21401.25</v>
      </c>
      <c r="D1819" s="1">
        <v>3717.98</v>
      </c>
    </row>
    <row r="1820" spans="1:4" x14ac:dyDescent="0.25">
      <c r="A1820" s="7">
        <v>43959.875</v>
      </c>
      <c r="B1820" s="1" t="s">
        <v>72</v>
      </c>
      <c r="C1820" s="1">
        <v>12486.53</v>
      </c>
      <c r="D1820" s="1">
        <v>6167.2</v>
      </c>
    </row>
    <row r="1821" spans="1:4" x14ac:dyDescent="0.25">
      <c r="A1821" s="7">
        <v>43959.875</v>
      </c>
      <c r="B1821" s="1" t="s">
        <v>73</v>
      </c>
      <c r="C1821" s="1">
        <v>11002.81</v>
      </c>
      <c r="D1821" s="1">
        <v>1408.89</v>
      </c>
    </row>
    <row r="1822" spans="1:4" x14ac:dyDescent="0.25">
      <c r="A1822" s="7">
        <v>43959.875</v>
      </c>
      <c r="B1822" s="1" t="s">
        <v>68</v>
      </c>
      <c r="C1822" s="1">
        <v>14203.53</v>
      </c>
      <c r="D1822" s="1">
        <v>3300.1</v>
      </c>
    </row>
    <row r="1823" spans="1:4" x14ac:dyDescent="0.25">
      <c r="A1823" s="7">
        <v>43959.875</v>
      </c>
      <c r="B1823" s="1" t="s">
        <v>77</v>
      </c>
      <c r="C1823" s="1">
        <v>13680.1</v>
      </c>
      <c r="D1823" s="1">
        <v>3478.47</v>
      </c>
    </row>
    <row r="1824" spans="1:4" x14ac:dyDescent="0.25">
      <c r="A1824" s="7">
        <v>43959.875</v>
      </c>
      <c r="B1824" s="1" t="s">
        <v>71</v>
      </c>
      <c r="C1824" s="1">
        <v>17987.199000000001</v>
      </c>
      <c r="D1824" s="1">
        <v>3297.61</v>
      </c>
    </row>
    <row r="1825" spans="1:4" x14ac:dyDescent="0.25">
      <c r="A1825" s="7">
        <v>43959.875</v>
      </c>
      <c r="B1825" s="1" t="s">
        <v>70</v>
      </c>
      <c r="C1825" s="1">
        <v>11927.31</v>
      </c>
      <c r="D1825" s="1">
        <v>3901.5</v>
      </c>
    </row>
    <row r="1826" spans="1:4" x14ac:dyDescent="0.25">
      <c r="A1826" s="7">
        <v>43959.875</v>
      </c>
      <c r="B1826" s="1" t="s">
        <v>69</v>
      </c>
      <c r="C1826" s="1">
        <v>8206</v>
      </c>
      <c r="D1826" s="1">
        <v>4573.34</v>
      </c>
    </row>
    <row r="1827" spans="1:4" x14ac:dyDescent="0.25">
      <c r="A1827" s="7">
        <v>43959.875</v>
      </c>
      <c r="B1827" s="1" t="s">
        <v>78</v>
      </c>
      <c r="C1827" s="1">
        <v>3323.45</v>
      </c>
      <c r="D1827" s="1">
        <v>1368.9</v>
      </c>
    </row>
    <row r="1828" spans="1:4" x14ac:dyDescent="0.25">
      <c r="A1828" s="7">
        <v>43959.916666666664</v>
      </c>
      <c r="B1828" s="1" t="s">
        <v>75</v>
      </c>
      <c r="C1828" s="1">
        <v>1262.21</v>
      </c>
      <c r="D1828" s="1">
        <v>425.87</v>
      </c>
    </row>
    <row r="1829" spans="1:4" x14ac:dyDescent="0.25">
      <c r="A1829" s="7">
        <v>43959.916666666664</v>
      </c>
      <c r="B1829" s="1" t="s">
        <v>74</v>
      </c>
      <c r="C1829" s="1">
        <v>8386.4500000000007</v>
      </c>
      <c r="D1829" s="1">
        <v>1629.42</v>
      </c>
    </row>
    <row r="1830" spans="1:4" x14ac:dyDescent="0.25">
      <c r="A1830" s="7">
        <v>43959.916666666664</v>
      </c>
      <c r="B1830" s="1" t="s">
        <v>76</v>
      </c>
      <c r="C1830" s="1">
        <v>13899.96</v>
      </c>
      <c r="D1830" s="1">
        <v>2606.6999999999998</v>
      </c>
    </row>
    <row r="1831" spans="1:4" x14ac:dyDescent="0.25">
      <c r="A1831" s="7">
        <v>43959.916666666664</v>
      </c>
      <c r="B1831" s="1" t="s">
        <v>73</v>
      </c>
      <c r="C1831" s="1">
        <v>7124.33</v>
      </c>
      <c r="D1831" s="1">
        <v>1051.0999999999999</v>
      </c>
    </row>
    <row r="1832" spans="1:4" x14ac:dyDescent="0.25">
      <c r="A1832" s="7">
        <v>43959.916666666664</v>
      </c>
      <c r="B1832" s="1" t="s">
        <v>72</v>
      </c>
      <c r="C1832" s="1">
        <v>9482.52</v>
      </c>
      <c r="D1832" s="1">
        <v>4768.01</v>
      </c>
    </row>
    <row r="1833" spans="1:4" x14ac:dyDescent="0.25">
      <c r="A1833" s="7">
        <v>43959.916666666664</v>
      </c>
      <c r="B1833" s="1" t="s">
        <v>68</v>
      </c>
      <c r="C1833" s="1">
        <v>9218.36</v>
      </c>
      <c r="D1833" s="1">
        <v>2409.17</v>
      </c>
    </row>
    <row r="1834" spans="1:4" x14ac:dyDescent="0.25">
      <c r="A1834" s="7">
        <v>43959.916666666664</v>
      </c>
      <c r="B1834" s="1" t="s">
        <v>77</v>
      </c>
      <c r="C1834" s="1">
        <v>9901.51</v>
      </c>
      <c r="D1834" s="1">
        <v>2575.9899999999998</v>
      </c>
    </row>
    <row r="1835" spans="1:4" x14ac:dyDescent="0.25">
      <c r="A1835" s="7">
        <v>43959.916666666664</v>
      </c>
      <c r="B1835" s="1" t="s">
        <v>71</v>
      </c>
      <c r="C1835" s="1">
        <v>10428.129999999999</v>
      </c>
      <c r="D1835" s="1">
        <v>2164.42</v>
      </c>
    </row>
    <row r="1836" spans="1:4" x14ac:dyDescent="0.25">
      <c r="A1836" s="7">
        <v>43959.916666666664</v>
      </c>
      <c r="B1836" s="1" t="s">
        <v>70</v>
      </c>
      <c r="C1836" s="1">
        <v>8343.74</v>
      </c>
      <c r="D1836" s="1">
        <v>2866.65</v>
      </c>
    </row>
    <row r="1837" spans="1:4" x14ac:dyDescent="0.25">
      <c r="A1837" s="7">
        <v>43959.916666666664</v>
      </c>
      <c r="B1837" s="1" t="s">
        <v>78</v>
      </c>
      <c r="C1837" s="1">
        <v>2563.4</v>
      </c>
      <c r="D1837" s="1">
        <v>1082.4100000000001</v>
      </c>
    </row>
    <row r="1838" spans="1:4" x14ac:dyDescent="0.25">
      <c r="A1838" s="7">
        <v>43959.916666666664</v>
      </c>
      <c r="B1838" s="1" t="s">
        <v>69</v>
      </c>
      <c r="C1838" s="1">
        <v>6410.22</v>
      </c>
      <c r="D1838" s="1">
        <v>3701.7</v>
      </c>
    </row>
    <row r="1839" spans="1:4" x14ac:dyDescent="0.25">
      <c r="A1839" s="7">
        <v>43959.958333333336</v>
      </c>
      <c r="B1839" s="1" t="s">
        <v>75</v>
      </c>
      <c r="C1839" s="1">
        <v>786.26</v>
      </c>
      <c r="D1839" s="1">
        <v>295.13</v>
      </c>
    </row>
    <row r="1840" spans="1:4" x14ac:dyDescent="0.25">
      <c r="A1840" s="7">
        <v>43959.958333333336</v>
      </c>
      <c r="B1840" s="1" t="s">
        <v>74</v>
      </c>
      <c r="C1840" s="1">
        <v>3950.1</v>
      </c>
      <c r="D1840" s="1">
        <v>889.66</v>
      </c>
    </row>
    <row r="1841" spans="1:4" x14ac:dyDescent="0.25">
      <c r="A1841" s="7">
        <v>43959.958333333336</v>
      </c>
      <c r="B1841" s="1" t="s">
        <v>78</v>
      </c>
      <c r="C1841" s="1">
        <v>1511.5</v>
      </c>
      <c r="D1841" s="1">
        <v>711.62</v>
      </c>
    </row>
    <row r="1842" spans="1:4" x14ac:dyDescent="0.25">
      <c r="A1842" s="7">
        <v>43959.958333333336</v>
      </c>
      <c r="B1842" s="1" t="s">
        <v>71</v>
      </c>
      <c r="C1842" s="1">
        <v>4609.46</v>
      </c>
      <c r="D1842" s="1">
        <v>1140.3</v>
      </c>
    </row>
    <row r="1843" spans="1:4" x14ac:dyDescent="0.25">
      <c r="A1843" s="7">
        <v>43959.958333333336</v>
      </c>
      <c r="B1843" s="1" t="s">
        <v>77</v>
      </c>
      <c r="C1843" s="1">
        <v>5400.08</v>
      </c>
      <c r="D1843" s="1">
        <v>1477.01</v>
      </c>
    </row>
    <row r="1844" spans="1:4" x14ac:dyDescent="0.25">
      <c r="A1844" s="7">
        <v>43959.958333333336</v>
      </c>
      <c r="B1844" s="1" t="s">
        <v>69</v>
      </c>
      <c r="C1844" s="1">
        <v>3855.31</v>
      </c>
      <c r="D1844" s="1">
        <v>2320.63</v>
      </c>
    </row>
    <row r="1845" spans="1:4" x14ac:dyDescent="0.25">
      <c r="A1845" s="7">
        <v>43959.958333333336</v>
      </c>
      <c r="B1845" s="1" t="s">
        <v>76</v>
      </c>
      <c r="C1845" s="1">
        <v>6557.03</v>
      </c>
      <c r="D1845" s="1">
        <v>1405.89</v>
      </c>
    </row>
    <row r="1846" spans="1:4" x14ac:dyDescent="0.25">
      <c r="A1846" s="7">
        <v>43959.958333333336</v>
      </c>
      <c r="B1846" s="1" t="s">
        <v>72</v>
      </c>
      <c r="C1846" s="1">
        <v>5585.96</v>
      </c>
      <c r="D1846" s="1">
        <v>3021.3</v>
      </c>
    </row>
    <row r="1847" spans="1:4" x14ac:dyDescent="0.25">
      <c r="A1847" s="7">
        <v>43959.958333333336</v>
      </c>
      <c r="B1847" s="1" t="s">
        <v>73</v>
      </c>
      <c r="C1847" s="1">
        <v>3400.66</v>
      </c>
      <c r="D1847" s="1">
        <v>594.48</v>
      </c>
    </row>
    <row r="1848" spans="1:4" x14ac:dyDescent="0.25">
      <c r="A1848" s="7">
        <v>43959.958333333336</v>
      </c>
      <c r="B1848" s="1" t="s">
        <v>68</v>
      </c>
      <c r="C1848" s="1">
        <v>4444.63</v>
      </c>
      <c r="D1848" s="1">
        <v>1375.13</v>
      </c>
    </row>
    <row r="1849" spans="1:4" x14ac:dyDescent="0.25">
      <c r="A1849" s="7">
        <v>43959.958333333336</v>
      </c>
      <c r="B1849" s="1" t="s">
        <v>70</v>
      </c>
      <c r="C1849" s="1">
        <v>4369.01</v>
      </c>
      <c r="D1849" s="1">
        <v>1617.13</v>
      </c>
    </row>
    <row r="1850" spans="1:4" x14ac:dyDescent="0.25">
      <c r="A1850" s="7">
        <v>43990</v>
      </c>
      <c r="B1850" s="1" t="s">
        <v>75</v>
      </c>
      <c r="C1850" s="1">
        <v>415.33</v>
      </c>
      <c r="D1850" s="1">
        <v>171.81</v>
      </c>
    </row>
    <row r="1851" spans="1:4" x14ac:dyDescent="0.25">
      <c r="A1851" s="7">
        <v>43990</v>
      </c>
      <c r="B1851" s="1" t="s">
        <v>74</v>
      </c>
      <c r="C1851" s="1">
        <v>1679.05</v>
      </c>
      <c r="D1851" s="1">
        <v>453.92</v>
      </c>
    </row>
    <row r="1852" spans="1:4" x14ac:dyDescent="0.25">
      <c r="A1852" s="7">
        <v>43990</v>
      </c>
      <c r="B1852" s="1" t="s">
        <v>78</v>
      </c>
      <c r="C1852" s="1">
        <v>728.67</v>
      </c>
      <c r="D1852" s="1">
        <v>359.24</v>
      </c>
    </row>
    <row r="1853" spans="1:4" x14ac:dyDescent="0.25">
      <c r="A1853" s="7">
        <v>43990</v>
      </c>
      <c r="B1853" s="1" t="s">
        <v>68</v>
      </c>
      <c r="C1853" s="1">
        <v>1969.79</v>
      </c>
      <c r="D1853" s="1">
        <v>683.4</v>
      </c>
    </row>
    <row r="1854" spans="1:4" x14ac:dyDescent="0.25">
      <c r="A1854" s="7">
        <v>43990</v>
      </c>
      <c r="B1854" s="1" t="s">
        <v>70</v>
      </c>
      <c r="C1854" s="1">
        <v>2022.57</v>
      </c>
      <c r="D1854" s="1">
        <v>820.08</v>
      </c>
    </row>
    <row r="1855" spans="1:4" x14ac:dyDescent="0.25">
      <c r="A1855" s="7">
        <v>43990</v>
      </c>
      <c r="B1855" s="1" t="s">
        <v>69</v>
      </c>
      <c r="C1855" s="1">
        <v>1921.17</v>
      </c>
      <c r="D1855" s="1">
        <v>1251.22</v>
      </c>
    </row>
    <row r="1856" spans="1:4" x14ac:dyDescent="0.25">
      <c r="A1856" s="7">
        <v>43990</v>
      </c>
      <c r="B1856" s="1" t="s">
        <v>72</v>
      </c>
      <c r="C1856" s="1">
        <v>2753.51</v>
      </c>
      <c r="D1856" s="1">
        <v>1609.01</v>
      </c>
    </row>
    <row r="1857" spans="1:4" x14ac:dyDescent="0.25">
      <c r="A1857" s="7">
        <v>43990</v>
      </c>
      <c r="B1857" s="1" t="s">
        <v>76</v>
      </c>
      <c r="C1857" s="1">
        <v>2804.94</v>
      </c>
      <c r="D1857" s="1">
        <v>623.52</v>
      </c>
    </row>
    <row r="1858" spans="1:4" x14ac:dyDescent="0.25">
      <c r="A1858" s="7">
        <v>43990</v>
      </c>
      <c r="B1858" s="1" t="s">
        <v>73</v>
      </c>
      <c r="C1858" s="1">
        <v>1426.28</v>
      </c>
      <c r="D1858" s="1">
        <v>290.81</v>
      </c>
    </row>
    <row r="1859" spans="1:4" x14ac:dyDescent="0.25">
      <c r="A1859" s="7">
        <v>43990</v>
      </c>
      <c r="B1859" s="1" t="s">
        <v>71</v>
      </c>
      <c r="C1859" s="1">
        <v>1975.14</v>
      </c>
      <c r="D1859" s="1">
        <v>553.63</v>
      </c>
    </row>
    <row r="1860" spans="1:4" x14ac:dyDescent="0.25">
      <c r="A1860" s="7">
        <v>43990</v>
      </c>
      <c r="B1860" s="1" t="s">
        <v>77</v>
      </c>
      <c r="C1860" s="1">
        <v>2540.9</v>
      </c>
      <c r="D1860" s="1">
        <v>719.36</v>
      </c>
    </row>
    <row r="1861" spans="1:4" x14ac:dyDescent="0.25">
      <c r="A1861" s="7">
        <v>43990.041666666664</v>
      </c>
      <c r="B1861" s="1" t="s">
        <v>75</v>
      </c>
      <c r="C1861" s="1">
        <v>227.22</v>
      </c>
      <c r="D1861" s="1">
        <v>85.9</v>
      </c>
    </row>
    <row r="1862" spans="1:4" x14ac:dyDescent="0.25">
      <c r="A1862" s="7">
        <v>43990.041666666664</v>
      </c>
      <c r="B1862" s="1" t="s">
        <v>74</v>
      </c>
      <c r="C1862" s="1">
        <v>768.27</v>
      </c>
      <c r="D1862" s="1">
        <v>197.79</v>
      </c>
    </row>
    <row r="1863" spans="1:4" x14ac:dyDescent="0.25">
      <c r="A1863" s="7">
        <v>43990.041666666664</v>
      </c>
      <c r="B1863" s="1" t="s">
        <v>72</v>
      </c>
      <c r="C1863" s="1">
        <v>1334.87</v>
      </c>
      <c r="D1863" s="1">
        <v>779.99</v>
      </c>
    </row>
    <row r="1864" spans="1:4" x14ac:dyDescent="0.25">
      <c r="A1864" s="7">
        <v>43990.041666666664</v>
      </c>
      <c r="B1864" s="1" t="s">
        <v>68</v>
      </c>
      <c r="C1864" s="1">
        <v>915.3</v>
      </c>
      <c r="D1864" s="1">
        <v>313.57</v>
      </c>
    </row>
    <row r="1865" spans="1:4" x14ac:dyDescent="0.25">
      <c r="A1865" s="7">
        <v>43990.041666666664</v>
      </c>
      <c r="B1865" s="1" t="s">
        <v>71</v>
      </c>
      <c r="C1865" s="1">
        <v>898.47</v>
      </c>
      <c r="D1865" s="1">
        <v>257.52999999999997</v>
      </c>
    </row>
    <row r="1866" spans="1:4" x14ac:dyDescent="0.25">
      <c r="A1866" s="7">
        <v>43990.041666666664</v>
      </c>
      <c r="B1866" s="1" t="s">
        <v>69</v>
      </c>
      <c r="C1866" s="1">
        <v>989.65</v>
      </c>
      <c r="D1866" s="1">
        <v>602.14</v>
      </c>
    </row>
    <row r="1867" spans="1:4" x14ac:dyDescent="0.25">
      <c r="A1867" s="7">
        <v>43990.041666666664</v>
      </c>
      <c r="B1867" s="1" t="s">
        <v>70</v>
      </c>
      <c r="C1867" s="1">
        <v>970.89</v>
      </c>
      <c r="D1867" s="1">
        <v>394.33</v>
      </c>
    </row>
    <row r="1868" spans="1:4" x14ac:dyDescent="0.25">
      <c r="A1868" s="7">
        <v>43990.041666666664</v>
      </c>
      <c r="B1868" s="1" t="s">
        <v>78</v>
      </c>
      <c r="C1868" s="1">
        <v>327.58999999999997</v>
      </c>
      <c r="D1868" s="1">
        <v>154.85</v>
      </c>
    </row>
    <row r="1869" spans="1:4" x14ac:dyDescent="0.25">
      <c r="A1869" s="7">
        <v>43990.041666666664</v>
      </c>
      <c r="B1869" s="1" t="s">
        <v>76</v>
      </c>
      <c r="C1869" s="1">
        <v>1269.6199999999999</v>
      </c>
      <c r="D1869" s="1">
        <v>270.27</v>
      </c>
    </row>
    <row r="1870" spans="1:4" x14ac:dyDescent="0.25">
      <c r="A1870" s="7">
        <v>43990.041666666664</v>
      </c>
      <c r="B1870" s="1" t="s">
        <v>73</v>
      </c>
      <c r="C1870" s="1">
        <v>655.4</v>
      </c>
      <c r="D1870" s="1">
        <v>135.12</v>
      </c>
    </row>
    <row r="1871" spans="1:4" x14ac:dyDescent="0.25">
      <c r="A1871" s="7">
        <v>43990.041666666664</v>
      </c>
      <c r="B1871" s="1" t="s">
        <v>77</v>
      </c>
      <c r="C1871" s="1">
        <v>1209.3699999999999</v>
      </c>
      <c r="D1871" s="1">
        <v>318.66000000000003</v>
      </c>
    </row>
    <row r="1872" spans="1:4" x14ac:dyDescent="0.25">
      <c r="A1872" s="7">
        <v>43990.083333333336</v>
      </c>
      <c r="B1872" s="1" t="s">
        <v>75</v>
      </c>
      <c r="C1872" s="1">
        <v>105.45</v>
      </c>
      <c r="D1872" s="1">
        <v>43.1</v>
      </c>
    </row>
    <row r="1873" spans="1:4" x14ac:dyDescent="0.25">
      <c r="A1873" s="7">
        <v>43990.083333333336</v>
      </c>
      <c r="B1873" s="1" t="s">
        <v>74</v>
      </c>
      <c r="C1873" s="1">
        <v>377.29</v>
      </c>
      <c r="D1873" s="1">
        <v>101.36</v>
      </c>
    </row>
    <row r="1874" spans="1:4" x14ac:dyDescent="0.25">
      <c r="A1874" s="7">
        <v>43990.083333333336</v>
      </c>
      <c r="B1874" s="1" t="s">
        <v>76</v>
      </c>
      <c r="C1874" s="1">
        <v>640.26</v>
      </c>
      <c r="D1874" s="1">
        <v>124.05</v>
      </c>
    </row>
    <row r="1875" spans="1:4" x14ac:dyDescent="0.25">
      <c r="A1875" s="7">
        <v>43990.083333333336</v>
      </c>
      <c r="B1875" s="1" t="s">
        <v>72</v>
      </c>
      <c r="C1875" s="1">
        <v>652.58000000000004</v>
      </c>
      <c r="D1875" s="1">
        <v>371.31</v>
      </c>
    </row>
    <row r="1876" spans="1:4" x14ac:dyDescent="0.25">
      <c r="A1876" s="7">
        <v>43990.083333333336</v>
      </c>
      <c r="B1876" s="1" t="s">
        <v>73</v>
      </c>
      <c r="C1876" s="1">
        <v>312.44</v>
      </c>
      <c r="D1876" s="1">
        <v>58.55</v>
      </c>
    </row>
    <row r="1877" spans="1:4" x14ac:dyDescent="0.25">
      <c r="A1877" s="7">
        <v>43990.083333333336</v>
      </c>
      <c r="B1877" s="1" t="s">
        <v>68</v>
      </c>
      <c r="C1877" s="1">
        <v>458.46</v>
      </c>
      <c r="D1877" s="1">
        <v>138.63999999999999</v>
      </c>
    </row>
    <row r="1878" spans="1:4" x14ac:dyDescent="0.25">
      <c r="A1878" s="7">
        <v>43990.083333333336</v>
      </c>
      <c r="B1878" s="1" t="s">
        <v>77</v>
      </c>
      <c r="C1878" s="1">
        <v>580.59</v>
      </c>
      <c r="D1878" s="1">
        <v>166.8</v>
      </c>
    </row>
    <row r="1879" spans="1:4" x14ac:dyDescent="0.25">
      <c r="A1879" s="7">
        <v>43990.083333333336</v>
      </c>
      <c r="B1879" s="1" t="s">
        <v>71</v>
      </c>
      <c r="C1879" s="1">
        <v>467.06</v>
      </c>
      <c r="D1879" s="1">
        <v>127.1</v>
      </c>
    </row>
    <row r="1880" spans="1:4" x14ac:dyDescent="0.25">
      <c r="A1880" s="7">
        <v>43990.083333333336</v>
      </c>
      <c r="B1880" s="1" t="s">
        <v>70</v>
      </c>
      <c r="C1880" s="1">
        <v>473.02</v>
      </c>
      <c r="D1880" s="1">
        <v>192.74</v>
      </c>
    </row>
    <row r="1881" spans="1:4" x14ac:dyDescent="0.25">
      <c r="A1881" s="7">
        <v>43990.083333333336</v>
      </c>
      <c r="B1881" s="1" t="s">
        <v>78</v>
      </c>
      <c r="C1881" s="1">
        <v>157.32</v>
      </c>
      <c r="D1881" s="1">
        <v>67.930000000000007</v>
      </c>
    </row>
    <row r="1882" spans="1:4" x14ac:dyDescent="0.25">
      <c r="A1882" s="7">
        <v>43990.083333333336</v>
      </c>
      <c r="B1882" s="1" t="s">
        <v>69</v>
      </c>
      <c r="C1882" s="1">
        <v>478.55</v>
      </c>
      <c r="D1882" s="1">
        <v>261.64999999999998</v>
      </c>
    </row>
    <row r="1883" spans="1:4" x14ac:dyDescent="0.25">
      <c r="A1883" s="7">
        <v>43990.125</v>
      </c>
      <c r="B1883" s="1" t="s">
        <v>75</v>
      </c>
      <c r="C1883" s="1">
        <v>58.31</v>
      </c>
      <c r="D1883" s="1">
        <v>29.03</v>
      </c>
    </row>
    <row r="1884" spans="1:4" x14ac:dyDescent="0.25">
      <c r="A1884" s="7">
        <v>43990.125</v>
      </c>
      <c r="B1884" s="1" t="s">
        <v>74</v>
      </c>
      <c r="C1884" s="1">
        <v>221.38</v>
      </c>
      <c r="D1884" s="1">
        <v>53.84</v>
      </c>
    </row>
    <row r="1885" spans="1:4" x14ac:dyDescent="0.25">
      <c r="A1885" s="7">
        <v>43990.125</v>
      </c>
      <c r="B1885" s="1" t="s">
        <v>76</v>
      </c>
      <c r="C1885" s="1">
        <v>349.05</v>
      </c>
      <c r="D1885" s="1">
        <v>70.97</v>
      </c>
    </row>
    <row r="1886" spans="1:4" x14ac:dyDescent="0.25">
      <c r="A1886" s="7">
        <v>43990.125</v>
      </c>
      <c r="B1886" s="1" t="s">
        <v>73</v>
      </c>
      <c r="C1886" s="1">
        <v>184.14</v>
      </c>
      <c r="D1886" s="1">
        <v>31.77</v>
      </c>
    </row>
    <row r="1887" spans="1:4" x14ac:dyDescent="0.25">
      <c r="A1887" s="7">
        <v>43990.125</v>
      </c>
      <c r="B1887" s="1" t="s">
        <v>68</v>
      </c>
      <c r="C1887" s="1">
        <v>268.95999999999998</v>
      </c>
      <c r="D1887" s="1">
        <v>76.88</v>
      </c>
    </row>
    <row r="1888" spans="1:4" x14ac:dyDescent="0.25">
      <c r="A1888" s="7">
        <v>43990.125</v>
      </c>
      <c r="B1888" s="1" t="s">
        <v>77</v>
      </c>
      <c r="C1888" s="1">
        <v>345.05</v>
      </c>
      <c r="D1888" s="1">
        <v>91.02</v>
      </c>
    </row>
    <row r="1889" spans="1:4" x14ac:dyDescent="0.25">
      <c r="A1889" s="7">
        <v>43990.125</v>
      </c>
      <c r="B1889" s="1" t="s">
        <v>71</v>
      </c>
      <c r="C1889" s="1">
        <v>291.64999999999998</v>
      </c>
      <c r="D1889" s="1">
        <v>76.239999999999995</v>
      </c>
    </row>
    <row r="1890" spans="1:4" x14ac:dyDescent="0.25">
      <c r="A1890" s="7">
        <v>43990.125</v>
      </c>
      <c r="B1890" s="1" t="s">
        <v>70</v>
      </c>
      <c r="C1890" s="1">
        <v>278.56</v>
      </c>
      <c r="D1890" s="1">
        <v>107.34</v>
      </c>
    </row>
    <row r="1891" spans="1:4" x14ac:dyDescent="0.25">
      <c r="A1891" s="7">
        <v>43990.125</v>
      </c>
      <c r="B1891" s="1" t="s">
        <v>78</v>
      </c>
      <c r="C1891" s="1">
        <v>84.59</v>
      </c>
      <c r="D1891" s="1">
        <v>33.479999999999997</v>
      </c>
    </row>
    <row r="1892" spans="1:4" x14ac:dyDescent="0.25">
      <c r="A1892" s="7">
        <v>43990.125</v>
      </c>
      <c r="B1892" s="1" t="s">
        <v>72</v>
      </c>
      <c r="C1892" s="1">
        <v>348.55</v>
      </c>
      <c r="D1892" s="1">
        <v>213.15</v>
      </c>
    </row>
    <row r="1893" spans="1:4" x14ac:dyDescent="0.25">
      <c r="A1893" s="7">
        <v>43990.125</v>
      </c>
      <c r="B1893" s="1" t="s">
        <v>69</v>
      </c>
      <c r="C1893" s="1">
        <v>259.39999999999998</v>
      </c>
      <c r="D1893" s="1">
        <v>136</v>
      </c>
    </row>
    <row r="1894" spans="1:4" x14ac:dyDescent="0.25">
      <c r="A1894" s="7">
        <v>43990.166666666664</v>
      </c>
      <c r="B1894" s="1" t="s">
        <v>75</v>
      </c>
      <c r="C1894" s="1">
        <v>37.64</v>
      </c>
      <c r="D1894" s="1">
        <v>17.03</v>
      </c>
    </row>
    <row r="1895" spans="1:4" x14ac:dyDescent="0.25">
      <c r="A1895" s="7">
        <v>43990.166666666664</v>
      </c>
      <c r="B1895" s="1" t="s">
        <v>74</v>
      </c>
      <c r="C1895" s="1">
        <v>187.46</v>
      </c>
      <c r="D1895" s="1">
        <v>43.17</v>
      </c>
    </row>
    <row r="1896" spans="1:4" x14ac:dyDescent="0.25">
      <c r="A1896" s="7">
        <v>43990.166666666664</v>
      </c>
      <c r="B1896" s="1" t="s">
        <v>76</v>
      </c>
      <c r="C1896" s="1">
        <v>255.43</v>
      </c>
      <c r="D1896" s="1">
        <v>57.43</v>
      </c>
    </row>
    <row r="1897" spans="1:4" x14ac:dyDescent="0.25">
      <c r="A1897" s="7">
        <v>43990.166666666664</v>
      </c>
      <c r="B1897" s="1" t="s">
        <v>77</v>
      </c>
      <c r="C1897" s="1">
        <v>276.93</v>
      </c>
      <c r="D1897" s="1">
        <v>78.05</v>
      </c>
    </row>
    <row r="1898" spans="1:4" x14ac:dyDescent="0.25">
      <c r="A1898" s="7">
        <v>43990.166666666664</v>
      </c>
      <c r="B1898" s="1" t="s">
        <v>71</v>
      </c>
      <c r="C1898" s="1">
        <v>273.81</v>
      </c>
      <c r="D1898" s="1">
        <v>55.09</v>
      </c>
    </row>
    <row r="1899" spans="1:4" x14ac:dyDescent="0.25">
      <c r="A1899" s="7">
        <v>43990.166666666664</v>
      </c>
      <c r="B1899" s="1" t="s">
        <v>69</v>
      </c>
      <c r="C1899" s="1">
        <v>178.26</v>
      </c>
      <c r="D1899" s="1">
        <v>81.89</v>
      </c>
    </row>
    <row r="1900" spans="1:4" x14ac:dyDescent="0.25">
      <c r="A1900" s="7">
        <v>43990.166666666664</v>
      </c>
      <c r="B1900" s="1" t="s">
        <v>70</v>
      </c>
      <c r="C1900" s="1">
        <v>230.17</v>
      </c>
      <c r="D1900" s="1">
        <v>83.74</v>
      </c>
    </row>
    <row r="1901" spans="1:4" x14ac:dyDescent="0.25">
      <c r="A1901" s="7">
        <v>43990.166666666664</v>
      </c>
      <c r="B1901" s="1" t="s">
        <v>78</v>
      </c>
      <c r="C1901" s="1">
        <v>74.52</v>
      </c>
      <c r="D1901" s="1">
        <v>23.16</v>
      </c>
    </row>
    <row r="1902" spans="1:4" x14ac:dyDescent="0.25">
      <c r="A1902" s="7">
        <v>43990.166666666664</v>
      </c>
      <c r="B1902" s="1" t="s">
        <v>73</v>
      </c>
      <c r="C1902" s="1">
        <v>158.57</v>
      </c>
      <c r="D1902" s="1">
        <v>21.53</v>
      </c>
    </row>
    <row r="1903" spans="1:4" x14ac:dyDescent="0.25">
      <c r="A1903" s="7">
        <v>43990.166666666664</v>
      </c>
      <c r="B1903" s="1" t="s">
        <v>72</v>
      </c>
      <c r="C1903" s="1">
        <v>250.74</v>
      </c>
      <c r="D1903" s="1">
        <v>125.21</v>
      </c>
    </row>
    <row r="1904" spans="1:4" x14ac:dyDescent="0.25">
      <c r="A1904" s="7">
        <v>43990.166666666664</v>
      </c>
      <c r="B1904" s="1" t="s">
        <v>68</v>
      </c>
      <c r="C1904" s="1">
        <v>242.41</v>
      </c>
      <c r="D1904" s="1">
        <v>57.17</v>
      </c>
    </row>
    <row r="1905" spans="1:4" x14ac:dyDescent="0.25">
      <c r="A1905" s="7">
        <v>43990.208333333336</v>
      </c>
      <c r="B1905" s="1" t="s">
        <v>75</v>
      </c>
      <c r="C1905" s="1">
        <v>57.62</v>
      </c>
      <c r="D1905" s="1">
        <v>14.07</v>
      </c>
    </row>
    <row r="1906" spans="1:4" x14ac:dyDescent="0.25">
      <c r="A1906" s="7">
        <v>43990.208333333336</v>
      </c>
      <c r="B1906" s="1" t="s">
        <v>74</v>
      </c>
      <c r="C1906" s="1">
        <v>513.76</v>
      </c>
      <c r="D1906" s="1">
        <v>75.86</v>
      </c>
    </row>
    <row r="1907" spans="1:4" x14ac:dyDescent="0.25">
      <c r="A1907" s="7">
        <v>43990.208333333336</v>
      </c>
      <c r="B1907" s="1" t="s">
        <v>78</v>
      </c>
      <c r="C1907" s="1">
        <v>107.99</v>
      </c>
      <c r="D1907" s="1">
        <v>34.49</v>
      </c>
    </row>
    <row r="1908" spans="1:4" x14ac:dyDescent="0.25">
      <c r="A1908" s="7">
        <v>43990.208333333336</v>
      </c>
      <c r="B1908" s="1" t="s">
        <v>71</v>
      </c>
      <c r="C1908" s="1">
        <v>823.26</v>
      </c>
      <c r="D1908" s="1">
        <v>111.39</v>
      </c>
    </row>
    <row r="1909" spans="1:4" x14ac:dyDescent="0.25">
      <c r="A1909" s="7">
        <v>43990.208333333336</v>
      </c>
      <c r="B1909" s="1" t="s">
        <v>69</v>
      </c>
      <c r="C1909" s="1">
        <v>299.91000000000003</v>
      </c>
      <c r="D1909" s="1">
        <v>115.14</v>
      </c>
    </row>
    <row r="1910" spans="1:4" x14ac:dyDescent="0.25">
      <c r="A1910" s="7">
        <v>43990.208333333336</v>
      </c>
      <c r="B1910" s="1" t="s">
        <v>76</v>
      </c>
      <c r="C1910" s="1">
        <v>744.61</v>
      </c>
      <c r="D1910" s="1">
        <v>107.75</v>
      </c>
    </row>
    <row r="1911" spans="1:4" x14ac:dyDescent="0.25">
      <c r="A1911" s="7">
        <v>43990.208333333336</v>
      </c>
      <c r="B1911" s="1" t="s">
        <v>72</v>
      </c>
      <c r="C1911" s="1">
        <v>459.18</v>
      </c>
      <c r="D1911" s="1">
        <v>162.47</v>
      </c>
    </row>
    <row r="1912" spans="1:4" x14ac:dyDescent="0.25">
      <c r="A1912" s="7">
        <v>43990.208333333336</v>
      </c>
      <c r="B1912" s="1" t="s">
        <v>73</v>
      </c>
      <c r="C1912" s="1">
        <v>408.66</v>
      </c>
      <c r="D1912" s="1">
        <v>43.7</v>
      </c>
    </row>
    <row r="1913" spans="1:4" x14ac:dyDescent="0.25">
      <c r="A1913" s="7">
        <v>43990.208333333336</v>
      </c>
      <c r="B1913" s="1" t="s">
        <v>68</v>
      </c>
      <c r="C1913" s="1">
        <v>631.19000000000005</v>
      </c>
      <c r="D1913" s="1">
        <v>96.97</v>
      </c>
    </row>
    <row r="1914" spans="1:4" x14ac:dyDescent="0.25">
      <c r="A1914" s="7">
        <v>43990.208333333336</v>
      </c>
      <c r="B1914" s="1" t="s">
        <v>77</v>
      </c>
      <c r="C1914" s="1">
        <v>560.41999999999996</v>
      </c>
      <c r="D1914" s="1">
        <v>121.62</v>
      </c>
    </row>
    <row r="1915" spans="1:4" x14ac:dyDescent="0.25">
      <c r="A1915" s="7">
        <v>43990.208333333336</v>
      </c>
      <c r="B1915" s="1" t="s">
        <v>70</v>
      </c>
      <c r="C1915" s="1">
        <v>520.41999999999996</v>
      </c>
      <c r="D1915" s="1">
        <v>135.33000000000001</v>
      </c>
    </row>
    <row r="1916" spans="1:4" x14ac:dyDescent="0.25">
      <c r="A1916" s="7">
        <v>43990.25</v>
      </c>
      <c r="B1916" s="1" t="s">
        <v>75</v>
      </c>
      <c r="C1916" s="1">
        <v>159.06</v>
      </c>
      <c r="D1916" s="1">
        <v>33.53</v>
      </c>
    </row>
    <row r="1917" spans="1:4" x14ac:dyDescent="0.25">
      <c r="A1917" s="7">
        <v>43990.25</v>
      </c>
      <c r="B1917" s="1" t="s">
        <v>74</v>
      </c>
      <c r="C1917" s="1">
        <v>1996.01</v>
      </c>
      <c r="D1917" s="1">
        <v>241.14</v>
      </c>
    </row>
    <row r="1918" spans="1:4" x14ac:dyDescent="0.25">
      <c r="A1918" s="7">
        <v>43990.25</v>
      </c>
      <c r="B1918" s="1" t="s">
        <v>78</v>
      </c>
      <c r="C1918" s="1">
        <v>270.7</v>
      </c>
      <c r="D1918" s="1">
        <v>69.510000000000005</v>
      </c>
    </row>
    <row r="1919" spans="1:4" x14ac:dyDescent="0.25">
      <c r="A1919" s="7">
        <v>43990.25</v>
      </c>
      <c r="B1919" s="1" t="s">
        <v>73</v>
      </c>
      <c r="C1919" s="1">
        <v>1451.3</v>
      </c>
      <c r="D1919" s="1">
        <v>129.53</v>
      </c>
    </row>
    <row r="1920" spans="1:4" x14ac:dyDescent="0.25">
      <c r="A1920" s="7">
        <v>43990.25</v>
      </c>
      <c r="B1920" s="1" t="s">
        <v>71</v>
      </c>
      <c r="C1920" s="1">
        <v>2966.48</v>
      </c>
      <c r="D1920" s="1">
        <v>357.53</v>
      </c>
    </row>
    <row r="1921" spans="1:4" x14ac:dyDescent="0.25">
      <c r="A1921" s="7">
        <v>43990.25</v>
      </c>
      <c r="B1921" s="1" t="s">
        <v>68</v>
      </c>
      <c r="C1921" s="1">
        <v>2297.36</v>
      </c>
      <c r="D1921" s="1">
        <v>325.58</v>
      </c>
    </row>
    <row r="1922" spans="1:4" x14ac:dyDescent="0.25">
      <c r="A1922" s="7">
        <v>43990.25</v>
      </c>
      <c r="B1922" s="1" t="s">
        <v>69</v>
      </c>
      <c r="C1922" s="1">
        <v>717.92</v>
      </c>
      <c r="D1922" s="1">
        <v>225.68</v>
      </c>
    </row>
    <row r="1923" spans="1:4" x14ac:dyDescent="0.25">
      <c r="A1923" s="7">
        <v>43990.25</v>
      </c>
      <c r="B1923" s="1" t="s">
        <v>70</v>
      </c>
      <c r="C1923" s="1">
        <v>1593.71</v>
      </c>
      <c r="D1923" s="1">
        <v>400.56</v>
      </c>
    </row>
    <row r="1924" spans="1:4" x14ac:dyDescent="0.25">
      <c r="A1924" s="7">
        <v>43990.25</v>
      </c>
      <c r="B1924" s="1" t="s">
        <v>76</v>
      </c>
      <c r="C1924" s="1">
        <v>3247.61</v>
      </c>
      <c r="D1924" s="1">
        <v>384.19</v>
      </c>
    </row>
    <row r="1925" spans="1:4" x14ac:dyDescent="0.25">
      <c r="A1925" s="7">
        <v>43990.25</v>
      </c>
      <c r="B1925" s="1" t="s">
        <v>72</v>
      </c>
      <c r="C1925" s="1">
        <v>1104.78</v>
      </c>
      <c r="D1925" s="1">
        <v>367.41</v>
      </c>
    </row>
    <row r="1926" spans="1:4" x14ac:dyDescent="0.25">
      <c r="A1926" s="7">
        <v>43990.25</v>
      </c>
      <c r="B1926" s="1" t="s">
        <v>77</v>
      </c>
      <c r="C1926" s="1">
        <v>1727.94</v>
      </c>
      <c r="D1926" s="1">
        <v>318.24</v>
      </c>
    </row>
    <row r="1927" spans="1:4" x14ac:dyDescent="0.25">
      <c r="A1927" s="7">
        <v>43990.291666666664</v>
      </c>
      <c r="B1927" s="1" t="s">
        <v>75</v>
      </c>
      <c r="C1927" s="1">
        <v>364.37</v>
      </c>
      <c r="D1927" s="1">
        <v>74.69</v>
      </c>
    </row>
    <row r="1928" spans="1:4" x14ac:dyDescent="0.25">
      <c r="A1928" s="7">
        <v>43990.291666666664</v>
      </c>
      <c r="B1928" s="1" t="s">
        <v>74</v>
      </c>
      <c r="C1928" s="1">
        <v>4528</v>
      </c>
      <c r="D1928" s="1">
        <v>581.1</v>
      </c>
    </row>
    <row r="1929" spans="1:4" x14ac:dyDescent="0.25">
      <c r="A1929" s="7">
        <v>43990.291666666664</v>
      </c>
      <c r="B1929" s="1" t="s">
        <v>76</v>
      </c>
      <c r="C1929" s="1">
        <v>7416.81</v>
      </c>
      <c r="D1929" s="1">
        <v>951.33</v>
      </c>
    </row>
    <row r="1930" spans="1:4" x14ac:dyDescent="0.25">
      <c r="A1930" s="7">
        <v>43990.291666666664</v>
      </c>
      <c r="B1930" s="1" t="s">
        <v>73</v>
      </c>
      <c r="C1930" s="1">
        <v>3431.23</v>
      </c>
      <c r="D1930" s="1">
        <v>319.75</v>
      </c>
    </row>
    <row r="1931" spans="1:4" x14ac:dyDescent="0.25">
      <c r="A1931" s="7">
        <v>43990.291666666664</v>
      </c>
      <c r="B1931" s="1" t="s">
        <v>68</v>
      </c>
      <c r="C1931" s="1">
        <v>4888.8900000000003</v>
      </c>
      <c r="D1931" s="1">
        <v>764.83</v>
      </c>
    </row>
    <row r="1932" spans="1:4" x14ac:dyDescent="0.25">
      <c r="A1932" s="7">
        <v>43990.291666666664</v>
      </c>
      <c r="B1932" s="1" t="s">
        <v>77</v>
      </c>
      <c r="C1932" s="1">
        <v>3748.76</v>
      </c>
      <c r="D1932" s="1">
        <v>755.25</v>
      </c>
    </row>
    <row r="1933" spans="1:4" x14ac:dyDescent="0.25">
      <c r="A1933" s="7">
        <v>43990.291666666664</v>
      </c>
      <c r="B1933" s="1" t="s">
        <v>71</v>
      </c>
      <c r="C1933" s="1">
        <v>6040.85</v>
      </c>
      <c r="D1933" s="1">
        <v>832.84</v>
      </c>
    </row>
    <row r="1934" spans="1:4" x14ac:dyDescent="0.25">
      <c r="A1934" s="7">
        <v>43990.291666666664</v>
      </c>
      <c r="B1934" s="1" t="s">
        <v>70</v>
      </c>
      <c r="C1934" s="1">
        <v>3321.45</v>
      </c>
      <c r="D1934" s="1">
        <v>900.48</v>
      </c>
    </row>
    <row r="1935" spans="1:4" x14ac:dyDescent="0.25">
      <c r="A1935" s="7">
        <v>43990.291666666664</v>
      </c>
      <c r="B1935" s="1" t="s">
        <v>78</v>
      </c>
      <c r="C1935" s="1">
        <v>584</v>
      </c>
      <c r="D1935" s="1">
        <v>168.86</v>
      </c>
    </row>
    <row r="1936" spans="1:4" x14ac:dyDescent="0.25">
      <c r="A1936" s="7">
        <v>43990.291666666664</v>
      </c>
      <c r="B1936" s="1" t="s">
        <v>72</v>
      </c>
      <c r="C1936" s="1">
        <v>2443.25</v>
      </c>
      <c r="D1936" s="1">
        <v>881.54</v>
      </c>
    </row>
    <row r="1937" spans="1:4" x14ac:dyDescent="0.25">
      <c r="A1937" s="7">
        <v>43990.291666666664</v>
      </c>
      <c r="B1937" s="1" t="s">
        <v>69</v>
      </c>
      <c r="C1937" s="1">
        <v>1553.22</v>
      </c>
      <c r="D1937" s="1">
        <v>518.47</v>
      </c>
    </row>
    <row r="1938" spans="1:4" x14ac:dyDescent="0.25">
      <c r="A1938" s="7">
        <v>43990.333333333336</v>
      </c>
      <c r="B1938" s="1" t="s">
        <v>75</v>
      </c>
      <c r="C1938" s="1">
        <v>620.70000000000005</v>
      </c>
      <c r="D1938" s="1">
        <v>152.68</v>
      </c>
    </row>
    <row r="1939" spans="1:4" x14ac:dyDescent="0.25">
      <c r="A1939" s="7">
        <v>43990.333333333336</v>
      </c>
      <c r="B1939" s="1" t="s">
        <v>74</v>
      </c>
      <c r="C1939" s="1">
        <v>6812.25</v>
      </c>
      <c r="D1939" s="1">
        <v>997.36</v>
      </c>
    </row>
    <row r="1940" spans="1:4" x14ac:dyDescent="0.25">
      <c r="A1940" s="7">
        <v>43990.333333333336</v>
      </c>
      <c r="B1940" s="1" t="s">
        <v>76</v>
      </c>
      <c r="C1940" s="1">
        <v>11112.63</v>
      </c>
      <c r="D1940" s="1">
        <v>1618.21</v>
      </c>
    </row>
    <row r="1941" spans="1:4" x14ac:dyDescent="0.25">
      <c r="A1941" s="7">
        <v>43990.333333333336</v>
      </c>
      <c r="B1941" s="1" t="s">
        <v>68</v>
      </c>
      <c r="C1941" s="1">
        <v>7397.51</v>
      </c>
      <c r="D1941" s="1">
        <v>1394.23</v>
      </c>
    </row>
    <row r="1942" spans="1:4" x14ac:dyDescent="0.25">
      <c r="A1942" s="7">
        <v>43990.333333333336</v>
      </c>
      <c r="B1942" s="1" t="s">
        <v>77</v>
      </c>
      <c r="C1942" s="1">
        <v>6003.87</v>
      </c>
      <c r="D1942" s="1">
        <v>1316.67</v>
      </c>
    </row>
    <row r="1943" spans="1:4" x14ac:dyDescent="0.25">
      <c r="A1943" s="7">
        <v>43990.333333333336</v>
      </c>
      <c r="B1943" s="1" t="s">
        <v>71</v>
      </c>
      <c r="C1943" s="1">
        <v>9137.2800000000007</v>
      </c>
      <c r="D1943" s="1">
        <v>1480.32</v>
      </c>
    </row>
    <row r="1944" spans="1:4" x14ac:dyDescent="0.25">
      <c r="A1944" s="7">
        <v>43990.333333333336</v>
      </c>
      <c r="B1944" s="1" t="s">
        <v>69</v>
      </c>
      <c r="C1944" s="1">
        <v>2808.45</v>
      </c>
      <c r="D1944" s="1">
        <v>1074.3699999999999</v>
      </c>
    </row>
    <row r="1945" spans="1:4" x14ac:dyDescent="0.25">
      <c r="A1945" s="7">
        <v>43990.333333333336</v>
      </c>
      <c r="B1945" s="1" t="s">
        <v>70</v>
      </c>
      <c r="C1945" s="1">
        <v>5341.7</v>
      </c>
      <c r="D1945" s="1">
        <v>1638.72</v>
      </c>
    </row>
    <row r="1946" spans="1:4" x14ac:dyDescent="0.25">
      <c r="A1946" s="7">
        <v>43990.333333333336</v>
      </c>
      <c r="B1946" s="1" t="s">
        <v>78</v>
      </c>
      <c r="C1946" s="1">
        <v>953.76</v>
      </c>
      <c r="D1946" s="1">
        <v>318.54000000000002</v>
      </c>
    </row>
    <row r="1947" spans="1:4" x14ac:dyDescent="0.25">
      <c r="A1947" s="7">
        <v>43990.333333333336</v>
      </c>
      <c r="B1947" s="1" t="s">
        <v>72</v>
      </c>
      <c r="C1947" s="1">
        <v>4427.87</v>
      </c>
      <c r="D1947" s="1">
        <v>1784.64</v>
      </c>
    </row>
    <row r="1948" spans="1:4" x14ac:dyDescent="0.25">
      <c r="A1948" s="7">
        <v>43990.333333333336</v>
      </c>
      <c r="B1948" s="1" t="s">
        <v>73</v>
      </c>
      <c r="C1948" s="1">
        <v>5755.73</v>
      </c>
      <c r="D1948" s="1">
        <v>649.96</v>
      </c>
    </row>
    <row r="1949" spans="1:4" x14ac:dyDescent="0.25">
      <c r="A1949" s="7">
        <v>43990.375</v>
      </c>
      <c r="B1949" s="1" t="s">
        <v>75</v>
      </c>
      <c r="C1949" s="1">
        <v>884.28</v>
      </c>
      <c r="D1949" s="1">
        <v>258.45</v>
      </c>
    </row>
    <row r="1950" spans="1:4" x14ac:dyDescent="0.25">
      <c r="A1950" s="7">
        <v>43990.375</v>
      </c>
      <c r="B1950" s="1" t="s">
        <v>74</v>
      </c>
      <c r="C1950" s="1">
        <v>8701.49</v>
      </c>
      <c r="D1950" s="1">
        <v>1500.14</v>
      </c>
    </row>
    <row r="1951" spans="1:4" x14ac:dyDescent="0.25">
      <c r="A1951" s="7">
        <v>43990.375</v>
      </c>
      <c r="B1951" s="1" t="s">
        <v>76</v>
      </c>
      <c r="C1951" s="1">
        <v>14390.87</v>
      </c>
      <c r="D1951" s="1">
        <v>2353.1999999999998</v>
      </c>
    </row>
    <row r="1952" spans="1:4" x14ac:dyDescent="0.25">
      <c r="A1952" s="7">
        <v>43990.375</v>
      </c>
      <c r="B1952" s="1" t="s">
        <v>68</v>
      </c>
      <c r="C1952" s="1">
        <v>9222.69</v>
      </c>
      <c r="D1952" s="1">
        <v>2044.87</v>
      </c>
    </row>
    <row r="1953" spans="1:4" x14ac:dyDescent="0.25">
      <c r="A1953" s="7">
        <v>43990.375</v>
      </c>
      <c r="B1953" s="1" t="s">
        <v>77</v>
      </c>
      <c r="C1953" s="1">
        <v>8396.7999999999993</v>
      </c>
      <c r="D1953" s="1">
        <v>2061.6999999999998</v>
      </c>
    </row>
    <row r="1954" spans="1:4" x14ac:dyDescent="0.25">
      <c r="A1954" s="7">
        <v>43990.375</v>
      </c>
      <c r="B1954" s="1" t="s">
        <v>70</v>
      </c>
      <c r="C1954" s="1">
        <v>7139.55</v>
      </c>
      <c r="D1954" s="1">
        <v>2364.31</v>
      </c>
    </row>
    <row r="1955" spans="1:4" x14ac:dyDescent="0.25">
      <c r="A1955" s="7">
        <v>43990.375</v>
      </c>
      <c r="B1955" s="1" t="s">
        <v>69</v>
      </c>
      <c r="C1955" s="1">
        <v>4315.38</v>
      </c>
      <c r="D1955" s="1">
        <v>2122.87</v>
      </c>
    </row>
    <row r="1956" spans="1:4" x14ac:dyDescent="0.25">
      <c r="A1956" s="7">
        <v>43990.375</v>
      </c>
      <c r="B1956" s="1" t="s">
        <v>78</v>
      </c>
      <c r="C1956" s="1">
        <v>1472.4</v>
      </c>
      <c r="D1956" s="1">
        <v>591.98</v>
      </c>
    </row>
    <row r="1957" spans="1:4" x14ac:dyDescent="0.25">
      <c r="A1957" s="7">
        <v>43990.375</v>
      </c>
      <c r="B1957" s="1" t="s">
        <v>72</v>
      </c>
      <c r="C1957" s="1">
        <v>6824.28</v>
      </c>
      <c r="D1957" s="1">
        <v>3089.85</v>
      </c>
    </row>
    <row r="1958" spans="1:4" x14ac:dyDescent="0.25">
      <c r="A1958" s="7">
        <v>43990.375</v>
      </c>
      <c r="B1958" s="1" t="s">
        <v>73</v>
      </c>
      <c r="C1958" s="1">
        <v>7412.55</v>
      </c>
      <c r="D1958" s="1">
        <v>978.74</v>
      </c>
    </row>
    <row r="1959" spans="1:4" x14ac:dyDescent="0.25">
      <c r="A1959" s="7">
        <v>43990.375</v>
      </c>
      <c r="B1959" s="1" t="s">
        <v>71</v>
      </c>
      <c r="C1959" s="1">
        <v>11351.6</v>
      </c>
      <c r="D1959" s="1">
        <v>2108.41</v>
      </c>
    </row>
    <row r="1960" spans="1:4" x14ac:dyDescent="0.25">
      <c r="A1960" s="7">
        <v>43990.416666666664</v>
      </c>
      <c r="B1960" s="1" t="s">
        <v>75</v>
      </c>
      <c r="C1960" s="1">
        <v>1083.97</v>
      </c>
      <c r="D1960" s="1">
        <v>353.45</v>
      </c>
    </row>
    <row r="1961" spans="1:4" x14ac:dyDescent="0.25">
      <c r="A1961" s="7">
        <v>43990.416666666664</v>
      </c>
      <c r="B1961" s="1" t="s">
        <v>74</v>
      </c>
      <c r="C1961" s="1">
        <v>9620.35</v>
      </c>
      <c r="D1961" s="1">
        <v>1865.2</v>
      </c>
    </row>
    <row r="1962" spans="1:4" x14ac:dyDescent="0.25">
      <c r="A1962" s="7">
        <v>43990.416666666664</v>
      </c>
      <c r="B1962" s="1" t="s">
        <v>72</v>
      </c>
      <c r="C1962" s="1">
        <v>8831.06</v>
      </c>
      <c r="D1962" s="1">
        <v>4561.71</v>
      </c>
    </row>
    <row r="1963" spans="1:4" x14ac:dyDescent="0.25">
      <c r="A1963" s="7">
        <v>43990.416666666664</v>
      </c>
      <c r="B1963" s="1" t="s">
        <v>77</v>
      </c>
      <c r="C1963" s="1">
        <v>9583.7800000000007</v>
      </c>
      <c r="D1963" s="1">
        <v>2590.56</v>
      </c>
    </row>
    <row r="1964" spans="1:4" x14ac:dyDescent="0.25">
      <c r="A1964" s="7">
        <v>43990.416666666664</v>
      </c>
      <c r="B1964" s="1" t="s">
        <v>71</v>
      </c>
      <c r="C1964" s="1">
        <v>12588.46</v>
      </c>
      <c r="D1964" s="1">
        <v>2601.79</v>
      </c>
    </row>
    <row r="1965" spans="1:4" x14ac:dyDescent="0.25">
      <c r="A1965" s="7">
        <v>43990.416666666664</v>
      </c>
      <c r="B1965" s="1" t="s">
        <v>69</v>
      </c>
      <c r="C1965" s="1">
        <v>5763.91</v>
      </c>
      <c r="D1965" s="1">
        <v>3339.78</v>
      </c>
    </row>
    <row r="1966" spans="1:4" x14ac:dyDescent="0.25">
      <c r="A1966" s="7">
        <v>43990.416666666664</v>
      </c>
      <c r="B1966" s="1" t="s">
        <v>78</v>
      </c>
      <c r="C1966" s="1">
        <v>1938.89</v>
      </c>
      <c r="D1966" s="1">
        <v>902.2</v>
      </c>
    </row>
    <row r="1967" spans="1:4" x14ac:dyDescent="0.25">
      <c r="A1967" s="7">
        <v>43990.416666666664</v>
      </c>
      <c r="B1967" s="1" t="s">
        <v>76</v>
      </c>
      <c r="C1967" s="1">
        <v>15836.82</v>
      </c>
      <c r="D1967" s="1">
        <v>2864.07</v>
      </c>
    </row>
    <row r="1968" spans="1:4" x14ac:dyDescent="0.25">
      <c r="A1968" s="7">
        <v>43990.416666666664</v>
      </c>
      <c r="B1968" s="1" t="s">
        <v>73</v>
      </c>
      <c r="C1968" s="1">
        <v>8145.51</v>
      </c>
      <c r="D1968" s="1">
        <v>1218.01</v>
      </c>
    </row>
    <row r="1969" spans="1:4" x14ac:dyDescent="0.25">
      <c r="A1969" s="7">
        <v>43990.416666666664</v>
      </c>
      <c r="B1969" s="1" t="s">
        <v>68</v>
      </c>
      <c r="C1969" s="1">
        <v>9970.24</v>
      </c>
      <c r="D1969" s="1">
        <v>2575.98</v>
      </c>
    </row>
    <row r="1970" spans="1:4" x14ac:dyDescent="0.25">
      <c r="A1970" s="7">
        <v>43990.416666666664</v>
      </c>
      <c r="B1970" s="1" t="s">
        <v>70</v>
      </c>
      <c r="C1970" s="1">
        <v>8128.34</v>
      </c>
      <c r="D1970" s="1">
        <v>2927.34</v>
      </c>
    </row>
    <row r="1971" spans="1:4" x14ac:dyDescent="0.25">
      <c r="A1971" s="7">
        <v>43990.458333333336</v>
      </c>
      <c r="B1971" s="1" t="s">
        <v>75</v>
      </c>
      <c r="C1971" s="1">
        <v>1131.32</v>
      </c>
      <c r="D1971" s="1">
        <v>398.85</v>
      </c>
    </row>
    <row r="1972" spans="1:4" x14ac:dyDescent="0.25">
      <c r="A1972" s="7">
        <v>43990.458333333336</v>
      </c>
      <c r="B1972" s="1" t="s">
        <v>74</v>
      </c>
      <c r="C1972" s="1">
        <v>9505.74</v>
      </c>
      <c r="D1972" s="1">
        <v>1921.34</v>
      </c>
    </row>
    <row r="1973" spans="1:4" x14ac:dyDescent="0.25">
      <c r="A1973" s="7">
        <v>43990.458333333336</v>
      </c>
      <c r="B1973" s="1" t="s">
        <v>78</v>
      </c>
      <c r="C1973" s="1">
        <v>2148.15</v>
      </c>
      <c r="D1973" s="1">
        <v>1060.9000000000001</v>
      </c>
    </row>
    <row r="1974" spans="1:4" x14ac:dyDescent="0.25">
      <c r="A1974" s="7">
        <v>43990.458333333336</v>
      </c>
      <c r="B1974" s="1" t="s">
        <v>72</v>
      </c>
      <c r="C1974" s="1">
        <v>9501.11</v>
      </c>
      <c r="D1974" s="1">
        <v>5323.14</v>
      </c>
    </row>
    <row r="1975" spans="1:4" x14ac:dyDescent="0.25">
      <c r="A1975" s="7">
        <v>43990.458333333336</v>
      </c>
      <c r="B1975" s="1" t="s">
        <v>73</v>
      </c>
      <c r="C1975" s="1">
        <v>7979.11</v>
      </c>
      <c r="D1975" s="1">
        <v>1267.1500000000001</v>
      </c>
    </row>
    <row r="1976" spans="1:4" x14ac:dyDescent="0.25">
      <c r="A1976" s="7">
        <v>43990.458333333336</v>
      </c>
      <c r="B1976" s="1" t="s">
        <v>71</v>
      </c>
      <c r="C1976" s="1">
        <v>12080.48</v>
      </c>
      <c r="D1976" s="1">
        <v>2632.46</v>
      </c>
    </row>
    <row r="1977" spans="1:4" x14ac:dyDescent="0.25">
      <c r="A1977" s="7">
        <v>43990.458333333336</v>
      </c>
      <c r="B1977" s="1" t="s">
        <v>70</v>
      </c>
      <c r="C1977" s="1">
        <v>8118.39</v>
      </c>
      <c r="D1977" s="1">
        <v>2997.04</v>
      </c>
    </row>
    <row r="1978" spans="1:4" x14ac:dyDescent="0.25">
      <c r="A1978" s="7">
        <v>43990.458333333336</v>
      </c>
      <c r="B1978" s="1" t="s">
        <v>76</v>
      </c>
      <c r="C1978" s="1">
        <v>15517.02</v>
      </c>
      <c r="D1978" s="1">
        <v>2947.17</v>
      </c>
    </row>
    <row r="1979" spans="1:4" x14ac:dyDescent="0.25">
      <c r="A1979" s="7">
        <v>43990.458333333336</v>
      </c>
      <c r="B1979" s="1" t="s">
        <v>68</v>
      </c>
      <c r="C1979" s="1">
        <v>9772.4599999999991</v>
      </c>
      <c r="D1979" s="1">
        <v>2640.58</v>
      </c>
    </row>
    <row r="1980" spans="1:4" x14ac:dyDescent="0.25">
      <c r="A1980" s="7">
        <v>43990.458333333336</v>
      </c>
      <c r="B1980" s="1" t="s">
        <v>77</v>
      </c>
      <c r="C1980" s="1">
        <v>9585.56</v>
      </c>
      <c r="D1980" s="1">
        <v>2717.64</v>
      </c>
    </row>
    <row r="1981" spans="1:4" x14ac:dyDescent="0.25">
      <c r="A1981" s="7">
        <v>43990.458333333336</v>
      </c>
      <c r="B1981" s="1" t="s">
        <v>69</v>
      </c>
      <c r="C1981" s="1">
        <v>6220.56</v>
      </c>
      <c r="D1981" s="1">
        <v>4034.04</v>
      </c>
    </row>
    <row r="1982" spans="1:4" x14ac:dyDescent="0.25">
      <c r="A1982" s="7">
        <v>43990.5</v>
      </c>
      <c r="B1982" s="1" t="s">
        <v>75</v>
      </c>
      <c r="C1982" s="1">
        <v>1119.8699999999999</v>
      </c>
      <c r="D1982" s="1">
        <v>399.17</v>
      </c>
    </row>
    <row r="1983" spans="1:4" x14ac:dyDescent="0.25">
      <c r="A1983" s="7">
        <v>43990.5</v>
      </c>
      <c r="B1983" s="1" t="s">
        <v>74</v>
      </c>
      <c r="C1983" s="1">
        <v>8612.19</v>
      </c>
      <c r="D1983" s="1">
        <v>1788.33</v>
      </c>
    </row>
    <row r="1984" spans="1:4" x14ac:dyDescent="0.25">
      <c r="A1984" s="7">
        <v>43990.5</v>
      </c>
      <c r="B1984" s="1" t="s">
        <v>78</v>
      </c>
      <c r="C1984" s="1">
        <v>2075.85</v>
      </c>
      <c r="D1984" s="1">
        <v>1067.22</v>
      </c>
    </row>
    <row r="1985" spans="1:4" x14ac:dyDescent="0.25">
      <c r="A1985" s="7">
        <v>43990.5</v>
      </c>
      <c r="B1985" s="1" t="s">
        <v>73</v>
      </c>
      <c r="C1985" s="1">
        <v>7291.3</v>
      </c>
      <c r="D1985" s="1">
        <v>1140.02</v>
      </c>
    </row>
    <row r="1986" spans="1:4" x14ac:dyDescent="0.25">
      <c r="A1986" s="7">
        <v>43990.5</v>
      </c>
      <c r="B1986" s="1" t="s">
        <v>68</v>
      </c>
      <c r="C1986" s="1">
        <v>8620.2199999999993</v>
      </c>
      <c r="D1986" s="1">
        <v>2390.11</v>
      </c>
    </row>
    <row r="1987" spans="1:4" x14ac:dyDescent="0.25">
      <c r="A1987" s="7">
        <v>43990.5</v>
      </c>
      <c r="B1987" s="1" t="s">
        <v>71</v>
      </c>
      <c r="C1987" s="1">
        <v>10906.82</v>
      </c>
      <c r="D1987" s="1">
        <v>2386.16</v>
      </c>
    </row>
    <row r="1988" spans="1:4" x14ac:dyDescent="0.25">
      <c r="A1988" s="7">
        <v>43990.5</v>
      </c>
      <c r="B1988" s="1" t="s">
        <v>69</v>
      </c>
      <c r="C1988" s="1">
        <v>5916.15</v>
      </c>
      <c r="D1988" s="1">
        <v>3959.47</v>
      </c>
    </row>
    <row r="1989" spans="1:4" x14ac:dyDescent="0.25">
      <c r="A1989" s="7">
        <v>43990.5</v>
      </c>
      <c r="B1989" s="1" t="s">
        <v>70</v>
      </c>
      <c r="C1989" s="1">
        <v>7375.84</v>
      </c>
      <c r="D1989" s="1">
        <v>2752.91</v>
      </c>
    </row>
    <row r="1990" spans="1:4" x14ac:dyDescent="0.25">
      <c r="A1990" s="7">
        <v>43990.5</v>
      </c>
      <c r="B1990" s="1" t="s">
        <v>76</v>
      </c>
      <c r="C1990" s="1">
        <v>14202.81</v>
      </c>
      <c r="D1990" s="1">
        <v>2729.92</v>
      </c>
    </row>
    <row r="1991" spans="1:4" x14ac:dyDescent="0.25">
      <c r="A1991" s="7">
        <v>43990.5</v>
      </c>
      <c r="B1991" s="1" t="s">
        <v>72</v>
      </c>
      <c r="C1991" s="1">
        <v>8924.08</v>
      </c>
      <c r="D1991" s="1">
        <v>5197.29</v>
      </c>
    </row>
    <row r="1992" spans="1:4" x14ac:dyDescent="0.25">
      <c r="A1992" s="7">
        <v>43990.5</v>
      </c>
      <c r="B1992" s="1" t="s">
        <v>77</v>
      </c>
      <c r="C1992" s="1">
        <v>8793.34</v>
      </c>
      <c r="D1992" s="1">
        <v>2494.3200000000002</v>
      </c>
    </row>
    <row r="1993" spans="1:4" x14ac:dyDescent="0.25">
      <c r="A1993" s="1"/>
      <c r="B1993" s="1"/>
      <c r="C1993" s="1"/>
      <c r="D1993" s="1"/>
    </row>
    <row r="1994" spans="1:4" x14ac:dyDescent="0.25">
      <c r="A1994" s="1"/>
      <c r="B1994" s="1"/>
      <c r="C1994" s="1"/>
      <c r="D1994" s="1"/>
    </row>
    <row r="1995" spans="1:4" x14ac:dyDescent="0.25">
      <c r="A1995" s="1"/>
      <c r="B1995" s="1"/>
      <c r="C1995" s="1"/>
      <c r="D1995" s="1"/>
    </row>
    <row r="1996" spans="1:4" x14ac:dyDescent="0.25">
      <c r="A1996" s="1"/>
      <c r="B1996" s="1"/>
      <c r="C1996" s="1"/>
      <c r="D1996" s="1"/>
    </row>
    <row r="1997" spans="1:4" x14ac:dyDescent="0.25">
      <c r="A1997" s="1"/>
      <c r="B1997" s="1"/>
      <c r="C1997" s="1"/>
      <c r="D1997" s="1"/>
    </row>
    <row r="1998" spans="1:4" x14ac:dyDescent="0.25">
      <c r="A1998" s="1"/>
      <c r="B1998" s="1"/>
      <c r="C1998" s="1"/>
      <c r="D1998" s="1"/>
    </row>
    <row r="1999" spans="1:4" x14ac:dyDescent="0.25">
      <c r="A1999" s="1"/>
      <c r="B1999" s="1"/>
      <c r="C1999" s="1"/>
      <c r="D1999" s="1"/>
    </row>
    <row r="2000" spans="1:4" x14ac:dyDescent="0.25">
      <c r="A2000" s="1"/>
      <c r="B2000" s="1"/>
      <c r="C2000" s="1"/>
      <c r="D2000" s="1"/>
    </row>
    <row r="2001" spans="1:4" x14ac:dyDescent="0.25">
      <c r="A2001" s="1"/>
      <c r="B2001" s="1"/>
      <c r="C2001" s="1"/>
      <c r="D2001" s="1"/>
    </row>
    <row r="2002" spans="1:4" x14ac:dyDescent="0.25">
      <c r="A2002" s="1"/>
      <c r="B2002" s="1"/>
      <c r="C2002" s="1"/>
      <c r="D2002" s="1"/>
    </row>
    <row r="2003" spans="1:4" x14ac:dyDescent="0.25">
      <c r="A2003" s="1"/>
      <c r="B2003" s="1"/>
      <c r="C2003" s="1"/>
      <c r="D2003" s="1"/>
    </row>
    <row r="2004" spans="1:4" x14ac:dyDescent="0.25">
      <c r="A2004" s="1"/>
      <c r="B2004" s="1"/>
      <c r="C2004" s="1"/>
      <c r="D2004" s="1"/>
    </row>
    <row r="2005" spans="1:4" x14ac:dyDescent="0.25">
      <c r="A2005" s="1"/>
      <c r="B2005" s="1"/>
      <c r="C2005" s="1"/>
      <c r="D2005" s="1"/>
    </row>
    <row r="2006" spans="1:4" x14ac:dyDescent="0.25">
      <c r="A2006" s="1"/>
      <c r="B2006" s="1"/>
      <c r="C2006" s="1"/>
      <c r="D2006" s="1"/>
    </row>
    <row r="2007" spans="1:4" x14ac:dyDescent="0.25">
      <c r="A2007" s="1"/>
      <c r="B2007" s="1"/>
      <c r="C2007" s="1"/>
      <c r="D2007" s="1"/>
    </row>
    <row r="2008" spans="1:4" x14ac:dyDescent="0.25">
      <c r="A2008" s="1"/>
      <c r="B2008" s="1"/>
      <c r="C2008" s="1"/>
      <c r="D2008" s="1"/>
    </row>
    <row r="2009" spans="1:4" x14ac:dyDescent="0.25">
      <c r="A2009" s="1"/>
      <c r="B2009" s="1"/>
      <c r="C2009" s="1"/>
      <c r="D2009" s="1"/>
    </row>
    <row r="2010" spans="1:4" x14ac:dyDescent="0.25">
      <c r="A2010" s="1"/>
      <c r="B2010" s="1"/>
      <c r="C2010" s="1"/>
      <c r="D2010" s="1"/>
    </row>
    <row r="2011" spans="1:4" x14ac:dyDescent="0.25">
      <c r="A2011" s="1"/>
      <c r="B2011" s="1"/>
      <c r="C2011" s="1"/>
      <c r="D2011" s="1"/>
    </row>
    <row r="2012" spans="1:4" x14ac:dyDescent="0.25">
      <c r="A2012" s="1"/>
      <c r="B2012" s="1"/>
      <c r="C2012" s="1"/>
      <c r="D2012" s="1"/>
    </row>
    <row r="2013" spans="1:4" x14ac:dyDescent="0.25">
      <c r="A2013" s="1"/>
      <c r="B2013" s="1"/>
      <c r="C2013" s="1"/>
      <c r="D2013" s="1"/>
    </row>
    <row r="2014" spans="1:4" x14ac:dyDescent="0.25">
      <c r="A2014" s="1"/>
      <c r="B2014" s="1"/>
      <c r="C2014" s="1"/>
      <c r="D2014" s="1"/>
    </row>
    <row r="2015" spans="1:4" x14ac:dyDescent="0.25">
      <c r="A2015" s="1"/>
      <c r="B2015" s="1"/>
      <c r="C2015" s="1"/>
      <c r="D2015" s="1"/>
    </row>
    <row r="2016" spans="1:4" x14ac:dyDescent="0.25">
      <c r="A2016" s="1"/>
      <c r="B2016" s="1"/>
      <c r="C2016" s="1"/>
      <c r="D2016" s="1"/>
    </row>
    <row r="2017" spans="1:4" x14ac:dyDescent="0.25">
      <c r="A2017" s="1"/>
      <c r="B2017" s="1"/>
      <c r="C2017" s="1"/>
      <c r="D2017" s="1"/>
    </row>
    <row r="2018" spans="1:4" x14ac:dyDescent="0.25">
      <c r="A2018" s="1"/>
      <c r="B2018" s="1"/>
      <c r="C2018" s="1"/>
      <c r="D2018" s="1"/>
    </row>
    <row r="2019" spans="1:4" x14ac:dyDescent="0.25">
      <c r="A2019" s="1"/>
      <c r="B2019" s="1"/>
      <c r="C2019" s="1"/>
      <c r="D2019" s="1"/>
    </row>
    <row r="2020" spans="1:4" x14ac:dyDescent="0.25">
      <c r="A2020" s="1"/>
      <c r="B2020" s="1"/>
      <c r="C2020" s="1"/>
      <c r="D2020" s="1"/>
    </row>
    <row r="2021" spans="1:4" x14ac:dyDescent="0.25">
      <c r="A2021" s="1"/>
      <c r="B2021" s="1"/>
      <c r="C2021" s="1"/>
      <c r="D2021" s="1"/>
    </row>
    <row r="2022" spans="1:4" x14ac:dyDescent="0.25">
      <c r="A2022" s="1"/>
      <c r="B2022" s="1"/>
      <c r="C2022" s="1"/>
      <c r="D2022" s="1"/>
    </row>
    <row r="2023" spans="1:4" x14ac:dyDescent="0.25">
      <c r="A2023" s="1"/>
      <c r="B2023" s="1"/>
      <c r="C2023" s="1"/>
      <c r="D2023" s="1"/>
    </row>
    <row r="2024" spans="1:4" x14ac:dyDescent="0.25">
      <c r="A2024" s="1"/>
      <c r="B2024" s="1"/>
      <c r="C2024" s="1"/>
      <c r="D2024" s="1"/>
    </row>
    <row r="2025" spans="1:4" x14ac:dyDescent="0.25">
      <c r="A2025" s="1"/>
      <c r="B2025" s="1"/>
      <c r="C2025" s="1"/>
      <c r="D2025" s="1"/>
    </row>
    <row r="2026" spans="1:4" x14ac:dyDescent="0.25">
      <c r="A2026" s="1"/>
      <c r="B2026" s="1"/>
      <c r="C2026" s="1"/>
      <c r="D2026" s="1"/>
    </row>
    <row r="2027" spans="1:4" x14ac:dyDescent="0.25">
      <c r="A2027" s="1"/>
      <c r="B2027" s="1"/>
      <c r="C2027" s="1"/>
      <c r="D2027" s="1"/>
    </row>
    <row r="2028" spans="1:4" x14ac:dyDescent="0.25">
      <c r="A2028" s="1"/>
      <c r="B2028" s="1"/>
      <c r="C2028" s="1"/>
      <c r="D2028" s="1"/>
    </row>
    <row r="2029" spans="1:4" x14ac:dyDescent="0.25">
      <c r="A2029" s="1"/>
      <c r="B2029" s="1"/>
      <c r="C2029" s="1"/>
      <c r="D2029" s="1"/>
    </row>
    <row r="2030" spans="1:4" x14ac:dyDescent="0.25">
      <c r="A2030" s="1"/>
      <c r="B2030" s="1"/>
      <c r="C2030" s="1"/>
      <c r="D2030" s="1"/>
    </row>
    <row r="2031" spans="1:4" x14ac:dyDescent="0.25">
      <c r="A2031" s="1"/>
      <c r="B2031" s="1"/>
      <c r="C2031" s="1"/>
      <c r="D2031" s="1"/>
    </row>
    <row r="2032" spans="1:4" x14ac:dyDescent="0.25">
      <c r="A2032" s="1"/>
      <c r="B2032" s="1"/>
      <c r="C2032" s="1"/>
      <c r="D2032" s="1"/>
    </row>
    <row r="2033" spans="1:4" x14ac:dyDescent="0.25">
      <c r="A2033" s="1"/>
      <c r="B2033" s="1"/>
      <c r="C2033" s="1"/>
      <c r="D2033" s="1"/>
    </row>
    <row r="2034" spans="1:4" x14ac:dyDescent="0.25">
      <c r="A2034" s="1"/>
      <c r="B2034" s="1"/>
      <c r="C2034" s="1"/>
      <c r="D2034" s="1"/>
    </row>
    <row r="2035" spans="1:4" x14ac:dyDescent="0.25">
      <c r="A2035" s="1"/>
      <c r="B2035" s="1"/>
      <c r="C2035" s="1"/>
      <c r="D2035" s="1"/>
    </row>
    <row r="2036" spans="1:4" x14ac:dyDescent="0.25">
      <c r="A2036" s="1"/>
      <c r="B2036" s="1"/>
      <c r="C2036" s="1"/>
      <c r="D2036" s="1"/>
    </row>
    <row r="2037" spans="1:4" x14ac:dyDescent="0.25">
      <c r="A2037" s="1"/>
      <c r="B2037" s="1"/>
      <c r="C2037" s="1"/>
      <c r="D2037" s="1"/>
    </row>
    <row r="2038" spans="1:4" x14ac:dyDescent="0.25">
      <c r="A2038" s="1"/>
      <c r="B2038" s="1"/>
      <c r="C2038" s="1"/>
      <c r="D2038" s="1"/>
    </row>
    <row r="2039" spans="1:4" x14ac:dyDescent="0.25">
      <c r="A2039" s="1"/>
      <c r="B2039" s="1"/>
      <c r="C2039" s="1"/>
      <c r="D2039" s="1"/>
    </row>
    <row r="2040" spans="1:4" x14ac:dyDescent="0.25">
      <c r="A2040" s="1"/>
      <c r="B2040" s="1"/>
      <c r="C2040" s="1"/>
      <c r="D2040" s="1"/>
    </row>
    <row r="2041" spans="1:4" x14ac:dyDescent="0.25">
      <c r="A2041" s="1"/>
      <c r="B2041" s="1"/>
      <c r="C2041" s="1"/>
      <c r="D2041" s="1"/>
    </row>
    <row r="2042" spans="1:4" x14ac:dyDescent="0.25">
      <c r="A2042" s="1"/>
      <c r="B2042" s="1"/>
      <c r="C2042" s="1"/>
      <c r="D2042" s="1"/>
    </row>
    <row r="2043" spans="1:4" x14ac:dyDescent="0.25">
      <c r="A2043" s="1"/>
      <c r="B2043" s="1"/>
      <c r="C2043" s="1"/>
      <c r="D2043" s="1"/>
    </row>
    <row r="2044" spans="1:4" x14ac:dyDescent="0.25">
      <c r="A2044" s="1"/>
      <c r="B2044" s="1"/>
      <c r="C2044" s="1"/>
      <c r="D2044" s="1"/>
    </row>
    <row r="2045" spans="1:4" x14ac:dyDescent="0.25">
      <c r="A2045" s="1"/>
      <c r="B2045" s="1"/>
      <c r="C2045" s="1"/>
      <c r="D2045" s="1"/>
    </row>
    <row r="2046" spans="1:4" x14ac:dyDescent="0.25">
      <c r="A2046" s="1"/>
      <c r="B2046" s="1"/>
      <c r="C2046" s="1"/>
      <c r="D2046" s="1"/>
    </row>
    <row r="2047" spans="1:4" x14ac:dyDescent="0.25">
      <c r="A2047" s="1"/>
      <c r="B2047" s="1"/>
      <c r="C2047" s="1"/>
      <c r="D2047" s="1"/>
    </row>
    <row r="2048" spans="1:4" x14ac:dyDescent="0.25">
      <c r="A2048" s="1"/>
      <c r="B2048" s="1"/>
      <c r="C2048" s="1"/>
      <c r="D2048" s="1"/>
    </row>
    <row r="2049" spans="1:4" x14ac:dyDescent="0.25">
      <c r="A2049" s="1"/>
      <c r="B2049" s="1"/>
      <c r="C2049" s="1"/>
      <c r="D2049" s="1"/>
    </row>
    <row r="2050" spans="1:4" x14ac:dyDescent="0.25">
      <c r="A2050" s="1"/>
      <c r="B2050" s="1"/>
      <c r="C2050" s="1"/>
      <c r="D2050" s="1"/>
    </row>
    <row r="2051" spans="1:4" x14ac:dyDescent="0.25">
      <c r="A2051" s="1"/>
      <c r="B2051" s="1"/>
      <c r="C2051" s="1"/>
      <c r="D2051" s="1"/>
    </row>
    <row r="2052" spans="1:4" x14ac:dyDescent="0.25">
      <c r="A2052" s="1"/>
      <c r="B2052" s="1"/>
      <c r="C2052" s="1"/>
      <c r="D2052" s="1"/>
    </row>
    <row r="2053" spans="1:4" x14ac:dyDescent="0.25">
      <c r="A2053" s="1"/>
      <c r="B2053" s="1"/>
      <c r="C2053" s="1"/>
      <c r="D2053" s="1"/>
    </row>
    <row r="2054" spans="1:4" x14ac:dyDescent="0.25">
      <c r="A2054" s="1"/>
      <c r="B2054" s="1"/>
      <c r="C2054" s="1"/>
      <c r="D2054" s="1"/>
    </row>
    <row r="2055" spans="1:4" x14ac:dyDescent="0.25">
      <c r="A2055" s="1"/>
      <c r="B2055" s="1"/>
      <c r="C2055" s="1"/>
      <c r="D2055" s="1"/>
    </row>
    <row r="2056" spans="1:4" x14ac:dyDescent="0.25">
      <c r="A2056" s="1"/>
      <c r="B2056" s="1"/>
      <c r="C2056" s="1"/>
      <c r="D2056" s="1"/>
    </row>
    <row r="2057" spans="1:4" x14ac:dyDescent="0.25">
      <c r="A2057" s="1"/>
      <c r="B2057" s="1"/>
      <c r="C2057" s="1"/>
      <c r="D2057" s="1"/>
    </row>
    <row r="2058" spans="1:4" x14ac:dyDescent="0.25">
      <c r="A2058" s="1"/>
      <c r="B2058" s="1"/>
      <c r="C2058" s="1"/>
      <c r="D2058" s="1"/>
    </row>
    <row r="2059" spans="1:4" x14ac:dyDescent="0.25">
      <c r="A2059" s="1"/>
      <c r="B2059" s="1"/>
      <c r="C2059" s="1"/>
      <c r="D2059" s="1"/>
    </row>
    <row r="2060" spans="1:4" x14ac:dyDescent="0.25">
      <c r="A2060" s="1"/>
      <c r="B2060" s="1"/>
      <c r="C2060" s="1"/>
      <c r="D2060" s="1"/>
    </row>
    <row r="2061" spans="1:4" x14ac:dyDescent="0.25">
      <c r="A2061" s="1"/>
      <c r="B2061" s="1"/>
      <c r="C2061" s="1"/>
      <c r="D2061" s="1"/>
    </row>
    <row r="2062" spans="1:4" x14ac:dyDescent="0.25">
      <c r="A2062" s="1"/>
      <c r="B2062" s="1"/>
      <c r="C2062" s="1"/>
      <c r="D2062" s="1"/>
    </row>
    <row r="2063" spans="1:4" x14ac:dyDescent="0.25">
      <c r="A2063" s="1"/>
      <c r="B2063" s="1"/>
      <c r="C2063" s="1"/>
      <c r="D2063" s="1"/>
    </row>
    <row r="2064" spans="1:4" x14ac:dyDescent="0.25">
      <c r="A2064" s="1"/>
      <c r="B2064" s="1"/>
      <c r="C2064" s="1"/>
      <c r="D2064" s="1"/>
    </row>
    <row r="2065" spans="1:4" x14ac:dyDescent="0.25">
      <c r="A2065" s="1"/>
      <c r="B2065" s="1"/>
      <c r="C2065" s="1"/>
      <c r="D2065" s="1"/>
    </row>
    <row r="2066" spans="1:4" x14ac:dyDescent="0.25">
      <c r="A2066" s="1"/>
      <c r="B2066" s="1"/>
      <c r="C2066" s="1"/>
      <c r="D2066" s="1"/>
    </row>
    <row r="2067" spans="1:4" x14ac:dyDescent="0.25">
      <c r="A2067" s="1"/>
      <c r="B2067" s="1"/>
      <c r="C2067" s="1"/>
      <c r="D2067" s="1"/>
    </row>
    <row r="2068" spans="1:4" x14ac:dyDescent="0.25">
      <c r="A2068" s="1"/>
      <c r="B2068" s="1"/>
      <c r="C2068" s="1"/>
      <c r="D2068" s="1"/>
    </row>
    <row r="2069" spans="1:4" x14ac:dyDescent="0.25">
      <c r="A2069" s="1"/>
      <c r="B2069" s="1"/>
      <c r="C2069" s="1"/>
      <c r="D2069" s="1"/>
    </row>
    <row r="2070" spans="1:4" x14ac:dyDescent="0.25">
      <c r="A2070" s="1"/>
      <c r="B2070" s="1"/>
      <c r="C2070" s="1"/>
      <c r="D2070" s="1"/>
    </row>
    <row r="2071" spans="1:4" x14ac:dyDescent="0.25">
      <c r="A2071" s="1"/>
      <c r="B2071" s="1"/>
      <c r="C2071" s="1"/>
      <c r="D2071" s="1"/>
    </row>
    <row r="2072" spans="1:4" x14ac:dyDescent="0.25">
      <c r="A2072" s="1"/>
      <c r="B2072" s="1"/>
      <c r="C2072" s="1"/>
      <c r="D2072" s="1"/>
    </row>
    <row r="2073" spans="1:4" x14ac:dyDescent="0.25">
      <c r="A2073" s="1"/>
      <c r="B2073" s="1"/>
      <c r="C2073" s="1"/>
      <c r="D2073" s="1"/>
    </row>
    <row r="2074" spans="1:4" x14ac:dyDescent="0.25">
      <c r="A2074" s="1"/>
      <c r="B2074" s="1"/>
      <c r="C2074" s="1"/>
      <c r="D2074" s="1"/>
    </row>
    <row r="2075" spans="1:4" x14ac:dyDescent="0.25">
      <c r="A2075" s="1"/>
      <c r="B2075" s="1"/>
      <c r="C2075" s="1"/>
      <c r="D2075" s="1"/>
    </row>
    <row r="2076" spans="1:4" x14ac:dyDescent="0.25">
      <c r="A2076" s="1"/>
      <c r="B2076" s="1"/>
      <c r="C2076" s="1"/>
      <c r="D2076" s="1"/>
    </row>
    <row r="2077" spans="1:4" x14ac:dyDescent="0.25">
      <c r="A2077" s="1"/>
      <c r="B2077" s="1"/>
      <c r="C2077" s="1"/>
      <c r="D2077" s="1"/>
    </row>
    <row r="2078" spans="1:4" x14ac:dyDescent="0.25">
      <c r="A2078" s="1"/>
      <c r="B2078" s="1"/>
      <c r="C2078" s="1"/>
      <c r="D2078" s="1"/>
    </row>
    <row r="2079" spans="1:4" x14ac:dyDescent="0.25">
      <c r="A2079" s="1"/>
      <c r="B2079" s="1"/>
      <c r="C2079" s="1"/>
      <c r="D2079" s="1"/>
    </row>
    <row r="2080" spans="1:4" x14ac:dyDescent="0.25">
      <c r="A2080" s="1"/>
      <c r="B2080" s="1"/>
      <c r="C2080" s="1"/>
      <c r="D2080" s="1"/>
    </row>
    <row r="2081" spans="1:4" x14ac:dyDescent="0.25">
      <c r="A2081" s="1"/>
      <c r="B2081" s="1"/>
      <c r="C2081" s="1"/>
      <c r="D2081" s="1"/>
    </row>
    <row r="2082" spans="1:4" x14ac:dyDescent="0.25">
      <c r="A2082" s="1"/>
      <c r="B2082" s="1"/>
      <c r="C2082" s="1"/>
      <c r="D2082" s="1"/>
    </row>
    <row r="2083" spans="1:4" x14ac:dyDescent="0.25">
      <c r="A2083" s="1"/>
      <c r="B2083" s="1"/>
      <c r="C2083" s="1"/>
      <c r="D2083" s="1"/>
    </row>
    <row r="2084" spans="1:4" x14ac:dyDescent="0.25">
      <c r="A2084" s="1"/>
      <c r="B2084" s="1"/>
      <c r="C2084" s="1"/>
      <c r="D2084" s="1"/>
    </row>
    <row r="2085" spans="1:4" x14ac:dyDescent="0.25">
      <c r="A2085" s="1"/>
      <c r="B2085" s="1"/>
      <c r="C2085" s="1"/>
      <c r="D2085" s="1"/>
    </row>
    <row r="2086" spans="1:4" x14ac:dyDescent="0.25">
      <c r="A2086" s="1"/>
      <c r="B2086" s="1"/>
      <c r="C2086" s="1"/>
      <c r="D2086" s="1"/>
    </row>
    <row r="2087" spans="1:4" x14ac:dyDescent="0.25">
      <c r="A2087" s="1"/>
      <c r="B2087" s="1"/>
      <c r="C2087" s="1"/>
      <c r="D2087" s="1"/>
    </row>
    <row r="2088" spans="1:4" x14ac:dyDescent="0.25">
      <c r="A2088" s="1"/>
      <c r="B2088" s="1"/>
      <c r="C2088" s="1"/>
      <c r="D2088" s="1"/>
    </row>
    <row r="2089" spans="1:4" x14ac:dyDescent="0.25">
      <c r="A2089" s="1"/>
      <c r="B2089" s="1"/>
      <c r="C2089" s="1"/>
      <c r="D2089" s="1"/>
    </row>
    <row r="2090" spans="1:4" x14ac:dyDescent="0.25">
      <c r="A2090" s="1"/>
      <c r="B2090" s="1"/>
      <c r="C2090" s="1"/>
      <c r="D2090" s="1"/>
    </row>
    <row r="2091" spans="1:4" x14ac:dyDescent="0.25">
      <c r="A2091" s="1"/>
      <c r="B2091" s="1"/>
      <c r="C2091" s="1"/>
      <c r="D2091" s="1"/>
    </row>
  </sheetData>
  <dataConsolidate/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I2289"/>
  <sheetViews>
    <sheetView topLeftCell="E55" workbookViewId="0">
      <selection activeCell="F2" sqref="F2:I2289"/>
    </sheetView>
  </sheetViews>
  <sheetFormatPr defaultRowHeight="15" x14ac:dyDescent="0.25"/>
  <cols>
    <col min="1" max="1" width="13.7109375" customWidth="1"/>
    <col min="5" max="5" width="4.42578125" style="50" customWidth="1"/>
    <col min="6" max="6" width="13.42578125" customWidth="1"/>
    <col min="10" max="10" width="4.5703125" style="50" customWidth="1"/>
    <col min="11" max="11" width="14.28515625" customWidth="1"/>
    <col min="15" max="15" width="4.42578125" style="50" customWidth="1"/>
    <col min="20" max="20" width="4.7109375" style="50" customWidth="1"/>
    <col min="21" max="21" width="15.7109375" customWidth="1"/>
    <col min="28" max="28" width="4.5703125" style="50" customWidth="1"/>
  </cols>
  <sheetData>
    <row r="1" spans="1:35" x14ac:dyDescent="0.25">
      <c r="A1" s="31" t="s">
        <v>105</v>
      </c>
      <c r="B1" s="32" t="s">
        <v>1</v>
      </c>
      <c r="C1" s="32" t="s">
        <v>2</v>
      </c>
      <c r="D1" s="33" t="s">
        <v>2</v>
      </c>
      <c r="E1" s="48"/>
      <c r="F1" s="34" t="s">
        <v>106</v>
      </c>
      <c r="G1" s="35" t="s">
        <v>1</v>
      </c>
      <c r="H1" s="35" t="s">
        <v>2</v>
      </c>
      <c r="I1" s="36" t="s">
        <v>2</v>
      </c>
      <c r="J1" s="51"/>
      <c r="K1" s="39" t="s">
        <v>107</v>
      </c>
      <c r="L1" s="40" t="s">
        <v>35</v>
      </c>
      <c r="M1" s="40" t="s">
        <v>31</v>
      </c>
      <c r="N1" s="41" t="s">
        <v>38</v>
      </c>
      <c r="O1" s="48"/>
      <c r="P1" s="42" t="s">
        <v>108</v>
      </c>
      <c r="Q1" s="43" t="s">
        <v>35</v>
      </c>
      <c r="R1" s="43" t="s">
        <v>31</v>
      </c>
      <c r="S1" s="44" t="s">
        <v>38</v>
      </c>
      <c r="T1" s="48"/>
      <c r="U1" s="45" t="s">
        <v>109</v>
      </c>
      <c r="V1" s="46" t="s">
        <v>46</v>
      </c>
      <c r="W1" s="46" t="s">
        <v>32</v>
      </c>
      <c r="X1" s="46" t="s">
        <v>33</v>
      </c>
      <c r="Y1" s="46" t="s">
        <v>34</v>
      </c>
      <c r="Z1" s="46" t="s">
        <v>59</v>
      </c>
      <c r="AA1" s="47" t="s">
        <v>60</v>
      </c>
      <c r="AB1" s="48"/>
      <c r="AC1" s="37" t="s">
        <v>110</v>
      </c>
      <c r="AD1" s="38" t="s">
        <v>46</v>
      </c>
      <c r="AE1" s="38" t="s">
        <v>32</v>
      </c>
      <c r="AF1" s="38" t="s">
        <v>33</v>
      </c>
      <c r="AG1" s="38" t="s">
        <v>34</v>
      </c>
      <c r="AH1" s="38" t="s">
        <v>59</v>
      </c>
      <c r="AI1" s="49" t="s">
        <v>60</v>
      </c>
    </row>
    <row r="2" spans="1:35" x14ac:dyDescent="0.25">
      <c r="A2" s="7"/>
      <c r="B2" s="1"/>
      <c r="C2" s="1"/>
      <c r="D2" s="1"/>
      <c r="F2" s="7"/>
      <c r="G2" s="1"/>
      <c r="H2" s="1"/>
      <c r="I2" s="1"/>
      <c r="J2" s="51"/>
      <c r="K2" s="7"/>
      <c r="L2" s="1"/>
      <c r="M2" s="63"/>
      <c r="N2" s="14"/>
      <c r="O2" s="48"/>
      <c r="P2" s="7"/>
      <c r="Q2" s="1"/>
      <c r="R2" s="63"/>
      <c r="S2" s="14"/>
      <c r="T2" s="48"/>
      <c r="U2" s="7"/>
      <c r="V2" s="1"/>
      <c r="W2" s="1"/>
      <c r="X2" s="1"/>
      <c r="Y2" s="1"/>
      <c r="Z2" s="13"/>
      <c r="AA2" s="14"/>
      <c r="AB2" s="48"/>
      <c r="AC2" s="7"/>
      <c r="AD2" s="1"/>
      <c r="AE2" s="1"/>
      <c r="AF2" s="1"/>
      <c r="AG2" s="1"/>
      <c r="AH2" s="13"/>
      <c r="AI2" s="14"/>
    </row>
    <row r="3" spans="1:35" x14ac:dyDescent="0.25">
      <c r="A3" s="7"/>
      <c r="B3" s="1"/>
      <c r="C3" s="1"/>
      <c r="D3" s="1"/>
      <c r="F3" s="7"/>
      <c r="G3" s="1"/>
      <c r="H3" s="1"/>
      <c r="I3" s="1"/>
      <c r="J3" s="51"/>
      <c r="K3" s="7"/>
      <c r="L3" s="1"/>
      <c r="M3" s="63"/>
      <c r="N3" s="14"/>
      <c r="O3" s="48"/>
      <c r="P3" s="7"/>
      <c r="Q3" s="1"/>
      <c r="R3" s="63"/>
      <c r="S3" s="14"/>
      <c r="T3" s="48"/>
      <c r="U3" s="7"/>
      <c r="V3" s="1"/>
      <c r="W3" s="1"/>
      <c r="X3" s="1"/>
      <c r="Y3" s="1"/>
      <c r="Z3" s="13"/>
      <c r="AA3" s="14"/>
      <c r="AB3" s="48"/>
      <c r="AC3" s="7"/>
      <c r="AD3" s="1"/>
      <c r="AE3" s="1"/>
      <c r="AF3" s="1"/>
      <c r="AG3" s="1"/>
      <c r="AH3" s="13"/>
      <c r="AI3" s="14"/>
    </row>
    <row r="4" spans="1:35" x14ac:dyDescent="0.25">
      <c r="A4" s="7"/>
      <c r="B4" s="1"/>
      <c r="C4" s="1"/>
      <c r="D4" s="1"/>
      <c r="F4" s="7"/>
      <c r="G4" s="1"/>
      <c r="H4" s="1"/>
      <c r="I4" s="1"/>
      <c r="J4" s="51"/>
      <c r="K4" s="7"/>
      <c r="L4" s="1"/>
      <c r="M4" s="63"/>
      <c r="N4" s="14"/>
      <c r="O4" s="48"/>
      <c r="P4" s="7"/>
      <c r="Q4" s="1"/>
      <c r="R4" s="63"/>
      <c r="S4" s="14"/>
      <c r="T4" s="48"/>
      <c r="U4" s="7"/>
      <c r="V4" s="1"/>
      <c r="W4" s="1"/>
      <c r="X4" s="1"/>
      <c r="Y4" s="1"/>
      <c r="Z4" s="13"/>
      <c r="AA4" s="14"/>
      <c r="AB4" s="48"/>
      <c r="AC4" s="7"/>
      <c r="AD4" s="1"/>
      <c r="AE4" s="1"/>
      <c r="AF4" s="1"/>
      <c r="AG4" s="1"/>
      <c r="AH4" s="13"/>
      <c r="AI4" s="14"/>
    </row>
    <row r="5" spans="1:35" x14ac:dyDescent="0.25">
      <c r="A5" s="7"/>
      <c r="B5" s="1"/>
      <c r="C5" s="1"/>
      <c r="D5" s="1"/>
      <c r="F5" s="7"/>
      <c r="G5" s="1"/>
      <c r="H5" s="1"/>
      <c r="I5" s="1"/>
      <c r="J5" s="51"/>
      <c r="K5" s="7"/>
      <c r="L5" s="1"/>
      <c r="M5" s="63"/>
      <c r="N5" s="14"/>
      <c r="O5" s="48"/>
      <c r="P5" s="7"/>
      <c r="Q5" s="1"/>
      <c r="R5" s="63"/>
      <c r="S5" s="14"/>
      <c r="T5" s="48"/>
      <c r="U5" s="7"/>
      <c r="V5" s="1"/>
      <c r="W5" s="1"/>
      <c r="X5" s="1"/>
      <c r="Y5" s="1"/>
      <c r="Z5" s="13"/>
      <c r="AA5" s="14"/>
      <c r="AB5" s="48"/>
      <c r="AC5" s="7"/>
      <c r="AD5" s="1"/>
      <c r="AE5" s="1"/>
      <c r="AF5" s="1"/>
      <c r="AG5" s="1"/>
      <c r="AH5" s="13"/>
      <c r="AI5" s="14"/>
    </row>
    <row r="6" spans="1:35" x14ac:dyDescent="0.25">
      <c r="A6" s="7"/>
      <c r="B6" s="1"/>
      <c r="C6" s="1"/>
      <c r="D6" s="1"/>
      <c r="F6" s="7"/>
      <c r="G6" s="1"/>
      <c r="H6" s="1"/>
      <c r="I6" s="1"/>
      <c r="J6" s="51"/>
      <c r="K6" s="7"/>
      <c r="L6" s="1"/>
      <c r="M6" s="63"/>
      <c r="N6" s="14"/>
      <c r="O6" s="48"/>
      <c r="P6" s="7"/>
      <c r="Q6" s="1"/>
      <c r="R6" s="63"/>
      <c r="S6" s="14"/>
      <c r="T6" s="48"/>
      <c r="U6" s="7"/>
      <c r="V6" s="1"/>
      <c r="W6" s="1"/>
      <c r="X6" s="1"/>
      <c r="Y6" s="1"/>
      <c r="Z6" s="13"/>
      <c r="AA6" s="14"/>
      <c r="AB6" s="48"/>
      <c r="AC6" s="7"/>
      <c r="AD6" s="1"/>
      <c r="AE6" s="1"/>
      <c r="AF6" s="1"/>
      <c r="AG6" s="1"/>
      <c r="AH6" s="13"/>
      <c r="AI6" s="14"/>
    </row>
    <row r="7" spans="1:35" x14ac:dyDescent="0.25">
      <c r="A7" s="7"/>
      <c r="B7" s="1"/>
      <c r="C7" s="1"/>
      <c r="D7" s="1"/>
      <c r="F7" s="7"/>
      <c r="G7" s="1"/>
      <c r="H7" s="1"/>
      <c r="I7" s="1"/>
      <c r="J7" s="51"/>
      <c r="K7" s="7"/>
      <c r="L7" s="1"/>
      <c r="M7" s="63"/>
      <c r="N7" s="14"/>
      <c r="O7" s="48"/>
      <c r="P7" s="7"/>
      <c r="Q7" s="1"/>
      <c r="R7" s="63"/>
      <c r="S7" s="14"/>
      <c r="T7" s="48"/>
      <c r="U7" s="7"/>
      <c r="V7" s="1"/>
      <c r="W7" s="1"/>
      <c r="X7" s="1"/>
      <c r="Y7" s="1"/>
      <c r="Z7" s="13"/>
      <c r="AA7" s="14"/>
      <c r="AB7" s="48"/>
      <c r="AC7" s="7"/>
      <c r="AD7" s="1"/>
      <c r="AE7" s="1"/>
      <c r="AF7" s="1"/>
      <c r="AG7" s="1"/>
      <c r="AH7" s="13"/>
      <c r="AI7" s="14"/>
    </row>
    <row r="8" spans="1:35" x14ac:dyDescent="0.25">
      <c r="A8" s="7"/>
      <c r="B8" s="1"/>
      <c r="C8" s="1"/>
      <c r="D8" s="1"/>
      <c r="F8" s="7"/>
      <c r="G8" s="1"/>
      <c r="H8" s="1"/>
      <c r="I8" s="1"/>
      <c r="J8" s="51"/>
      <c r="K8" s="7"/>
      <c r="L8" s="1"/>
      <c r="M8" s="63"/>
      <c r="N8" s="14"/>
      <c r="O8" s="48"/>
      <c r="P8" s="7"/>
      <c r="Q8" s="1"/>
      <c r="R8" s="63"/>
      <c r="S8" s="14"/>
      <c r="T8" s="48"/>
      <c r="U8" s="7"/>
      <c r="V8" s="1"/>
      <c r="W8" s="1"/>
      <c r="X8" s="1"/>
      <c r="Y8" s="1"/>
      <c r="Z8" s="13"/>
      <c r="AA8" s="14"/>
      <c r="AB8" s="48"/>
      <c r="AC8" s="7"/>
      <c r="AD8" s="1"/>
      <c r="AE8" s="1"/>
      <c r="AF8" s="1"/>
      <c r="AG8" s="1"/>
      <c r="AH8" s="13"/>
      <c r="AI8" s="14"/>
    </row>
    <row r="9" spans="1:35" x14ac:dyDescent="0.25">
      <c r="A9" s="7"/>
      <c r="B9" s="1"/>
      <c r="C9" s="1"/>
      <c r="D9" s="1"/>
      <c r="F9" s="7"/>
      <c r="G9" s="1"/>
      <c r="H9" s="1"/>
      <c r="I9" s="1"/>
      <c r="J9" s="52"/>
      <c r="K9" s="7"/>
      <c r="L9" s="1"/>
      <c r="M9" s="63"/>
      <c r="N9" s="17"/>
      <c r="O9" s="53"/>
      <c r="P9" s="7"/>
      <c r="Q9" s="1"/>
      <c r="R9" s="63"/>
      <c r="S9" s="17"/>
      <c r="T9" s="53"/>
      <c r="U9" s="7"/>
      <c r="V9" s="1"/>
      <c r="W9" s="1"/>
      <c r="X9" s="1"/>
      <c r="Y9" s="1"/>
      <c r="Z9" s="16"/>
      <c r="AA9" s="17"/>
      <c r="AB9" s="53"/>
      <c r="AC9" s="7"/>
      <c r="AD9" s="1"/>
      <c r="AE9" s="1"/>
      <c r="AF9" s="1"/>
      <c r="AG9" s="1"/>
      <c r="AH9" s="16"/>
      <c r="AI9" s="17"/>
    </row>
    <row r="10" spans="1:35" x14ac:dyDescent="0.25">
      <c r="A10" s="7"/>
      <c r="B10" s="1"/>
      <c r="C10" s="1"/>
      <c r="D10" s="1"/>
      <c r="F10" s="7"/>
      <c r="G10" s="1"/>
      <c r="H10" s="1"/>
      <c r="I10" s="1"/>
      <c r="J10" s="51"/>
      <c r="K10" s="7"/>
      <c r="L10" s="1"/>
      <c r="M10" s="63"/>
      <c r="P10" s="7"/>
      <c r="Q10" s="1"/>
      <c r="R10" s="63"/>
      <c r="U10" s="7"/>
      <c r="V10" s="1"/>
      <c r="W10" s="1"/>
      <c r="X10" s="1"/>
      <c r="Y10" s="1"/>
      <c r="AC10" s="7"/>
      <c r="AD10" s="1"/>
      <c r="AE10" s="1"/>
      <c r="AF10" s="1"/>
      <c r="AG10" s="1"/>
    </row>
    <row r="11" spans="1:35" x14ac:dyDescent="0.25">
      <c r="A11" s="7"/>
      <c r="B11" s="1"/>
      <c r="C11" s="1"/>
      <c r="D11" s="1"/>
      <c r="F11" s="7"/>
      <c r="G11" s="1"/>
      <c r="H11" s="1"/>
      <c r="I11" s="1"/>
      <c r="J11" s="51"/>
      <c r="K11" s="7"/>
      <c r="L11" s="1"/>
      <c r="M11" s="63"/>
      <c r="P11" s="7"/>
      <c r="Q11" s="1"/>
      <c r="R11" s="63"/>
      <c r="U11" s="7"/>
      <c r="V11" s="1"/>
      <c r="W11" s="1"/>
      <c r="X11" s="1"/>
      <c r="Y11" s="1"/>
      <c r="AC11" s="7"/>
      <c r="AD11" s="1"/>
      <c r="AE11" s="1"/>
      <c r="AF11" s="1"/>
      <c r="AG11" s="1"/>
    </row>
    <row r="12" spans="1:35" x14ac:dyDescent="0.25">
      <c r="A12" s="7"/>
      <c r="B12" s="1"/>
      <c r="C12" s="1"/>
      <c r="D12" s="1"/>
      <c r="F12" s="7"/>
      <c r="G12" s="1"/>
      <c r="H12" s="1"/>
      <c r="I12" s="1"/>
      <c r="J12" s="51"/>
      <c r="K12" s="7"/>
      <c r="L12" s="1"/>
      <c r="M12" s="63"/>
      <c r="P12" s="7"/>
      <c r="Q12" s="1"/>
      <c r="R12" s="63"/>
      <c r="U12" s="7"/>
      <c r="V12" s="1"/>
      <c r="W12" s="1"/>
      <c r="X12" s="1"/>
      <c r="Y12" s="1"/>
      <c r="AC12" s="7"/>
      <c r="AD12" s="1"/>
      <c r="AE12" s="1"/>
      <c r="AF12" s="1"/>
      <c r="AG12" s="1"/>
    </row>
    <row r="13" spans="1:35" x14ac:dyDescent="0.25">
      <c r="A13" s="7"/>
      <c r="B13" s="1"/>
      <c r="C13" s="1"/>
      <c r="D13" s="1"/>
      <c r="F13" s="7"/>
      <c r="G13" s="1"/>
      <c r="H13" s="1"/>
      <c r="I13" s="1"/>
      <c r="J13" s="51"/>
      <c r="K13" s="7"/>
      <c r="L13" s="1"/>
      <c r="M13" s="63"/>
      <c r="P13" s="7"/>
      <c r="Q13" s="1"/>
      <c r="R13" s="63"/>
      <c r="U13" s="7"/>
      <c r="V13" s="1"/>
      <c r="W13" s="1"/>
      <c r="X13" s="1"/>
      <c r="Y13" s="1"/>
      <c r="AC13" s="7"/>
      <c r="AD13" s="1"/>
      <c r="AE13" s="1"/>
      <c r="AF13" s="1"/>
      <c r="AG13" s="1"/>
    </row>
    <row r="14" spans="1:35" x14ac:dyDescent="0.25">
      <c r="A14" s="7"/>
      <c r="B14" s="1"/>
      <c r="C14" s="1"/>
      <c r="D14" s="1"/>
      <c r="F14" s="7"/>
      <c r="G14" s="1"/>
      <c r="H14" s="1"/>
      <c r="I14" s="1"/>
      <c r="J14" s="51"/>
      <c r="K14" s="7"/>
      <c r="L14" s="1"/>
      <c r="M14" s="63"/>
      <c r="P14" s="7"/>
      <c r="Q14" s="1"/>
      <c r="R14" s="63"/>
      <c r="U14" s="7"/>
      <c r="V14" s="1"/>
      <c r="W14" s="1"/>
      <c r="X14" s="1"/>
      <c r="Y14" s="1"/>
      <c r="AC14" s="7"/>
      <c r="AD14" s="1"/>
      <c r="AE14" s="1"/>
      <c r="AF14" s="1"/>
      <c r="AG14" s="1"/>
    </row>
    <row r="15" spans="1:35" x14ac:dyDescent="0.25">
      <c r="A15" s="7"/>
      <c r="B15" s="1"/>
      <c r="C15" s="1"/>
      <c r="D15" s="1"/>
      <c r="F15" s="7"/>
      <c r="G15" s="1"/>
      <c r="H15" s="1"/>
      <c r="I15" s="1"/>
      <c r="J15" s="51"/>
      <c r="K15" s="7"/>
      <c r="L15" s="1"/>
      <c r="M15" s="63"/>
      <c r="P15" s="7"/>
      <c r="Q15" s="1"/>
      <c r="R15" s="63"/>
      <c r="U15" s="7"/>
      <c r="V15" s="1"/>
      <c r="W15" s="1"/>
      <c r="X15" s="1"/>
      <c r="Y15" s="1"/>
      <c r="AC15" s="7"/>
      <c r="AD15" s="1"/>
      <c r="AE15" s="1"/>
      <c r="AF15" s="1"/>
      <c r="AG15" s="1"/>
    </row>
    <row r="16" spans="1:35" x14ac:dyDescent="0.25">
      <c r="A16" s="7"/>
      <c r="B16" s="1"/>
      <c r="C16" s="1"/>
      <c r="D16" s="1"/>
      <c r="F16" s="7"/>
      <c r="G16" s="1"/>
      <c r="H16" s="1"/>
      <c r="I16" s="1"/>
      <c r="J16" s="51"/>
      <c r="K16" s="7"/>
      <c r="L16" s="1"/>
      <c r="M16" s="63"/>
      <c r="P16" s="7"/>
      <c r="Q16" s="1"/>
      <c r="R16" s="63"/>
      <c r="U16" s="7"/>
      <c r="V16" s="1"/>
      <c r="W16" s="1"/>
      <c r="X16" s="1"/>
      <c r="Y16" s="1"/>
      <c r="AC16" s="7"/>
      <c r="AD16" s="1"/>
      <c r="AE16" s="1"/>
      <c r="AF16" s="1"/>
      <c r="AG16" s="1"/>
    </row>
    <row r="17" spans="1:33" x14ac:dyDescent="0.25">
      <c r="A17" s="7"/>
      <c r="B17" s="1"/>
      <c r="C17" s="1"/>
      <c r="D17" s="1"/>
      <c r="F17" s="7"/>
      <c r="G17" s="1"/>
      <c r="H17" s="1"/>
      <c r="I17" s="1"/>
      <c r="J17" s="51"/>
      <c r="K17" s="7"/>
      <c r="L17" s="1"/>
      <c r="M17" s="63"/>
      <c r="P17" s="7"/>
      <c r="Q17" s="1"/>
      <c r="R17" s="63"/>
      <c r="U17" s="7"/>
      <c r="V17" s="1"/>
      <c r="W17" s="1"/>
      <c r="X17" s="1"/>
      <c r="Y17" s="1"/>
      <c r="AC17" s="7"/>
      <c r="AD17" s="1"/>
      <c r="AE17" s="1"/>
      <c r="AF17" s="1"/>
      <c r="AG17" s="1"/>
    </row>
    <row r="18" spans="1:33" x14ac:dyDescent="0.25">
      <c r="A18" s="7"/>
      <c r="B18" s="1"/>
      <c r="C18" s="1"/>
      <c r="D18" s="1"/>
      <c r="F18" s="7"/>
      <c r="G18" s="1"/>
      <c r="H18" s="1"/>
      <c r="I18" s="1"/>
      <c r="J18" s="51"/>
      <c r="K18" s="7"/>
      <c r="L18" s="1"/>
      <c r="M18" s="63"/>
      <c r="P18" s="7"/>
      <c r="Q18" s="1"/>
      <c r="R18" s="63"/>
      <c r="U18" s="7"/>
      <c r="V18" s="1"/>
      <c r="W18" s="1"/>
      <c r="X18" s="1"/>
      <c r="Y18" s="1"/>
      <c r="AC18" s="7"/>
      <c r="AD18" s="1"/>
      <c r="AE18" s="1"/>
      <c r="AF18" s="1"/>
      <c r="AG18" s="1"/>
    </row>
    <row r="19" spans="1:33" x14ac:dyDescent="0.25">
      <c r="A19" s="7"/>
      <c r="B19" s="1"/>
      <c r="C19" s="1"/>
      <c r="D19" s="1"/>
      <c r="F19" s="7"/>
      <c r="G19" s="1"/>
      <c r="H19" s="1"/>
      <c r="I19" s="1"/>
      <c r="J19" s="51"/>
      <c r="K19" s="7"/>
      <c r="L19" s="1"/>
      <c r="M19" s="63"/>
      <c r="P19" s="7"/>
      <c r="Q19" s="1"/>
      <c r="R19" s="63"/>
      <c r="U19" s="7"/>
      <c r="V19" s="1"/>
      <c r="W19" s="1"/>
      <c r="X19" s="1"/>
      <c r="Y19" s="1"/>
      <c r="AC19" s="7"/>
      <c r="AD19" s="1"/>
      <c r="AE19" s="1"/>
      <c r="AF19" s="1"/>
      <c r="AG19" s="1"/>
    </row>
    <row r="20" spans="1:33" x14ac:dyDescent="0.25">
      <c r="A20" s="7"/>
      <c r="B20" s="1"/>
      <c r="C20" s="1"/>
      <c r="D20" s="1"/>
      <c r="F20" s="7"/>
      <c r="G20" s="1"/>
      <c r="H20" s="1"/>
      <c r="I20" s="1"/>
      <c r="J20" s="51"/>
      <c r="K20" s="7"/>
      <c r="L20" s="1"/>
      <c r="M20" s="63"/>
      <c r="P20" s="7"/>
      <c r="Q20" s="1"/>
      <c r="R20" s="63"/>
      <c r="U20" s="7"/>
      <c r="V20" s="1"/>
      <c r="W20" s="1"/>
      <c r="X20" s="1"/>
      <c r="Y20" s="1"/>
      <c r="AC20" s="7"/>
      <c r="AD20" s="1"/>
      <c r="AE20" s="1"/>
      <c r="AF20" s="1"/>
      <c r="AG20" s="1"/>
    </row>
    <row r="21" spans="1:33" x14ac:dyDescent="0.25">
      <c r="A21" s="7"/>
      <c r="B21" s="1"/>
      <c r="C21" s="1"/>
      <c r="D21" s="1"/>
      <c r="F21" s="7"/>
      <c r="G21" s="1"/>
      <c r="H21" s="1"/>
      <c r="I21" s="1"/>
      <c r="J21" s="51"/>
      <c r="K21" s="7"/>
      <c r="L21" s="1"/>
      <c r="M21" s="63"/>
      <c r="P21" s="7"/>
      <c r="Q21" s="1"/>
      <c r="R21" s="63"/>
      <c r="U21" s="7"/>
      <c r="V21" s="1"/>
      <c r="W21" s="1"/>
      <c r="X21" s="1"/>
      <c r="Y21" s="1"/>
      <c r="AC21" s="7"/>
      <c r="AD21" s="1"/>
      <c r="AE21" s="1"/>
      <c r="AF21" s="1"/>
      <c r="AG21" s="1"/>
    </row>
    <row r="22" spans="1:33" x14ac:dyDescent="0.25">
      <c r="A22" s="7"/>
      <c r="B22" s="1"/>
      <c r="C22" s="1"/>
      <c r="D22" s="1"/>
      <c r="F22" s="7"/>
      <c r="G22" s="1"/>
      <c r="H22" s="1"/>
      <c r="I22" s="1"/>
      <c r="J22" s="51"/>
      <c r="K22" s="7"/>
      <c r="L22" s="1"/>
      <c r="M22" s="63"/>
      <c r="P22" s="7"/>
      <c r="Q22" s="1"/>
      <c r="R22" s="63"/>
      <c r="U22" s="7"/>
      <c r="V22" s="1"/>
      <c r="W22" s="1"/>
      <c r="X22" s="1"/>
      <c r="Y22" s="1"/>
      <c r="AC22" s="7"/>
      <c r="AD22" s="1"/>
      <c r="AE22" s="1"/>
      <c r="AF22" s="1"/>
      <c r="AG22" s="1"/>
    </row>
    <row r="23" spans="1:33" x14ac:dyDescent="0.25">
      <c r="A23" s="7"/>
      <c r="B23" s="1"/>
      <c r="C23" s="1"/>
      <c r="D23" s="1"/>
      <c r="F23" s="7"/>
      <c r="G23" s="1"/>
      <c r="H23" s="1"/>
      <c r="I23" s="1"/>
      <c r="J23" s="51"/>
      <c r="K23" s="7"/>
      <c r="L23" s="1"/>
      <c r="M23" s="63"/>
      <c r="P23" s="7"/>
      <c r="Q23" s="1"/>
      <c r="R23" s="63"/>
      <c r="U23" s="7"/>
      <c r="V23" s="1"/>
      <c r="W23" s="1"/>
      <c r="X23" s="1"/>
      <c r="Y23" s="1"/>
      <c r="AC23" s="7"/>
      <c r="AD23" s="1"/>
      <c r="AE23" s="1"/>
      <c r="AF23" s="1"/>
      <c r="AG23" s="1"/>
    </row>
    <row r="24" spans="1:33" x14ac:dyDescent="0.25">
      <c r="A24" s="7"/>
      <c r="B24" s="1"/>
      <c r="C24" s="1"/>
      <c r="D24" s="1"/>
      <c r="F24" s="7"/>
      <c r="G24" s="1"/>
      <c r="H24" s="1"/>
      <c r="I24" s="1"/>
      <c r="J24" s="51"/>
      <c r="K24" s="7"/>
      <c r="L24" s="1"/>
      <c r="M24" s="63"/>
      <c r="P24" s="7"/>
      <c r="Q24" s="1"/>
      <c r="R24" s="63"/>
      <c r="U24" s="7"/>
      <c r="V24" s="1"/>
      <c r="W24" s="1"/>
      <c r="X24" s="1"/>
      <c r="Y24" s="1"/>
      <c r="AC24" s="7"/>
      <c r="AD24" s="1"/>
      <c r="AE24" s="1"/>
      <c r="AF24" s="1"/>
      <c r="AG24" s="1"/>
    </row>
    <row r="25" spans="1:33" x14ac:dyDescent="0.25">
      <c r="A25" s="7"/>
      <c r="B25" s="1"/>
      <c r="C25" s="1"/>
      <c r="D25" s="1"/>
      <c r="F25" s="7"/>
      <c r="G25" s="1"/>
      <c r="H25" s="1"/>
      <c r="I25" s="1"/>
      <c r="J25" s="51"/>
      <c r="K25" s="7"/>
      <c r="L25" s="1"/>
      <c r="M25" s="63"/>
      <c r="P25" s="7"/>
      <c r="Q25" s="1"/>
      <c r="R25" s="63"/>
      <c r="U25" s="7"/>
      <c r="V25" s="1"/>
      <c r="W25" s="1"/>
      <c r="X25" s="1"/>
      <c r="Y25" s="1"/>
      <c r="AC25" s="7"/>
      <c r="AD25" s="1"/>
      <c r="AE25" s="1"/>
      <c r="AF25" s="1"/>
      <c r="AG25" s="1"/>
    </row>
    <row r="26" spans="1:33" x14ac:dyDescent="0.25">
      <c r="A26" s="7"/>
      <c r="B26" s="1"/>
      <c r="C26" s="1"/>
      <c r="D26" s="1"/>
      <c r="F26" s="7"/>
      <c r="G26" s="1"/>
      <c r="H26" s="1"/>
      <c r="I26" s="1"/>
      <c r="J26" s="51"/>
      <c r="K26" s="7"/>
      <c r="L26" s="1"/>
      <c r="M26" s="63"/>
      <c r="P26" s="7"/>
      <c r="Q26" s="1"/>
      <c r="R26" s="63"/>
      <c r="U26" s="7"/>
      <c r="V26" s="1"/>
      <c r="W26" s="1"/>
      <c r="X26" s="1"/>
      <c r="Y26" s="1"/>
      <c r="AC26" s="7"/>
      <c r="AD26" s="1"/>
      <c r="AE26" s="1"/>
      <c r="AF26" s="1"/>
      <c r="AG26" s="1"/>
    </row>
    <row r="27" spans="1:33" x14ac:dyDescent="0.25">
      <c r="A27" s="7"/>
      <c r="B27" s="1"/>
      <c r="C27" s="1"/>
      <c r="D27" s="1"/>
      <c r="F27" s="7"/>
      <c r="G27" s="1"/>
      <c r="H27" s="1"/>
      <c r="I27" s="1"/>
      <c r="J27" s="51"/>
      <c r="K27" s="7"/>
      <c r="L27" s="1"/>
      <c r="M27" s="63"/>
      <c r="P27" s="7"/>
      <c r="Q27" s="1"/>
      <c r="R27" s="63"/>
      <c r="U27" s="7"/>
      <c r="V27" s="1"/>
      <c r="W27" s="1"/>
      <c r="X27" s="1"/>
      <c r="Y27" s="1"/>
      <c r="AC27" s="7"/>
      <c r="AD27" s="1"/>
      <c r="AE27" s="1"/>
      <c r="AF27" s="1"/>
      <c r="AG27" s="1"/>
    </row>
    <row r="28" spans="1:33" x14ac:dyDescent="0.25">
      <c r="A28" s="7"/>
      <c r="B28" s="1"/>
      <c r="C28" s="1"/>
      <c r="D28" s="1"/>
      <c r="F28" s="7"/>
      <c r="G28" s="1"/>
      <c r="H28" s="1"/>
      <c r="I28" s="1"/>
      <c r="J28" s="51"/>
      <c r="K28" s="7"/>
      <c r="L28" s="1"/>
      <c r="M28" s="63"/>
      <c r="P28" s="7"/>
      <c r="Q28" s="1"/>
      <c r="R28" s="63"/>
      <c r="U28" s="7"/>
      <c r="V28" s="1"/>
      <c r="W28" s="1"/>
      <c r="X28" s="1"/>
      <c r="Y28" s="1"/>
      <c r="AC28" s="7"/>
      <c r="AD28" s="1"/>
      <c r="AE28" s="1"/>
      <c r="AF28" s="1"/>
      <c r="AG28" s="1"/>
    </row>
    <row r="29" spans="1:33" x14ac:dyDescent="0.25">
      <c r="A29" s="7"/>
      <c r="B29" s="1"/>
      <c r="C29" s="1"/>
      <c r="D29" s="1"/>
      <c r="F29" s="7"/>
      <c r="G29" s="1"/>
      <c r="H29" s="1"/>
      <c r="I29" s="1"/>
      <c r="J29" s="51"/>
      <c r="K29" s="7"/>
      <c r="L29" s="1"/>
      <c r="M29" s="63"/>
      <c r="P29" s="7"/>
      <c r="Q29" s="1"/>
      <c r="R29" s="63"/>
      <c r="U29" s="7"/>
      <c r="V29" s="1"/>
      <c r="W29" s="1"/>
      <c r="X29" s="1"/>
      <c r="Y29" s="1"/>
      <c r="AC29" s="7"/>
      <c r="AD29" s="1"/>
      <c r="AE29" s="1"/>
      <c r="AF29" s="1"/>
      <c r="AG29" s="1"/>
    </row>
    <row r="30" spans="1:33" x14ac:dyDescent="0.25">
      <c r="A30" s="7"/>
      <c r="B30" s="1"/>
      <c r="C30" s="1"/>
      <c r="D30" s="1"/>
      <c r="F30" s="7"/>
      <c r="G30" s="1"/>
      <c r="H30" s="1"/>
      <c r="I30" s="1"/>
      <c r="J30" s="51"/>
      <c r="K30" s="7"/>
      <c r="L30" s="1"/>
      <c r="M30" s="63"/>
      <c r="P30" s="7"/>
      <c r="Q30" s="1"/>
      <c r="R30" s="63"/>
      <c r="U30" s="7"/>
      <c r="V30" s="1"/>
      <c r="W30" s="1"/>
      <c r="X30" s="1"/>
      <c r="Y30" s="1"/>
      <c r="AC30" s="7"/>
      <c r="AD30" s="1"/>
      <c r="AE30" s="1"/>
      <c r="AF30" s="1"/>
      <c r="AG30" s="1"/>
    </row>
    <row r="31" spans="1:33" x14ac:dyDescent="0.25">
      <c r="A31" s="7"/>
      <c r="B31" s="1"/>
      <c r="C31" s="1"/>
      <c r="D31" s="1"/>
      <c r="F31" s="7"/>
      <c r="G31" s="1"/>
      <c r="H31" s="1"/>
      <c r="I31" s="1"/>
      <c r="J31" s="51"/>
      <c r="K31" s="7"/>
      <c r="L31" s="1"/>
      <c r="M31" s="63"/>
      <c r="P31" s="7"/>
      <c r="Q31" s="1"/>
      <c r="R31" s="63"/>
      <c r="U31" s="7"/>
      <c r="V31" s="1"/>
      <c r="W31" s="1"/>
      <c r="X31" s="1"/>
      <c r="Y31" s="1"/>
      <c r="AC31" s="7"/>
      <c r="AD31" s="1"/>
      <c r="AE31" s="1"/>
      <c r="AF31" s="1"/>
      <c r="AG31" s="1"/>
    </row>
    <row r="32" spans="1:33" x14ac:dyDescent="0.25">
      <c r="A32" s="7"/>
      <c r="B32" s="1"/>
      <c r="C32" s="1"/>
      <c r="D32" s="1"/>
      <c r="F32" s="7"/>
      <c r="G32" s="1"/>
      <c r="H32" s="1"/>
      <c r="I32" s="1"/>
      <c r="J32" s="51"/>
      <c r="K32" s="7"/>
      <c r="L32" s="1"/>
      <c r="M32" s="63"/>
      <c r="P32" s="7"/>
      <c r="Q32" s="1"/>
      <c r="R32" s="63"/>
      <c r="U32" s="7"/>
      <c r="V32" s="1"/>
      <c r="W32" s="1"/>
      <c r="X32" s="1"/>
      <c r="Y32" s="1"/>
      <c r="AC32" s="7"/>
      <c r="AD32" s="1"/>
      <c r="AE32" s="1"/>
      <c r="AF32" s="1"/>
      <c r="AG32" s="1"/>
    </row>
    <row r="33" spans="1:33" x14ac:dyDescent="0.25">
      <c r="A33" s="7"/>
      <c r="B33" s="1"/>
      <c r="C33" s="1"/>
      <c r="D33" s="1"/>
      <c r="F33" s="7"/>
      <c r="G33" s="1"/>
      <c r="H33" s="1"/>
      <c r="I33" s="1"/>
      <c r="J33" s="51"/>
      <c r="K33" s="7"/>
      <c r="L33" s="1"/>
      <c r="M33" s="63"/>
      <c r="P33" s="7"/>
      <c r="Q33" s="1"/>
      <c r="R33" s="63"/>
      <c r="U33" s="7"/>
      <c r="V33" s="1"/>
      <c r="W33" s="1"/>
      <c r="X33" s="1"/>
      <c r="Y33" s="1"/>
      <c r="AC33" s="7"/>
      <c r="AD33" s="1"/>
      <c r="AE33" s="1"/>
      <c r="AF33" s="1"/>
      <c r="AG33" s="1"/>
    </row>
    <row r="34" spans="1:33" x14ac:dyDescent="0.25">
      <c r="A34" s="7"/>
      <c r="B34" s="1"/>
      <c r="C34" s="1"/>
      <c r="D34" s="1"/>
      <c r="F34" s="7"/>
      <c r="G34" s="1"/>
      <c r="H34" s="1"/>
      <c r="I34" s="1"/>
      <c r="J34" s="51"/>
      <c r="K34" s="7"/>
      <c r="L34" s="1"/>
      <c r="M34" s="63"/>
      <c r="P34" s="7"/>
      <c r="Q34" s="1"/>
      <c r="R34" s="63"/>
      <c r="U34" s="7"/>
      <c r="V34" s="1"/>
      <c r="W34" s="1"/>
      <c r="X34" s="1"/>
      <c r="Y34" s="1"/>
      <c r="AC34" s="7"/>
      <c r="AD34" s="1"/>
      <c r="AE34" s="1"/>
      <c r="AF34" s="1"/>
      <c r="AG34" s="1"/>
    </row>
    <row r="35" spans="1:33" x14ac:dyDescent="0.25">
      <c r="A35" s="7"/>
      <c r="B35" s="1"/>
      <c r="C35" s="1"/>
      <c r="D35" s="1"/>
      <c r="F35" s="7"/>
      <c r="G35" s="1"/>
      <c r="H35" s="1"/>
      <c r="I35" s="1"/>
      <c r="J35" s="51"/>
      <c r="K35" s="7"/>
      <c r="L35" s="1"/>
      <c r="M35" s="63"/>
      <c r="P35" s="7"/>
      <c r="Q35" s="1"/>
      <c r="R35" s="63"/>
      <c r="U35" s="7"/>
      <c r="V35" s="1"/>
      <c r="W35" s="1"/>
      <c r="X35" s="1"/>
      <c r="Y35" s="1"/>
      <c r="AC35" s="7"/>
      <c r="AD35" s="1"/>
      <c r="AE35" s="1"/>
      <c r="AF35" s="1"/>
      <c r="AG35" s="1"/>
    </row>
    <row r="36" spans="1:33" x14ac:dyDescent="0.25">
      <c r="A36" s="7"/>
      <c r="B36" s="1"/>
      <c r="C36" s="1"/>
      <c r="D36" s="1"/>
      <c r="F36" s="7"/>
      <c r="G36" s="1"/>
      <c r="H36" s="1"/>
      <c r="I36" s="1"/>
      <c r="J36" s="51"/>
      <c r="K36" s="7"/>
      <c r="L36" s="1"/>
      <c r="M36" s="63"/>
      <c r="P36" s="7"/>
      <c r="Q36" s="1"/>
      <c r="R36" s="63"/>
      <c r="U36" s="7"/>
      <c r="V36" s="1"/>
      <c r="W36" s="1"/>
      <c r="X36" s="1"/>
      <c r="Y36" s="1"/>
      <c r="AC36" s="7"/>
      <c r="AD36" s="1"/>
      <c r="AE36" s="1"/>
      <c r="AF36" s="1"/>
      <c r="AG36" s="1"/>
    </row>
    <row r="37" spans="1:33" x14ac:dyDescent="0.25">
      <c r="A37" s="7"/>
      <c r="B37" s="1"/>
      <c r="C37" s="1"/>
      <c r="D37" s="1"/>
      <c r="F37" s="7"/>
      <c r="G37" s="1"/>
      <c r="H37" s="1"/>
      <c r="I37" s="1"/>
      <c r="J37" s="51"/>
      <c r="K37" s="7"/>
      <c r="L37" s="1"/>
      <c r="M37" s="63"/>
      <c r="P37" s="7"/>
      <c r="Q37" s="1"/>
      <c r="R37" s="63"/>
      <c r="U37" s="7"/>
      <c r="V37" s="1"/>
      <c r="W37" s="1"/>
      <c r="X37" s="1"/>
      <c r="Y37" s="1"/>
      <c r="AC37" s="7"/>
      <c r="AD37" s="1"/>
      <c r="AE37" s="1"/>
      <c r="AF37" s="1"/>
      <c r="AG37" s="1"/>
    </row>
    <row r="38" spans="1:33" x14ac:dyDescent="0.25">
      <c r="A38" s="7"/>
      <c r="B38" s="1"/>
      <c r="C38" s="1"/>
      <c r="D38" s="1"/>
      <c r="F38" s="7"/>
      <c r="G38" s="1"/>
      <c r="H38" s="1"/>
      <c r="I38" s="1"/>
      <c r="J38" s="51"/>
      <c r="K38" s="7"/>
      <c r="L38" s="1"/>
      <c r="M38" s="63"/>
      <c r="P38" s="7"/>
      <c r="Q38" s="1"/>
      <c r="R38" s="63"/>
      <c r="U38" s="7"/>
      <c r="V38" s="1"/>
      <c r="W38" s="1"/>
      <c r="X38" s="1"/>
      <c r="Y38" s="1"/>
      <c r="AC38" s="7"/>
      <c r="AD38" s="1"/>
      <c r="AE38" s="1"/>
      <c r="AF38" s="1"/>
      <c r="AG38" s="1"/>
    </row>
    <row r="39" spans="1:33" x14ac:dyDescent="0.25">
      <c r="A39" s="7"/>
      <c r="B39" s="1"/>
      <c r="C39" s="1"/>
      <c r="D39" s="1"/>
      <c r="F39" s="7"/>
      <c r="G39" s="1"/>
      <c r="H39" s="1"/>
      <c r="I39" s="1"/>
      <c r="J39" s="51"/>
      <c r="K39" s="7"/>
      <c r="L39" s="1"/>
      <c r="M39" s="63"/>
      <c r="P39" s="7"/>
      <c r="Q39" s="1"/>
      <c r="R39" s="63"/>
      <c r="U39" s="7"/>
      <c r="V39" s="1"/>
      <c r="W39" s="1"/>
      <c r="X39" s="1"/>
      <c r="Y39" s="1"/>
      <c r="AC39" s="7"/>
      <c r="AD39" s="1"/>
      <c r="AE39" s="1"/>
      <c r="AF39" s="1"/>
      <c r="AG39" s="1"/>
    </row>
    <row r="40" spans="1:33" x14ac:dyDescent="0.25">
      <c r="A40" s="7"/>
      <c r="B40" s="1"/>
      <c r="C40" s="1"/>
      <c r="D40" s="1"/>
      <c r="F40" s="7"/>
      <c r="G40" s="1"/>
      <c r="H40" s="1"/>
      <c r="I40" s="1"/>
      <c r="J40" s="51"/>
      <c r="K40" s="7"/>
      <c r="L40" s="1"/>
      <c r="M40" s="63"/>
      <c r="P40" s="7"/>
      <c r="Q40" s="1"/>
      <c r="R40" s="63"/>
      <c r="U40" s="7"/>
      <c r="V40" s="1"/>
      <c r="W40" s="1"/>
      <c r="X40" s="1"/>
      <c r="Y40" s="1"/>
      <c r="AC40" s="7"/>
      <c r="AD40" s="1"/>
      <c r="AE40" s="1"/>
      <c r="AF40" s="1"/>
      <c r="AG40" s="1"/>
    </row>
    <row r="41" spans="1:33" x14ac:dyDescent="0.25">
      <c r="A41" s="7"/>
      <c r="B41" s="1"/>
      <c r="C41" s="1"/>
      <c r="D41" s="1"/>
      <c r="F41" s="7"/>
      <c r="G41" s="1"/>
      <c r="H41" s="1"/>
      <c r="I41" s="1"/>
      <c r="J41" s="51"/>
      <c r="K41" s="7"/>
      <c r="L41" s="1"/>
      <c r="M41" s="63"/>
      <c r="P41" s="7"/>
      <c r="Q41" s="1"/>
      <c r="R41" s="63"/>
      <c r="U41" s="7"/>
      <c r="V41" s="1"/>
      <c r="W41" s="1"/>
      <c r="X41" s="1"/>
      <c r="Y41" s="1"/>
      <c r="AC41" s="7"/>
      <c r="AD41" s="1"/>
      <c r="AE41" s="1"/>
      <c r="AF41" s="1"/>
      <c r="AG41" s="1"/>
    </row>
    <row r="42" spans="1:33" x14ac:dyDescent="0.25">
      <c r="A42" s="7"/>
      <c r="B42" s="1"/>
      <c r="C42" s="1"/>
      <c r="D42" s="1"/>
      <c r="F42" s="7"/>
      <c r="G42" s="1"/>
      <c r="H42" s="1"/>
      <c r="I42" s="1"/>
      <c r="J42" s="51"/>
      <c r="K42" s="7"/>
      <c r="L42" s="1"/>
      <c r="M42" s="63"/>
      <c r="P42" s="7"/>
      <c r="Q42" s="1"/>
      <c r="R42" s="63"/>
      <c r="U42" s="7"/>
      <c r="V42" s="1"/>
      <c r="W42" s="1"/>
      <c r="X42" s="1"/>
      <c r="Y42" s="1"/>
      <c r="AC42" s="7"/>
      <c r="AD42" s="1"/>
      <c r="AE42" s="1"/>
      <c r="AF42" s="1"/>
      <c r="AG42" s="1"/>
    </row>
    <row r="43" spans="1:33" x14ac:dyDescent="0.25">
      <c r="A43" s="7"/>
      <c r="B43" s="1"/>
      <c r="C43" s="1"/>
      <c r="D43" s="1"/>
      <c r="F43" s="7"/>
      <c r="G43" s="1"/>
      <c r="H43" s="1"/>
      <c r="I43" s="1"/>
      <c r="J43" s="51"/>
      <c r="K43" s="7"/>
      <c r="L43" s="1"/>
      <c r="M43" s="63"/>
      <c r="P43" s="7"/>
      <c r="Q43" s="1"/>
      <c r="R43" s="63"/>
      <c r="U43" s="7"/>
      <c r="V43" s="1"/>
      <c r="W43" s="1"/>
      <c r="X43" s="1"/>
      <c r="Y43" s="1"/>
      <c r="AC43" s="7"/>
      <c r="AD43" s="1"/>
      <c r="AE43" s="1"/>
      <c r="AF43" s="1"/>
      <c r="AG43" s="1"/>
    </row>
    <row r="44" spans="1:33" x14ac:dyDescent="0.25">
      <c r="A44" s="7"/>
      <c r="B44" s="1"/>
      <c r="C44" s="1"/>
      <c r="D44" s="1"/>
      <c r="F44" s="7"/>
      <c r="G44" s="1"/>
      <c r="H44" s="1"/>
      <c r="I44" s="1"/>
      <c r="J44" s="51"/>
      <c r="K44" s="7"/>
      <c r="L44" s="1"/>
      <c r="M44" s="63"/>
      <c r="P44" s="7"/>
      <c r="Q44" s="1"/>
      <c r="R44" s="63"/>
      <c r="U44" s="7"/>
      <c r="V44" s="1"/>
      <c r="W44" s="1"/>
      <c r="X44" s="1"/>
      <c r="Y44" s="1"/>
      <c r="AC44" s="7"/>
      <c r="AD44" s="1"/>
      <c r="AE44" s="1"/>
      <c r="AF44" s="1"/>
      <c r="AG44" s="1"/>
    </row>
    <row r="45" spans="1:33" x14ac:dyDescent="0.25">
      <c r="A45" s="7"/>
      <c r="B45" s="1"/>
      <c r="C45" s="1"/>
      <c r="D45" s="1"/>
      <c r="F45" s="7"/>
      <c r="G45" s="1"/>
      <c r="H45" s="1"/>
      <c r="I45" s="1"/>
      <c r="J45" s="51"/>
      <c r="K45" s="7"/>
      <c r="L45" s="1"/>
      <c r="M45" s="63"/>
      <c r="P45" s="7"/>
      <c r="Q45" s="1"/>
      <c r="R45" s="63"/>
      <c r="U45" s="7"/>
      <c r="V45" s="1"/>
      <c r="W45" s="1"/>
      <c r="X45" s="1"/>
      <c r="Y45" s="1"/>
      <c r="AC45" s="7"/>
      <c r="AD45" s="1"/>
      <c r="AE45" s="1"/>
      <c r="AF45" s="1"/>
      <c r="AG45" s="1"/>
    </row>
    <row r="46" spans="1:33" x14ac:dyDescent="0.25">
      <c r="A46" s="7"/>
      <c r="B46" s="1"/>
      <c r="C46" s="1"/>
      <c r="D46" s="1"/>
      <c r="F46" s="7"/>
      <c r="G46" s="1"/>
      <c r="H46" s="1"/>
      <c r="I46" s="1"/>
      <c r="J46" s="51"/>
      <c r="K46" s="7"/>
      <c r="L46" s="1"/>
      <c r="M46" s="63"/>
      <c r="P46" s="7"/>
      <c r="Q46" s="1"/>
      <c r="R46" s="63"/>
      <c r="U46" s="7"/>
      <c r="V46" s="1"/>
      <c r="W46" s="1"/>
      <c r="X46" s="1"/>
      <c r="Y46" s="1"/>
      <c r="AC46" s="7"/>
      <c r="AD46" s="1"/>
      <c r="AE46" s="1"/>
      <c r="AF46" s="1"/>
      <c r="AG46" s="1"/>
    </row>
    <row r="47" spans="1:33" x14ac:dyDescent="0.25">
      <c r="A47" s="7"/>
      <c r="B47" s="1"/>
      <c r="C47" s="1"/>
      <c r="D47" s="1"/>
      <c r="F47" s="7"/>
      <c r="G47" s="1"/>
      <c r="H47" s="1"/>
      <c r="I47" s="1"/>
      <c r="J47" s="51"/>
      <c r="K47" s="7"/>
      <c r="L47" s="1"/>
      <c r="M47" s="63"/>
      <c r="P47" s="7"/>
      <c r="Q47" s="1"/>
      <c r="R47" s="63"/>
      <c r="U47" s="7"/>
      <c r="V47" s="1"/>
      <c r="W47" s="1"/>
      <c r="X47" s="1"/>
      <c r="Y47" s="1"/>
      <c r="AC47" s="7"/>
      <c r="AD47" s="1"/>
      <c r="AE47" s="1"/>
      <c r="AF47" s="1"/>
      <c r="AG47" s="1"/>
    </row>
    <row r="48" spans="1:33" x14ac:dyDescent="0.25">
      <c r="A48" s="7"/>
      <c r="B48" s="1"/>
      <c r="C48" s="1"/>
      <c r="D48" s="1"/>
      <c r="F48" s="7"/>
      <c r="G48" s="1"/>
      <c r="H48" s="1"/>
      <c r="I48" s="1"/>
      <c r="J48" s="51"/>
      <c r="K48" s="7"/>
      <c r="L48" s="1"/>
      <c r="M48" s="63"/>
      <c r="P48" s="7"/>
      <c r="Q48" s="1"/>
      <c r="R48" s="63"/>
      <c r="U48" s="7"/>
      <c r="V48" s="1"/>
      <c r="W48" s="1"/>
      <c r="X48" s="1"/>
      <c r="Y48" s="1"/>
      <c r="AC48" s="7"/>
      <c r="AD48" s="1"/>
      <c r="AE48" s="1"/>
      <c r="AF48" s="1"/>
      <c r="AG48" s="1"/>
    </row>
    <row r="49" spans="1:33" x14ac:dyDescent="0.25">
      <c r="A49" s="7"/>
      <c r="B49" s="1"/>
      <c r="C49" s="1"/>
      <c r="D49" s="1"/>
      <c r="F49" s="7"/>
      <c r="G49" s="1"/>
      <c r="H49" s="1"/>
      <c r="I49" s="1"/>
      <c r="J49" s="51"/>
      <c r="K49" s="7"/>
      <c r="L49" s="1"/>
      <c r="M49" s="63"/>
      <c r="P49" s="7"/>
      <c r="Q49" s="1"/>
      <c r="R49" s="63"/>
      <c r="U49" s="7"/>
      <c r="V49" s="1"/>
      <c r="W49" s="1"/>
      <c r="X49" s="1"/>
      <c r="Y49" s="1"/>
      <c r="AC49" s="7"/>
      <c r="AD49" s="1"/>
      <c r="AE49" s="1"/>
      <c r="AF49" s="1"/>
      <c r="AG49" s="1"/>
    </row>
    <row r="50" spans="1:33" x14ac:dyDescent="0.25">
      <c r="A50" s="7"/>
      <c r="B50" s="1"/>
      <c r="C50" s="1"/>
      <c r="D50" s="1"/>
      <c r="F50" s="7"/>
      <c r="G50" s="1"/>
      <c r="H50" s="1"/>
      <c r="I50" s="1"/>
      <c r="J50" s="51"/>
      <c r="K50" s="7"/>
      <c r="L50" s="1"/>
      <c r="M50" s="63"/>
      <c r="P50" s="7"/>
      <c r="Q50" s="1"/>
      <c r="R50" s="63"/>
      <c r="U50" s="7"/>
      <c r="V50" s="1"/>
      <c r="W50" s="1"/>
      <c r="X50" s="1"/>
      <c r="Y50" s="1"/>
      <c r="AC50" s="7"/>
      <c r="AD50" s="1"/>
      <c r="AE50" s="1"/>
      <c r="AF50" s="1"/>
      <c r="AG50" s="1"/>
    </row>
    <row r="51" spans="1:33" x14ac:dyDescent="0.25">
      <c r="A51" s="7"/>
      <c r="B51" s="1"/>
      <c r="C51" s="1"/>
      <c r="D51" s="1"/>
      <c r="F51" s="7"/>
      <c r="G51" s="1"/>
      <c r="H51" s="1"/>
      <c r="I51" s="1"/>
      <c r="J51" s="51"/>
      <c r="K51" s="7"/>
      <c r="L51" s="1"/>
      <c r="M51" s="63"/>
      <c r="P51" s="7"/>
      <c r="Q51" s="1"/>
      <c r="R51" s="63"/>
      <c r="U51" s="7"/>
      <c r="V51" s="1"/>
      <c r="W51" s="1"/>
      <c r="X51" s="1"/>
      <c r="Y51" s="1"/>
      <c r="AC51" s="7"/>
      <c r="AD51" s="1"/>
      <c r="AE51" s="1"/>
      <c r="AF51" s="1"/>
      <c r="AG51" s="1"/>
    </row>
    <row r="52" spans="1:33" x14ac:dyDescent="0.25">
      <c r="A52" s="7"/>
      <c r="B52" s="1"/>
      <c r="C52" s="1"/>
      <c r="D52" s="1"/>
      <c r="F52" s="7"/>
      <c r="G52" s="1"/>
      <c r="H52" s="1"/>
      <c r="I52" s="1"/>
      <c r="J52" s="51"/>
      <c r="K52" s="7"/>
      <c r="L52" s="1"/>
      <c r="M52" s="63"/>
      <c r="P52" s="7"/>
      <c r="Q52" s="1"/>
      <c r="R52" s="63"/>
      <c r="U52" s="7"/>
      <c r="V52" s="1"/>
      <c r="W52" s="1"/>
      <c r="X52" s="1"/>
      <c r="Y52" s="1"/>
      <c r="AC52" s="7"/>
      <c r="AD52" s="1"/>
      <c r="AE52" s="1"/>
      <c r="AF52" s="1"/>
      <c r="AG52" s="1"/>
    </row>
    <row r="53" spans="1:33" x14ac:dyDescent="0.25">
      <c r="A53" s="7"/>
      <c r="B53" s="1"/>
      <c r="C53" s="1"/>
      <c r="D53" s="1"/>
      <c r="F53" s="7"/>
      <c r="G53" s="1"/>
      <c r="H53" s="1"/>
      <c r="I53" s="1"/>
      <c r="J53" s="51"/>
      <c r="K53" s="7"/>
      <c r="L53" s="1"/>
      <c r="M53" s="63"/>
      <c r="P53" s="7"/>
      <c r="Q53" s="1"/>
      <c r="R53" s="63"/>
      <c r="U53" s="7"/>
      <c r="V53" s="1"/>
      <c r="W53" s="1"/>
      <c r="X53" s="1"/>
      <c r="Y53" s="1"/>
      <c r="AC53" s="7"/>
      <c r="AD53" s="1"/>
      <c r="AE53" s="1"/>
      <c r="AF53" s="1"/>
      <c r="AG53" s="1"/>
    </row>
    <row r="54" spans="1:33" x14ac:dyDescent="0.25">
      <c r="A54" s="7"/>
      <c r="B54" s="1"/>
      <c r="C54" s="1"/>
      <c r="D54" s="1"/>
      <c r="F54" s="7"/>
      <c r="G54" s="1"/>
      <c r="H54" s="1"/>
      <c r="I54" s="1"/>
      <c r="J54" s="51"/>
      <c r="K54" s="7"/>
      <c r="L54" s="1"/>
      <c r="M54" s="63"/>
      <c r="P54" s="7"/>
      <c r="Q54" s="1"/>
      <c r="R54" s="63"/>
      <c r="U54" s="7"/>
      <c r="V54" s="1"/>
      <c r="W54" s="1"/>
      <c r="X54" s="1"/>
      <c r="Y54" s="1"/>
      <c r="AC54" s="7"/>
      <c r="AD54" s="1"/>
      <c r="AE54" s="1"/>
      <c r="AF54" s="1"/>
      <c r="AG54" s="1"/>
    </row>
    <row r="55" spans="1:33" x14ac:dyDescent="0.25">
      <c r="A55" s="7"/>
      <c r="B55" s="1"/>
      <c r="C55" s="1"/>
      <c r="D55" s="1"/>
      <c r="F55" s="7"/>
      <c r="G55" s="1"/>
      <c r="H55" s="1"/>
      <c r="I55" s="1"/>
      <c r="J55" s="51"/>
      <c r="K55" s="7"/>
      <c r="L55" s="1"/>
      <c r="M55" s="63"/>
      <c r="P55" s="7"/>
      <c r="Q55" s="1"/>
      <c r="R55" s="63"/>
      <c r="U55" s="7"/>
      <c r="V55" s="1"/>
      <c r="W55" s="1"/>
      <c r="X55" s="1"/>
      <c r="Y55" s="1"/>
      <c r="AC55" s="7"/>
      <c r="AD55" s="1"/>
      <c r="AE55" s="1"/>
      <c r="AF55" s="1"/>
      <c r="AG55" s="1"/>
    </row>
    <row r="56" spans="1:33" x14ac:dyDescent="0.25">
      <c r="A56" s="7"/>
      <c r="B56" s="1"/>
      <c r="C56" s="1"/>
      <c r="D56" s="1"/>
      <c r="F56" s="7"/>
      <c r="G56" s="1"/>
      <c r="H56" s="1"/>
      <c r="I56" s="1"/>
      <c r="J56" s="51"/>
      <c r="K56" s="7"/>
      <c r="L56" s="1"/>
      <c r="M56" s="63"/>
      <c r="P56" s="7"/>
      <c r="Q56" s="1"/>
      <c r="R56" s="63"/>
      <c r="U56" s="7"/>
      <c r="V56" s="1"/>
      <c r="W56" s="1"/>
      <c r="X56" s="1"/>
      <c r="Y56" s="1"/>
      <c r="AC56" s="7"/>
      <c r="AD56" s="1"/>
      <c r="AE56" s="1"/>
      <c r="AF56" s="1"/>
      <c r="AG56" s="1"/>
    </row>
    <row r="57" spans="1:33" x14ac:dyDescent="0.25">
      <c r="A57" s="7"/>
      <c r="B57" s="1"/>
      <c r="C57" s="1"/>
      <c r="D57" s="1"/>
      <c r="F57" s="7"/>
      <c r="G57" s="1"/>
      <c r="H57" s="1"/>
      <c r="I57" s="1"/>
      <c r="J57" s="51"/>
      <c r="K57" s="7"/>
      <c r="L57" s="1"/>
      <c r="M57" s="63"/>
      <c r="P57" s="7"/>
      <c r="Q57" s="1"/>
      <c r="R57" s="63"/>
      <c r="U57" s="7"/>
      <c r="V57" s="1"/>
      <c r="W57" s="1"/>
      <c r="X57" s="1"/>
      <c r="Y57" s="1"/>
      <c r="AC57" s="7"/>
      <c r="AD57" s="1"/>
      <c r="AE57" s="1"/>
      <c r="AF57" s="1"/>
      <c r="AG57" s="1"/>
    </row>
    <row r="58" spans="1:33" x14ac:dyDescent="0.25">
      <c r="A58" s="7"/>
      <c r="B58" s="1"/>
      <c r="C58" s="1"/>
      <c r="D58" s="1"/>
      <c r="F58" s="7"/>
      <c r="G58" s="1"/>
      <c r="H58" s="1"/>
      <c r="I58" s="1"/>
      <c r="J58" s="51"/>
      <c r="K58" s="7"/>
      <c r="L58" s="1"/>
      <c r="M58" s="63"/>
      <c r="P58" s="7"/>
      <c r="Q58" s="1"/>
      <c r="R58" s="63"/>
      <c r="U58" s="7"/>
      <c r="V58" s="1"/>
      <c r="W58" s="1"/>
      <c r="X58" s="1"/>
      <c r="Y58" s="1"/>
      <c r="AC58" s="7"/>
      <c r="AD58" s="1"/>
      <c r="AE58" s="1"/>
      <c r="AF58" s="1"/>
      <c r="AG58" s="1"/>
    </row>
    <row r="59" spans="1:33" x14ac:dyDescent="0.25">
      <c r="A59" s="7"/>
      <c r="B59" s="1"/>
      <c r="C59" s="1"/>
      <c r="D59" s="1"/>
      <c r="F59" s="7"/>
      <c r="G59" s="1"/>
      <c r="H59" s="1"/>
      <c r="I59" s="1"/>
      <c r="J59" s="51"/>
      <c r="K59" s="7"/>
      <c r="L59" s="1"/>
      <c r="M59" s="63"/>
      <c r="P59" s="7"/>
      <c r="Q59" s="1"/>
      <c r="R59" s="63"/>
      <c r="U59" s="7"/>
      <c r="V59" s="1"/>
      <c r="W59" s="1"/>
      <c r="X59" s="1"/>
      <c r="Y59" s="1"/>
      <c r="AC59" s="7"/>
      <c r="AD59" s="1"/>
      <c r="AE59" s="1"/>
      <c r="AF59" s="1"/>
      <c r="AG59" s="1"/>
    </row>
    <row r="60" spans="1:33" x14ac:dyDescent="0.25">
      <c r="A60" s="7"/>
      <c r="B60" s="1"/>
      <c r="C60" s="1"/>
      <c r="D60" s="1"/>
      <c r="F60" s="7"/>
      <c r="G60" s="1"/>
      <c r="H60" s="1"/>
      <c r="I60" s="1"/>
      <c r="J60" s="51"/>
      <c r="K60" s="7"/>
      <c r="L60" s="1"/>
      <c r="M60" s="63"/>
      <c r="P60" s="7"/>
      <c r="Q60" s="1"/>
      <c r="R60" s="63"/>
      <c r="U60" s="7"/>
      <c r="V60" s="1"/>
      <c r="W60" s="1"/>
      <c r="X60" s="1"/>
      <c r="Y60" s="1"/>
      <c r="AC60" s="7"/>
      <c r="AD60" s="1"/>
      <c r="AE60" s="1"/>
      <c r="AF60" s="1"/>
      <c r="AG60" s="1"/>
    </row>
    <row r="61" spans="1:33" x14ac:dyDescent="0.25">
      <c r="A61" s="7"/>
      <c r="B61" s="1"/>
      <c r="C61" s="1"/>
      <c r="D61" s="1"/>
      <c r="F61" s="7"/>
      <c r="G61" s="1"/>
      <c r="H61" s="1"/>
      <c r="I61" s="1"/>
      <c r="J61" s="51"/>
      <c r="K61" s="7"/>
      <c r="L61" s="1"/>
      <c r="M61" s="63"/>
      <c r="P61" s="7"/>
      <c r="Q61" s="1"/>
      <c r="R61" s="63"/>
      <c r="U61" s="7"/>
      <c r="V61" s="1"/>
      <c r="W61" s="1"/>
      <c r="X61" s="1"/>
      <c r="Y61" s="1"/>
      <c r="AC61" s="7"/>
      <c r="AD61" s="1"/>
      <c r="AE61" s="1"/>
      <c r="AF61" s="1"/>
      <c r="AG61" s="1"/>
    </row>
    <row r="62" spans="1:33" x14ac:dyDescent="0.25">
      <c r="A62" s="7"/>
      <c r="B62" s="1"/>
      <c r="C62" s="1"/>
      <c r="D62" s="1"/>
      <c r="F62" s="7"/>
      <c r="G62" s="1"/>
      <c r="H62" s="1"/>
      <c r="I62" s="1"/>
      <c r="J62" s="51"/>
      <c r="K62" s="7"/>
      <c r="L62" s="1"/>
      <c r="M62" s="63"/>
      <c r="P62" s="7"/>
      <c r="Q62" s="1"/>
      <c r="R62" s="63"/>
      <c r="U62" s="7"/>
      <c r="V62" s="1"/>
      <c r="W62" s="1"/>
      <c r="X62" s="1"/>
      <c r="Y62" s="1"/>
      <c r="AC62" s="7"/>
      <c r="AD62" s="1"/>
      <c r="AE62" s="1"/>
      <c r="AF62" s="1"/>
      <c r="AG62" s="1"/>
    </row>
    <row r="63" spans="1:33" x14ac:dyDescent="0.25">
      <c r="A63" s="7"/>
      <c r="B63" s="1"/>
      <c r="C63" s="1"/>
      <c r="D63" s="1"/>
      <c r="F63" s="7"/>
      <c r="G63" s="1"/>
      <c r="H63" s="1"/>
      <c r="I63" s="1"/>
      <c r="J63" s="51"/>
      <c r="K63" s="7"/>
      <c r="L63" s="1"/>
      <c r="M63" s="63"/>
      <c r="P63" s="7"/>
      <c r="Q63" s="1"/>
      <c r="R63" s="63"/>
      <c r="U63" s="7"/>
      <c r="V63" s="1"/>
      <c r="W63" s="1"/>
      <c r="X63" s="1"/>
      <c r="Y63" s="1"/>
      <c r="AC63" s="7"/>
      <c r="AD63" s="1"/>
      <c r="AE63" s="1"/>
      <c r="AF63" s="1"/>
      <c r="AG63" s="1"/>
    </row>
    <row r="64" spans="1:33" x14ac:dyDescent="0.25">
      <c r="A64" s="7"/>
      <c r="B64" s="1"/>
      <c r="C64" s="1"/>
      <c r="D64" s="1"/>
      <c r="F64" s="7"/>
      <c r="G64" s="1"/>
      <c r="H64" s="1"/>
      <c r="I64" s="1"/>
      <c r="J64" s="51"/>
      <c r="K64" s="7"/>
      <c r="L64" s="1"/>
      <c r="M64" s="63"/>
      <c r="P64" s="7"/>
      <c r="Q64" s="1"/>
      <c r="R64" s="63"/>
      <c r="U64" s="7"/>
      <c r="V64" s="1"/>
      <c r="W64" s="1"/>
      <c r="X64" s="1"/>
      <c r="Y64" s="1"/>
      <c r="AC64" s="7"/>
      <c r="AD64" s="1"/>
      <c r="AE64" s="1"/>
      <c r="AF64" s="1"/>
      <c r="AG64" s="1"/>
    </row>
    <row r="65" spans="1:35" x14ac:dyDescent="0.25">
      <c r="A65" s="7"/>
      <c r="B65" s="1"/>
      <c r="C65" s="1"/>
      <c r="D65" s="1"/>
      <c r="F65" s="7"/>
      <c r="G65" s="1"/>
      <c r="H65" s="1"/>
      <c r="I65" s="1"/>
      <c r="J65" s="51"/>
      <c r="K65" s="7"/>
      <c r="L65" s="1"/>
      <c r="M65" s="63"/>
      <c r="P65" s="7"/>
      <c r="Q65" s="1"/>
      <c r="R65" s="63"/>
      <c r="U65" s="7"/>
      <c r="V65" s="1"/>
      <c r="W65" s="1"/>
      <c r="X65" s="1"/>
      <c r="Y65" s="1"/>
      <c r="AC65" s="7"/>
      <c r="AD65" s="1"/>
      <c r="AE65" s="1"/>
      <c r="AF65" s="1"/>
      <c r="AG65" s="1"/>
    </row>
    <row r="66" spans="1:35" x14ac:dyDescent="0.25">
      <c r="A66" s="7"/>
      <c r="B66" s="1"/>
      <c r="C66" s="1"/>
      <c r="D66" s="1"/>
      <c r="F66" s="7"/>
      <c r="G66" s="1"/>
      <c r="H66" s="1"/>
      <c r="I66" s="1"/>
      <c r="J66" s="51"/>
      <c r="K66" s="7"/>
      <c r="L66" s="1"/>
      <c r="M66" s="63"/>
      <c r="P66" s="7"/>
      <c r="Q66" s="1"/>
      <c r="R66" s="63"/>
      <c r="U66" s="7"/>
      <c r="V66" s="1"/>
      <c r="W66" s="1"/>
      <c r="X66" s="1"/>
      <c r="Y66" s="1"/>
      <c r="AC66" s="7"/>
      <c r="AD66" s="1"/>
      <c r="AE66" s="1"/>
      <c r="AF66" s="1"/>
      <c r="AG66" s="1"/>
    </row>
    <row r="67" spans="1:35" x14ac:dyDescent="0.25">
      <c r="A67" s="7"/>
      <c r="B67" s="1"/>
      <c r="C67" s="1"/>
      <c r="D67" s="1"/>
      <c r="F67" s="7"/>
      <c r="G67" s="1"/>
      <c r="H67" s="1"/>
      <c r="I67" s="1"/>
      <c r="J67" s="51"/>
      <c r="K67" s="7"/>
      <c r="L67" s="1"/>
      <c r="M67" s="63"/>
      <c r="P67" s="7"/>
      <c r="Q67" s="1"/>
      <c r="R67" s="63"/>
      <c r="U67" s="7"/>
      <c r="V67" s="1"/>
      <c r="W67" s="1"/>
      <c r="X67" s="1"/>
      <c r="Y67" s="1"/>
      <c r="AC67" s="7"/>
      <c r="AD67" s="1"/>
      <c r="AE67" s="1"/>
      <c r="AF67" s="1"/>
      <c r="AG67" s="1"/>
    </row>
    <row r="68" spans="1:35" x14ac:dyDescent="0.25">
      <c r="A68" s="7"/>
      <c r="B68" s="1"/>
      <c r="C68" s="1"/>
      <c r="D68" s="1"/>
      <c r="F68" s="7"/>
      <c r="G68" s="1"/>
      <c r="H68" s="1"/>
      <c r="I68" s="1"/>
      <c r="J68" s="51"/>
      <c r="K68" s="7"/>
      <c r="L68" s="1"/>
      <c r="M68" s="63"/>
      <c r="P68" s="7"/>
      <c r="Q68" s="1"/>
      <c r="R68" s="63"/>
      <c r="U68" s="7"/>
      <c r="V68" s="1"/>
      <c r="W68" s="1"/>
      <c r="X68" s="1"/>
      <c r="Y68" s="1"/>
      <c r="AC68" s="7"/>
      <c r="AD68" s="1"/>
      <c r="AE68" s="1"/>
      <c r="AF68" s="1"/>
      <c r="AG68" s="1"/>
    </row>
    <row r="69" spans="1:35" x14ac:dyDescent="0.25">
      <c r="A69" s="7"/>
      <c r="B69" s="1"/>
      <c r="C69" s="1"/>
      <c r="D69" s="1"/>
      <c r="F69" s="7"/>
      <c r="G69" s="1"/>
      <c r="H69" s="1"/>
      <c r="I69" s="1"/>
      <c r="J69" s="51"/>
      <c r="K69" s="7"/>
      <c r="L69" s="1"/>
      <c r="M69" s="63"/>
      <c r="P69" s="7"/>
      <c r="Q69" s="1"/>
      <c r="R69" s="63"/>
      <c r="U69" s="7"/>
      <c r="V69" s="1"/>
      <c r="W69" s="1"/>
      <c r="X69" s="1"/>
      <c r="Y69" s="1"/>
      <c r="AC69" s="7"/>
      <c r="AD69" s="1"/>
      <c r="AE69" s="1"/>
      <c r="AF69" s="1"/>
      <c r="AG69" s="1"/>
    </row>
    <row r="70" spans="1:35" x14ac:dyDescent="0.25">
      <c r="A70" s="7"/>
      <c r="B70" s="1"/>
      <c r="C70" s="1"/>
      <c r="D70" s="1"/>
      <c r="F70" s="7"/>
      <c r="G70" s="1"/>
      <c r="H70" s="1"/>
      <c r="I70" s="1"/>
      <c r="J70" s="51"/>
      <c r="K70" s="7"/>
      <c r="L70" s="1"/>
      <c r="M70" s="63"/>
      <c r="P70" s="7"/>
      <c r="Q70" s="1"/>
      <c r="R70" s="63"/>
      <c r="U70" s="7"/>
      <c r="V70" s="1"/>
      <c r="W70" s="1"/>
      <c r="X70" s="1"/>
      <c r="Y70" s="1"/>
      <c r="AC70" s="7"/>
      <c r="AD70" s="1"/>
      <c r="AE70" s="1"/>
      <c r="AF70" s="1"/>
      <c r="AG70" s="1"/>
    </row>
    <row r="71" spans="1:35" x14ac:dyDescent="0.25">
      <c r="A71" s="7"/>
      <c r="B71" s="1"/>
      <c r="C71" s="1"/>
      <c r="D71" s="1"/>
      <c r="F71" s="7"/>
      <c r="G71" s="1"/>
      <c r="H71" s="1"/>
      <c r="I71" s="1"/>
      <c r="J71" s="51"/>
      <c r="K71" s="7"/>
      <c r="L71" s="1"/>
      <c r="M71" s="63"/>
      <c r="P71" s="7"/>
      <c r="Q71" s="1"/>
      <c r="R71" s="63"/>
      <c r="U71" s="7"/>
      <c r="V71" s="1"/>
      <c r="W71" s="1"/>
      <c r="X71" s="1"/>
      <c r="Y71" s="1"/>
      <c r="AC71" s="7"/>
      <c r="AD71" s="1"/>
      <c r="AE71" s="1"/>
      <c r="AF71" s="1"/>
      <c r="AG71" s="1"/>
    </row>
    <row r="72" spans="1:35" x14ac:dyDescent="0.25">
      <c r="A72" s="7"/>
      <c r="B72" s="1"/>
      <c r="C72" s="1"/>
      <c r="D72" s="1"/>
      <c r="F72" s="7"/>
      <c r="G72" s="1"/>
      <c r="H72" s="1"/>
      <c r="I72" s="1"/>
      <c r="J72" s="51"/>
      <c r="K72" s="7"/>
      <c r="L72" s="1"/>
      <c r="M72" s="63"/>
      <c r="P72" s="7"/>
      <c r="Q72" s="1"/>
      <c r="R72" s="63"/>
      <c r="U72" s="7"/>
      <c r="V72" s="1"/>
      <c r="W72" s="1"/>
      <c r="X72" s="1"/>
      <c r="Y72" s="1"/>
      <c r="AC72" s="7"/>
      <c r="AD72" s="1"/>
      <c r="AE72" s="1"/>
      <c r="AF72" s="1"/>
      <c r="AG72" s="1"/>
    </row>
    <row r="73" spans="1:35" x14ac:dyDescent="0.25">
      <c r="A73" s="7"/>
      <c r="B73" s="1"/>
      <c r="C73" s="1"/>
      <c r="D73" s="1"/>
      <c r="F73" s="7"/>
      <c r="G73" s="1"/>
      <c r="H73" s="1"/>
      <c r="I73" s="1"/>
      <c r="J73" s="51"/>
      <c r="K73" s="7"/>
      <c r="L73" s="1"/>
      <c r="M73" s="63"/>
      <c r="P73" s="7"/>
      <c r="Q73" s="1"/>
      <c r="R73" s="63"/>
      <c r="U73" s="7"/>
      <c r="V73" s="1"/>
      <c r="W73" s="1"/>
      <c r="X73" s="1"/>
      <c r="Y73" s="1"/>
      <c r="AC73" s="7"/>
      <c r="AD73" s="1"/>
      <c r="AE73" s="1"/>
      <c r="AF73" s="1"/>
      <c r="AG73" s="1"/>
    </row>
    <row r="74" spans="1:35" x14ac:dyDescent="0.25">
      <c r="A74" s="7"/>
      <c r="B74" s="1"/>
      <c r="C74" s="1"/>
      <c r="D74" s="1"/>
      <c r="F74" s="7"/>
      <c r="G74" s="1"/>
      <c r="H74" s="1"/>
      <c r="I74" s="1"/>
      <c r="J74" s="51"/>
      <c r="K74" s="7"/>
      <c r="L74" s="1"/>
      <c r="M74" s="63"/>
      <c r="N74" s="8"/>
      <c r="O74" s="8"/>
      <c r="P74" s="7"/>
      <c r="Q74" s="1"/>
      <c r="R74" s="63"/>
      <c r="S74" s="8"/>
      <c r="T74" s="8"/>
      <c r="U74" s="7"/>
      <c r="V74" s="1"/>
      <c r="W74" s="1"/>
      <c r="X74" s="1"/>
      <c r="Y74" s="1"/>
      <c r="Z74" s="8"/>
      <c r="AA74" s="8"/>
      <c r="AB74" s="8"/>
      <c r="AC74" s="7"/>
      <c r="AD74" s="1"/>
      <c r="AE74" s="1"/>
      <c r="AF74" s="1"/>
      <c r="AG74" s="1"/>
      <c r="AH74" s="8"/>
      <c r="AI74" s="8"/>
    </row>
    <row r="75" spans="1:35" x14ac:dyDescent="0.25">
      <c r="A75" s="7"/>
      <c r="B75" s="1"/>
      <c r="C75" s="1"/>
      <c r="D75" s="1"/>
      <c r="F75" s="7"/>
      <c r="G75" s="1"/>
      <c r="H75" s="1"/>
      <c r="I75" s="1"/>
      <c r="J75" s="51"/>
      <c r="K75" s="7"/>
      <c r="L75" s="1"/>
      <c r="M75" s="63"/>
      <c r="P75" s="7"/>
      <c r="Q75" s="1"/>
      <c r="R75" s="63"/>
      <c r="U75" s="7"/>
      <c r="V75" s="1"/>
      <c r="W75" s="1"/>
      <c r="X75" s="1"/>
      <c r="Y75" s="1"/>
      <c r="AC75" s="7"/>
      <c r="AD75" s="1"/>
      <c r="AE75" s="1"/>
      <c r="AF75" s="1"/>
      <c r="AG75" s="1"/>
    </row>
    <row r="76" spans="1:35" x14ac:dyDescent="0.25">
      <c r="A76" s="7"/>
      <c r="B76" s="1"/>
      <c r="C76" s="1"/>
      <c r="D76" s="1"/>
      <c r="F76" s="7"/>
      <c r="G76" s="1"/>
      <c r="H76" s="1"/>
      <c r="I76" s="1"/>
      <c r="J76" s="51"/>
      <c r="K76" s="7"/>
      <c r="L76" s="1"/>
      <c r="M76" s="63"/>
      <c r="P76" s="7"/>
      <c r="Q76" s="1"/>
      <c r="R76" s="63"/>
      <c r="U76" s="7"/>
      <c r="V76" s="1"/>
      <c r="W76" s="1"/>
      <c r="X76" s="1"/>
      <c r="Y76" s="1"/>
      <c r="AC76" s="7"/>
      <c r="AD76" s="1"/>
      <c r="AE76" s="1"/>
      <c r="AF76" s="1"/>
      <c r="AG76" s="1"/>
    </row>
    <row r="77" spans="1:35" x14ac:dyDescent="0.25">
      <c r="A77" s="7"/>
      <c r="B77" s="1"/>
      <c r="C77" s="1"/>
      <c r="D77" s="1"/>
      <c r="F77" s="7"/>
      <c r="G77" s="1"/>
      <c r="H77" s="1"/>
      <c r="I77" s="1"/>
      <c r="J77" s="51"/>
      <c r="K77" s="7"/>
      <c r="L77" s="1"/>
      <c r="M77" s="63"/>
      <c r="P77" s="7"/>
      <c r="Q77" s="1"/>
      <c r="R77" s="63"/>
      <c r="U77" s="7"/>
      <c r="V77" s="1"/>
      <c r="W77" s="1"/>
      <c r="X77" s="1"/>
      <c r="Y77" s="1"/>
      <c r="AC77" s="7"/>
      <c r="AD77" s="1"/>
      <c r="AE77" s="1"/>
      <c r="AF77" s="1"/>
      <c r="AG77" s="1"/>
    </row>
    <row r="78" spans="1:35" x14ac:dyDescent="0.25">
      <c r="A78" s="7"/>
      <c r="B78" s="1"/>
      <c r="C78" s="1"/>
      <c r="D78" s="1"/>
      <c r="F78" s="7"/>
      <c r="G78" s="1"/>
      <c r="H78" s="1"/>
      <c r="I78" s="1"/>
      <c r="J78" s="51"/>
      <c r="K78" s="7"/>
      <c r="L78" s="1"/>
      <c r="M78" s="63"/>
      <c r="P78" s="7"/>
      <c r="Q78" s="1"/>
      <c r="R78" s="63"/>
      <c r="U78" s="7"/>
      <c r="V78" s="1"/>
      <c r="W78" s="1"/>
      <c r="X78" s="1"/>
      <c r="Y78" s="1"/>
      <c r="AC78" s="7"/>
      <c r="AD78" s="1"/>
      <c r="AE78" s="1"/>
      <c r="AF78" s="1"/>
      <c r="AG78" s="1"/>
    </row>
    <row r="79" spans="1:35" x14ac:dyDescent="0.25">
      <c r="A79" s="7"/>
      <c r="B79" s="1"/>
      <c r="C79" s="1"/>
      <c r="D79" s="1"/>
      <c r="F79" s="7"/>
      <c r="G79" s="1"/>
      <c r="H79" s="1"/>
      <c r="I79" s="1"/>
      <c r="J79" s="51"/>
      <c r="K79" s="7"/>
      <c r="L79" s="1"/>
      <c r="M79" s="63"/>
      <c r="P79" s="7"/>
      <c r="Q79" s="1"/>
      <c r="R79" s="63"/>
      <c r="U79" s="7"/>
      <c r="V79" s="1"/>
      <c r="W79" s="1"/>
      <c r="X79" s="1"/>
      <c r="Y79" s="1"/>
      <c r="AC79" s="7"/>
      <c r="AD79" s="1"/>
      <c r="AE79" s="1"/>
      <c r="AF79" s="1"/>
      <c r="AG79" s="1"/>
    </row>
    <row r="80" spans="1:35" x14ac:dyDescent="0.25">
      <c r="A80" s="7"/>
      <c r="B80" s="1"/>
      <c r="C80" s="1"/>
      <c r="D80" s="1"/>
      <c r="F80" s="7"/>
      <c r="G80" s="1"/>
      <c r="H80" s="1"/>
      <c r="I80" s="1"/>
      <c r="J80" s="51"/>
      <c r="K80" s="7"/>
      <c r="L80" s="1"/>
      <c r="M80" s="63"/>
      <c r="P80" s="7"/>
      <c r="Q80" s="1"/>
      <c r="R80" s="63"/>
      <c r="U80" s="7"/>
      <c r="V80" s="1"/>
      <c r="W80" s="1"/>
      <c r="X80" s="1"/>
      <c r="Y80" s="1"/>
      <c r="AC80" s="7"/>
      <c r="AD80" s="1"/>
      <c r="AE80" s="1"/>
      <c r="AF80" s="1"/>
      <c r="AG80" s="1"/>
    </row>
    <row r="81" spans="1:33" x14ac:dyDescent="0.25">
      <c r="A81" s="7"/>
      <c r="B81" s="1"/>
      <c r="C81" s="1"/>
      <c r="D81" s="1"/>
      <c r="F81" s="7"/>
      <c r="G81" s="1"/>
      <c r="H81" s="1"/>
      <c r="I81" s="1"/>
      <c r="J81" s="51"/>
      <c r="K81" s="7"/>
      <c r="L81" s="1"/>
      <c r="M81" s="63"/>
      <c r="P81" s="7"/>
      <c r="Q81" s="1"/>
      <c r="R81" s="63"/>
      <c r="U81" s="7"/>
      <c r="V81" s="1"/>
      <c r="W81" s="1"/>
      <c r="X81" s="1"/>
      <c r="Y81" s="1"/>
      <c r="AC81" s="7"/>
      <c r="AD81" s="1"/>
      <c r="AE81" s="1"/>
      <c r="AF81" s="1"/>
      <c r="AG81" s="1"/>
    </row>
    <row r="82" spans="1:33" x14ac:dyDescent="0.25">
      <c r="A82" s="7"/>
      <c r="B82" s="1"/>
      <c r="C82" s="1"/>
      <c r="D82" s="1"/>
      <c r="F82" s="7"/>
      <c r="G82" s="1"/>
      <c r="H82" s="1"/>
      <c r="I82" s="1"/>
      <c r="J82" s="51"/>
      <c r="K82" s="7"/>
      <c r="L82" s="1"/>
      <c r="M82" s="63"/>
      <c r="P82" s="7"/>
      <c r="Q82" s="1"/>
      <c r="R82" s="63"/>
      <c r="U82" s="7"/>
      <c r="V82" s="1"/>
      <c r="W82" s="1"/>
      <c r="X82" s="1"/>
      <c r="Y82" s="1"/>
      <c r="AC82" s="7"/>
      <c r="AD82" s="1"/>
      <c r="AE82" s="1"/>
      <c r="AF82" s="1"/>
      <c r="AG82" s="1"/>
    </row>
    <row r="83" spans="1:33" x14ac:dyDescent="0.25">
      <c r="A83" s="7"/>
      <c r="B83" s="1"/>
      <c r="C83" s="1"/>
      <c r="D83" s="1"/>
      <c r="F83" s="7"/>
      <c r="G83" s="1"/>
      <c r="H83" s="1"/>
      <c r="I83" s="1"/>
      <c r="J83" s="51"/>
      <c r="K83" s="7"/>
      <c r="L83" s="1"/>
      <c r="M83" s="63"/>
      <c r="P83" s="7"/>
      <c r="Q83" s="1"/>
      <c r="R83" s="63"/>
      <c r="U83" s="7"/>
      <c r="V83" s="1"/>
      <c r="W83" s="1"/>
      <c r="X83" s="1"/>
      <c r="Y83" s="1"/>
      <c r="AC83" s="7"/>
      <c r="AD83" s="1"/>
      <c r="AE83" s="1"/>
      <c r="AF83" s="1"/>
      <c r="AG83" s="1"/>
    </row>
    <row r="84" spans="1:33" x14ac:dyDescent="0.25">
      <c r="A84" s="7"/>
      <c r="B84" s="1"/>
      <c r="C84" s="1"/>
      <c r="D84" s="1"/>
      <c r="F84" s="7"/>
      <c r="G84" s="1"/>
      <c r="H84" s="1"/>
      <c r="I84" s="1"/>
      <c r="J84" s="51"/>
      <c r="K84" s="7"/>
      <c r="L84" s="1"/>
      <c r="M84" s="63"/>
      <c r="P84" s="7"/>
      <c r="Q84" s="1"/>
      <c r="R84" s="63"/>
      <c r="U84" s="7"/>
      <c r="V84" s="1"/>
      <c r="W84" s="1"/>
      <c r="X84" s="1"/>
      <c r="Y84" s="1"/>
      <c r="AC84" s="7"/>
      <c r="AD84" s="1"/>
      <c r="AE84" s="1"/>
      <c r="AF84" s="1"/>
      <c r="AG84" s="1"/>
    </row>
    <row r="85" spans="1:33" x14ac:dyDescent="0.25">
      <c r="A85" s="7"/>
      <c r="B85" s="1"/>
      <c r="C85" s="1"/>
      <c r="D85" s="1"/>
      <c r="F85" s="7"/>
      <c r="G85" s="1"/>
      <c r="H85" s="1"/>
      <c r="I85" s="1"/>
      <c r="J85" s="51"/>
      <c r="K85" s="7"/>
      <c r="L85" s="1"/>
      <c r="M85" s="63"/>
      <c r="P85" s="7"/>
      <c r="Q85" s="1"/>
      <c r="R85" s="63"/>
      <c r="U85" s="7"/>
      <c r="V85" s="1"/>
      <c r="W85" s="1"/>
      <c r="X85" s="1"/>
      <c r="Y85" s="1"/>
      <c r="AC85" s="7"/>
      <c r="AD85" s="1"/>
      <c r="AE85" s="1"/>
      <c r="AF85" s="1"/>
      <c r="AG85" s="1"/>
    </row>
    <row r="86" spans="1:33" x14ac:dyDescent="0.25">
      <c r="A86" s="7"/>
      <c r="B86" s="1"/>
      <c r="C86" s="1"/>
      <c r="D86" s="1"/>
      <c r="F86" s="7"/>
      <c r="G86" s="1"/>
      <c r="H86" s="1"/>
      <c r="I86" s="1"/>
      <c r="J86" s="51"/>
      <c r="K86" s="7"/>
      <c r="L86" s="1"/>
      <c r="M86" s="63"/>
      <c r="P86" s="7"/>
      <c r="Q86" s="1"/>
      <c r="R86" s="63"/>
      <c r="U86" s="7"/>
      <c r="V86" s="1"/>
      <c r="W86" s="1"/>
      <c r="X86" s="1"/>
      <c r="Y86" s="1"/>
      <c r="AC86" s="7"/>
      <c r="AD86" s="1"/>
      <c r="AE86" s="1"/>
      <c r="AF86" s="1"/>
      <c r="AG86" s="1"/>
    </row>
    <row r="87" spans="1:33" x14ac:dyDescent="0.25">
      <c r="A87" s="7"/>
      <c r="B87" s="1"/>
      <c r="C87" s="1"/>
      <c r="D87" s="1"/>
      <c r="F87" s="7"/>
      <c r="G87" s="1"/>
      <c r="H87" s="1"/>
      <c r="I87" s="1"/>
      <c r="J87" s="51"/>
      <c r="K87" s="7"/>
      <c r="L87" s="1"/>
      <c r="M87" s="63"/>
      <c r="P87" s="7"/>
      <c r="Q87" s="1"/>
      <c r="R87" s="63"/>
      <c r="U87" s="7"/>
      <c r="V87" s="1"/>
      <c r="W87" s="1"/>
      <c r="X87" s="1"/>
      <c r="Y87" s="1"/>
      <c r="AC87" s="7"/>
      <c r="AD87" s="1"/>
      <c r="AE87" s="1"/>
      <c r="AF87" s="1"/>
      <c r="AG87" s="1"/>
    </row>
    <row r="88" spans="1:33" x14ac:dyDescent="0.25">
      <c r="A88" s="7"/>
      <c r="B88" s="1"/>
      <c r="C88" s="1"/>
      <c r="D88" s="1"/>
      <c r="F88" s="7"/>
      <c r="G88" s="1"/>
      <c r="H88" s="1"/>
      <c r="I88" s="1"/>
      <c r="J88" s="51"/>
      <c r="K88" s="7"/>
      <c r="L88" s="1"/>
      <c r="M88" s="63"/>
      <c r="P88" s="7"/>
      <c r="Q88" s="1"/>
      <c r="R88" s="63"/>
      <c r="U88" s="7"/>
      <c r="V88" s="1"/>
      <c r="W88" s="1"/>
      <c r="X88" s="1"/>
      <c r="Y88" s="1"/>
      <c r="AC88" s="7"/>
      <c r="AD88" s="1"/>
      <c r="AE88" s="1"/>
      <c r="AF88" s="1"/>
      <c r="AG88" s="1"/>
    </row>
    <row r="89" spans="1:33" x14ac:dyDescent="0.25">
      <c r="A89" s="7"/>
      <c r="B89" s="1"/>
      <c r="C89" s="1"/>
      <c r="D89" s="1"/>
      <c r="F89" s="7"/>
      <c r="G89" s="1"/>
      <c r="H89" s="1"/>
      <c r="I89" s="1"/>
      <c r="J89" s="51"/>
      <c r="K89" s="7"/>
      <c r="L89" s="1"/>
      <c r="M89" s="63"/>
      <c r="P89" s="7"/>
      <c r="Q89" s="1"/>
      <c r="R89" s="63"/>
      <c r="U89" s="7"/>
      <c r="V89" s="1"/>
      <c r="W89" s="1"/>
      <c r="X89" s="1"/>
      <c r="Y89" s="1"/>
      <c r="AC89" s="7"/>
      <c r="AD89" s="1"/>
      <c r="AE89" s="1"/>
      <c r="AF89" s="1"/>
      <c r="AG89" s="1"/>
    </row>
    <row r="90" spans="1:33" x14ac:dyDescent="0.25">
      <c r="A90" s="7"/>
      <c r="B90" s="1"/>
      <c r="C90" s="1"/>
      <c r="D90" s="1"/>
      <c r="F90" s="7"/>
      <c r="G90" s="1"/>
      <c r="H90" s="1"/>
      <c r="I90" s="1"/>
      <c r="J90" s="51"/>
      <c r="K90" s="7"/>
      <c r="L90" s="1"/>
      <c r="M90" s="63"/>
      <c r="P90" s="7"/>
      <c r="Q90" s="1"/>
      <c r="R90" s="63"/>
      <c r="U90" s="7"/>
      <c r="V90" s="1"/>
      <c r="W90" s="1"/>
      <c r="X90" s="1"/>
      <c r="Y90" s="1"/>
      <c r="AC90" s="7"/>
      <c r="AD90" s="1"/>
      <c r="AE90" s="1"/>
      <c r="AF90" s="1"/>
      <c r="AG90" s="1"/>
    </row>
    <row r="91" spans="1:33" x14ac:dyDescent="0.25">
      <c r="A91" s="7"/>
      <c r="B91" s="1"/>
      <c r="C91" s="1"/>
      <c r="D91" s="1"/>
      <c r="F91" s="7"/>
      <c r="G91" s="1"/>
      <c r="H91" s="1"/>
      <c r="I91" s="1"/>
      <c r="J91" s="51"/>
      <c r="K91" s="7"/>
      <c r="L91" s="1"/>
      <c r="M91" s="63"/>
      <c r="P91" s="7"/>
      <c r="Q91" s="1"/>
      <c r="R91" s="63"/>
      <c r="U91" s="7"/>
      <c r="V91" s="1"/>
      <c r="W91" s="1"/>
      <c r="X91" s="1"/>
      <c r="Y91" s="1"/>
      <c r="AC91" s="7"/>
      <c r="AD91" s="1"/>
      <c r="AE91" s="1"/>
      <c r="AF91" s="1"/>
      <c r="AG91" s="1"/>
    </row>
    <row r="92" spans="1:33" x14ac:dyDescent="0.25">
      <c r="A92" s="7"/>
      <c r="B92" s="1"/>
      <c r="C92" s="1"/>
      <c r="D92" s="1"/>
      <c r="F92" s="7"/>
      <c r="G92" s="1"/>
      <c r="H92" s="1"/>
      <c r="I92" s="1"/>
      <c r="J92" s="51"/>
      <c r="K92" s="7"/>
      <c r="L92" s="1"/>
      <c r="M92" s="63"/>
      <c r="P92" s="7"/>
      <c r="Q92" s="1"/>
      <c r="R92" s="63"/>
      <c r="U92" s="7"/>
      <c r="V92" s="1"/>
      <c r="W92" s="1"/>
      <c r="X92" s="1"/>
      <c r="Y92" s="1"/>
      <c r="AC92" s="7"/>
      <c r="AD92" s="1"/>
      <c r="AE92" s="1"/>
      <c r="AF92" s="1"/>
      <c r="AG92" s="1"/>
    </row>
    <row r="93" spans="1:33" x14ac:dyDescent="0.25">
      <c r="A93" s="7"/>
      <c r="B93" s="1"/>
      <c r="C93" s="1"/>
      <c r="D93" s="1"/>
      <c r="F93" s="7"/>
      <c r="G93" s="1"/>
      <c r="H93" s="1"/>
      <c r="I93" s="1"/>
      <c r="J93" s="51"/>
      <c r="K93" s="7"/>
      <c r="L93" s="1"/>
      <c r="M93" s="63"/>
      <c r="P93" s="7"/>
      <c r="Q93" s="1"/>
      <c r="R93" s="63"/>
      <c r="U93" s="7"/>
      <c r="V93" s="1"/>
      <c r="W93" s="1"/>
      <c r="X93" s="1"/>
      <c r="Y93" s="1"/>
      <c r="AC93" s="7"/>
      <c r="AD93" s="1"/>
      <c r="AE93" s="1"/>
      <c r="AF93" s="1"/>
      <c r="AG93" s="1"/>
    </row>
    <row r="94" spans="1:33" x14ac:dyDescent="0.25">
      <c r="A94" s="7"/>
      <c r="B94" s="1"/>
      <c r="C94" s="1"/>
      <c r="D94" s="1"/>
      <c r="F94" s="7"/>
      <c r="G94" s="1"/>
      <c r="H94" s="1"/>
      <c r="I94" s="1"/>
      <c r="J94" s="51"/>
      <c r="K94" s="7"/>
      <c r="L94" s="1"/>
      <c r="M94" s="63"/>
      <c r="P94" s="7"/>
      <c r="Q94" s="1"/>
      <c r="R94" s="63"/>
      <c r="U94" s="7"/>
      <c r="V94" s="1"/>
      <c r="W94" s="1"/>
      <c r="X94" s="1"/>
      <c r="Y94" s="1"/>
      <c r="AC94" s="7"/>
      <c r="AD94" s="1"/>
      <c r="AE94" s="1"/>
      <c r="AF94" s="1"/>
      <c r="AG94" s="1"/>
    </row>
    <row r="95" spans="1:33" x14ac:dyDescent="0.25">
      <c r="A95" s="7"/>
      <c r="B95" s="1"/>
      <c r="C95" s="1"/>
      <c r="D95" s="1"/>
      <c r="F95" s="7"/>
      <c r="G95" s="1"/>
      <c r="H95" s="1"/>
      <c r="I95" s="1"/>
      <c r="J95" s="51"/>
      <c r="K95" s="7"/>
      <c r="L95" s="1"/>
      <c r="M95" s="63"/>
      <c r="P95" s="7"/>
      <c r="Q95" s="1"/>
      <c r="R95" s="63"/>
      <c r="U95" s="7"/>
      <c r="V95" s="1"/>
      <c r="W95" s="1"/>
      <c r="X95" s="1"/>
      <c r="Y95" s="1"/>
      <c r="AC95" s="7"/>
      <c r="AD95" s="1"/>
      <c r="AE95" s="1"/>
      <c r="AF95" s="1"/>
      <c r="AG95" s="1"/>
    </row>
    <row r="96" spans="1:33" x14ac:dyDescent="0.25">
      <c r="A96" s="7"/>
      <c r="B96" s="1"/>
      <c r="C96" s="1"/>
      <c r="D96" s="1"/>
      <c r="F96" s="7"/>
      <c r="G96" s="1"/>
      <c r="H96" s="1"/>
      <c r="I96" s="1"/>
      <c r="J96" s="51"/>
      <c r="K96" s="7"/>
      <c r="L96" s="1"/>
      <c r="M96" s="63"/>
      <c r="P96" s="7"/>
      <c r="Q96" s="1"/>
      <c r="R96" s="63"/>
      <c r="U96" s="7"/>
      <c r="V96" s="1"/>
      <c r="W96" s="1"/>
      <c r="X96" s="1"/>
      <c r="Y96" s="1"/>
      <c r="AC96" s="7"/>
      <c r="AD96" s="1"/>
      <c r="AE96" s="1"/>
      <c r="AF96" s="1"/>
      <c r="AG96" s="1"/>
    </row>
    <row r="97" spans="1:33" x14ac:dyDescent="0.25">
      <c r="A97" s="7"/>
      <c r="B97" s="1"/>
      <c r="C97" s="1"/>
      <c r="D97" s="1"/>
      <c r="F97" s="7"/>
      <c r="G97" s="1"/>
      <c r="H97" s="1"/>
      <c r="I97" s="1"/>
      <c r="J97" s="51"/>
      <c r="K97" s="7"/>
      <c r="L97" s="1"/>
      <c r="M97" s="63"/>
      <c r="P97" s="7"/>
      <c r="Q97" s="1"/>
      <c r="R97" s="63"/>
      <c r="U97" s="7"/>
      <c r="V97" s="1"/>
      <c r="W97" s="1"/>
      <c r="X97" s="1"/>
      <c r="Y97" s="1"/>
      <c r="AC97" s="7"/>
      <c r="AD97" s="1"/>
      <c r="AE97" s="1"/>
      <c r="AF97" s="1"/>
      <c r="AG97" s="1"/>
    </row>
    <row r="98" spans="1:33" x14ac:dyDescent="0.25">
      <c r="A98" s="7"/>
      <c r="B98" s="1"/>
      <c r="C98" s="1"/>
      <c r="D98" s="1"/>
      <c r="F98" s="7"/>
      <c r="G98" s="1"/>
      <c r="H98" s="1"/>
      <c r="I98" s="1"/>
      <c r="J98" s="51"/>
      <c r="K98" s="7"/>
      <c r="L98" s="1"/>
      <c r="M98" s="63"/>
      <c r="P98" s="7"/>
      <c r="Q98" s="1"/>
      <c r="R98" s="63"/>
      <c r="U98" s="7"/>
      <c r="V98" s="1"/>
      <c r="W98" s="1"/>
      <c r="X98" s="1"/>
      <c r="Y98" s="1"/>
      <c r="AC98" s="7"/>
      <c r="AD98" s="1"/>
      <c r="AE98" s="1"/>
      <c r="AF98" s="1"/>
      <c r="AG98" s="1"/>
    </row>
    <row r="99" spans="1:33" x14ac:dyDescent="0.25">
      <c r="A99" s="7"/>
      <c r="B99" s="1"/>
      <c r="C99" s="1"/>
      <c r="D99" s="1"/>
      <c r="F99" s="7"/>
      <c r="G99" s="1"/>
      <c r="H99" s="1"/>
      <c r="I99" s="1"/>
      <c r="J99" s="51"/>
      <c r="K99" s="7"/>
      <c r="L99" s="1"/>
      <c r="M99" s="63"/>
      <c r="P99" s="7"/>
      <c r="Q99" s="1"/>
      <c r="R99" s="63"/>
      <c r="U99" s="7"/>
      <c r="V99" s="1"/>
      <c r="W99" s="1"/>
      <c r="X99" s="1"/>
      <c r="Y99" s="1"/>
      <c r="AC99" s="7"/>
      <c r="AD99" s="1"/>
      <c r="AE99" s="1"/>
      <c r="AF99" s="1"/>
      <c r="AG99" s="1"/>
    </row>
    <row r="100" spans="1:33" x14ac:dyDescent="0.25">
      <c r="A100" s="7"/>
      <c r="B100" s="1"/>
      <c r="C100" s="1"/>
      <c r="D100" s="1"/>
      <c r="F100" s="7"/>
      <c r="G100" s="1"/>
      <c r="H100" s="1"/>
      <c r="I100" s="1"/>
      <c r="J100" s="51"/>
      <c r="K100" s="7"/>
      <c r="L100" s="1"/>
      <c r="M100" s="63"/>
      <c r="P100" s="7"/>
      <c r="Q100" s="1"/>
      <c r="R100" s="63"/>
      <c r="U100" s="7"/>
      <c r="V100" s="1"/>
      <c r="W100" s="1"/>
      <c r="X100" s="1"/>
      <c r="Y100" s="1"/>
      <c r="AC100" s="7"/>
      <c r="AD100" s="1"/>
      <c r="AE100" s="1"/>
      <c r="AF100" s="1"/>
      <c r="AG100" s="1"/>
    </row>
    <row r="101" spans="1:33" x14ac:dyDescent="0.25">
      <c r="A101" s="7"/>
      <c r="B101" s="1"/>
      <c r="C101" s="1"/>
      <c r="D101" s="1"/>
      <c r="F101" s="7"/>
      <c r="G101" s="1"/>
      <c r="H101" s="1"/>
      <c r="I101" s="1"/>
      <c r="J101" s="51"/>
      <c r="K101" s="7"/>
      <c r="L101" s="1"/>
      <c r="M101" s="63"/>
      <c r="P101" s="7"/>
      <c r="Q101" s="1"/>
      <c r="R101" s="63"/>
      <c r="U101" s="7"/>
      <c r="V101" s="1"/>
      <c r="W101" s="1"/>
      <c r="X101" s="1"/>
      <c r="Y101" s="1"/>
      <c r="AC101" s="7"/>
      <c r="AD101" s="1"/>
      <c r="AE101" s="1"/>
      <c r="AF101" s="1"/>
      <c r="AG101" s="1"/>
    </row>
    <row r="102" spans="1:33" x14ac:dyDescent="0.25">
      <c r="A102" s="7"/>
      <c r="B102" s="1"/>
      <c r="C102" s="1"/>
      <c r="D102" s="1"/>
      <c r="F102" s="7"/>
      <c r="G102" s="1"/>
      <c r="H102" s="1"/>
      <c r="I102" s="1"/>
      <c r="J102" s="51"/>
      <c r="K102" s="7"/>
      <c r="L102" s="1"/>
      <c r="M102" s="63"/>
      <c r="P102" s="7"/>
      <c r="Q102" s="1"/>
      <c r="R102" s="63"/>
      <c r="U102" s="7"/>
      <c r="V102" s="1"/>
      <c r="W102" s="1"/>
      <c r="X102" s="1"/>
      <c r="Y102" s="1"/>
      <c r="AC102" s="7"/>
      <c r="AD102" s="1"/>
      <c r="AE102" s="1"/>
      <c r="AF102" s="1"/>
      <c r="AG102" s="1"/>
    </row>
    <row r="103" spans="1:33" x14ac:dyDescent="0.25">
      <c r="A103" s="7"/>
      <c r="B103" s="1"/>
      <c r="C103" s="1"/>
      <c r="D103" s="1"/>
      <c r="F103" s="7"/>
      <c r="G103" s="1"/>
      <c r="H103" s="1"/>
      <c r="I103" s="1"/>
      <c r="J103" s="51"/>
      <c r="K103" s="7"/>
      <c r="L103" s="1"/>
      <c r="M103" s="63"/>
      <c r="P103" s="7"/>
      <c r="Q103" s="1"/>
      <c r="R103" s="63"/>
      <c r="U103" s="7"/>
      <c r="V103" s="1"/>
      <c r="W103" s="1"/>
      <c r="X103" s="1"/>
      <c r="Y103" s="1"/>
      <c r="AC103" s="7"/>
      <c r="AD103" s="1"/>
      <c r="AE103" s="1"/>
      <c r="AF103" s="1"/>
      <c r="AG103" s="1"/>
    </row>
    <row r="104" spans="1:33" x14ac:dyDescent="0.25">
      <c r="A104" s="7"/>
      <c r="B104" s="1"/>
      <c r="C104" s="1"/>
      <c r="D104" s="1"/>
      <c r="F104" s="7"/>
      <c r="G104" s="1"/>
      <c r="H104" s="1"/>
      <c r="I104" s="1"/>
      <c r="J104" s="51"/>
      <c r="K104" s="7"/>
      <c r="L104" s="1"/>
      <c r="M104" s="63"/>
      <c r="P104" s="7"/>
      <c r="Q104" s="1"/>
      <c r="R104" s="63"/>
      <c r="U104" s="7"/>
      <c r="V104" s="1"/>
      <c r="W104" s="1"/>
      <c r="X104" s="1"/>
      <c r="Y104" s="1"/>
      <c r="AC104" s="7"/>
      <c r="AD104" s="1"/>
      <c r="AE104" s="1"/>
      <c r="AF104" s="1"/>
      <c r="AG104" s="1"/>
    </row>
    <row r="105" spans="1:33" x14ac:dyDescent="0.25">
      <c r="A105" s="7"/>
      <c r="B105" s="1"/>
      <c r="C105" s="1"/>
      <c r="D105" s="1"/>
      <c r="F105" s="7"/>
      <c r="G105" s="1"/>
      <c r="H105" s="1"/>
      <c r="I105" s="1"/>
      <c r="J105" s="51"/>
      <c r="K105" s="7"/>
      <c r="L105" s="1"/>
      <c r="M105" s="63"/>
      <c r="P105" s="7"/>
      <c r="Q105" s="1"/>
      <c r="R105" s="63"/>
      <c r="U105" s="7"/>
      <c r="V105" s="1"/>
      <c r="W105" s="1"/>
      <c r="X105" s="1"/>
      <c r="Y105" s="1"/>
      <c r="AC105" s="7"/>
      <c r="AD105" s="1"/>
      <c r="AE105" s="1"/>
      <c r="AF105" s="1"/>
      <c r="AG105" s="1"/>
    </row>
    <row r="106" spans="1:33" x14ac:dyDescent="0.25">
      <c r="A106" s="7"/>
      <c r="B106" s="1"/>
      <c r="C106" s="1"/>
      <c r="D106" s="1"/>
      <c r="F106" s="7"/>
      <c r="G106" s="1"/>
      <c r="H106" s="1"/>
      <c r="I106" s="1"/>
      <c r="J106" s="51"/>
      <c r="K106" s="7"/>
      <c r="L106" s="1"/>
      <c r="M106" s="63"/>
      <c r="P106" s="7"/>
      <c r="Q106" s="1"/>
      <c r="R106" s="63"/>
      <c r="U106" s="7"/>
      <c r="V106" s="1"/>
      <c r="W106" s="1"/>
      <c r="X106" s="1"/>
      <c r="Y106" s="1"/>
      <c r="AC106" s="7"/>
      <c r="AD106" s="1"/>
      <c r="AE106" s="1"/>
      <c r="AF106" s="1"/>
      <c r="AG106" s="1"/>
    </row>
    <row r="107" spans="1:33" x14ac:dyDescent="0.25">
      <c r="A107" s="7"/>
      <c r="B107" s="1"/>
      <c r="C107" s="1"/>
      <c r="D107" s="1"/>
      <c r="F107" s="7"/>
      <c r="G107" s="1"/>
      <c r="H107" s="1"/>
      <c r="I107" s="1"/>
      <c r="J107" s="51"/>
      <c r="K107" s="7"/>
      <c r="L107" s="1"/>
      <c r="M107" s="63"/>
      <c r="P107" s="7"/>
      <c r="Q107" s="1"/>
      <c r="R107" s="63"/>
      <c r="U107" s="7"/>
      <c r="V107" s="1"/>
      <c r="W107" s="1"/>
      <c r="X107" s="1"/>
      <c r="Y107" s="1"/>
      <c r="AC107" s="7"/>
      <c r="AD107" s="1"/>
      <c r="AE107" s="1"/>
      <c r="AF107" s="1"/>
      <c r="AG107" s="1"/>
    </row>
    <row r="108" spans="1:33" x14ac:dyDescent="0.25">
      <c r="A108" s="7"/>
      <c r="B108" s="1"/>
      <c r="C108" s="1"/>
      <c r="D108" s="1"/>
      <c r="F108" s="7"/>
      <c r="G108" s="1"/>
      <c r="H108" s="1"/>
      <c r="I108" s="1"/>
      <c r="J108" s="51"/>
      <c r="K108" s="7"/>
      <c r="L108" s="1"/>
      <c r="M108" s="63"/>
      <c r="P108" s="7"/>
      <c r="Q108" s="1"/>
      <c r="R108" s="63"/>
      <c r="U108" s="7"/>
      <c r="V108" s="1"/>
      <c r="W108" s="1"/>
      <c r="X108" s="1"/>
      <c r="Y108" s="1"/>
      <c r="AC108" s="7"/>
      <c r="AD108" s="1"/>
      <c r="AE108" s="1"/>
      <c r="AF108" s="1"/>
      <c r="AG108" s="1"/>
    </row>
    <row r="109" spans="1:33" x14ac:dyDescent="0.25">
      <c r="A109" s="7"/>
      <c r="B109" s="1"/>
      <c r="C109" s="1"/>
      <c r="D109" s="1"/>
      <c r="F109" s="7"/>
      <c r="G109" s="1"/>
      <c r="H109" s="1"/>
      <c r="I109" s="1"/>
      <c r="J109" s="51"/>
      <c r="K109" s="7"/>
      <c r="L109" s="1"/>
      <c r="M109" s="63"/>
      <c r="P109" s="7"/>
      <c r="Q109" s="1"/>
      <c r="R109" s="63"/>
      <c r="U109" s="7"/>
      <c r="V109" s="1"/>
      <c r="W109" s="1"/>
      <c r="X109" s="1"/>
      <c r="Y109" s="1"/>
      <c r="AC109" s="7"/>
      <c r="AD109" s="1"/>
      <c r="AE109" s="1"/>
      <c r="AF109" s="1"/>
      <c r="AG109" s="1"/>
    </row>
    <row r="110" spans="1:33" x14ac:dyDescent="0.25">
      <c r="A110" s="7"/>
      <c r="B110" s="1"/>
      <c r="C110" s="1"/>
      <c r="D110" s="1"/>
      <c r="F110" s="7"/>
      <c r="G110" s="1"/>
      <c r="H110" s="1"/>
      <c r="I110" s="1"/>
      <c r="J110" s="51"/>
      <c r="K110" s="7"/>
      <c r="L110" s="1"/>
      <c r="M110" s="63"/>
      <c r="P110" s="7"/>
      <c r="Q110" s="1"/>
      <c r="R110" s="63"/>
      <c r="U110" s="7"/>
      <c r="V110" s="1"/>
      <c r="W110" s="1"/>
      <c r="X110" s="1"/>
      <c r="Y110" s="1"/>
      <c r="AC110" s="7"/>
      <c r="AD110" s="1"/>
      <c r="AE110" s="1"/>
      <c r="AF110" s="1"/>
      <c r="AG110" s="1"/>
    </row>
    <row r="111" spans="1:33" x14ac:dyDescent="0.25">
      <c r="A111" s="7"/>
      <c r="B111" s="1"/>
      <c r="C111" s="1"/>
      <c r="D111" s="1"/>
      <c r="F111" s="7"/>
      <c r="G111" s="1"/>
      <c r="H111" s="1"/>
      <c r="I111" s="1"/>
      <c r="J111" s="51"/>
      <c r="K111" s="7"/>
      <c r="L111" s="1"/>
      <c r="M111" s="63"/>
      <c r="P111" s="7"/>
      <c r="Q111" s="1"/>
      <c r="R111" s="63"/>
      <c r="U111" s="7"/>
      <c r="V111" s="1"/>
      <c r="W111" s="1"/>
      <c r="X111" s="1"/>
      <c r="Y111" s="1"/>
      <c r="AC111" s="7"/>
      <c r="AD111" s="1"/>
      <c r="AE111" s="1"/>
      <c r="AF111" s="1"/>
      <c r="AG111" s="1"/>
    </row>
    <row r="112" spans="1:33" x14ac:dyDescent="0.25">
      <c r="A112" s="7"/>
      <c r="B112" s="1"/>
      <c r="C112" s="1"/>
      <c r="D112" s="1"/>
      <c r="F112" s="7"/>
      <c r="G112" s="1"/>
      <c r="H112" s="1"/>
      <c r="I112" s="1"/>
      <c r="J112" s="51"/>
      <c r="K112" s="7"/>
      <c r="L112" s="1"/>
      <c r="M112" s="63"/>
      <c r="P112" s="7"/>
      <c r="Q112" s="1"/>
      <c r="R112" s="63"/>
      <c r="U112" s="7"/>
      <c r="V112" s="1"/>
      <c r="W112" s="1"/>
      <c r="X112" s="1"/>
      <c r="Y112" s="1"/>
      <c r="AC112" s="7"/>
      <c r="AD112" s="1"/>
      <c r="AE112" s="1"/>
      <c r="AF112" s="1"/>
      <c r="AG112" s="1"/>
    </row>
    <row r="113" spans="1:33" x14ac:dyDescent="0.25">
      <c r="A113" s="7"/>
      <c r="B113" s="1"/>
      <c r="C113" s="1"/>
      <c r="D113" s="1"/>
      <c r="F113" s="7"/>
      <c r="G113" s="1"/>
      <c r="H113" s="1"/>
      <c r="I113" s="1"/>
      <c r="J113" s="51"/>
      <c r="K113" s="7"/>
      <c r="L113" s="1"/>
      <c r="M113" s="63"/>
      <c r="P113" s="7"/>
      <c r="Q113" s="1"/>
      <c r="R113" s="63"/>
      <c r="U113" s="7"/>
      <c r="V113" s="1"/>
      <c r="W113" s="1"/>
      <c r="X113" s="1"/>
      <c r="Y113" s="1"/>
      <c r="AC113" s="7"/>
      <c r="AD113" s="1"/>
      <c r="AE113" s="1"/>
      <c r="AF113" s="1"/>
      <c r="AG113" s="1"/>
    </row>
    <row r="114" spans="1:33" x14ac:dyDescent="0.25">
      <c r="A114" s="7"/>
      <c r="B114" s="1"/>
      <c r="C114" s="1"/>
      <c r="D114" s="1"/>
      <c r="F114" s="7"/>
      <c r="G114" s="1"/>
      <c r="H114" s="1"/>
      <c r="I114" s="1"/>
      <c r="J114" s="51"/>
      <c r="K114" s="7"/>
      <c r="L114" s="1"/>
      <c r="M114" s="63"/>
      <c r="P114" s="7"/>
      <c r="Q114" s="1"/>
      <c r="R114" s="63"/>
      <c r="U114" s="7"/>
      <c r="V114" s="1"/>
      <c r="W114" s="1"/>
      <c r="X114" s="1"/>
      <c r="Y114" s="1"/>
      <c r="AC114" s="7"/>
      <c r="AD114" s="1"/>
      <c r="AE114" s="1"/>
      <c r="AF114" s="1"/>
      <c r="AG114" s="1"/>
    </row>
    <row r="115" spans="1:33" x14ac:dyDescent="0.25">
      <c r="A115" s="7"/>
      <c r="B115" s="1"/>
      <c r="C115" s="1"/>
      <c r="D115" s="1"/>
      <c r="F115" s="7"/>
      <c r="G115" s="1"/>
      <c r="H115" s="1"/>
      <c r="I115" s="1"/>
      <c r="J115" s="51"/>
      <c r="K115" s="7"/>
      <c r="L115" s="1"/>
      <c r="M115" s="63"/>
      <c r="P115" s="7"/>
      <c r="Q115" s="1"/>
      <c r="R115" s="63"/>
      <c r="U115" s="7"/>
      <c r="V115" s="1"/>
      <c r="W115" s="1"/>
      <c r="X115" s="1"/>
      <c r="Y115" s="1"/>
      <c r="AC115" s="7"/>
      <c r="AD115" s="1"/>
      <c r="AE115" s="1"/>
      <c r="AF115" s="1"/>
      <c r="AG115" s="1"/>
    </row>
    <row r="116" spans="1:33" x14ac:dyDescent="0.25">
      <c r="A116" s="7"/>
      <c r="B116" s="1"/>
      <c r="C116" s="1"/>
      <c r="D116" s="1"/>
      <c r="F116" s="7"/>
      <c r="G116" s="1"/>
      <c r="H116" s="1"/>
      <c r="I116" s="1"/>
      <c r="J116" s="51"/>
      <c r="K116" s="7"/>
      <c r="L116" s="1"/>
      <c r="M116" s="63"/>
      <c r="P116" s="7"/>
      <c r="Q116" s="1"/>
      <c r="R116" s="63"/>
      <c r="U116" s="7"/>
      <c r="V116" s="1"/>
      <c r="W116" s="1"/>
      <c r="X116" s="1"/>
      <c r="Y116" s="1"/>
      <c r="AC116" s="7"/>
      <c r="AD116" s="1"/>
      <c r="AE116" s="1"/>
      <c r="AF116" s="1"/>
      <c r="AG116" s="1"/>
    </row>
    <row r="117" spans="1:33" x14ac:dyDescent="0.25">
      <c r="A117" s="7"/>
      <c r="B117" s="1"/>
      <c r="C117" s="1"/>
      <c r="D117" s="1"/>
      <c r="F117" s="7"/>
      <c r="G117" s="1"/>
      <c r="H117" s="1"/>
      <c r="I117" s="1"/>
      <c r="J117" s="51"/>
      <c r="K117" s="7"/>
      <c r="L117" s="1"/>
      <c r="M117" s="63"/>
      <c r="P117" s="7"/>
      <c r="Q117" s="1"/>
      <c r="R117" s="63"/>
      <c r="U117" s="7"/>
      <c r="V117" s="1"/>
      <c r="W117" s="1"/>
      <c r="X117" s="1"/>
      <c r="Y117" s="1"/>
      <c r="AC117" s="7"/>
      <c r="AD117" s="1"/>
      <c r="AE117" s="1"/>
      <c r="AF117" s="1"/>
      <c r="AG117" s="1"/>
    </row>
    <row r="118" spans="1:33" x14ac:dyDescent="0.25">
      <c r="A118" s="7"/>
      <c r="B118" s="1"/>
      <c r="C118" s="1"/>
      <c r="D118" s="1"/>
      <c r="F118" s="7"/>
      <c r="G118" s="1"/>
      <c r="H118" s="1"/>
      <c r="I118" s="1"/>
      <c r="J118" s="51"/>
      <c r="K118" s="7"/>
      <c r="L118" s="1"/>
      <c r="M118" s="63"/>
      <c r="P118" s="7"/>
      <c r="Q118" s="1"/>
      <c r="R118" s="63"/>
      <c r="U118" s="7"/>
      <c r="V118" s="1"/>
      <c r="W118" s="1"/>
      <c r="X118" s="1"/>
      <c r="Y118" s="1"/>
      <c r="AC118" s="7"/>
      <c r="AD118" s="1"/>
      <c r="AE118" s="1"/>
      <c r="AF118" s="1"/>
      <c r="AG118" s="1"/>
    </row>
    <row r="119" spans="1:33" x14ac:dyDescent="0.25">
      <c r="A119" s="7"/>
      <c r="B119" s="1"/>
      <c r="C119" s="1"/>
      <c r="D119" s="1"/>
      <c r="F119" s="7"/>
      <c r="G119" s="1"/>
      <c r="H119" s="1"/>
      <c r="I119" s="1"/>
      <c r="J119" s="51"/>
      <c r="K119" s="7"/>
      <c r="L119" s="1"/>
      <c r="M119" s="63"/>
      <c r="P119" s="7"/>
      <c r="Q119" s="1"/>
      <c r="R119" s="63"/>
      <c r="U119" s="7"/>
      <c r="V119" s="1"/>
      <c r="W119" s="1"/>
      <c r="X119" s="1"/>
      <c r="Y119" s="1"/>
      <c r="AC119" s="7"/>
      <c r="AD119" s="1"/>
      <c r="AE119" s="1"/>
      <c r="AF119" s="1"/>
      <c r="AG119" s="1"/>
    </row>
    <row r="120" spans="1:33" x14ac:dyDescent="0.25">
      <c r="A120" s="7"/>
      <c r="B120" s="1"/>
      <c r="C120" s="1"/>
      <c r="D120" s="1"/>
      <c r="F120" s="7"/>
      <c r="G120" s="1"/>
      <c r="H120" s="1"/>
      <c r="I120" s="1"/>
      <c r="J120" s="51"/>
      <c r="K120" s="7"/>
      <c r="L120" s="1"/>
      <c r="M120" s="63"/>
      <c r="P120" s="7"/>
      <c r="Q120" s="1"/>
      <c r="R120" s="63"/>
      <c r="U120" s="7"/>
      <c r="V120" s="1"/>
      <c r="W120" s="1"/>
      <c r="X120" s="1"/>
      <c r="Y120" s="1"/>
      <c r="AC120" s="7"/>
      <c r="AD120" s="1"/>
      <c r="AE120" s="1"/>
      <c r="AF120" s="1"/>
      <c r="AG120" s="1"/>
    </row>
    <row r="121" spans="1:33" x14ac:dyDescent="0.25">
      <c r="A121" s="7"/>
      <c r="B121" s="1"/>
      <c r="C121" s="1"/>
      <c r="D121" s="1"/>
      <c r="F121" s="7"/>
      <c r="G121" s="1"/>
      <c r="H121" s="1"/>
      <c r="I121" s="1"/>
      <c r="J121" s="51"/>
      <c r="K121" s="7"/>
      <c r="L121" s="1"/>
      <c r="M121" s="63"/>
      <c r="P121" s="7"/>
      <c r="Q121" s="1"/>
      <c r="R121" s="63"/>
      <c r="U121" s="7"/>
      <c r="V121" s="1"/>
      <c r="W121" s="1"/>
      <c r="X121" s="1"/>
      <c r="Y121" s="1"/>
      <c r="AC121" s="7"/>
      <c r="AD121" s="1"/>
      <c r="AE121" s="1"/>
      <c r="AF121" s="1"/>
      <c r="AG121" s="1"/>
    </row>
    <row r="122" spans="1:33" x14ac:dyDescent="0.25">
      <c r="A122" s="7"/>
      <c r="B122" s="1"/>
      <c r="C122" s="1"/>
      <c r="D122" s="1"/>
      <c r="F122" s="7"/>
      <c r="G122" s="1"/>
      <c r="H122" s="1"/>
      <c r="I122" s="1"/>
      <c r="J122" s="51"/>
      <c r="K122" s="7"/>
      <c r="L122" s="1"/>
      <c r="M122" s="63"/>
      <c r="P122" s="7"/>
      <c r="Q122" s="1"/>
      <c r="R122" s="63"/>
      <c r="U122" s="7"/>
      <c r="V122" s="1"/>
      <c r="W122" s="1"/>
      <c r="X122" s="1"/>
      <c r="Y122" s="1"/>
      <c r="AC122" s="7"/>
      <c r="AD122" s="1"/>
      <c r="AE122" s="1"/>
      <c r="AF122" s="1"/>
      <c r="AG122" s="1"/>
    </row>
    <row r="123" spans="1:33" x14ac:dyDescent="0.25">
      <c r="A123" s="7"/>
      <c r="B123" s="1"/>
      <c r="C123" s="1"/>
      <c r="D123" s="1"/>
      <c r="F123" s="7"/>
      <c r="G123" s="1"/>
      <c r="H123" s="1"/>
      <c r="I123" s="1"/>
      <c r="J123" s="51"/>
      <c r="K123" s="7"/>
      <c r="L123" s="1"/>
      <c r="M123" s="63"/>
      <c r="P123" s="7"/>
      <c r="Q123" s="1"/>
      <c r="R123" s="63"/>
      <c r="U123" s="7"/>
      <c r="V123" s="1"/>
      <c r="W123" s="1"/>
      <c r="X123" s="1"/>
      <c r="Y123" s="1"/>
      <c r="AC123" s="7"/>
      <c r="AD123" s="1"/>
      <c r="AE123" s="1"/>
      <c r="AF123" s="1"/>
      <c r="AG123" s="1"/>
    </row>
    <row r="124" spans="1:33" x14ac:dyDescent="0.25">
      <c r="A124" s="7"/>
      <c r="B124" s="1"/>
      <c r="C124" s="1"/>
      <c r="D124" s="1"/>
      <c r="F124" s="7"/>
      <c r="G124" s="1"/>
      <c r="H124" s="1"/>
      <c r="I124" s="1"/>
      <c r="J124" s="51"/>
      <c r="K124" s="7"/>
      <c r="L124" s="1"/>
      <c r="M124" s="63"/>
      <c r="P124" s="7"/>
      <c r="Q124" s="1"/>
      <c r="R124" s="63"/>
      <c r="U124" s="7"/>
      <c r="V124" s="1"/>
      <c r="W124" s="1"/>
      <c r="X124" s="1"/>
      <c r="Y124" s="1"/>
      <c r="AC124" s="7"/>
      <c r="AD124" s="1"/>
      <c r="AE124" s="1"/>
      <c r="AF124" s="1"/>
      <c r="AG124" s="1"/>
    </row>
    <row r="125" spans="1:33" x14ac:dyDescent="0.25">
      <c r="A125" s="7"/>
      <c r="B125" s="1"/>
      <c r="C125" s="1"/>
      <c r="D125" s="1"/>
      <c r="F125" s="7"/>
      <c r="G125" s="1"/>
      <c r="H125" s="1"/>
      <c r="I125" s="1"/>
      <c r="J125" s="51"/>
      <c r="K125" s="7"/>
      <c r="L125" s="1"/>
      <c r="M125" s="63"/>
      <c r="P125" s="7"/>
      <c r="Q125" s="1"/>
      <c r="R125" s="63"/>
      <c r="U125" s="7"/>
      <c r="V125" s="1"/>
      <c r="W125" s="1"/>
      <c r="X125" s="1"/>
      <c r="Y125" s="1"/>
      <c r="AC125" s="7"/>
      <c r="AD125" s="1"/>
      <c r="AE125" s="1"/>
      <c r="AF125" s="1"/>
      <c r="AG125" s="1"/>
    </row>
    <row r="126" spans="1:33" x14ac:dyDescent="0.25">
      <c r="A126" s="7"/>
      <c r="B126" s="1"/>
      <c r="C126" s="1"/>
      <c r="D126" s="1"/>
      <c r="F126" s="7"/>
      <c r="G126" s="1"/>
      <c r="H126" s="1"/>
      <c r="I126" s="1"/>
      <c r="J126" s="51"/>
      <c r="K126" s="7"/>
      <c r="L126" s="1"/>
      <c r="M126" s="63"/>
      <c r="P126" s="7"/>
      <c r="Q126" s="1"/>
      <c r="R126" s="63"/>
      <c r="U126" s="7"/>
      <c r="V126" s="1"/>
      <c r="W126" s="1"/>
      <c r="X126" s="1"/>
      <c r="Y126" s="1"/>
      <c r="AC126" s="7"/>
      <c r="AD126" s="1"/>
      <c r="AE126" s="1"/>
      <c r="AF126" s="1"/>
      <c r="AG126" s="1"/>
    </row>
    <row r="127" spans="1:33" x14ac:dyDescent="0.25">
      <c r="A127" s="7"/>
      <c r="B127" s="1"/>
      <c r="C127" s="1"/>
      <c r="D127" s="1"/>
      <c r="F127" s="7"/>
      <c r="G127" s="1"/>
      <c r="H127" s="1"/>
      <c r="I127" s="1"/>
      <c r="J127" s="51"/>
      <c r="K127" s="7"/>
      <c r="L127" s="1"/>
      <c r="M127" s="63"/>
      <c r="P127" s="7"/>
      <c r="Q127" s="1"/>
      <c r="R127" s="63"/>
      <c r="U127" s="7"/>
      <c r="V127" s="1"/>
      <c r="W127" s="1"/>
      <c r="X127" s="1"/>
      <c r="Y127" s="1"/>
      <c r="AC127" s="7"/>
      <c r="AD127" s="1"/>
      <c r="AE127" s="1"/>
      <c r="AF127" s="1"/>
      <c r="AG127" s="1"/>
    </row>
    <row r="128" spans="1:33" x14ac:dyDescent="0.25">
      <c r="A128" s="7"/>
      <c r="B128" s="1"/>
      <c r="C128" s="1"/>
      <c r="D128" s="1"/>
      <c r="F128" s="7"/>
      <c r="G128" s="1"/>
      <c r="H128" s="1"/>
      <c r="I128" s="1"/>
      <c r="J128" s="51"/>
      <c r="K128" s="7"/>
      <c r="L128" s="1"/>
      <c r="M128" s="63"/>
      <c r="P128" s="7"/>
      <c r="Q128" s="1"/>
      <c r="R128" s="63"/>
      <c r="U128" s="7"/>
      <c r="V128" s="1"/>
      <c r="W128" s="1"/>
      <c r="X128" s="1"/>
      <c r="Y128" s="1"/>
      <c r="AC128" s="7"/>
      <c r="AD128" s="1"/>
      <c r="AE128" s="1"/>
      <c r="AF128" s="1"/>
      <c r="AG128" s="1"/>
    </row>
    <row r="129" spans="1:33" x14ac:dyDescent="0.25">
      <c r="A129" s="7"/>
      <c r="B129" s="1"/>
      <c r="C129" s="1"/>
      <c r="D129" s="1"/>
      <c r="F129" s="7"/>
      <c r="G129" s="1"/>
      <c r="H129" s="1"/>
      <c r="I129" s="1"/>
      <c r="J129" s="51"/>
      <c r="K129" s="7"/>
      <c r="L129" s="1"/>
      <c r="M129" s="63"/>
      <c r="P129" s="7"/>
      <c r="Q129" s="1"/>
      <c r="R129" s="63"/>
      <c r="U129" s="7"/>
      <c r="V129" s="1"/>
      <c r="W129" s="1"/>
      <c r="X129" s="1"/>
      <c r="Y129" s="1"/>
      <c r="AC129" s="7"/>
      <c r="AD129" s="1"/>
      <c r="AE129" s="1"/>
      <c r="AF129" s="1"/>
      <c r="AG129" s="1"/>
    </row>
    <row r="130" spans="1:33" x14ac:dyDescent="0.25">
      <c r="A130" s="7"/>
      <c r="B130" s="1"/>
      <c r="C130" s="1"/>
      <c r="D130" s="1"/>
      <c r="F130" s="7"/>
      <c r="G130" s="1"/>
      <c r="H130" s="1"/>
      <c r="I130" s="1"/>
      <c r="J130" s="51"/>
      <c r="K130" s="7"/>
      <c r="L130" s="1"/>
      <c r="M130" s="63"/>
      <c r="P130" s="7"/>
      <c r="Q130" s="1"/>
      <c r="R130" s="63"/>
      <c r="U130" s="7"/>
      <c r="V130" s="1"/>
      <c r="W130" s="1"/>
      <c r="X130" s="1"/>
      <c r="Y130" s="1"/>
      <c r="AC130" s="7"/>
      <c r="AD130" s="1"/>
      <c r="AE130" s="1"/>
      <c r="AF130" s="1"/>
      <c r="AG130" s="1"/>
    </row>
    <row r="131" spans="1:33" x14ac:dyDescent="0.25">
      <c r="A131" s="7"/>
      <c r="B131" s="1"/>
      <c r="C131" s="1"/>
      <c r="D131" s="1"/>
      <c r="F131" s="7"/>
      <c r="G131" s="1"/>
      <c r="H131" s="1"/>
      <c r="I131" s="1"/>
      <c r="J131" s="51"/>
      <c r="K131" s="7"/>
      <c r="L131" s="1"/>
      <c r="M131" s="63"/>
      <c r="P131" s="7"/>
      <c r="Q131" s="1"/>
      <c r="R131" s="63"/>
      <c r="U131" s="7"/>
      <c r="V131" s="1"/>
      <c r="W131" s="1"/>
      <c r="X131" s="1"/>
      <c r="Y131" s="1"/>
      <c r="AC131" s="7"/>
      <c r="AD131" s="1"/>
      <c r="AE131" s="1"/>
      <c r="AF131" s="1"/>
      <c r="AG131" s="1"/>
    </row>
    <row r="132" spans="1:33" x14ac:dyDescent="0.25">
      <c r="A132" s="7"/>
      <c r="B132" s="1"/>
      <c r="C132" s="1"/>
      <c r="D132" s="1"/>
      <c r="F132" s="7"/>
      <c r="G132" s="1"/>
      <c r="H132" s="1"/>
      <c r="I132" s="1"/>
      <c r="J132" s="51"/>
      <c r="K132" s="7"/>
      <c r="L132" s="1"/>
      <c r="M132" s="63"/>
      <c r="P132" s="7"/>
      <c r="Q132" s="1"/>
      <c r="R132" s="63"/>
      <c r="U132" s="7"/>
      <c r="V132" s="1"/>
      <c r="W132" s="1"/>
      <c r="X132" s="1"/>
      <c r="Y132" s="1"/>
      <c r="AC132" s="7"/>
      <c r="AD132" s="1"/>
      <c r="AE132" s="1"/>
      <c r="AF132" s="1"/>
      <c r="AG132" s="1"/>
    </row>
    <row r="133" spans="1:33" x14ac:dyDescent="0.25">
      <c r="A133" s="7"/>
      <c r="B133" s="1"/>
      <c r="C133" s="1"/>
      <c r="D133" s="1"/>
      <c r="F133" s="7"/>
      <c r="G133" s="1"/>
      <c r="H133" s="1"/>
      <c r="I133" s="1"/>
      <c r="J133" s="51"/>
      <c r="K133" s="7"/>
      <c r="L133" s="1"/>
      <c r="M133" s="63"/>
      <c r="P133" s="7"/>
      <c r="Q133" s="1"/>
      <c r="R133" s="63"/>
      <c r="U133" s="7"/>
      <c r="V133" s="1"/>
      <c r="W133" s="1"/>
      <c r="X133" s="1"/>
      <c r="Y133" s="1"/>
      <c r="AC133" s="7"/>
      <c r="AD133" s="1"/>
      <c r="AE133" s="1"/>
      <c r="AF133" s="1"/>
      <c r="AG133" s="1"/>
    </row>
    <row r="134" spans="1:33" x14ac:dyDescent="0.25">
      <c r="A134" s="7"/>
      <c r="B134" s="1"/>
      <c r="C134" s="1"/>
      <c r="D134" s="1"/>
      <c r="F134" s="7"/>
      <c r="G134" s="1"/>
      <c r="H134" s="1"/>
      <c r="I134" s="1"/>
      <c r="J134" s="51"/>
      <c r="K134" s="7"/>
      <c r="L134" s="1"/>
      <c r="M134" s="63"/>
      <c r="P134" s="7"/>
      <c r="Q134" s="1"/>
      <c r="R134" s="63"/>
      <c r="U134" s="7"/>
      <c r="V134" s="1"/>
      <c r="W134" s="1"/>
      <c r="X134" s="1"/>
      <c r="Y134" s="1"/>
      <c r="AC134" s="7"/>
      <c r="AD134" s="1"/>
      <c r="AE134" s="1"/>
      <c r="AF134" s="1"/>
      <c r="AG134" s="1"/>
    </row>
    <row r="135" spans="1:33" x14ac:dyDescent="0.25">
      <c r="A135" s="7"/>
      <c r="B135" s="1"/>
      <c r="C135" s="1"/>
      <c r="D135" s="1"/>
      <c r="F135" s="7"/>
      <c r="G135" s="1"/>
      <c r="H135" s="1"/>
      <c r="I135" s="1"/>
      <c r="J135" s="51"/>
      <c r="K135" s="7"/>
      <c r="L135" s="1"/>
      <c r="M135" s="63"/>
      <c r="P135" s="7"/>
      <c r="Q135" s="1"/>
      <c r="R135" s="63"/>
      <c r="U135" s="7"/>
      <c r="V135" s="1"/>
      <c r="W135" s="1"/>
      <c r="X135" s="1"/>
      <c r="Y135" s="1"/>
      <c r="AC135" s="7"/>
      <c r="AD135" s="1"/>
      <c r="AE135" s="1"/>
      <c r="AF135" s="1"/>
      <c r="AG135" s="1"/>
    </row>
    <row r="136" spans="1:33" x14ac:dyDescent="0.25">
      <c r="A136" s="7"/>
      <c r="B136" s="1"/>
      <c r="C136" s="1"/>
      <c r="D136" s="1"/>
      <c r="F136" s="7"/>
      <c r="G136" s="1"/>
      <c r="H136" s="1"/>
      <c r="I136" s="1"/>
      <c r="J136" s="51"/>
      <c r="K136" s="7"/>
      <c r="L136" s="1"/>
      <c r="M136" s="63"/>
      <c r="P136" s="7"/>
      <c r="Q136" s="1"/>
      <c r="R136" s="63"/>
      <c r="U136" s="7"/>
      <c r="V136" s="1"/>
      <c r="W136" s="1"/>
      <c r="X136" s="1"/>
      <c r="Y136" s="1"/>
      <c r="AC136" s="7"/>
      <c r="AD136" s="1"/>
      <c r="AE136" s="1"/>
      <c r="AF136" s="1"/>
      <c r="AG136" s="1"/>
    </row>
    <row r="137" spans="1:33" x14ac:dyDescent="0.25">
      <c r="A137" s="7"/>
      <c r="B137" s="1"/>
      <c r="C137" s="1"/>
      <c r="D137" s="1"/>
      <c r="F137" s="7"/>
      <c r="G137" s="1"/>
      <c r="H137" s="1"/>
      <c r="I137" s="1"/>
      <c r="J137" s="51"/>
      <c r="K137" s="7"/>
      <c r="L137" s="1"/>
      <c r="M137" s="63"/>
      <c r="P137" s="7"/>
      <c r="Q137" s="1"/>
      <c r="R137" s="63"/>
      <c r="U137" s="7"/>
      <c r="V137" s="1"/>
      <c r="W137" s="1"/>
      <c r="X137" s="1"/>
      <c r="Y137" s="1"/>
      <c r="AC137" s="7"/>
      <c r="AD137" s="1"/>
      <c r="AE137" s="1"/>
      <c r="AF137" s="1"/>
      <c r="AG137" s="1"/>
    </row>
    <row r="138" spans="1:33" x14ac:dyDescent="0.25">
      <c r="A138" s="7"/>
      <c r="B138" s="1"/>
      <c r="C138" s="1"/>
      <c r="D138" s="1"/>
      <c r="F138" s="7"/>
      <c r="G138" s="1"/>
      <c r="H138" s="1"/>
      <c r="I138" s="1"/>
      <c r="J138" s="51"/>
      <c r="K138" s="7"/>
      <c r="L138" s="1"/>
      <c r="M138" s="63"/>
      <c r="P138" s="7"/>
      <c r="Q138" s="1"/>
      <c r="R138" s="63"/>
      <c r="U138" s="7"/>
      <c r="V138" s="1"/>
      <c r="W138" s="1"/>
      <c r="X138" s="1"/>
      <c r="Y138" s="1"/>
      <c r="AC138" s="7"/>
      <c r="AD138" s="1"/>
      <c r="AE138" s="1"/>
      <c r="AF138" s="1"/>
      <c r="AG138" s="1"/>
    </row>
    <row r="139" spans="1:33" x14ac:dyDescent="0.25">
      <c r="A139" s="7"/>
      <c r="B139" s="1"/>
      <c r="C139" s="1"/>
      <c r="D139" s="1"/>
      <c r="F139" s="7"/>
      <c r="G139" s="1"/>
      <c r="H139" s="1"/>
      <c r="I139" s="1"/>
      <c r="J139" s="51"/>
      <c r="K139" s="7"/>
      <c r="L139" s="1"/>
      <c r="M139" s="63"/>
      <c r="P139" s="7"/>
      <c r="Q139" s="1"/>
      <c r="R139" s="63"/>
      <c r="U139" s="7"/>
      <c r="V139" s="1"/>
      <c r="W139" s="1"/>
      <c r="X139" s="1"/>
      <c r="Y139" s="1"/>
      <c r="AC139" s="7"/>
      <c r="AD139" s="1"/>
      <c r="AE139" s="1"/>
      <c r="AF139" s="1"/>
      <c r="AG139" s="1"/>
    </row>
    <row r="140" spans="1:33" x14ac:dyDescent="0.25">
      <c r="A140" s="7"/>
      <c r="B140" s="1"/>
      <c r="C140" s="1"/>
      <c r="D140" s="1"/>
      <c r="F140" s="7"/>
      <c r="G140" s="1"/>
      <c r="H140" s="1"/>
      <c r="I140" s="1"/>
      <c r="J140" s="51"/>
      <c r="K140" s="7"/>
      <c r="L140" s="1"/>
      <c r="M140" s="63"/>
      <c r="P140" s="7"/>
      <c r="Q140" s="1"/>
      <c r="R140" s="63"/>
      <c r="U140" s="7"/>
      <c r="V140" s="1"/>
      <c r="W140" s="1"/>
      <c r="X140" s="1"/>
      <c r="Y140" s="1"/>
      <c r="AC140" s="7"/>
      <c r="AD140" s="1"/>
      <c r="AE140" s="1"/>
      <c r="AF140" s="1"/>
      <c r="AG140" s="1"/>
    </row>
    <row r="141" spans="1:33" x14ac:dyDescent="0.25">
      <c r="A141" s="7"/>
      <c r="B141" s="1"/>
      <c r="C141" s="1"/>
      <c r="D141" s="1"/>
      <c r="F141" s="7"/>
      <c r="G141" s="1"/>
      <c r="H141" s="1"/>
      <c r="I141" s="1"/>
      <c r="J141" s="51"/>
      <c r="K141" s="7"/>
      <c r="L141" s="1"/>
      <c r="M141" s="63"/>
      <c r="P141" s="7"/>
      <c r="Q141" s="1"/>
      <c r="R141" s="63"/>
      <c r="U141" s="7"/>
      <c r="V141" s="1"/>
      <c r="W141" s="1"/>
      <c r="X141" s="1"/>
      <c r="Y141" s="1"/>
      <c r="AC141" s="7"/>
      <c r="AD141" s="1"/>
      <c r="AE141" s="1"/>
      <c r="AF141" s="1"/>
      <c r="AG141" s="1"/>
    </row>
    <row r="142" spans="1:33" x14ac:dyDescent="0.25">
      <c r="A142" s="7"/>
      <c r="B142" s="1"/>
      <c r="C142" s="1"/>
      <c r="D142" s="1"/>
      <c r="F142" s="7"/>
      <c r="G142" s="1"/>
      <c r="H142" s="1"/>
      <c r="I142" s="1"/>
      <c r="J142" s="51"/>
      <c r="K142" s="7"/>
      <c r="L142" s="1"/>
      <c r="M142" s="63"/>
      <c r="P142" s="7"/>
      <c r="Q142" s="1"/>
      <c r="R142" s="63"/>
      <c r="U142" s="7"/>
      <c r="V142" s="1"/>
      <c r="W142" s="1"/>
      <c r="X142" s="1"/>
      <c r="Y142" s="1"/>
      <c r="AC142" s="7"/>
      <c r="AD142" s="1"/>
      <c r="AE142" s="1"/>
      <c r="AF142" s="1"/>
      <c r="AG142" s="1"/>
    </row>
    <row r="143" spans="1:33" x14ac:dyDescent="0.25">
      <c r="A143" s="7"/>
      <c r="B143" s="1"/>
      <c r="C143" s="1"/>
      <c r="D143" s="1"/>
      <c r="F143" s="7"/>
      <c r="G143" s="1"/>
      <c r="H143" s="1"/>
      <c r="I143" s="1"/>
      <c r="J143" s="51"/>
      <c r="K143" s="7"/>
      <c r="L143" s="1"/>
      <c r="M143" s="63"/>
      <c r="P143" s="7"/>
      <c r="Q143" s="1"/>
      <c r="R143" s="63"/>
      <c r="U143" s="7"/>
      <c r="V143" s="1"/>
      <c r="W143" s="1"/>
      <c r="X143" s="1"/>
      <c r="Y143" s="1"/>
      <c r="AC143" s="7"/>
      <c r="AD143" s="1"/>
      <c r="AE143" s="1"/>
      <c r="AF143" s="1"/>
      <c r="AG143" s="1"/>
    </row>
    <row r="144" spans="1:33" x14ac:dyDescent="0.25">
      <c r="A144" s="7"/>
      <c r="B144" s="1"/>
      <c r="C144" s="1"/>
      <c r="D144" s="1"/>
      <c r="F144" s="7"/>
      <c r="G144" s="1"/>
      <c r="H144" s="1"/>
      <c r="I144" s="1"/>
      <c r="J144" s="51"/>
      <c r="K144" s="7"/>
      <c r="L144" s="1"/>
      <c r="M144" s="63"/>
      <c r="P144" s="7"/>
      <c r="Q144" s="1"/>
      <c r="R144" s="63"/>
      <c r="U144" s="7"/>
      <c r="V144" s="1"/>
      <c r="W144" s="1"/>
      <c r="X144" s="1"/>
      <c r="Y144" s="1"/>
      <c r="AC144" s="7"/>
      <c r="AD144" s="1"/>
      <c r="AE144" s="1"/>
      <c r="AF144" s="1"/>
      <c r="AG144" s="1"/>
    </row>
    <row r="145" spans="1:33" x14ac:dyDescent="0.25">
      <c r="A145" s="7"/>
      <c r="B145" s="1"/>
      <c r="C145" s="1"/>
      <c r="D145" s="1"/>
      <c r="F145" s="7"/>
      <c r="G145" s="1"/>
      <c r="H145" s="1"/>
      <c r="I145" s="1"/>
      <c r="J145" s="51"/>
      <c r="K145" s="7"/>
      <c r="L145" s="1"/>
      <c r="M145" s="63"/>
      <c r="P145" s="7"/>
      <c r="Q145" s="1"/>
      <c r="R145" s="63"/>
      <c r="U145" s="7"/>
      <c r="V145" s="1"/>
      <c r="W145" s="1"/>
      <c r="X145" s="1"/>
      <c r="Y145" s="1"/>
      <c r="AC145" s="7"/>
      <c r="AD145" s="1"/>
      <c r="AE145" s="1"/>
      <c r="AF145" s="1"/>
      <c r="AG145" s="1"/>
    </row>
    <row r="146" spans="1:33" x14ac:dyDescent="0.25">
      <c r="A146" s="7"/>
      <c r="B146" s="1"/>
      <c r="C146" s="1"/>
      <c r="D146" s="1"/>
      <c r="F146" s="7"/>
      <c r="G146" s="1"/>
      <c r="H146" s="1"/>
      <c r="I146" s="1"/>
      <c r="J146" s="51"/>
      <c r="K146" s="7"/>
      <c r="L146" s="1"/>
      <c r="M146" s="63"/>
      <c r="P146" s="7"/>
      <c r="Q146" s="1"/>
      <c r="R146" s="63"/>
      <c r="U146" s="7"/>
      <c r="V146" s="1"/>
      <c r="W146" s="1"/>
      <c r="X146" s="1"/>
      <c r="Y146" s="1"/>
      <c r="AC146" s="7"/>
      <c r="AD146" s="1"/>
      <c r="AE146" s="1"/>
      <c r="AF146" s="1"/>
      <c r="AG146" s="1"/>
    </row>
    <row r="147" spans="1:33" x14ac:dyDescent="0.25">
      <c r="A147" s="7"/>
      <c r="B147" s="1"/>
      <c r="C147" s="1"/>
      <c r="D147" s="1"/>
      <c r="F147" s="7"/>
      <c r="G147" s="1"/>
      <c r="H147" s="1"/>
      <c r="I147" s="1"/>
      <c r="J147" s="51"/>
      <c r="K147" s="7"/>
      <c r="L147" s="1"/>
      <c r="M147" s="63"/>
      <c r="P147" s="7"/>
      <c r="Q147" s="1"/>
      <c r="R147" s="63"/>
      <c r="U147" s="7"/>
      <c r="V147" s="1"/>
      <c r="W147" s="1"/>
      <c r="X147" s="1"/>
      <c r="Y147" s="1"/>
      <c r="AC147" s="7"/>
      <c r="AD147" s="1"/>
      <c r="AE147" s="1"/>
      <c r="AF147" s="1"/>
      <c r="AG147" s="1"/>
    </row>
    <row r="148" spans="1:33" x14ac:dyDescent="0.25">
      <c r="A148" s="7"/>
      <c r="B148" s="1"/>
      <c r="C148" s="1"/>
      <c r="D148" s="1"/>
      <c r="F148" s="7"/>
      <c r="G148" s="1"/>
      <c r="H148" s="1"/>
      <c r="I148" s="1"/>
      <c r="J148" s="51"/>
      <c r="K148" s="7"/>
      <c r="L148" s="1"/>
      <c r="M148" s="63"/>
      <c r="P148" s="7"/>
      <c r="Q148" s="1"/>
      <c r="R148" s="63"/>
      <c r="U148" s="7"/>
      <c r="V148" s="1"/>
      <c r="W148" s="1"/>
      <c r="X148" s="1"/>
      <c r="Y148" s="1"/>
      <c r="AC148" s="7"/>
      <c r="AD148" s="1"/>
      <c r="AE148" s="1"/>
      <c r="AF148" s="1"/>
      <c r="AG148" s="1"/>
    </row>
    <row r="149" spans="1:33" x14ac:dyDescent="0.25">
      <c r="A149" s="7"/>
      <c r="B149" s="1"/>
      <c r="C149" s="1"/>
      <c r="D149" s="1"/>
      <c r="F149" s="7"/>
      <c r="G149" s="1"/>
      <c r="H149" s="1"/>
      <c r="I149" s="1"/>
      <c r="J149" s="51"/>
      <c r="K149" s="7"/>
      <c r="L149" s="1"/>
      <c r="M149" s="63"/>
      <c r="P149" s="7"/>
      <c r="Q149" s="1"/>
      <c r="R149" s="63"/>
      <c r="U149" s="7"/>
      <c r="V149" s="1"/>
      <c r="W149" s="1"/>
      <c r="X149" s="1"/>
      <c r="Y149" s="1"/>
      <c r="AC149" s="7"/>
      <c r="AD149" s="1"/>
      <c r="AE149" s="1"/>
      <c r="AF149" s="1"/>
      <c r="AG149" s="1"/>
    </row>
    <row r="150" spans="1:33" x14ac:dyDescent="0.25">
      <c r="A150" s="7"/>
      <c r="B150" s="1"/>
      <c r="C150" s="1"/>
      <c r="D150" s="1"/>
      <c r="F150" s="7"/>
      <c r="G150" s="1"/>
      <c r="H150" s="1"/>
      <c r="I150" s="1"/>
      <c r="J150" s="51"/>
      <c r="K150" s="7"/>
      <c r="L150" s="1"/>
      <c r="M150" s="63"/>
      <c r="P150" s="7"/>
      <c r="Q150" s="1"/>
      <c r="R150" s="63"/>
      <c r="U150" s="7"/>
      <c r="V150" s="1"/>
      <c r="W150" s="1"/>
      <c r="X150" s="1"/>
      <c r="Y150" s="1"/>
      <c r="AC150" s="7"/>
      <c r="AD150" s="1"/>
      <c r="AE150" s="1"/>
      <c r="AF150" s="1"/>
      <c r="AG150" s="1"/>
    </row>
    <row r="151" spans="1:33" x14ac:dyDescent="0.25">
      <c r="A151" s="7"/>
      <c r="B151" s="1"/>
      <c r="C151" s="1"/>
      <c r="D151" s="1"/>
      <c r="F151" s="7"/>
      <c r="G151" s="1"/>
      <c r="H151" s="1"/>
      <c r="I151" s="1"/>
      <c r="J151" s="51"/>
      <c r="K151" s="7"/>
      <c r="L151" s="1"/>
      <c r="M151" s="63"/>
      <c r="P151" s="7"/>
      <c r="Q151" s="1"/>
      <c r="R151" s="63"/>
      <c r="U151" s="7"/>
      <c r="V151" s="1"/>
      <c r="W151" s="1"/>
      <c r="X151" s="1"/>
      <c r="Y151" s="1"/>
      <c r="AC151" s="7"/>
      <c r="AD151" s="1"/>
      <c r="AE151" s="1"/>
      <c r="AF151" s="1"/>
      <c r="AG151" s="1"/>
    </row>
    <row r="152" spans="1:33" x14ac:dyDescent="0.25">
      <c r="A152" s="7"/>
      <c r="B152" s="1"/>
      <c r="C152" s="1"/>
      <c r="D152" s="1"/>
      <c r="F152" s="7"/>
      <c r="G152" s="1"/>
      <c r="H152" s="1"/>
      <c r="I152" s="1"/>
      <c r="J152" s="51"/>
      <c r="K152" s="7"/>
      <c r="L152" s="1"/>
      <c r="M152" s="63"/>
      <c r="P152" s="7"/>
      <c r="Q152" s="1"/>
      <c r="R152" s="63"/>
      <c r="U152" s="7"/>
      <c r="V152" s="1"/>
      <c r="W152" s="1"/>
      <c r="X152" s="1"/>
      <c r="Y152" s="1"/>
      <c r="AC152" s="7"/>
      <c r="AD152" s="1"/>
      <c r="AE152" s="1"/>
      <c r="AF152" s="1"/>
      <c r="AG152" s="1"/>
    </row>
    <row r="153" spans="1:33" x14ac:dyDescent="0.25">
      <c r="A153" s="7"/>
      <c r="B153" s="1"/>
      <c r="C153" s="1"/>
      <c r="D153" s="1"/>
      <c r="F153" s="7"/>
      <c r="G153" s="1"/>
      <c r="H153" s="1"/>
      <c r="I153" s="1"/>
      <c r="J153" s="51"/>
      <c r="K153" s="7"/>
      <c r="L153" s="1"/>
      <c r="M153" s="63"/>
      <c r="P153" s="7"/>
      <c r="Q153" s="1"/>
      <c r="R153" s="63"/>
      <c r="U153" s="7"/>
      <c r="V153" s="1"/>
      <c r="W153" s="1"/>
      <c r="X153" s="1"/>
      <c r="Y153" s="1"/>
      <c r="AC153" s="7"/>
      <c r="AD153" s="1"/>
      <c r="AE153" s="1"/>
      <c r="AF153" s="1"/>
      <c r="AG153" s="1"/>
    </row>
    <row r="154" spans="1:33" x14ac:dyDescent="0.25">
      <c r="A154" s="7"/>
      <c r="B154" s="1"/>
      <c r="C154" s="1"/>
      <c r="D154" s="1"/>
      <c r="F154" s="7"/>
      <c r="G154" s="1"/>
      <c r="H154" s="1"/>
      <c r="I154" s="1"/>
      <c r="J154" s="51"/>
      <c r="K154" s="7"/>
      <c r="L154" s="1"/>
      <c r="M154" s="63"/>
      <c r="P154" s="7"/>
      <c r="Q154" s="1"/>
      <c r="R154" s="63"/>
      <c r="U154" s="7"/>
      <c r="V154" s="1"/>
      <c r="W154" s="1"/>
      <c r="X154" s="1"/>
      <c r="Y154" s="1"/>
      <c r="AC154" s="7"/>
      <c r="AD154" s="1"/>
      <c r="AE154" s="1"/>
      <c r="AF154" s="1"/>
      <c r="AG154" s="1"/>
    </row>
    <row r="155" spans="1:33" x14ac:dyDescent="0.25">
      <c r="A155" s="7"/>
      <c r="B155" s="1"/>
      <c r="C155" s="1"/>
      <c r="D155" s="1"/>
      <c r="F155" s="7"/>
      <c r="G155" s="1"/>
      <c r="H155" s="1"/>
      <c r="I155" s="1"/>
      <c r="J155" s="51"/>
      <c r="K155" s="7"/>
      <c r="L155" s="1"/>
      <c r="M155" s="63"/>
      <c r="P155" s="7"/>
      <c r="Q155" s="1"/>
      <c r="R155" s="63"/>
      <c r="U155" s="7"/>
      <c r="V155" s="1"/>
      <c r="W155" s="1"/>
      <c r="X155" s="1"/>
      <c r="Y155" s="1"/>
      <c r="AC155" s="7"/>
      <c r="AD155" s="1"/>
      <c r="AE155" s="1"/>
      <c r="AF155" s="1"/>
      <c r="AG155" s="1"/>
    </row>
    <row r="156" spans="1:33" x14ac:dyDescent="0.25">
      <c r="A156" s="7"/>
      <c r="B156" s="1"/>
      <c r="C156" s="1"/>
      <c r="D156" s="1"/>
      <c r="F156" s="7"/>
      <c r="G156" s="1"/>
      <c r="H156" s="1"/>
      <c r="I156" s="1"/>
      <c r="J156" s="51"/>
      <c r="K156" s="7"/>
      <c r="L156" s="1"/>
      <c r="M156" s="63"/>
      <c r="P156" s="7"/>
      <c r="Q156" s="1"/>
      <c r="R156" s="63"/>
      <c r="U156" s="7"/>
      <c r="V156" s="1"/>
      <c r="W156" s="1"/>
      <c r="X156" s="1"/>
      <c r="Y156" s="1"/>
      <c r="AC156" s="7"/>
      <c r="AD156" s="1"/>
      <c r="AE156" s="1"/>
      <c r="AF156" s="1"/>
      <c r="AG156" s="1"/>
    </row>
    <row r="157" spans="1:33" x14ac:dyDescent="0.25">
      <c r="A157" s="7"/>
      <c r="B157" s="1"/>
      <c r="C157" s="1"/>
      <c r="D157" s="1"/>
      <c r="F157" s="7"/>
      <c r="G157" s="1"/>
      <c r="H157" s="1"/>
      <c r="I157" s="1"/>
      <c r="J157" s="51"/>
      <c r="K157" s="7"/>
      <c r="L157" s="1"/>
      <c r="M157" s="63"/>
      <c r="P157" s="7"/>
      <c r="Q157" s="1"/>
      <c r="R157" s="63"/>
      <c r="U157" s="7"/>
      <c r="V157" s="1"/>
      <c r="W157" s="1"/>
      <c r="X157" s="1"/>
      <c r="Y157" s="1"/>
      <c r="AC157" s="7"/>
      <c r="AD157" s="1"/>
      <c r="AE157" s="1"/>
      <c r="AF157" s="1"/>
      <c r="AG157" s="1"/>
    </row>
    <row r="158" spans="1:33" x14ac:dyDescent="0.25">
      <c r="A158" s="7"/>
      <c r="B158" s="1"/>
      <c r="C158" s="1"/>
      <c r="D158" s="1"/>
      <c r="F158" s="7"/>
      <c r="G158" s="1"/>
      <c r="H158" s="1"/>
      <c r="I158" s="1"/>
      <c r="J158" s="51"/>
      <c r="K158" s="7"/>
      <c r="L158" s="1"/>
      <c r="M158" s="63"/>
      <c r="P158" s="7"/>
      <c r="Q158" s="1"/>
      <c r="R158" s="63"/>
      <c r="U158" s="7"/>
      <c r="V158" s="1"/>
      <c r="W158" s="1"/>
      <c r="X158" s="1"/>
      <c r="Y158" s="1"/>
      <c r="AC158" s="7"/>
      <c r="AD158" s="1"/>
      <c r="AE158" s="1"/>
      <c r="AF158" s="1"/>
      <c r="AG158" s="1"/>
    </row>
    <row r="159" spans="1:33" x14ac:dyDescent="0.25">
      <c r="A159" s="7"/>
      <c r="B159" s="1"/>
      <c r="C159" s="1"/>
      <c r="D159" s="1"/>
      <c r="F159" s="7"/>
      <c r="G159" s="1"/>
      <c r="H159" s="1"/>
      <c r="I159" s="1"/>
      <c r="J159" s="51"/>
      <c r="K159" s="7"/>
      <c r="L159" s="1"/>
      <c r="M159" s="63"/>
      <c r="P159" s="7"/>
      <c r="Q159" s="1"/>
      <c r="R159" s="63"/>
      <c r="U159" s="7"/>
      <c r="V159" s="1"/>
      <c r="W159" s="1"/>
      <c r="X159" s="1"/>
      <c r="Y159" s="1"/>
      <c r="AC159" s="7"/>
      <c r="AD159" s="1"/>
      <c r="AE159" s="1"/>
      <c r="AF159" s="1"/>
      <c r="AG159" s="1"/>
    </row>
    <row r="160" spans="1:33" x14ac:dyDescent="0.25">
      <c r="A160" s="7"/>
      <c r="B160" s="1"/>
      <c r="C160" s="1"/>
      <c r="D160" s="1"/>
      <c r="F160" s="7"/>
      <c r="G160" s="1"/>
      <c r="H160" s="1"/>
      <c r="I160" s="1"/>
      <c r="J160" s="51"/>
      <c r="K160" s="7"/>
      <c r="L160" s="1"/>
      <c r="M160" s="63"/>
      <c r="P160" s="7"/>
      <c r="Q160" s="1"/>
      <c r="R160" s="63"/>
      <c r="U160" s="7"/>
      <c r="V160" s="1"/>
      <c r="W160" s="1"/>
      <c r="X160" s="1"/>
      <c r="Y160" s="1"/>
      <c r="AC160" s="7"/>
      <c r="AD160" s="1"/>
      <c r="AE160" s="1"/>
      <c r="AF160" s="1"/>
      <c r="AG160" s="1"/>
    </row>
    <row r="161" spans="1:33" x14ac:dyDescent="0.25">
      <c r="A161" s="7"/>
      <c r="B161" s="1"/>
      <c r="C161" s="1"/>
      <c r="D161" s="1"/>
      <c r="F161" s="7"/>
      <c r="G161" s="1"/>
      <c r="H161" s="1"/>
      <c r="I161" s="1"/>
      <c r="J161" s="51"/>
      <c r="K161" s="7"/>
      <c r="L161" s="1"/>
      <c r="M161" s="63"/>
      <c r="P161" s="7"/>
      <c r="Q161" s="1"/>
      <c r="R161" s="63"/>
      <c r="U161" s="7"/>
      <c r="V161" s="1"/>
      <c r="W161" s="1"/>
      <c r="X161" s="1"/>
      <c r="Y161" s="1"/>
      <c r="AC161" s="7"/>
      <c r="AD161" s="1"/>
      <c r="AE161" s="1"/>
      <c r="AF161" s="1"/>
      <c r="AG161" s="1"/>
    </row>
    <row r="162" spans="1:33" x14ac:dyDescent="0.25">
      <c r="A162" s="7"/>
      <c r="B162" s="1"/>
      <c r="C162" s="1"/>
      <c r="D162" s="1"/>
      <c r="F162" s="7"/>
      <c r="G162" s="1"/>
      <c r="H162" s="1"/>
      <c r="I162" s="1"/>
      <c r="J162" s="51"/>
      <c r="K162" s="7"/>
      <c r="L162" s="1"/>
      <c r="M162" s="63"/>
      <c r="P162" s="7"/>
      <c r="Q162" s="1"/>
      <c r="R162" s="63"/>
      <c r="U162" s="7"/>
      <c r="V162" s="1"/>
      <c r="W162" s="1"/>
      <c r="X162" s="1"/>
      <c r="Y162" s="1"/>
      <c r="AC162" s="7"/>
      <c r="AD162" s="1"/>
      <c r="AE162" s="1"/>
      <c r="AF162" s="1"/>
      <c r="AG162" s="1"/>
    </row>
    <row r="163" spans="1:33" x14ac:dyDescent="0.25">
      <c r="A163" s="7"/>
      <c r="B163" s="1"/>
      <c r="C163" s="1"/>
      <c r="D163" s="1"/>
      <c r="F163" s="7"/>
      <c r="G163" s="1"/>
      <c r="H163" s="1"/>
      <c r="I163" s="1"/>
      <c r="J163" s="51"/>
      <c r="K163" s="7"/>
      <c r="L163" s="1"/>
      <c r="M163" s="63"/>
      <c r="P163" s="7"/>
      <c r="Q163" s="1"/>
      <c r="R163" s="63"/>
      <c r="U163" s="7"/>
      <c r="V163" s="1"/>
      <c r="W163" s="1"/>
      <c r="X163" s="1"/>
      <c r="Y163" s="1"/>
      <c r="AC163" s="7"/>
      <c r="AD163" s="1"/>
      <c r="AE163" s="1"/>
      <c r="AF163" s="1"/>
      <c r="AG163" s="1"/>
    </row>
    <row r="164" spans="1:33" x14ac:dyDescent="0.25">
      <c r="A164" s="7"/>
      <c r="B164" s="1"/>
      <c r="C164" s="1"/>
      <c r="D164" s="1"/>
      <c r="F164" s="7"/>
      <c r="G164" s="1"/>
      <c r="H164" s="1"/>
      <c r="I164" s="1"/>
      <c r="J164" s="51"/>
      <c r="K164" s="7"/>
      <c r="L164" s="1"/>
      <c r="M164" s="63"/>
      <c r="P164" s="7"/>
      <c r="Q164" s="1"/>
      <c r="R164" s="63"/>
      <c r="U164" s="7"/>
      <c r="V164" s="1"/>
      <c r="W164" s="1"/>
      <c r="X164" s="1"/>
      <c r="Y164" s="1"/>
      <c r="AC164" s="7"/>
      <c r="AD164" s="1"/>
      <c r="AE164" s="1"/>
      <c r="AF164" s="1"/>
      <c r="AG164" s="1"/>
    </row>
    <row r="165" spans="1:33" x14ac:dyDescent="0.25">
      <c r="A165" s="7"/>
      <c r="B165" s="1"/>
      <c r="C165" s="1"/>
      <c r="D165" s="1"/>
      <c r="F165" s="7"/>
      <c r="G165" s="1"/>
      <c r="H165" s="1"/>
      <c r="I165" s="1"/>
      <c r="J165" s="51"/>
      <c r="K165" s="7"/>
      <c r="L165" s="1"/>
      <c r="M165" s="63"/>
      <c r="P165" s="7"/>
      <c r="Q165" s="1"/>
      <c r="R165" s="63"/>
      <c r="U165" s="7"/>
      <c r="V165" s="1"/>
      <c r="W165" s="1"/>
      <c r="X165" s="1"/>
      <c r="Y165" s="1"/>
      <c r="AC165" s="7"/>
      <c r="AD165" s="1"/>
      <c r="AE165" s="1"/>
      <c r="AF165" s="1"/>
      <c r="AG165" s="1"/>
    </row>
    <row r="166" spans="1:33" x14ac:dyDescent="0.25">
      <c r="A166" s="7"/>
      <c r="B166" s="1"/>
      <c r="C166" s="1"/>
      <c r="D166" s="1"/>
      <c r="F166" s="7"/>
      <c r="G166" s="1"/>
      <c r="H166" s="1"/>
      <c r="I166" s="1"/>
      <c r="J166" s="51"/>
      <c r="K166" s="7"/>
      <c r="L166" s="1"/>
      <c r="M166" s="63"/>
      <c r="P166" s="7"/>
      <c r="Q166" s="1"/>
      <c r="R166" s="63"/>
      <c r="U166" s="7"/>
      <c r="V166" s="1"/>
      <c r="W166" s="1"/>
      <c r="X166" s="1"/>
      <c r="Y166" s="1"/>
      <c r="AC166" s="7"/>
      <c r="AD166" s="1"/>
      <c r="AE166" s="1"/>
      <c r="AF166" s="1"/>
      <c r="AG166" s="1"/>
    </row>
    <row r="167" spans="1:33" x14ac:dyDescent="0.25">
      <c r="A167" s="7"/>
      <c r="B167" s="1"/>
      <c r="C167" s="1"/>
      <c r="D167" s="1"/>
      <c r="F167" s="7"/>
      <c r="G167" s="1"/>
      <c r="H167" s="1"/>
      <c r="I167" s="1"/>
      <c r="J167" s="51"/>
      <c r="K167" s="7"/>
      <c r="L167" s="1"/>
      <c r="M167" s="63"/>
      <c r="P167" s="7"/>
      <c r="Q167" s="1"/>
      <c r="R167" s="63"/>
      <c r="U167" s="7"/>
      <c r="V167" s="1"/>
      <c r="W167" s="1"/>
      <c r="X167" s="1"/>
      <c r="Y167" s="1"/>
      <c r="AC167" s="7"/>
      <c r="AD167" s="1"/>
      <c r="AE167" s="1"/>
      <c r="AF167" s="1"/>
      <c r="AG167" s="1"/>
    </row>
    <row r="168" spans="1:33" x14ac:dyDescent="0.25">
      <c r="A168" s="7"/>
      <c r="B168" s="1"/>
      <c r="C168" s="1"/>
      <c r="D168" s="1"/>
      <c r="F168" s="7"/>
      <c r="G168" s="1"/>
      <c r="H168" s="1"/>
      <c r="I168" s="1"/>
      <c r="J168" s="51"/>
      <c r="K168" s="7"/>
      <c r="L168" s="1"/>
      <c r="M168" s="63"/>
      <c r="P168" s="7"/>
      <c r="Q168" s="1"/>
      <c r="R168" s="63"/>
      <c r="U168" s="7"/>
      <c r="V168" s="1"/>
      <c r="W168" s="1"/>
      <c r="X168" s="1"/>
      <c r="Y168" s="1"/>
      <c r="AC168" s="7"/>
      <c r="AD168" s="1"/>
      <c r="AE168" s="1"/>
      <c r="AF168" s="1"/>
      <c r="AG168" s="1"/>
    </row>
    <row r="169" spans="1:33" x14ac:dyDescent="0.25">
      <c r="A169" s="7"/>
      <c r="B169" s="1"/>
      <c r="C169" s="1"/>
      <c r="D169" s="1"/>
      <c r="F169" s="7"/>
      <c r="G169" s="1"/>
      <c r="H169" s="1"/>
      <c r="I169" s="1"/>
      <c r="J169" s="51"/>
      <c r="K169" s="7"/>
      <c r="L169" s="1"/>
      <c r="M169" s="63"/>
      <c r="P169" s="7"/>
      <c r="Q169" s="1"/>
      <c r="R169" s="63"/>
      <c r="U169" s="7"/>
      <c r="V169" s="1"/>
      <c r="W169" s="1"/>
      <c r="X169" s="1"/>
      <c r="Y169" s="1"/>
      <c r="AC169" s="7"/>
      <c r="AD169" s="1"/>
      <c r="AE169" s="1"/>
      <c r="AF169" s="1"/>
      <c r="AG169" s="1"/>
    </row>
    <row r="170" spans="1:33" x14ac:dyDescent="0.25">
      <c r="A170" s="7"/>
      <c r="B170" s="1"/>
      <c r="C170" s="1"/>
      <c r="D170" s="1"/>
      <c r="F170" s="7"/>
      <c r="G170" s="1"/>
      <c r="H170" s="1"/>
      <c r="I170" s="1"/>
      <c r="J170" s="51"/>
      <c r="K170" s="7"/>
      <c r="L170" s="1"/>
      <c r="M170" s="63"/>
      <c r="P170" s="7"/>
      <c r="Q170" s="1"/>
      <c r="R170" s="63"/>
      <c r="U170" s="7"/>
      <c r="V170" s="1"/>
      <c r="W170" s="1"/>
      <c r="X170" s="1"/>
      <c r="Y170" s="1"/>
      <c r="AC170" s="7"/>
      <c r="AD170" s="1"/>
      <c r="AE170" s="1"/>
      <c r="AF170" s="1"/>
      <c r="AG170" s="1"/>
    </row>
    <row r="171" spans="1:33" x14ac:dyDescent="0.25">
      <c r="A171" s="7"/>
      <c r="B171" s="1"/>
      <c r="C171" s="1"/>
      <c r="D171" s="1"/>
      <c r="F171" s="7"/>
      <c r="G171" s="1"/>
      <c r="H171" s="1"/>
      <c r="I171" s="1"/>
      <c r="J171" s="51"/>
      <c r="K171" s="7"/>
      <c r="L171" s="1"/>
      <c r="M171" s="63"/>
      <c r="P171" s="7"/>
      <c r="Q171" s="1"/>
      <c r="R171" s="63"/>
      <c r="U171" s="7"/>
      <c r="V171" s="1"/>
      <c r="W171" s="1"/>
      <c r="X171" s="1"/>
      <c r="Y171" s="1"/>
      <c r="AC171" s="7"/>
      <c r="AD171" s="1"/>
      <c r="AE171" s="1"/>
      <c r="AF171" s="1"/>
      <c r="AG171" s="1"/>
    </row>
    <row r="172" spans="1:33" x14ac:dyDescent="0.25">
      <c r="A172" s="7"/>
      <c r="B172" s="1"/>
      <c r="C172" s="1"/>
      <c r="D172" s="1"/>
      <c r="F172" s="7"/>
      <c r="G172" s="1"/>
      <c r="H172" s="1"/>
      <c r="I172" s="1"/>
      <c r="J172" s="51"/>
      <c r="K172" s="7"/>
      <c r="L172" s="1"/>
      <c r="M172" s="63"/>
      <c r="P172" s="7"/>
      <c r="Q172" s="1"/>
      <c r="R172" s="63"/>
      <c r="U172" s="7"/>
      <c r="V172" s="1"/>
      <c r="W172" s="1"/>
      <c r="X172" s="1"/>
      <c r="Y172" s="1"/>
      <c r="AC172" s="7"/>
      <c r="AD172" s="1"/>
      <c r="AE172" s="1"/>
      <c r="AF172" s="1"/>
      <c r="AG172" s="1"/>
    </row>
    <row r="173" spans="1:33" x14ac:dyDescent="0.25">
      <c r="A173" s="7"/>
      <c r="B173" s="1"/>
      <c r="C173" s="1"/>
      <c r="D173" s="1"/>
      <c r="F173" s="7"/>
      <c r="G173" s="1"/>
      <c r="H173" s="1"/>
      <c r="I173" s="1"/>
      <c r="J173" s="51"/>
      <c r="K173" s="7"/>
      <c r="L173" s="1"/>
      <c r="M173" s="63"/>
      <c r="P173" s="7"/>
      <c r="Q173" s="1"/>
      <c r="R173" s="63"/>
      <c r="U173" s="7"/>
      <c r="V173" s="1"/>
      <c r="W173" s="1"/>
      <c r="X173" s="1"/>
      <c r="Y173" s="1"/>
      <c r="AC173" s="7"/>
      <c r="AD173" s="1"/>
      <c r="AE173" s="1"/>
      <c r="AF173" s="1"/>
      <c r="AG173" s="1"/>
    </row>
    <row r="174" spans="1:33" x14ac:dyDescent="0.25">
      <c r="A174" s="7"/>
      <c r="B174" s="1"/>
      <c r="C174" s="1"/>
      <c r="D174" s="1"/>
      <c r="F174" s="7"/>
      <c r="G174" s="1"/>
      <c r="H174" s="1"/>
      <c r="I174" s="1"/>
      <c r="J174" s="51"/>
      <c r="K174" s="7"/>
      <c r="L174" s="1"/>
      <c r="M174" s="63"/>
      <c r="P174" s="7"/>
      <c r="Q174" s="1"/>
      <c r="R174" s="63"/>
      <c r="U174" s="7"/>
      <c r="V174" s="1"/>
      <c r="W174" s="1"/>
      <c r="X174" s="1"/>
      <c r="Y174" s="1"/>
      <c r="AC174" s="7"/>
      <c r="AD174" s="1"/>
      <c r="AE174" s="1"/>
      <c r="AF174" s="1"/>
      <c r="AG174" s="1"/>
    </row>
    <row r="175" spans="1:33" x14ac:dyDescent="0.25">
      <c r="A175" s="7"/>
      <c r="B175" s="1"/>
      <c r="C175" s="1"/>
      <c r="D175" s="1"/>
      <c r="F175" s="7"/>
      <c r="G175" s="1"/>
      <c r="H175" s="1"/>
      <c r="I175" s="1"/>
      <c r="J175" s="51"/>
      <c r="K175" s="7"/>
      <c r="L175" s="1"/>
      <c r="M175" s="63"/>
      <c r="P175" s="7"/>
      <c r="Q175" s="1"/>
      <c r="R175" s="63"/>
      <c r="U175" s="7"/>
      <c r="V175" s="1"/>
      <c r="W175" s="1"/>
      <c r="X175" s="1"/>
      <c r="Y175" s="1"/>
      <c r="AC175" s="7"/>
      <c r="AD175" s="1"/>
      <c r="AE175" s="1"/>
      <c r="AF175" s="1"/>
      <c r="AG175" s="1"/>
    </row>
    <row r="176" spans="1:33" x14ac:dyDescent="0.25">
      <c r="A176" s="7"/>
      <c r="B176" s="1"/>
      <c r="C176" s="1"/>
      <c r="D176" s="1"/>
      <c r="F176" s="7"/>
      <c r="G176" s="1"/>
      <c r="H176" s="1"/>
      <c r="I176" s="1"/>
      <c r="J176" s="51"/>
      <c r="K176" s="7"/>
      <c r="L176" s="1"/>
      <c r="M176" s="63"/>
      <c r="P176" s="7"/>
      <c r="Q176" s="1"/>
      <c r="R176" s="63"/>
      <c r="U176" s="7"/>
      <c r="V176" s="1"/>
      <c r="W176" s="1"/>
      <c r="X176" s="1"/>
      <c r="Y176" s="1"/>
      <c r="AC176" s="7"/>
      <c r="AD176" s="1"/>
      <c r="AE176" s="1"/>
      <c r="AF176" s="1"/>
      <c r="AG176" s="1"/>
    </row>
    <row r="177" spans="1:33" x14ac:dyDescent="0.25">
      <c r="A177" s="7"/>
      <c r="B177" s="1"/>
      <c r="C177" s="1"/>
      <c r="D177" s="1"/>
      <c r="F177" s="7"/>
      <c r="G177" s="1"/>
      <c r="H177" s="1"/>
      <c r="I177" s="1"/>
      <c r="J177" s="51"/>
      <c r="K177" s="7"/>
      <c r="L177" s="1"/>
      <c r="M177" s="63"/>
      <c r="P177" s="7"/>
      <c r="Q177" s="1"/>
      <c r="R177" s="63"/>
      <c r="U177" s="7"/>
      <c r="V177" s="1"/>
      <c r="W177" s="1"/>
      <c r="X177" s="1"/>
      <c r="Y177" s="1"/>
      <c r="AC177" s="7"/>
      <c r="AD177" s="1"/>
      <c r="AE177" s="1"/>
      <c r="AF177" s="1"/>
      <c r="AG177" s="1"/>
    </row>
    <row r="178" spans="1:33" x14ac:dyDescent="0.25">
      <c r="A178" s="7"/>
      <c r="B178" s="1"/>
      <c r="C178" s="1"/>
      <c r="D178" s="1"/>
      <c r="F178" s="7"/>
      <c r="G178" s="1"/>
      <c r="H178" s="1"/>
      <c r="I178" s="1"/>
      <c r="J178" s="51"/>
      <c r="K178" s="7"/>
      <c r="L178" s="1"/>
      <c r="M178" s="63"/>
      <c r="P178" s="7"/>
      <c r="Q178" s="1"/>
      <c r="R178" s="63"/>
      <c r="U178" s="7"/>
      <c r="V178" s="1"/>
      <c r="W178" s="1"/>
      <c r="X178" s="1"/>
      <c r="Y178" s="1"/>
      <c r="AC178" s="7"/>
      <c r="AD178" s="1"/>
      <c r="AE178" s="1"/>
      <c r="AF178" s="1"/>
      <c r="AG178" s="1"/>
    </row>
    <row r="179" spans="1:33" x14ac:dyDescent="0.25">
      <c r="A179" s="7"/>
      <c r="B179" s="1"/>
      <c r="C179" s="1"/>
      <c r="D179" s="1"/>
      <c r="F179" s="7"/>
      <c r="G179" s="1"/>
      <c r="H179" s="1"/>
      <c r="I179" s="1"/>
      <c r="J179" s="51"/>
      <c r="K179" s="7"/>
      <c r="L179" s="1"/>
      <c r="M179" s="63"/>
      <c r="P179" s="7"/>
      <c r="Q179" s="1"/>
      <c r="R179" s="63"/>
      <c r="U179" s="7"/>
      <c r="V179" s="1"/>
      <c r="W179" s="1"/>
      <c r="X179" s="1"/>
      <c r="Y179" s="1"/>
      <c r="AC179" s="7"/>
      <c r="AD179" s="1"/>
      <c r="AE179" s="1"/>
      <c r="AF179" s="1"/>
      <c r="AG179" s="1"/>
    </row>
    <row r="180" spans="1:33" x14ac:dyDescent="0.25">
      <c r="A180" s="7"/>
      <c r="B180" s="1"/>
      <c r="C180" s="1"/>
      <c r="D180" s="1"/>
      <c r="F180" s="7"/>
      <c r="G180" s="1"/>
      <c r="H180" s="1"/>
      <c r="I180" s="1"/>
      <c r="J180" s="51"/>
      <c r="K180" s="7"/>
      <c r="L180" s="1"/>
      <c r="M180" s="63"/>
      <c r="P180" s="7"/>
      <c r="Q180" s="1"/>
      <c r="R180" s="63"/>
      <c r="U180" s="7"/>
      <c r="V180" s="1"/>
      <c r="W180" s="1"/>
      <c r="X180" s="1"/>
      <c r="Y180" s="1"/>
      <c r="AC180" s="7"/>
      <c r="AD180" s="1"/>
      <c r="AE180" s="1"/>
      <c r="AF180" s="1"/>
      <c r="AG180" s="1"/>
    </row>
    <row r="181" spans="1:33" x14ac:dyDescent="0.25">
      <c r="A181" s="7"/>
      <c r="B181" s="1"/>
      <c r="C181" s="1"/>
      <c r="D181" s="1"/>
      <c r="F181" s="7"/>
      <c r="G181" s="1"/>
      <c r="H181" s="1"/>
      <c r="I181" s="1"/>
      <c r="J181" s="51"/>
      <c r="K181" s="7"/>
      <c r="L181" s="1"/>
      <c r="M181" s="63"/>
      <c r="P181" s="7"/>
      <c r="Q181" s="1"/>
      <c r="R181" s="63"/>
      <c r="U181" s="7"/>
      <c r="V181" s="1"/>
      <c r="W181" s="1"/>
      <c r="X181" s="1"/>
      <c r="Y181" s="1"/>
      <c r="AC181" s="7"/>
      <c r="AD181" s="1"/>
      <c r="AE181" s="1"/>
      <c r="AF181" s="1"/>
      <c r="AG181" s="1"/>
    </row>
    <row r="182" spans="1:33" x14ac:dyDescent="0.25">
      <c r="A182" s="7"/>
      <c r="B182" s="1"/>
      <c r="C182" s="1"/>
      <c r="D182" s="1"/>
      <c r="F182" s="7"/>
      <c r="G182" s="1"/>
      <c r="H182" s="1"/>
      <c r="I182" s="1"/>
      <c r="J182" s="51"/>
      <c r="K182" s="7"/>
      <c r="L182" s="1"/>
      <c r="M182" s="63"/>
      <c r="P182" s="7"/>
      <c r="Q182" s="1"/>
      <c r="R182" s="63"/>
      <c r="U182" s="7"/>
      <c r="V182" s="1"/>
      <c r="W182" s="1"/>
      <c r="X182" s="1"/>
      <c r="Y182" s="1"/>
      <c r="AC182" s="7"/>
      <c r="AD182" s="1"/>
      <c r="AE182" s="1"/>
      <c r="AF182" s="1"/>
      <c r="AG182" s="1"/>
    </row>
    <row r="183" spans="1:33" x14ac:dyDescent="0.25">
      <c r="A183" s="7"/>
      <c r="B183" s="1"/>
      <c r="C183" s="1"/>
      <c r="D183" s="1"/>
      <c r="F183" s="7"/>
      <c r="G183" s="1"/>
      <c r="H183" s="1"/>
      <c r="I183" s="1"/>
      <c r="J183" s="51"/>
      <c r="K183" s="7"/>
      <c r="L183" s="1"/>
      <c r="M183" s="63"/>
      <c r="P183" s="7"/>
      <c r="Q183" s="1"/>
      <c r="R183" s="63"/>
      <c r="U183" s="7"/>
      <c r="V183" s="1"/>
      <c r="W183" s="1"/>
      <c r="X183" s="1"/>
      <c r="Y183" s="1"/>
      <c r="AC183" s="7"/>
      <c r="AD183" s="1"/>
      <c r="AE183" s="1"/>
      <c r="AF183" s="1"/>
      <c r="AG183" s="1"/>
    </row>
    <row r="184" spans="1:33" x14ac:dyDescent="0.25">
      <c r="A184" s="7"/>
      <c r="B184" s="1"/>
      <c r="C184" s="1"/>
      <c r="D184" s="1"/>
      <c r="F184" s="7"/>
      <c r="G184" s="1"/>
      <c r="H184" s="1"/>
      <c r="I184" s="1"/>
      <c r="J184" s="51"/>
      <c r="K184" s="7"/>
      <c r="L184" s="1"/>
      <c r="M184" s="63"/>
      <c r="P184" s="7"/>
      <c r="Q184" s="1"/>
      <c r="R184" s="63"/>
      <c r="U184" s="7"/>
      <c r="V184" s="1"/>
      <c r="W184" s="1"/>
      <c r="X184" s="1"/>
      <c r="Y184" s="1"/>
      <c r="AC184" s="7"/>
      <c r="AD184" s="1"/>
      <c r="AE184" s="1"/>
      <c r="AF184" s="1"/>
      <c r="AG184" s="1"/>
    </row>
    <row r="185" spans="1:33" x14ac:dyDescent="0.25">
      <c r="A185" s="7"/>
      <c r="B185" s="1"/>
      <c r="C185" s="1"/>
      <c r="D185" s="1"/>
      <c r="F185" s="7"/>
      <c r="G185" s="1"/>
      <c r="H185" s="1"/>
      <c r="I185" s="1"/>
      <c r="J185" s="51"/>
      <c r="K185" s="7"/>
      <c r="L185" s="1"/>
      <c r="M185" s="63"/>
      <c r="P185" s="7"/>
      <c r="Q185" s="1"/>
      <c r="R185" s="63"/>
      <c r="U185" s="7"/>
      <c r="V185" s="1"/>
      <c r="W185" s="1"/>
      <c r="X185" s="1"/>
      <c r="Y185" s="1"/>
      <c r="AC185" s="7"/>
      <c r="AD185" s="1"/>
      <c r="AE185" s="1"/>
      <c r="AF185" s="1"/>
      <c r="AG185" s="1"/>
    </row>
    <row r="186" spans="1:33" x14ac:dyDescent="0.25">
      <c r="A186" s="7"/>
      <c r="B186" s="1"/>
      <c r="C186" s="1"/>
      <c r="D186" s="1"/>
      <c r="F186" s="7"/>
      <c r="G186" s="1"/>
      <c r="H186" s="1"/>
      <c r="I186" s="1"/>
      <c r="J186" s="51"/>
      <c r="K186" s="7"/>
      <c r="L186" s="1"/>
      <c r="M186" s="63"/>
      <c r="P186" s="7"/>
      <c r="Q186" s="1"/>
      <c r="R186" s="63"/>
      <c r="U186" s="7"/>
      <c r="V186" s="1"/>
      <c r="W186" s="1"/>
      <c r="X186" s="1"/>
      <c r="Y186" s="1"/>
      <c r="AC186" s="7"/>
      <c r="AD186" s="1"/>
      <c r="AE186" s="1"/>
      <c r="AF186" s="1"/>
      <c r="AG186" s="1"/>
    </row>
    <row r="187" spans="1:33" x14ac:dyDescent="0.25">
      <c r="A187" s="7"/>
      <c r="B187" s="1"/>
      <c r="C187" s="1"/>
      <c r="D187" s="1"/>
      <c r="F187" s="7"/>
      <c r="G187" s="1"/>
      <c r="H187" s="1"/>
      <c r="I187" s="1"/>
      <c r="J187" s="51"/>
      <c r="K187" s="7"/>
      <c r="L187" s="1"/>
      <c r="M187" s="63"/>
      <c r="P187" s="7"/>
      <c r="Q187" s="1"/>
      <c r="R187" s="63"/>
      <c r="U187" s="7"/>
      <c r="V187" s="1"/>
      <c r="W187" s="1"/>
      <c r="X187" s="1"/>
      <c r="Y187" s="1"/>
      <c r="AC187" s="7"/>
      <c r="AD187" s="1"/>
      <c r="AE187" s="1"/>
      <c r="AF187" s="1"/>
      <c r="AG187" s="1"/>
    </row>
    <row r="188" spans="1:33" x14ac:dyDescent="0.25">
      <c r="A188" s="7"/>
      <c r="B188" s="1"/>
      <c r="C188" s="1"/>
      <c r="D188" s="1"/>
      <c r="F188" s="7"/>
      <c r="G188" s="1"/>
      <c r="H188" s="1"/>
      <c r="I188" s="1"/>
      <c r="J188" s="51"/>
      <c r="K188" s="7"/>
      <c r="L188" s="1"/>
      <c r="M188" s="63"/>
      <c r="P188" s="7"/>
      <c r="Q188" s="1"/>
      <c r="R188" s="63"/>
      <c r="U188" s="7"/>
      <c r="V188" s="1"/>
      <c r="W188" s="1"/>
      <c r="X188" s="1"/>
      <c r="Y188" s="1"/>
      <c r="AC188" s="7"/>
      <c r="AD188" s="1"/>
      <c r="AE188" s="1"/>
      <c r="AF188" s="1"/>
      <c r="AG188" s="1"/>
    </row>
    <row r="189" spans="1:33" x14ac:dyDescent="0.25">
      <c r="A189" s="7"/>
      <c r="B189" s="1"/>
      <c r="C189" s="1"/>
      <c r="D189" s="1"/>
      <c r="F189" s="7"/>
      <c r="G189" s="1"/>
      <c r="H189" s="1"/>
      <c r="I189" s="1"/>
      <c r="J189" s="51"/>
      <c r="K189" s="7"/>
      <c r="L189" s="1"/>
      <c r="M189" s="63"/>
      <c r="P189" s="7"/>
      <c r="Q189" s="1"/>
      <c r="R189" s="63"/>
      <c r="U189" s="7"/>
      <c r="V189" s="1"/>
      <c r="W189" s="1"/>
      <c r="X189" s="1"/>
      <c r="Y189" s="1"/>
      <c r="AC189" s="7"/>
      <c r="AD189" s="1"/>
      <c r="AE189" s="1"/>
      <c r="AF189" s="1"/>
      <c r="AG189" s="1"/>
    </row>
    <row r="190" spans="1:33" x14ac:dyDescent="0.25">
      <c r="A190" s="7"/>
      <c r="B190" s="1"/>
      <c r="C190" s="1"/>
      <c r="D190" s="1"/>
      <c r="F190" s="7"/>
      <c r="G190" s="1"/>
      <c r="H190" s="1"/>
      <c r="I190" s="1"/>
      <c r="J190" s="51"/>
      <c r="K190" s="7"/>
      <c r="L190" s="1"/>
      <c r="M190" s="63"/>
      <c r="P190" s="7"/>
      <c r="Q190" s="1"/>
      <c r="R190" s="63"/>
      <c r="U190" s="7"/>
      <c r="V190" s="1"/>
      <c r="W190" s="1"/>
      <c r="X190" s="1"/>
      <c r="Y190" s="1"/>
      <c r="AC190" s="7"/>
      <c r="AD190" s="1"/>
      <c r="AE190" s="1"/>
      <c r="AF190" s="1"/>
      <c r="AG190" s="1"/>
    </row>
    <row r="191" spans="1:33" x14ac:dyDescent="0.25">
      <c r="A191" s="7"/>
      <c r="B191" s="1"/>
      <c r="C191" s="1"/>
      <c r="D191" s="1"/>
      <c r="F191" s="7"/>
      <c r="G191" s="1"/>
      <c r="H191" s="1"/>
      <c r="I191" s="1"/>
      <c r="J191" s="51"/>
      <c r="K191" s="7"/>
      <c r="L191" s="1"/>
      <c r="M191" s="63"/>
      <c r="P191" s="7"/>
      <c r="Q191" s="1"/>
      <c r="R191" s="63"/>
      <c r="U191" s="7"/>
      <c r="V191" s="1"/>
      <c r="W191" s="1"/>
      <c r="X191" s="1"/>
      <c r="Y191" s="1"/>
      <c r="AC191" s="7"/>
      <c r="AD191" s="1"/>
      <c r="AE191" s="1"/>
      <c r="AF191" s="1"/>
      <c r="AG191" s="1"/>
    </row>
    <row r="192" spans="1:33" x14ac:dyDescent="0.25">
      <c r="A192" s="7"/>
      <c r="B192" s="1"/>
      <c r="C192" s="1"/>
      <c r="D192" s="1"/>
      <c r="F192" s="7"/>
      <c r="G192" s="1"/>
      <c r="H192" s="1"/>
      <c r="I192" s="1"/>
      <c r="J192" s="51"/>
      <c r="K192" s="7"/>
      <c r="L192" s="1"/>
      <c r="M192" s="63"/>
      <c r="P192" s="7"/>
      <c r="Q192" s="1"/>
      <c r="R192" s="63"/>
      <c r="U192" s="7"/>
      <c r="V192" s="1"/>
      <c r="W192" s="1"/>
      <c r="X192" s="1"/>
      <c r="Y192" s="1"/>
      <c r="AC192" s="7"/>
      <c r="AD192" s="1"/>
      <c r="AE192" s="1"/>
      <c r="AF192" s="1"/>
      <c r="AG192" s="1"/>
    </row>
    <row r="193" spans="1:33" x14ac:dyDescent="0.25">
      <c r="A193" s="7"/>
      <c r="B193" s="1"/>
      <c r="C193" s="1"/>
      <c r="D193" s="1"/>
      <c r="F193" s="7"/>
      <c r="G193" s="1"/>
      <c r="H193" s="1"/>
      <c r="I193" s="1"/>
      <c r="J193" s="51"/>
      <c r="K193" s="7"/>
      <c r="L193" s="1"/>
      <c r="M193" s="63"/>
      <c r="P193" s="7"/>
      <c r="Q193" s="1"/>
      <c r="R193" s="63"/>
      <c r="U193" s="7"/>
      <c r="V193" s="1"/>
      <c r="W193" s="1"/>
      <c r="X193" s="1"/>
      <c r="Y193" s="1"/>
      <c r="AC193" s="7"/>
      <c r="AD193" s="1"/>
      <c r="AE193" s="1"/>
      <c r="AF193" s="1"/>
      <c r="AG193" s="1"/>
    </row>
    <row r="194" spans="1:33" x14ac:dyDescent="0.25">
      <c r="A194" s="7"/>
      <c r="B194" s="1"/>
      <c r="C194" s="1"/>
      <c r="D194" s="1"/>
      <c r="F194" s="7"/>
      <c r="G194" s="1"/>
      <c r="H194" s="1"/>
      <c r="I194" s="1"/>
      <c r="J194" s="51"/>
      <c r="K194" s="7"/>
      <c r="L194" s="1"/>
      <c r="M194" s="63"/>
      <c r="P194" s="7"/>
      <c r="Q194" s="1"/>
      <c r="R194" s="63"/>
      <c r="U194" s="7"/>
      <c r="V194" s="1"/>
      <c r="W194" s="1"/>
      <c r="X194" s="1"/>
      <c r="Y194" s="1"/>
      <c r="AC194" s="7"/>
      <c r="AD194" s="1"/>
      <c r="AE194" s="1"/>
      <c r="AF194" s="1"/>
      <c r="AG194" s="1"/>
    </row>
    <row r="195" spans="1:33" x14ac:dyDescent="0.25">
      <c r="A195" s="7"/>
      <c r="B195" s="1"/>
      <c r="C195" s="1"/>
      <c r="D195" s="1"/>
      <c r="F195" s="7"/>
      <c r="G195" s="1"/>
      <c r="H195" s="1"/>
      <c r="I195" s="1"/>
      <c r="J195" s="51"/>
      <c r="K195" s="7"/>
      <c r="L195" s="1"/>
      <c r="M195" s="63"/>
      <c r="P195" s="7"/>
      <c r="Q195" s="1"/>
      <c r="R195" s="63"/>
      <c r="U195" s="7"/>
      <c r="V195" s="1"/>
      <c r="W195" s="1"/>
      <c r="X195" s="1"/>
      <c r="Y195" s="1"/>
      <c r="AC195" s="7"/>
      <c r="AD195" s="1"/>
      <c r="AE195" s="1"/>
      <c r="AF195" s="1"/>
      <c r="AG195" s="1"/>
    </row>
    <row r="196" spans="1:33" x14ac:dyDescent="0.25">
      <c r="A196" s="7"/>
      <c r="B196" s="1"/>
      <c r="C196" s="1"/>
      <c r="D196" s="1"/>
      <c r="F196" s="7"/>
      <c r="G196" s="1"/>
      <c r="H196" s="1"/>
      <c r="I196" s="1"/>
      <c r="J196" s="51"/>
      <c r="K196" s="7"/>
      <c r="L196" s="1"/>
      <c r="M196" s="63"/>
      <c r="P196" s="7"/>
      <c r="Q196" s="1"/>
      <c r="R196" s="63"/>
      <c r="U196" s="7"/>
      <c r="V196" s="1"/>
      <c r="W196" s="1"/>
      <c r="X196" s="1"/>
      <c r="Y196" s="1"/>
      <c r="AC196" s="7"/>
      <c r="AD196" s="1"/>
      <c r="AE196" s="1"/>
      <c r="AF196" s="1"/>
      <c r="AG196" s="1"/>
    </row>
    <row r="197" spans="1:33" x14ac:dyDescent="0.25">
      <c r="A197" s="7"/>
      <c r="B197" s="1"/>
      <c r="C197" s="1"/>
      <c r="D197" s="1"/>
      <c r="F197" s="7"/>
      <c r="G197" s="1"/>
      <c r="H197" s="1"/>
      <c r="I197" s="1"/>
      <c r="J197" s="51"/>
      <c r="K197" s="7"/>
      <c r="L197" s="1"/>
      <c r="M197" s="63"/>
      <c r="P197" s="7"/>
      <c r="Q197" s="1"/>
      <c r="R197" s="63"/>
      <c r="U197" s="7"/>
      <c r="V197" s="1"/>
      <c r="W197" s="1"/>
      <c r="X197" s="1"/>
      <c r="Y197" s="1"/>
      <c r="AC197" s="7"/>
      <c r="AD197" s="1"/>
      <c r="AE197" s="1"/>
      <c r="AF197" s="1"/>
      <c r="AG197" s="1"/>
    </row>
    <row r="198" spans="1:33" x14ac:dyDescent="0.25">
      <c r="A198" s="7"/>
      <c r="B198" s="1"/>
      <c r="C198" s="1"/>
      <c r="D198" s="1"/>
      <c r="F198" s="7"/>
      <c r="G198" s="1"/>
      <c r="H198" s="1"/>
      <c r="I198" s="1"/>
      <c r="J198" s="51"/>
      <c r="K198" s="7"/>
      <c r="L198" s="1"/>
      <c r="M198" s="63"/>
      <c r="P198" s="7"/>
      <c r="Q198" s="1"/>
      <c r="R198" s="63"/>
      <c r="U198" s="7"/>
      <c r="V198" s="1"/>
      <c r="W198" s="1"/>
      <c r="X198" s="1"/>
      <c r="Y198" s="1"/>
      <c r="AC198" s="7"/>
      <c r="AD198" s="1"/>
      <c r="AE198" s="1"/>
      <c r="AF198" s="1"/>
      <c r="AG198" s="1"/>
    </row>
    <row r="199" spans="1:33" x14ac:dyDescent="0.25">
      <c r="A199" s="7"/>
      <c r="B199" s="1"/>
      <c r="C199" s="1"/>
      <c r="D199" s="1"/>
      <c r="F199" s="7"/>
      <c r="G199" s="1"/>
      <c r="H199" s="1"/>
      <c r="I199" s="1"/>
      <c r="J199" s="51"/>
      <c r="K199" s="7"/>
      <c r="L199" s="1"/>
      <c r="M199" s="63"/>
      <c r="P199" s="7"/>
      <c r="Q199" s="1"/>
      <c r="R199" s="63"/>
      <c r="U199" s="7"/>
      <c r="V199" s="1"/>
      <c r="W199" s="1"/>
      <c r="X199" s="1"/>
      <c r="Y199" s="1"/>
      <c r="AC199" s="7"/>
      <c r="AD199" s="1"/>
      <c r="AE199" s="1"/>
      <c r="AF199" s="1"/>
      <c r="AG199" s="1"/>
    </row>
    <row r="200" spans="1:33" x14ac:dyDescent="0.25">
      <c r="A200" s="7"/>
      <c r="B200" s="1"/>
      <c r="C200" s="1"/>
      <c r="D200" s="1"/>
      <c r="F200" s="7"/>
      <c r="G200" s="1"/>
      <c r="H200" s="1"/>
      <c r="I200" s="1"/>
      <c r="J200" s="51"/>
      <c r="K200" s="7"/>
      <c r="L200" s="1"/>
      <c r="M200" s="63"/>
      <c r="P200" s="7"/>
      <c r="Q200" s="1"/>
      <c r="R200" s="63"/>
      <c r="U200" s="7"/>
      <c r="V200" s="1"/>
      <c r="W200" s="1"/>
      <c r="X200" s="1"/>
      <c r="Y200" s="1"/>
      <c r="AC200" s="7"/>
      <c r="AD200" s="1"/>
      <c r="AE200" s="1"/>
      <c r="AF200" s="1"/>
      <c r="AG200" s="1"/>
    </row>
    <row r="201" spans="1:33" x14ac:dyDescent="0.25">
      <c r="A201" s="7"/>
      <c r="B201" s="1"/>
      <c r="C201" s="1"/>
      <c r="D201" s="1"/>
      <c r="F201" s="7"/>
      <c r="G201" s="1"/>
      <c r="H201" s="1"/>
      <c r="I201" s="1"/>
      <c r="J201" s="51"/>
      <c r="K201" s="7"/>
      <c r="L201" s="1"/>
      <c r="M201" s="63"/>
      <c r="P201" s="7"/>
      <c r="Q201" s="1"/>
      <c r="R201" s="63"/>
      <c r="U201" s="7"/>
      <c r="V201" s="1"/>
      <c r="W201" s="1"/>
      <c r="X201" s="1"/>
      <c r="Y201" s="1"/>
      <c r="AC201" s="7"/>
      <c r="AD201" s="1"/>
      <c r="AE201" s="1"/>
      <c r="AF201" s="1"/>
      <c r="AG201" s="1"/>
    </row>
    <row r="202" spans="1:33" x14ac:dyDescent="0.25">
      <c r="A202" s="7"/>
      <c r="B202" s="1"/>
      <c r="C202" s="1"/>
      <c r="D202" s="1"/>
      <c r="F202" s="7"/>
      <c r="G202" s="1"/>
      <c r="H202" s="1"/>
      <c r="I202" s="1"/>
      <c r="J202" s="51"/>
      <c r="K202" s="7"/>
      <c r="L202" s="1"/>
      <c r="M202" s="63"/>
      <c r="P202" s="7"/>
      <c r="Q202" s="1"/>
      <c r="R202" s="63"/>
      <c r="U202" s="7"/>
      <c r="V202" s="1"/>
      <c r="W202" s="1"/>
      <c r="X202" s="1"/>
      <c r="Y202" s="1"/>
      <c r="AC202" s="7"/>
      <c r="AD202" s="1"/>
      <c r="AE202" s="1"/>
      <c r="AF202" s="1"/>
      <c r="AG202" s="1"/>
    </row>
    <row r="203" spans="1:33" x14ac:dyDescent="0.25">
      <c r="A203" s="7"/>
      <c r="B203" s="1"/>
      <c r="C203" s="1"/>
      <c r="D203" s="1"/>
      <c r="F203" s="7"/>
      <c r="G203" s="1"/>
      <c r="H203" s="1"/>
      <c r="I203" s="1"/>
      <c r="J203" s="51"/>
      <c r="K203" s="7"/>
      <c r="L203" s="1"/>
      <c r="M203" s="63"/>
      <c r="P203" s="7"/>
      <c r="Q203" s="1"/>
      <c r="R203" s="63"/>
      <c r="U203" s="7"/>
      <c r="V203" s="1"/>
      <c r="W203" s="1"/>
      <c r="X203" s="1"/>
      <c r="Y203" s="1"/>
      <c r="AC203" s="7"/>
      <c r="AD203" s="1"/>
      <c r="AE203" s="1"/>
      <c r="AF203" s="1"/>
      <c r="AG203" s="1"/>
    </row>
    <row r="204" spans="1:33" x14ac:dyDescent="0.25">
      <c r="A204" s="7"/>
      <c r="B204" s="1"/>
      <c r="C204" s="1"/>
      <c r="D204" s="1"/>
      <c r="F204" s="7"/>
      <c r="G204" s="1"/>
      <c r="H204" s="1"/>
      <c r="I204" s="1"/>
      <c r="J204" s="51"/>
      <c r="K204" s="7"/>
      <c r="L204" s="1"/>
      <c r="M204" s="63"/>
      <c r="P204" s="7"/>
      <c r="Q204" s="1"/>
      <c r="R204" s="63"/>
      <c r="U204" s="7"/>
      <c r="V204" s="1"/>
      <c r="W204" s="1"/>
      <c r="X204" s="1"/>
      <c r="Y204" s="1"/>
      <c r="AC204" s="7"/>
      <c r="AD204" s="1"/>
      <c r="AE204" s="1"/>
      <c r="AF204" s="1"/>
      <c r="AG204" s="1"/>
    </row>
    <row r="205" spans="1:33" x14ac:dyDescent="0.25">
      <c r="A205" s="7"/>
      <c r="B205" s="1"/>
      <c r="C205" s="1"/>
      <c r="D205" s="1"/>
      <c r="F205" s="7"/>
      <c r="G205" s="1"/>
      <c r="H205" s="1"/>
      <c r="I205" s="1"/>
      <c r="J205" s="51"/>
      <c r="K205" s="7"/>
      <c r="L205" s="1"/>
      <c r="M205" s="63"/>
      <c r="P205" s="7"/>
      <c r="Q205" s="1"/>
      <c r="R205" s="63"/>
      <c r="U205" s="7"/>
      <c r="V205" s="1"/>
      <c r="W205" s="1"/>
      <c r="X205" s="1"/>
      <c r="Y205" s="1"/>
      <c r="AC205" s="7"/>
      <c r="AD205" s="1"/>
      <c r="AE205" s="1"/>
      <c r="AF205" s="1"/>
      <c r="AG205" s="1"/>
    </row>
    <row r="206" spans="1:33" x14ac:dyDescent="0.25">
      <c r="A206" s="7"/>
      <c r="B206" s="1"/>
      <c r="C206" s="1"/>
      <c r="D206" s="1"/>
      <c r="F206" s="7"/>
      <c r="G206" s="1"/>
      <c r="H206" s="1"/>
      <c r="I206" s="1"/>
      <c r="J206" s="51"/>
      <c r="K206" s="7"/>
      <c r="L206" s="1"/>
      <c r="M206" s="63"/>
      <c r="P206" s="7"/>
      <c r="Q206" s="1"/>
      <c r="R206" s="63"/>
      <c r="U206" s="7"/>
      <c r="V206" s="1"/>
      <c r="W206" s="1"/>
      <c r="X206" s="1"/>
      <c r="Y206" s="1"/>
      <c r="AC206" s="7"/>
      <c r="AD206" s="1"/>
      <c r="AE206" s="1"/>
      <c r="AF206" s="1"/>
      <c r="AG206" s="1"/>
    </row>
    <row r="207" spans="1:33" x14ac:dyDescent="0.25">
      <c r="A207" s="7"/>
      <c r="B207" s="1"/>
      <c r="C207" s="1"/>
      <c r="D207" s="1"/>
      <c r="F207" s="7"/>
      <c r="G207" s="1"/>
      <c r="H207" s="1"/>
      <c r="I207" s="1"/>
      <c r="J207" s="51"/>
      <c r="K207" s="7"/>
      <c r="L207" s="1"/>
      <c r="M207" s="63"/>
      <c r="P207" s="7"/>
      <c r="Q207" s="1"/>
      <c r="R207" s="63"/>
      <c r="U207" s="7"/>
      <c r="V207" s="1"/>
      <c r="W207" s="1"/>
      <c r="X207" s="1"/>
      <c r="Y207" s="1"/>
      <c r="AC207" s="7"/>
      <c r="AD207" s="1"/>
      <c r="AE207" s="1"/>
      <c r="AF207" s="1"/>
      <c r="AG207" s="1"/>
    </row>
    <row r="208" spans="1:33" x14ac:dyDescent="0.25">
      <c r="A208" s="7"/>
      <c r="B208" s="1"/>
      <c r="C208" s="1"/>
      <c r="D208" s="1"/>
      <c r="F208" s="7"/>
      <c r="G208" s="1"/>
      <c r="H208" s="1"/>
      <c r="I208" s="1"/>
      <c r="J208" s="51"/>
      <c r="K208" s="7"/>
      <c r="L208" s="1"/>
      <c r="M208" s="63"/>
      <c r="P208" s="7"/>
      <c r="Q208" s="1"/>
      <c r="R208" s="63"/>
      <c r="U208" s="7"/>
      <c r="V208" s="1"/>
      <c r="W208" s="1"/>
      <c r="X208" s="1"/>
      <c r="Y208" s="1"/>
      <c r="AC208" s="7"/>
      <c r="AD208" s="1"/>
      <c r="AE208" s="1"/>
      <c r="AF208" s="1"/>
      <c r="AG208" s="1"/>
    </row>
    <row r="209" spans="1:25" x14ac:dyDescent="0.25">
      <c r="A209" s="7"/>
      <c r="B209" s="1"/>
      <c r="C209" s="1"/>
      <c r="D209" s="1"/>
      <c r="F209" s="7"/>
      <c r="G209" s="1"/>
      <c r="H209" s="1"/>
      <c r="I209" s="1"/>
      <c r="J209" s="51"/>
      <c r="K209" s="7"/>
      <c r="L209" s="1"/>
      <c r="M209" s="63"/>
      <c r="P209" s="7"/>
      <c r="Q209" s="1"/>
      <c r="R209" s="63"/>
      <c r="U209" s="7"/>
      <c r="V209" s="1"/>
      <c r="W209" s="1"/>
      <c r="X209" s="1"/>
      <c r="Y209" s="1"/>
    </row>
    <row r="210" spans="1:25" x14ac:dyDescent="0.25">
      <c r="A210" s="7"/>
      <c r="B210" s="1"/>
      <c r="C210" s="1"/>
      <c r="D210" s="1"/>
      <c r="F210" s="7"/>
      <c r="G210" s="1"/>
      <c r="H210" s="1"/>
      <c r="I210" s="1"/>
      <c r="J210" s="51"/>
      <c r="K210" s="7"/>
      <c r="L210" s="1"/>
      <c r="M210" s="63"/>
      <c r="P210" s="7"/>
      <c r="Q210" s="1"/>
      <c r="R210" s="63"/>
    </row>
    <row r="211" spans="1:25" x14ac:dyDescent="0.25">
      <c r="A211" s="7"/>
      <c r="B211" s="1"/>
      <c r="C211" s="1"/>
      <c r="D211" s="1"/>
      <c r="F211" s="7"/>
      <c r="G211" s="1"/>
      <c r="H211" s="1"/>
      <c r="I211" s="1"/>
      <c r="J211" s="51"/>
      <c r="K211" s="7"/>
      <c r="L211" s="1"/>
      <c r="M211" s="63"/>
      <c r="P211" s="7"/>
      <c r="Q211" s="1"/>
      <c r="R211" s="63"/>
    </row>
    <row r="212" spans="1:25" x14ac:dyDescent="0.25">
      <c r="A212" s="7"/>
      <c r="B212" s="1"/>
      <c r="C212" s="1"/>
      <c r="D212" s="1"/>
      <c r="F212" s="7"/>
      <c r="G212" s="1"/>
      <c r="H212" s="1"/>
      <c r="I212" s="1"/>
      <c r="J212" s="51"/>
      <c r="K212" s="7"/>
      <c r="L212" s="1"/>
      <c r="M212" s="63"/>
      <c r="P212" s="7"/>
      <c r="Q212" s="1"/>
      <c r="R212" s="63"/>
    </row>
    <row r="213" spans="1:25" x14ac:dyDescent="0.25">
      <c r="A213" s="7"/>
      <c r="B213" s="1"/>
      <c r="C213" s="1"/>
      <c r="D213" s="1"/>
      <c r="F213" s="7"/>
      <c r="G213" s="1"/>
      <c r="H213" s="1"/>
      <c r="I213" s="1"/>
      <c r="J213" s="51"/>
      <c r="K213" s="7"/>
      <c r="L213" s="1"/>
      <c r="M213" s="63"/>
      <c r="P213" s="7"/>
      <c r="Q213" s="1"/>
      <c r="R213" s="63"/>
    </row>
    <row r="214" spans="1:25" x14ac:dyDescent="0.25">
      <c r="A214" s="7"/>
      <c r="B214" s="1"/>
      <c r="C214" s="1"/>
      <c r="D214" s="1"/>
      <c r="F214" s="7"/>
      <c r="G214" s="1"/>
      <c r="H214" s="1"/>
      <c r="I214" s="1"/>
      <c r="J214" s="51"/>
      <c r="K214" s="7"/>
      <c r="L214" s="1"/>
      <c r="M214" s="63"/>
      <c r="P214" s="7"/>
      <c r="Q214" s="1"/>
      <c r="R214" s="63"/>
    </row>
    <row r="215" spans="1:25" x14ac:dyDescent="0.25">
      <c r="A215" s="7"/>
      <c r="B215" s="1"/>
      <c r="C215" s="1"/>
      <c r="D215" s="1"/>
      <c r="F215" s="7"/>
      <c r="G215" s="1"/>
      <c r="H215" s="1"/>
      <c r="I215" s="1"/>
      <c r="J215" s="51"/>
      <c r="K215" s="7"/>
      <c r="L215" s="1"/>
      <c r="M215" s="63"/>
      <c r="P215" s="7"/>
      <c r="Q215" s="1"/>
      <c r="R215" s="63"/>
    </row>
    <row r="216" spans="1:25" x14ac:dyDescent="0.25">
      <c r="A216" s="7"/>
      <c r="B216" s="1"/>
      <c r="C216" s="1"/>
      <c r="D216" s="1"/>
      <c r="F216" s="7"/>
      <c r="G216" s="1"/>
      <c r="H216" s="1"/>
      <c r="I216" s="1"/>
      <c r="J216" s="51"/>
      <c r="K216" s="7"/>
      <c r="L216" s="1"/>
      <c r="M216" s="63"/>
      <c r="P216" s="7"/>
      <c r="Q216" s="1"/>
      <c r="R216" s="63"/>
    </row>
    <row r="217" spans="1:25" x14ac:dyDescent="0.25">
      <c r="A217" s="7"/>
      <c r="B217" s="1"/>
      <c r="C217" s="1"/>
      <c r="D217" s="1"/>
      <c r="F217" s="7"/>
      <c r="G217" s="1"/>
      <c r="H217" s="1"/>
      <c r="I217" s="1"/>
      <c r="J217" s="51"/>
      <c r="K217" s="7"/>
      <c r="L217" s="1"/>
      <c r="M217" s="63"/>
      <c r="P217" s="7"/>
      <c r="Q217" s="1"/>
      <c r="R217" s="63"/>
    </row>
    <row r="218" spans="1:25" x14ac:dyDescent="0.25">
      <c r="A218" s="7"/>
      <c r="B218" s="1"/>
      <c r="C218" s="1"/>
      <c r="D218" s="1"/>
      <c r="F218" s="7"/>
      <c r="G218" s="1"/>
      <c r="H218" s="1"/>
      <c r="I218" s="1"/>
      <c r="J218" s="51"/>
      <c r="K218" s="7"/>
      <c r="L218" s="1"/>
      <c r="M218" s="63"/>
      <c r="P218" s="7"/>
      <c r="Q218" s="1"/>
      <c r="R218" s="63"/>
    </row>
    <row r="219" spans="1:25" x14ac:dyDescent="0.25">
      <c r="A219" s="7"/>
      <c r="B219" s="1"/>
      <c r="C219" s="1"/>
      <c r="D219" s="1"/>
      <c r="F219" s="7"/>
      <c r="G219" s="1"/>
      <c r="H219" s="1"/>
      <c r="I219" s="1"/>
      <c r="J219" s="51"/>
      <c r="K219" s="7"/>
      <c r="L219" s="1"/>
      <c r="M219" s="63"/>
      <c r="P219" s="7"/>
      <c r="Q219" s="1"/>
      <c r="R219" s="63"/>
    </row>
    <row r="220" spans="1:25" x14ac:dyDescent="0.25">
      <c r="A220" s="7"/>
      <c r="B220" s="1"/>
      <c r="C220" s="1"/>
      <c r="D220" s="1"/>
      <c r="F220" s="7"/>
      <c r="G220" s="1"/>
      <c r="H220" s="1"/>
      <c r="I220" s="1"/>
      <c r="J220" s="51"/>
      <c r="K220" s="7"/>
      <c r="L220" s="1"/>
      <c r="M220" s="63"/>
      <c r="P220" s="7"/>
      <c r="Q220" s="1"/>
      <c r="R220" s="63"/>
    </row>
    <row r="221" spans="1:25" x14ac:dyDescent="0.25">
      <c r="A221" s="7"/>
      <c r="B221" s="1"/>
      <c r="C221" s="1"/>
      <c r="D221" s="1"/>
      <c r="F221" s="7"/>
      <c r="G221" s="1"/>
      <c r="H221" s="1"/>
      <c r="I221" s="1"/>
      <c r="J221" s="51"/>
      <c r="K221" s="7"/>
      <c r="L221" s="1"/>
      <c r="M221" s="63"/>
      <c r="P221" s="7"/>
      <c r="Q221" s="1"/>
      <c r="R221" s="63"/>
    </row>
    <row r="222" spans="1:25" x14ac:dyDescent="0.25">
      <c r="A222" s="7"/>
      <c r="B222" s="1"/>
      <c r="C222" s="1"/>
      <c r="D222" s="1"/>
      <c r="F222" s="7"/>
      <c r="G222" s="1"/>
      <c r="H222" s="1"/>
      <c r="I222" s="1"/>
      <c r="J222" s="51"/>
      <c r="K222" s="7"/>
      <c r="L222" s="1"/>
      <c r="M222" s="63"/>
      <c r="P222" s="7"/>
      <c r="Q222" s="1"/>
      <c r="R222" s="63"/>
    </row>
    <row r="223" spans="1:25" x14ac:dyDescent="0.25">
      <c r="A223" s="7"/>
      <c r="B223" s="1"/>
      <c r="C223" s="1"/>
      <c r="D223" s="1"/>
      <c r="F223" s="7"/>
      <c r="G223" s="1"/>
      <c r="H223" s="1"/>
      <c r="I223" s="1"/>
      <c r="J223" s="51"/>
      <c r="K223" s="7"/>
      <c r="L223" s="1"/>
      <c r="M223" s="63"/>
      <c r="P223" s="7"/>
      <c r="Q223" s="1"/>
      <c r="R223" s="63"/>
    </row>
    <row r="224" spans="1:25" x14ac:dyDescent="0.25">
      <c r="A224" s="7"/>
      <c r="B224" s="1"/>
      <c r="C224" s="1"/>
      <c r="D224" s="1"/>
      <c r="F224" s="7"/>
      <c r="G224" s="1"/>
      <c r="H224" s="1"/>
      <c r="I224" s="1"/>
      <c r="J224" s="51"/>
      <c r="K224" s="7"/>
      <c r="L224" s="1"/>
      <c r="M224" s="63"/>
      <c r="P224" s="7"/>
      <c r="Q224" s="1"/>
      <c r="R224" s="63"/>
    </row>
    <row r="225" spans="1:18" x14ac:dyDescent="0.25">
      <c r="A225" s="7"/>
      <c r="B225" s="1"/>
      <c r="C225" s="1"/>
      <c r="D225" s="1"/>
      <c r="F225" s="7"/>
      <c r="G225" s="1"/>
      <c r="H225" s="1"/>
      <c r="I225" s="1"/>
      <c r="J225" s="51"/>
      <c r="K225" s="7"/>
      <c r="L225" s="1"/>
      <c r="M225" s="63"/>
      <c r="P225" s="7"/>
      <c r="Q225" s="1"/>
      <c r="R225" s="63"/>
    </row>
    <row r="226" spans="1:18" x14ac:dyDescent="0.25">
      <c r="A226" s="7"/>
      <c r="B226" s="1"/>
      <c r="C226" s="1"/>
      <c r="D226" s="1"/>
      <c r="F226" s="7"/>
      <c r="G226" s="1"/>
      <c r="H226" s="1"/>
      <c r="I226" s="1"/>
      <c r="J226" s="51"/>
      <c r="K226" s="7"/>
      <c r="L226" s="1"/>
      <c r="M226" s="63"/>
      <c r="P226" s="7"/>
      <c r="Q226" s="1"/>
      <c r="R226" s="63"/>
    </row>
    <row r="227" spans="1:18" x14ac:dyDescent="0.25">
      <c r="A227" s="7"/>
      <c r="B227" s="1"/>
      <c r="C227" s="1"/>
      <c r="D227" s="1"/>
      <c r="F227" s="7"/>
      <c r="G227" s="1"/>
      <c r="H227" s="1"/>
      <c r="I227" s="1"/>
      <c r="J227" s="51"/>
      <c r="K227" s="7"/>
      <c r="L227" s="1"/>
      <c r="M227" s="63"/>
      <c r="P227" s="7"/>
      <c r="Q227" s="1"/>
      <c r="R227" s="63"/>
    </row>
    <row r="228" spans="1:18" x14ac:dyDescent="0.25">
      <c r="A228" s="7"/>
      <c r="B228" s="1"/>
      <c r="C228" s="1"/>
      <c r="D228" s="1"/>
      <c r="F228" s="7"/>
      <c r="G228" s="1"/>
      <c r="H228" s="1"/>
      <c r="I228" s="1"/>
      <c r="J228" s="51"/>
      <c r="K228" s="7"/>
      <c r="L228" s="1"/>
      <c r="M228" s="63"/>
      <c r="P228" s="7"/>
      <c r="Q228" s="1"/>
      <c r="R228" s="63"/>
    </row>
    <row r="229" spans="1:18" x14ac:dyDescent="0.25">
      <c r="A229" s="7"/>
      <c r="B229" s="1"/>
      <c r="C229" s="1"/>
      <c r="D229" s="1"/>
      <c r="F229" s="7"/>
      <c r="G229" s="1"/>
      <c r="H229" s="1"/>
      <c r="I229" s="1"/>
      <c r="J229" s="51"/>
      <c r="K229" s="7"/>
      <c r="L229" s="1"/>
      <c r="M229" s="63"/>
      <c r="P229" s="7"/>
      <c r="Q229" s="1"/>
      <c r="R229" s="63"/>
    </row>
    <row r="230" spans="1:18" x14ac:dyDescent="0.25">
      <c r="A230" s="7"/>
      <c r="B230" s="1"/>
      <c r="C230" s="1"/>
      <c r="D230" s="1"/>
      <c r="F230" s="7"/>
      <c r="G230" s="1"/>
      <c r="H230" s="1"/>
      <c r="I230" s="1"/>
      <c r="J230" s="51"/>
      <c r="K230" s="7"/>
      <c r="L230" s="1"/>
      <c r="M230" s="63"/>
      <c r="P230" s="7"/>
      <c r="Q230" s="1"/>
      <c r="R230" s="63"/>
    </row>
    <row r="231" spans="1:18" x14ac:dyDescent="0.25">
      <c r="A231" s="7"/>
      <c r="B231" s="1"/>
      <c r="C231" s="1"/>
      <c r="D231" s="1"/>
      <c r="F231" s="7"/>
      <c r="G231" s="1"/>
      <c r="H231" s="1"/>
      <c r="I231" s="1"/>
      <c r="J231" s="51"/>
      <c r="K231" s="7"/>
      <c r="L231" s="1"/>
      <c r="M231" s="63"/>
      <c r="P231" s="7"/>
      <c r="Q231" s="1"/>
      <c r="R231" s="63"/>
    </row>
    <row r="232" spans="1:18" x14ac:dyDescent="0.25">
      <c r="A232" s="7"/>
      <c r="B232" s="1"/>
      <c r="C232" s="1"/>
      <c r="D232" s="1"/>
      <c r="F232" s="7"/>
      <c r="G232" s="1"/>
      <c r="H232" s="1"/>
      <c r="I232" s="1"/>
      <c r="J232" s="51"/>
      <c r="K232" s="7"/>
      <c r="L232" s="1"/>
      <c r="M232" s="63"/>
      <c r="P232" s="7"/>
      <c r="Q232" s="1"/>
      <c r="R232" s="63"/>
    </row>
    <row r="233" spans="1:18" x14ac:dyDescent="0.25">
      <c r="A233" s="7"/>
      <c r="B233" s="1"/>
      <c r="C233" s="1"/>
      <c r="D233" s="1"/>
      <c r="F233" s="7"/>
      <c r="G233" s="1"/>
      <c r="H233" s="1"/>
      <c r="I233" s="1"/>
      <c r="J233" s="51"/>
      <c r="K233" s="7"/>
      <c r="L233" s="1"/>
      <c r="M233" s="63"/>
      <c r="P233" s="7"/>
      <c r="Q233" s="1"/>
      <c r="R233" s="63"/>
    </row>
    <row r="234" spans="1:18" x14ac:dyDescent="0.25">
      <c r="A234" s="7"/>
      <c r="B234" s="1"/>
      <c r="C234" s="1"/>
      <c r="D234" s="1"/>
      <c r="F234" s="7"/>
      <c r="G234" s="1"/>
      <c r="H234" s="1"/>
      <c r="I234" s="1"/>
      <c r="J234" s="51"/>
      <c r="K234" s="7"/>
      <c r="L234" s="1"/>
      <c r="M234" s="63"/>
      <c r="P234" s="7"/>
      <c r="Q234" s="1"/>
      <c r="R234" s="63"/>
    </row>
    <row r="235" spans="1:18" x14ac:dyDescent="0.25">
      <c r="A235" s="7"/>
      <c r="B235" s="1"/>
      <c r="C235" s="1"/>
      <c r="D235" s="1"/>
      <c r="F235" s="7"/>
      <c r="G235" s="1"/>
      <c r="H235" s="1"/>
      <c r="I235" s="1"/>
      <c r="J235" s="51"/>
      <c r="K235" s="7"/>
      <c r="L235" s="1"/>
      <c r="M235" s="63"/>
      <c r="P235" s="7"/>
      <c r="Q235" s="1"/>
      <c r="R235" s="63"/>
    </row>
    <row r="236" spans="1:18" x14ac:dyDescent="0.25">
      <c r="A236" s="7"/>
      <c r="B236" s="1"/>
      <c r="C236" s="1"/>
      <c r="D236" s="1"/>
      <c r="F236" s="7"/>
      <c r="G236" s="1"/>
      <c r="H236" s="1"/>
      <c r="I236" s="1"/>
      <c r="J236" s="51"/>
      <c r="K236" s="7"/>
      <c r="L236" s="1"/>
      <c r="M236" s="63"/>
      <c r="P236" s="7"/>
      <c r="Q236" s="1"/>
      <c r="R236" s="63"/>
    </row>
    <row r="237" spans="1:18" x14ac:dyDescent="0.25">
      <c r="A237" s="7"/>
      <c r="B237" s="1"/>
      <c r="C237" s="1"/>
      <c r="D237" s="1"/>
      <c r="F237" s="7"/>
      <c r="G237" s="1"/>
      <c r="H237" s="1"/>
      <c r="I237" s="1"/>
      <c r="J237" s="51"/>
      <c r="K237" s="7"/>
      <c r="L237" s="1"/>
      <c r="M237" s="63"/>
      <c r="P237" s="7"/>
      <c r="Q237" s="1"/>
      <c r="R237" s="63"/>
    </row>
    <row r="238" spans="1:18" x14ac:dyDescent="0.25">
      <c r="A238" s="7"/>
      <c r="B238" s="1"/>
      <c r="C238" s="1"/>
      <c r="D238" s="1"/>
      <c r="F238" s="7"/>
      <c r="G238" s="1"/>
      <c r="H238" s="1"/>
      <c r="I238" s="1"/>
      <c r="J238" s="51"/>
      <c r="K238" s="7"/>
      <c r="L238" s="1"/>
      <c r="M238" s="63"/>
      <c r="P238" s="7"/>
      <c r="Q238" s="1"/>
      <c r="R238" s="63"/>
    </row>
    <row r="239" spans="1:18" x14ac:dyDescent="0.25">
      <c r="A239" s="7"/>
      <c r="B239" s="1"/>
      <c r="C239" s="1"/>
      <c r="D239" s="1"/>
      <c r="F239" s="7"/>
      <c r="G239" s="1"/>
      <c r="H239" s="1"/>
      <c r="I239" s="1"/>
      <c r="J239" s="51"/>
      <c r="K239" s="7"/>
      <c r="L239" s="1"/>
      <c r="M239" s="63"/>
      <c r="P239" s="7"/>
      <c r="Q239" s="1"/>
      <c r="R239" s="63"/>
    </row>
    <row r="240" spans="1:18" x14ac:dyDescent="0.25">
      <c r="A240" s="7"/>
      <c r="B240" s="1"/>
      <c r="C240" s="1"/>
      <c r="D240" s="1"/>
      <c r="F240" s="7"/>
      <c r="G240" s="1"/>
      <c r="H240" s="1"/>
      <c r="I240" s="1"/>
      <c r="J240" s="51"/>
      <c r="K240" s="7"/>
      <c r="L240" s="1"/>
      <c r="M240" s="63"/>
      <c r="P240" s="7"/>
      <c r="Q240" s="1"/>
      <c r="R240" s="63"/>
    </row>
    <row r="241" spans="1:18" x14ac:dyDescent="0.25">
      <c r="A241" s="7"/>
      <c r="B241" s="1"/>
      <c r="C241" s="1"/>
      <c r="D241" s="1"/>
      <c r="F241" s="7"/>
      <c r="G241" s="1"/>
      <c r="H241" s="1"/>
      <c r="I241" s="1"/>
      <c r="J241" s="51"/>
      <c r="K241" s="7"/>
      <c r="L241" s="1"/>
      <c r="M241" s="63"/>
      <c r="P241" s="7"/>
      <c r="Q241" s="1"/>
      <c r="R241" s="63"/>
    </row>
    <row r="242" spans="1:18" x14ac:dyDescent="0.25">
      <c r="A242" s="7"/>
      <c r="B242" s="1"/>
      <c r="C242" s="1"/>
      <c r="D242" s="1"/>
      <c r="F242" s="7"/>
      <c r="G242" s="1"/>
      <c r="H242" s="1"/>
      <c r="I242" s="1"/>
      <c r="J242" s="51"/>
      <c r="K242" s="7"/>
      <c r="L242" s="1"/>
      <c r="M242" s="63"/>
      <c r="P242" s="7"/>
      <c r="Q242" s="1"/>
      <c r="R242" s="63"/>
    </row>
    <row r="243" spans="1:18" x14ac:dyDescent="0.25">
      <c r="A243" s="7"/>
      <c r="B243" s="1"/>
      <c r="C243" s="1"/>
      <c r="D243" s="1"/>
      <c r="F243" s="7"/>
      <c r="G243" s="1"/>
      <c r="H243" s="1"/>
      <c r="I243" s="1"/>
      <c r="J243" s="51"/>
      <c r="K243" s="7"/>
      <c r="L243" s="1"/>
      <c r="M243" s="63"/>
      <c r="P243" s="7"/>
      <c r="Q243" s="1"/>
      <c r="R243" s="63"/>
    </row>
    <row r="244" spans="1:18" x14ac:dyDescent="0.25">
      <c r="A244" s="7"/>
      <c r="B244" s="1"/>
      <c r="C244" s="1"/>
      <c r="D244" s="1"/>
      <c r="F244" s="7"/>
      <c r="G244" s="1"/>
      <c r="H244" s="1"/>
      <c r="I244" s="1"/>
      <c r="J244" s="51"/>
      <c r="K244" s="7"/>
      <c r="L244" s="1"/>
      <c r="M244" s="63"/>
      <c r="P244" s="7"/>
      <c r="Q244" s="1"/>
      <c r="R244" s="63"/>
    </row>
    <row r="245" spans="1:18" x14ac:dyDescent="0.25">
      <c r="A245" s="7"/>
      <c r="B245" s="1"/>
      <c r="C245" s="1"/>
      <c r="D245" s="1"/>
      <c r="F245" s="7"/>
      <c r="G245" s="1"/>
      <c r="H245" s="1"/>
      <c r="I245" s="1"/>
      <c r="J245" s="51"/>
      <c r="K245" s="7"/>
      <c r="L245" s="1"/>
      <c r="M245" s="63"/>
      <c r="P245" s="7"/>
      <c r="Q245" s="1"/>
      <c r="R245" s="63"/>
    </row>
    <row r="246" spans="1:18" x14ac:dyDescent="0.25">
      <c r="A246" s="7"/>
      <c r="B246" s="1"/>
      <c r="C246" s="1"/>
      <c r="D246" s="1"/>
      <c r="F246" s="7"/>
      <c r="G246" s="1"/>
      <c r="H246" s="1"/>
      <c r="I246" s="1"/>
      <c r="J246" s="51"/>
      <c r="K246" s="7"/>
      <c r="L246" s="1"/>
      <c r="M246" s="63"/>
      <c r="P246" s="7"/>
      <c r="Q246" s="1"/>
      <c r="R246" s="63"/>
    </row>
    <row r="247" spans="1:18" x14ac:dyDescent="0.25">
      <c r="A247" s="7"/>
      <c r="B247" s="1"/>
      <c r="C247" s="1"/>
      <c r="D247" s="1"/>
      <c r="F247" s="7"/>
      <c r="G247" s="1"/>
      <c r="H247" s="1"/>
      <c r="I247" s="1"/>
      <c r="J247" s="51"/>
      <c r="K247" s="7"/>
      <c r="L247" s="1"/>
      <c r="M247" s="63"/>
      <c r="P247" s="7"/>
      <c r="Q247" s="1"/>
      <c r="R247" s="63"/>
    </row>
    <row r="248" spans="1:18" x14ac:dyDescent="0.25">
      <c r="A248" s="7"/>
      <c r="B248" s="1"/>
      <c r="C248" s="1"/>
      <c r="D248" s="1"/>
      <c r="F248" s="7"/>
      <c r="G248" s="1"/>
      <c r="H248" s="1"/>
      <c r="I248" s="1"/>
      <c r="J248" s="51"/>
      <c r="K248" s="7"/>
      <c r="L248" s="1"/>
      <c r="M248" s="63"/>
      <c r="P248" s="7"/>
      <c r="Q248" s="1"/>
      <c r="R248" s="63"/>
    </row>
    <row r="249" spans="1:18" x14ac:dyDescent="0.25">
      <c r="A249" s="7"/>
      <c r="B249" s="1"/>
      <c r="C249" s="1"/>
      <c r="D249" s="1"/>
      <c r="F249" s="7"/>
      <c r="G249" s="1"/>
      <c r="H249" s="1"/>
      <c r="I249" s="1"/>
      <c r="J249" s="51"/>
      <c r="K249" s="7"/>
      <c r="L249" s="1"/>
      <c r="M249" s="63"/>
      <c r="P249" s="7"/>
      <c r="Q249" s="1"/>
      <c r="R249" s="63"/>
    </row>
    <row r="250" spans="1:18" x14ac:dyDescent="0.25">
      <c r="A250" s="7"/>
      <c r="B250" s="1"/>
      <c r="C250" s="1"/>
      <c r="D250" s="1"/>
      <c r="F250" s="7"/>
      <c r="G250" s="1"/>
      <c r="H250" s="1"/>
      <c r="I250" s="1"/>
      <c r="J250" s="51"/>
      <c r="K250" s="7"/>
      <c r="L250" s="1"/>
      <c r="M250" s="63"/>
      <c r="P250" s="7"/>
      <c r="Q250" s="1"/>
      <c r="R250" s="63"/>
    </row>
    <row r="251" spans="1:18" x14ac:dyDescent="0.25">
      <c r="A251" s="7"/>
      <c r="B251" s="1"/>
      <c r="C251" s="1"/>
      <c r="D251" s="1"/>
      <c r="F251" s="7"/>
      <c r="G251" s="1"/>
      <c r="H251" s="1"/>
      <c r="I251" s="1"/>
      <c r="J251" s="51"/>
      <c r="K251" s="7"/>
      <c r="L251" s="1"/>
      <c r="M251" s="63"/>
      <c r="P251" s="7"/>
      <c r="Q251" s="1"/>
      <c r="R251" s="63"/>
    </row>
    <row r="252" spans="1:18" x14ac:dyDescent="0.25">
      <c r="A252" s="7"/>
      <c r="B252" s="1"/>
      <c r="C252" s="1"/>
      <c r="D252" s="1"/>
      <c r="F252" s="7"/>
      <c r="G252" s="1"/>
      <c r="H252" s="1"/>
      <c r="I252" s="1"/>
      <c r="J252" s="51"/>
      <c r="K252" s="7"/>
      <c r="L252" s="1"/>
      <c r="M252" s="63"/>
      <c r="P252" s="7"/>
      <c r="Q252" s="1"/>
      <c r="R252" s="63"/>
    </row>
    <row r="253" spans="1:18" x14ac:dyDescent="0.25">
      <c r="A253" s="7"/>
      <c r="B253" s="1"/>
      <c r="C253" s="1"/>
      <c r="D253" s="1"/>
      <c r="F253" s="7"/>
      <c r="G253" s="1"/>
      <c r="H253" s="1"/>
      <c r="I253" s="1"/>
      <c r="J253" s="51"/>
      <c r="K253" s="7"/>
      <c r="L253" s="1"/>
      <c r="M253" s="63"/>
      <c r="P253" s="7"/>
      <c r="Q253" s="1"/>
      <c r="R253" s="63"/>
    </row>
    <row r="254" spans="1:18" x14ac:dyDescent="0.25">
      <c r="A254" s="7"/>
      <c r="B254" s="1"/>
      <c r="C254" s="1"/>
      <c r="D254" s="1"/>
      <c r="F254" s="7"/>
      <c r="G254" s="1"/>
      <c r="H254" s="1"/>
      <c r="I254" s="1"/>
      <c r="J254" s="51"/>
      <c r="K254" s="7"/>
      <c r="L254" s="1"/>
      <c r="M254" s="63"/>
      <c r="P254" s="7"/>
      <c r="Q254" s="1"/>
      <c r="R254" s="63"/>
    </row>
    <row r="255" spans="1:18" x14ac:dyDescent="0.25">
      <c r="A255" s="7"/>
      <c r="B255" s="1"/>
      <c r="C255" s="1"/>
      <c r="D255" s="1"/>
      <c r="F255" s="7"/>
      <c r="G255" s="1"/>
      <c r="H255" s="1"/>
      <c r="I255" s="1"/>
      <c r="J255" s="51"/>
      <c r="K255" s="7"/>
      <c r="L255" s="1"/>
      <c r="M255" s="63"/>
      <c r="P255" s="7"/>
      <c r="Q255" s="1"/>
      <c r="R255" s="63"/>
    </row>
    <row r="256" spans="1:18" x14ac:dyDescent="0.25">
      <c r="A256" s="7"/>
      <c r="B256" s="1"/>
      <c r="C256" s="1"/>
      <c r="D256" s="1"/>
      <c r="F256" s="7"/>
      <c r="G256" s="1"/>
      <c r="H256" s="1"/>
      <c r="I256" s="1"/>
      <c r="J256" s="51"/>
      <c r="K256" s="7"/>
      <c r="L256" s="1"/>
      <c r="M256" s="63"/>
      <c r="P256" s="7"/>
      <c r="Q256" s="1"/>
      <c r="R256" s="63"/>
    </row>
    <row r="257" spans="1:18" x14ac:dyDescent="0.25">
      <c r="A257" s="7"/>
      <c r="B257" s="1"/>
      <c r="C257" s="1"/>
      <c r="D257" s="1"/>
      <c r="F257" s="7"/>
      <c r="G257" s="1"/>
      <c r="H257" s="1"/>
      <c r="I257" s="1"/>
      <c r="J257" s="51"/>
      <c r="K257" s="7"/>
      <c r="L257" s="1"/>
      <c r="M257" s="63"/>
      <c r="P257" s="7"/>
      <c r="Q257" s="1"/>
      <c r="R257" s="63"/>
    </row>
    <row r="258" spans="1:18" x14ac:dyDescent="0.25">
      <c r="A258" s="7"/>
      <c r="B258" s="1"/>
      <c r="C258" s="1"/>
      <c r="D258" s="1"/>
      <c r="F258" s="7"/>
      <c r="G258" s="1"/>
      <c r="H258" s="1"/>
      <c r="I258" s="1"/>
      <c r="J258" s="51"/>
      <c r="K258" s="7"/>
      <c r="L258" s="1"/>
      <c r="M258" s="63"/>
      <c r="P258" s="7"/>
      <c r="Q258" s="1"/>
      <c r="R258" s="63"/>
    </row>
    <row r="259" spans="1:18" x14ac:dyDescent="0.25">
      <c r="A259" s="7"/>
      <c r="B259" s="1"/>
      <c r="C259" s="1"/>
      <c r="D259" s="1"/>
      <c r="F259" s="7"/>
      <c r="G259" s="1"/>
      <c r="H259" s="1"/>
      <c r="I259" s="1"/>
      <c r="J259" s="51"/>
      <c r="K259" s="7"/>
      <c r="L259" s="1"/>
      <c r="M259" s="63"/>
      <c r="P259" s="7"/>
      <c r="Q259" s="1"/>
      <c r="R259" s="63"/>
    </row>
    <row r="260" spans="1:18" x14ac:dyDescent="0.25">
      <c r="A260" s="7"/>
      <c r="B260" s="1"/>
      <c r="C260" s="1"/>
      <c r="D260" s="1"/>
      <c r="F260" s="7"/>
      <c r="G260" s="1"/>
      <c r="H260" s="1"/>
      <c r="I260" s="1"/>
      <c r="J260" s="51"/>
      <c r="K260" s="7"/>
      <c r="L260" s="1"/>
      <c r="M260" s="63"/>
      <c r="P260" s="7"/>
      <c r="Q260" s="1"/>
      <c r="R260" s="63"/>
    </row>
    <row r="261" spans="1:18" x14ac:dyDescent="0.25">
      <c r="A261" s="7"/>
      <c r="B261" s="1"/>
      <c r="C261" s="1"/>
      <c r="D261" s="1"/>
      <c r="F261" s="7"/>
      <c r="G261" s="1"/>
      <c r="H261" s="1"/>
      <c r="I261" s="1"/>
      <c r="J261" s="51"/>
      <c r="K261" s="7"/>
      <c r="L261" s="1"/>
      <c r="M261" s="63"/>
      <c r="P261" s="7"/>
      <c r="Q261" s="1"/>
      <c r="R261" s="63"/>
    </row>
    <row r="262" spans="1:18" x14ac:dyDescent="0.25">
      <c r="A262" s="7"/>
      <c r="B262" s="1"/>
      <c r="C262" s="1"/>
      <c r="D262" s="1"/>
      <c r="F262" s="7"/>
      <c r="G262" s="1"/>
      <c r="H262" s="1"/>
      <c r="I262" s="1"/>
      <c r="J262" s="51"/>
      <c r="K262" s="7"/>
      <c r="L262" s="1"/>
      <c r="M262" s="63"/>
      <c r="P262" s="7"/>
      <c r="Q262" s="1"/>
      <c r="R262" s="63"/>
    </row>
    <row r="263" spans="1:18" x14ac:dyDescent="0.25">
      <c r="A263" s="7"/>
      <c r="B263" s="1"/>
      <c r="C263" s="1"/>
      <c r="D263" s="1"/>
      <c r="F263" s="7"/>
      <c r="G263" s="1"/>
      <c r="H263" s="1"/>
      <c r="I263" s="1"/>
      <c r="J263" s="51"/>
      <c r="K263" s="7"/>
      <c r="L263" s="1"/>
      <c r="M263" s="63"/>
      <c r="P263" s="7"/>
      <c r="Q263" s="1"/>
      <c r="R263" s="63"/>
    </row>
    <row r="264" spans="1:18" x14ac:dyDescent="0.25">
      <c r="A264" s="7"/>
      <c r="B264" s="1"/>
      <c r="C264" s="1"/>
      <c r="D264" s="1"/>
      <c r="F264" s="7"/>
      <c r="G264" s="1"/>
      <c r="H264" s="1"/>
      <c r="I264" s="1"/>
      <c r="J264" s="51"/>
      <c r="K264" s="7"/>
      <c r="L264" s="1"/>
      <c r="M264" s="63"/>
      <c r="P264" s="7"/>
      <c r="Q264" s="1"/>
      <c r="R264" s="63"/>
    </row>
    <row r="265" spans="1:18" x14ac:dyDescent="0.25">
      <c r="A265" s="7"/>
      <c r="B265" s="1"/>
      <c r="C265" s="1"/>
      <c r="D265" s="1"/>
      <c r="F265" s="7"/>
      <c r="G265" s="1"/>
      <c r="H265" s="1"/>
      <c r="I265" s="1"/>
      <c r="J265" s="51"/>
      <c r="K265" s="7"/>
      <c r="L265" s="1"/>
      <c r="M265" s="63"/>
      <c r="P265" s="7"/>
      <c r="Q265" s="1"/>
      <c r="R265" s="63"/>
    </row>
    <row r="266" spans="1:18" x14ac:dyDescent="0.25">
      <c r="A266" s="7"/>
      <c r="B266" s="1"/>
      <c r="C266" s="1"/>
      <c r="D266" s="1"/>
      <c r="F266" s="7"/>
      <c r="G266" s="1"/>
      <c r="H266" s="1"/>
      <c r="I266" s="1"/>
      <c r="J266" s="51"/>
      <c r="K266" s="7"/>
      <c r="L266" s="1"/>
      <c r="M266" s="63"/>
      <c r="P266" s="7"/>
      <c r="Q266" s="1"/>
      <c r="R266" s="63"/>
    </row>
    <row r="267" spans="1:18" x14ac:dyDescent="0.25">
      <c r="A267" s="7"/>
      <c r="B267" s="1"/>
      <c r="C267" s="1"/>
      <c r="D267" s="1"/>
      <c r="F267" s="7"/>
      <c r="G267" s="1"/>
      <c r="H267" s="1"/>
      <c r="I267" s="1"/>
      <c r="J267" s="51"/>
      <c r="K267" s="7"/>
      <c r="L267" s="1"/>
      <c r="M267" s="63"/>
      <c r="P267" s="7"/>
      <c r="Q267" s="1"/>
      <c r="R267" s="63"/>
    </row>
    <row r="268" spans="1:18" x14ac:dyDescent="0.25">
      <c r="A268" s="7"/>
      <c r="B268" s="1"/>
      <c r="C268" s="1"/>
      <c r="D268" s="1"/>
      <c r="F268" s="7"/>
      <c r="G268" s="1"/>
      <c r="H268" s="1"/>
      <c r="I268" s="1"/>
      <c r="J268" s="51"/>
      <c r="K268" s="7"/>
      <c r="L268" s="1"/>
      <c r="M268" s="63"/>
      <c r="P268" s="7"/>
      <c r="Q268" s="1"/>
      <c r="R268" s="63"/>
    </row>
    <row r="269" spans="1:18" x14ac:dyDescent="0.25">
      <c r="A269" s="7"/>
      <c r="B269" s="1"/>
      <c r="C269" s="1"/>
      <c r="D269" s="1"/>
      <c r="F269" s="7"/>
      <c r="G269" s="1"/>
      <c r="H269" s="1"/>
      <c r="I269" s="1"/>
      <c r="J269" s="51"/>
      <c r="K269" s="7"/>
      <c r="L269" s="1"/>
      <c r="M269" s="63"/>
      <c r="P269" s="7"/>
      <c r="Q269" s="1"/>
      <c r="R269" s="63"/>
    </row>
    <row r="270" spans="1:18" x14ac:dyDescent="0.25">
      <c r="A270" s="7"/>
      <c r="B270" s="1"/>
      <c r="C270" s="1"/>
      <c r="D270" s="1"/>
      <c r="F270" s="7"/>
      <c r="G270" s="1"/>
      <c r="H270" s="1"/>
      <c r="I270" s="1"/>
      <c r="J270" s="51"/>
      <c r="K270" s="7"/>
      <c r="L270" s="1"/>
      <c r="M270" s="63"/>
      <c r="P270" s="7"/>
      <c r="Q270" s="1"/>
      <c r="R270" s="63"/>
    </row>
    <row r="271" spans="1:18" x14ac:dyDescent="0.25">
      <c r="A271" s="7"/>
      <c r="B271" s="1"/>
      <c r="C271" s="1"/>
      <c r="D271" s="1"/>
      <c r="F271" s="7"/>
      <c r="G271" s="1"/>
      <c r="H271" s="1"/>
      <c r="I271" s="1"/>
      <c r="J271" s="51"/>
      <c r="K271" s="7"/>
      <c r="L271" s="1"/>
      <c r="M271" s="63"/>
      <c r="P271" s="7"/>
      <c r="Q271" s="1"/>
      <c r="R271" s="63"/>
    </row>
    <row r="272" spans="1:18" x14ac:dyDescent="0.25">
      <c r="A272" s="7"/>
      <c r="B272" s="1"/>
      <c r="C272" s="1"/>
      <c r="D272" s="1"/>
      <c r="F272" s="7"/>
      <c r="G272" s="1"/>
      <c r="H272" s="1"/>
      <c r="I272" s="1"/>
      <c r="J272" s="51"/>
      <c r="K272" s="7"/>
      <c r="L272" s="1"/>
      <c r="M272" s="63"/>
      <c r="P272" s="7"/>
      <c r="Q272" s="1"/>
      <c r="R272" s="63"/>
    </row>
    <row r="273" spans="1:18" x14ac:dyDescent="0.25">
      <c r="A273" s="7"/>
      <c r="B273" s="1"/>
      <c r="C273" s="1"/>
      <c r="D273" s="1"/>
      <c r="F273" s="7"/>
      <c r="G273" s="1"/>
      <c r="H273" s="1"/>
      <c r="I273" s="1"/>
      <c r="J273" s="51"/>
      <c r="K273" s="7"/>
      <c r="L273" s="1"/>
      <c r="M273" s="63"/>
      <c r="P273" s="7"/>
      <c r="Q273" s="1"/>
      <c r="R273" s="63"/>
    </row>
    <row r="274" spans="1:18" x14ac:dyDescent="0.25">
      <c r="A274" s="7"/>
      <c r="B274" s="1"/>
      <c r="C274" s="1"/>
      <c r="D274" s="1"/>
      <c r="F274" s="7"/>
      <c r="G274" s="1"/>
      <c r="H274" s="1"/>
      <c r="I274" s="1"/>
      <c r="J274" s="51"/>
      <c r="K274" s="7"/>
      <c r="L274" s="1"/>
      <c r="M274" s="63"/>
      <c r="P274" s="7"/>
      <c r="Q274" s="1"/>
      <c r="R274" s="63"/>
    </row>
    <row r="275" spans="1:18" x14ac:dyDescent="0.25">
      <c r="A275" s="7"/>
      <c r="B275" s="1"/>
      <c r="C275" s="1"/>
      <c r="D275" s="1"/>
      <c r="F275" s="7"/>
      <c r="G275" s="1"/>
      <c r="H275" s="1"/>
      <c r="I275" s="1"/>
      <c r="J275" s="51"/>
      <c r="K275" s="7"/>
      <c r="L275" s="1"/>
      <c r="M275" s="63"/>
      <c r="P275" s="7"/>
      <c r="Q275" s="1"/>
      <c r="R275" s="63"/>
    </row>
    <row r="276" spans="1:18" x14ac:dyDescent="0.25">
      <c r="A276" s="7"/>
      <c r="B276" s="1"/>
      <c r="C276" s="1"/>
      <c r="D276" s="1"/>
      <c r="F276" s="7"/>
      <c r="G276" s="1"/>
      <c r="H276" s="1"/>
      <c r="I276" s="1"/>
      <c r="J276" s="51"/>
      <c r="K276" s="7"/>
      <c r="L276" s="1"/>
      <c r="M276" s="63"/>
      <c r="P276" s="7"/>
      <c r="Q276" s="1"/>
      <c r="R276" s="63"/>
    </row>
    <row r="277" spans="1:18" x14ac:dyDescent="0.25">
      <c r="A277" s="7"/>
      <c r="B277" s="1"/>
      <c r="C277" s="1"/>
      <c r="D277" s="1"/>
      <c r="F277" s="7"/>
      <c r="G277" s="1"/>
      <c r="H277" s="1"/>
      <c r="I277" s="1"/>
      <c r="J277" s="51"/>
      <c r="K277" s="7"/>
      <c r="L277" s="1"/>
      <c r="M277" s="63"/>
      <c r="P277" s="7"/>
      <c r="Q277" s="1"/>
      <c r="R277" s="63"/>
    </row>
    <row r="278" spans="1:18" x14ac:dyDescent="0.25">
      <c r="A278" s="7"/>
      <c r="B278" s="1"/>
      <c r="C278" s="1"/>
      <c r="D278" s="1"/>
      <c r="F278" s="7"/>
      <c r="G278" s="1"/>
      <c r="H278" s="1"/>
      <c r="I278" s="1"/>
      <c r="J278" s="51"/>
      <c r="K278" s="7"/>
      <c r="L278" s="1"/>
      <c r="M278" s="63"/>
      <c r="P278" s="7"/>
      <c r="Q278" s="1"/>
      <c r="R278" s="63"/>
    </row>
    <row r="279" spans="1:18" x14ac:dyDescent="0.25">
      <c r="A279" s="7"/>
      <c r="B279" s="1"/>
      <c r="C279" s="1"/>
      <c r="D279" s="1"/>
      <c r="F279" s="7"/>
      <c r="G279" s="1"/>
      <c r="H279" s="1"/>
      <c r="I279" s="1"/>
      <c r="J279" s="51"/>
      <c r="K279" s="7"/>
      <c r="L279" s="1"/>
      <c r="M279" s="63"/>
      <c r="P279" s="7"/>
      <c r="Q279" s="1"/>
      <c r="R279" s="63"/>
    </row>
    <row r="280" spans="1:18" x14ac:dyDescent="0.25">
      <c r="A280" s="7"/>
      <c r="B280" s="1"/>
      <c r="C280" s="1"/>
      <c r="D280" s="1"/>
      <c r="F280" s="7"/>
      <c r="G280" s="1"/>
      <c r="H280" s="1"/>
      <c r="I280" s="1"/>
      <c r="J280" s="51"/>
      <c r="K280" s="7"/>
      <c r="L280" s="1"/>
      <c r="M280" s="63"/>
      <c r="P280" s="7"/>
      <c r="Q280" s="1"/>
      <c r="R280" s="63"/>
    </row>
    <row r="281" spans="1:18" x14ac:dyDescent="0.25">
      <c r="A281" s="7"/>
      <c r="B281" s="1"/>
      <c r="C281" s="1"/>
      <c r="D281" s="1"/>
      <c r="F281" s="7"/>
      <c r="G281" s="1"/>
      <c r="H281" s="1"/>
      <c r="I281" s="1"/>
      <c r="J281" s="51"/>
      <c r="K281" s="7"/>
      <c r="L281" s="1"/>
      <c r="M281" s="63"/>
      <c r="P281" s="7"/>
      <c r="Q281" s="1"/>
      <c r="R281" s="63"/>
    </row>
    <row r="282" spans="1:18" x14ac:dyDescent="0.25">
      <c r="A282" s="7"/>
      <c r="B282" s="1"/>
      <c r="C282" s="1"/>
      <c r="D282" s="1"/>
      <c r="F282" s="7"/>
      <c r="G282" s="1"/>
      <c r="H282" s="1"/>
      <c r="I282" s="1"/>
      <c r="J282" s="51"/>
      <c r="K282" s="7"/>
      <c r="L282" s="1"/>
      <c r="M282" s="63"/>
      <c r="P282" s="7"/>
      <c r="Q282" s="1"/>
      <c r="R282" s="63"/>
    </row>
    <row r="283" spans="1:18" x14ac:dyDescent="0.25">
      <c r="A283" s="7"/>
      <c r="B283" s="1"/>
      <c r="C283" s="1"/>
      <c r="D283" s="1"/>
      <c r="F283" s="7"/>
      <c r="G283" s="1"/>
      <c r="H283" s="1"/>
      <c r="I283" s="1"/>
      <c r="J283" s="51"/>
      <c r="K283" s="7"/>
      <c r="L283" s="1"/>
      <c r="M283" s="63"/>
      <c r="P283" s="7"/>
      <c r="Q283" s="1"/>
      <c r="R283" s="63"/>
    </row>
    <row r="284" spans="1:18" x14ac:dyDescent="0.25">
      <c r="A284" s="7"/>
      <c r="B284" s="1"/>
      <c r="C284" s="1"/>
      <c r="D284" s="1"/>
      <c r="F284" s="7"/>
      <c r="G284" s="1"/>
      <c r="H284" s="1"/>
      <c r="I284" s="1"/>
      <c r="J284" s="51"/>
      <c r="K284" s="7"/>
      <c r="L284" s="1"/>
      <c r="M284" s="63"/>
      <c r="P284" s="7"/>
      <c r="Q284" s="1"/>
      <c r="R284" s="63"/>
    </row>
    <row r="285" spans="1:18" x14ac:dyDescent="0.25">
      <c r="A285" s="7"/>
      <c r="B285" s="1"/>
      <c r="C285" s="1"/>
      <c r="D285" s="1"/>
      <c r="F285" s="7"/>
      <c r="G285" s="1"/>
      <c r="H285" s="1"/>
      <c r="I285" s="1"/>
      <c r="J285" s="51"/>
      <c r="K285" s="7"/>
      <c r="L285" s="1"/>
      <c r="M285" s="63"/>
      <c r="P285" s="7"/>
      <c r="Q285" s="1"/>
      <c r="R285" s="63"/>
    </row>
    <row r="286" spans="1:18" x14ac:dyDescent="0.25">
      <c r="A286" s="7"/>
      <c r="B286" s="1"/>
      <c r="C286" s="1"/>
      <c r="D286" s="1"/>
      <c r="F286" s="7"/>
      <c r="G286" s="1"/>
      <c r="H286" s="1"/>
      <c r="I286" s="1"/>
      <c r="J286" s="51"/>
      <c r="K286" s="7"/>
      <c r="L286" s="1"/>
      <c r="M286" s="63"/>
      <c r="P286" s="7"/>
      <c r="Q286" s="1"/>
      <c r="R286" s="63"/>
    </row>
    <row r="287" spans="1:18" x14ac:dyDescent="0.25">
      <c r="A287" s="7"/>
      <c r="B287" s="1"/>
      <c r="C287" s="1"/>
      <c r="D287" s="1"/>
      <c r="F287" s="7"/>
      <c r="G287" s="1"/>
      <c r="H287" s="1"/>
      <c r="I287" s="1"/>
      <c r="J287" s="51"/>
      <c r="K287" s="7"/>
      <c r="L287" s="1"/>
      <c r="M287" s="63"/>
      <c r="P287" s="7"/>
      <c r="Q287" s="1"/>
      <c r="R287" s="63"/>
    </row>
    <row r="288" spans="1:18" x14ac:dyDescent="0.25">
      <c r="A288" s="7"/>
      <c r="B288" s="1"/>
      <c r="C288" s="1"/>
      <c r="D288" s="1"/>
      <c r="F288" s="7"/>
      <c r="G288" s="1"/>
      <c r="H288" s="1"/>
      <c r="I288" s="1"/>
      <c r="J288" s="51"/>
      <c r="K288" s="7"/>
      <c r="L288" s="1"/>
      <c r="M288" s="63"/>
      <c r="P288" s="7"/>
      <c r="Q288" s="1"/>
      <c r="R288" s="63"/>
    </row>
    <row r="289" spans="1:18" x14ac:dyDescent="0.25">
      <c r="A289" s="7"/>
      <c r="B289" s="1"/>
      <c r="C289" s="1"/>
      <c r="D289" s="1"/>
      <c r="F289" s="7"/>
      <c r="G289" s="1"/>
      <c r="H289" s="1"/>
      <c r="I289" s="1"/>
      <c r="J289" s="51"/>
      <c r="K289" s="7"/>
      <c r="L289" s="1"/>
      <c r="M289" s="63"/>
      <c r="P289" s="7"/>
      <c r="Q289" s="1"/>
      <c r="R289" s="63"/>
    </row>
    <row r="290" spans="1:18" x14ac:dyDescent="0.25">
      <c r="A290" s="7"/>
      <c r="B290" s="1"/>
      <c r="C290" s="1"/>
      <c r="D290" s="1"/>
      <c r="F290" s="7"/>
      <c r="G290" s="1"/>
      <c r="H290" s="1"/>
      <c r="I290" s="1"/>
      <c r="J290" s="51"/>
      <c r="K290" s="7"/>
      <c r="L290" s="1"/>
      <c r="M290" s="63"/>
      <c r="P290" s="7"/>
      <c r="Q290" s="1"/>
      <c r="R290" s="63"/>
    </row>
    <row r="291" spans="1:18" x14ac:dyDescent="0.25">
      <c r="A291" s="7"/>
      <c r="B291" s="1"/>
      <c r="C291" s="1"/>
      <c r="D291" s="1"/>
      <c r="F291" s="7"/>
      <c r="G291" s="1"/>
      <c r="H291" s="1"/>
      <c r="I291" s="1"/>
      <c r="J291" s="51"/>
      <c r="K291" s="7"/>
      <c r="L291" s="1"/>
      <c r="M291" s="63"/>
      <c r="P291" s="7"/>
      <c r="Q291" s="1"/>
      <c r="R291" s="63"/>
    </row>
    <row r="292" spans="1:18" x14ac:dyDescent="0.25">
      <c r="A292" s="7"/>
      <c r="B292" s="1"/>
      <c r="C292" s="1"/>
      <c r="D292" s="1"/>
      <c r="F292" s="7"/>
      <c r="G292" s="1"/>
      <c r="H292" s="1"/>
      <c r="I292" s="1"/>
      <c r="J292" s="51"/>
      <c r="K292" s="7"/>
      <c r="L292" s="1"/>
      <c r="M292" s="63"/>
      <c r="P292" s="7"/>
      <c r="Q292" s="1"/>
      <c r="R292" s="63"/>
    </row>
    <row r="293" spans="1:18" x14ac:dyDescent="0.25">
      <c r="A293" s="7"/>
      <c r="B293" s="1"/>
      <c r="C293" s="1"/>
      <c r="D293" s="1"/>
      <c r="F293" s="7"/>
      <c r="G293" s="1"/>
      <c r="H293" s="1"/>
      <c r="I293" s="1"/>
      <c r="J293" s="51"/>
      <c r="K293" s="7"/>
      <c r="L293" s="1"/>
      <c r="M293" s="63"/>
      <c r="P293" s="7"/>
      <c r="Q293" s="1"/>
      <c r="R293" s="63"/>
    </row>
    <row r="294" spans="1:18" x14ac:dyDescent="0.25">
      <c r="A294" s="7"/>
      <c r="B294" s="1"/>
      <c r="C294" s="1"/>
      <c r="D294" s="1"/>
      <c r="F294" s="7"/>
      <c r="G294" s="1"/>
      <c r="H294" s="1"/>
      <c r="I294" s="1"/>
      <c r="J294" s="51"/>
      <c r="K294" s="7"/>
      <c r="L294" s="1"/>
      <c r="M294" s="63"/>
      <c r="P294" s="7"/>
      <c r="Q294" s="1"/>
      <c r="R294" s="63"/>
    </row>
    <row r="295" spans="1:18" x14ac:dyDescent="0.25">
      <c r="A295" s="7"/>
      <c r="B295" s="1"/>
      <c r="C295" s="1"/>
      <c r="D295" s="1"/>
      <c r="F295" s="7"/>
      <c r="G295" s="1"/>
      <c r="H295" s="1"/>
      <c r="I295" s="1"/>
      <c r="J295" s="51"/>
      <c r="K295" s="7"/>
      <c r="L295" s="1"/>
      <c r="M295" s="63"/>
      <c r="P295" s="7"/>
      <c r="Q295" s="1"/>
      <c r="R295" s="63"/>
    </row>
    <row r="296" spans="1:18" x14ac:dyDescent="0.25">
      <c r="A296" s="7"/>
      <c r="B296" s="1"/>
      <c r="C296" s="1"/>
      <c r="D296" s="1"/>
      <c r="F296" s="7"/>
      <c r="G296" s="1"/>
      <c r="H296" s="1"/>
      <c r="I296" s="1"/>
      <c r="J296" s="51"/>
      <c r="K296" s="7"/>
      <c r="L296" s="1"/>
      <c r="M296" s="63"/>
      <c r="P296" s="7"/>
      <c r="Q296" s="1"/>
      <c r="R296" s="63"/>
    </row>
    <row r="297" spans="1:18" x14ac:dyDescent="0.25">
      <c r="A297" s="7"/>
      <c r="B297" s="1"/>
      <c r="C297" s="1"/>
      <c r="D297" s="1"/>
      <c r="F297" s="7"/>
      <c r="G297" s="1"/>
      <c r="H297" s="1"/>
      <c r="I297" s="1"/>
      <c r="J297" s="51"/>
      <c r="K297" s="7"/>
      <c r="L297" s="1"/>
      <c r="M297" s="63"/>
      <c r="P297" s="7"/>
      <c r="Q297" s="1"/>
      <c r="R297" s="63"/>
    </row>
    <row r="298" spans="1:18" x14ac:dyDescent="0.25">
      <c r="A298" s="7"/>
      <c r="B298" s="1"/>
      <c r="C298" s="1"/>
      <c r="D298" s="1"/>
      <c r="F298" s="7"/>
      <c r="G298" s="1"/>
      <c r="H298" s="1"/>
      <c r="I298" s="1"/>
      <c r="J298" s="51"/>
      <c r="K298" s="7"/>
      <c r="L298" s="1"/>
      <c r="M298" s="63"/>
      <c r="P298" s="7"/>
      <c r="Q298" s="1"/>
      <c r="R298" s="63"/>
    </row>
    <row r="299" spans="1:18" x14ac:dyDescent="0.25">
      <c r="A299" s="7"/>
      <c r="B299" s="1"/>
      <c r="C299" s="1"/>
      <c r="D299" s="1"/>
      <c r="F299" s="7"/>
      <c r="G299" s="1"/>
      <c r="H299" s="1"/>
      <c r="I299" s="1"/>
      <c r="J299" s="51"/>
      <c r="K299" s="7"/>
      <c r="L299" s="1"/>
      <c r="M299" s="63"/>
      <c r="P299" s="7"/>
      <c r="Q299" s="1"/>
      <c r="R299" s="63"/>
    </row>
    <row r="300" spans="1:18" x14ac:dyDescent="0.25">
      <c r="A300" s="7"/>
      <c r="B300" s="1"/>
      <c r="C300" s="1"/>
      <c r="D300" s="1"/>
      <c r="F300" s="7"/>
      <c r="G300" s="1"/>
      <c r="H300" s="1"/>
      <c r="I300" s="1"/>
      <c r="J300" s="51"/>
      <c r="K300" s="7"/>
      <c r="L300" s="1"/>
      <c r="M300" s="63"/>
      <c r="P300" s="7"/>
      <c r="Q300" s="1"/>
      <c r="R300" s="63"/>
    </row>
    <row r="301" spans="1:18" x14ac:dyDescent="0.25">
      <c r="A301" s="7"/>
      <c r="B301" s="1"/>
      <c r="C301" s="1"/>
      <c r="D301" s="1"/>
      <c r="F301" s="7"/>
      <c r="G301" s="1"/>
      <c r="H301" s="1"/>
      <c r="I301" s="1"/>
      <c r="J301" s="51"/>
      <c r="K301" s="7"/>
      <c r="L301" s="1"/>
      <c r="M301" s="63"/>
      <c r="P301" s="7"/>
      <c r="Q301" s="1"/>
      <c r="R301" s="63"/>
    </row>
    <row r="302" spans="1:18" x14ac:dyDescent="0.25">
      <c r="A302" s="7"/>
      <c r="B302" s="1"/>
      <c r="C302" s="1"/>
      <c r="D302" s="1"/>
      <c r="F302" s="7"/>
      <c r="G302" s="1"/>
      <c r="H302" s="1"/>
      <c r="I302" s="1"/>
      <c r="J302" s="51"/>
      <c r="K302" s="7"/>
      <c r="L302" s="1"/>
      <c r="M302" s="63"/>
      <c r="P302" s="7"/>
      <c r="Q302" s="1"/>
      <c r="R302" s="63"/>
    </row>
    <row r="303" spans="1:18" x14ac:dyDescent="0.25">
      <c r="A303" s="7"/>
      <c r="B303" s="1"/>
      <c r="C303" s="1"/>
      <c r="D303" s="1"/>
      <c r="F303" s="7"/>
      <c r="G303" s="1"/>
      <c r="H303" s="1"/>
      <c r="I303" s="1"/>
      <c r="J303" s="51"/>
      <c r="K303" s="7"/>
      <c r="L303" s="1"/>
      <c r="M303" s="63"/>
      <c r="P303" s="7"/>
      <c r="Q303" s="1"/>
      <c r="R303" s="63"/>
    </row>
    <row r="304" spans="1:18" x14ac:dyDescent="0.25">
      <c r="A304" s="7"/>
      <c r="B304" s="1"/>
      <c r="C304" s="1"/>
      <c r="D304" s="1"/>
      <c r="F304" s="7"/>
      <c r="G304" s="1"/>
      <c r="H304" s="1"/>
      <c r="I304" s="1"/>
      <c r="J304" s="51"/>
      <c r="K304" s="7"/>
      <c r="L304" s="1"/>
      <c r="M304" s="63"/>
      <c r="P304" s="7"/>
      <c r="Q304" s="1"/>
      <c r="R304" s="63"/>
    </row>
    <row r="305" spans="1:18" x14ac:dyDescent="0.25">
      <c r="A305" s="7"/>
      <c r="B305" s="1"/>
      <c r="C305" s="1"/>
      <c r="D305" s="1"/>
      <c r="F305" s="7"/>
      <c r="G305" s="1"/>
      <c r="H305" s="1"/>
      <c r="I305" s="1"/>
      <c r="J305" s="51"/>
      <c r="K305" s="7"/>
      <c r="L305" s="1"/>
      <c r="M305" s="63"/>
      <c r="P305" s="7"/>
      <c r="Q305" s="1"/>
      <c r="R305" s="63"/>
    </row>
    <row r="306" spans="1:18" x14ac:dyDescent="0.25">
      <c r="A306" s="7"/>
      <c r="B306" s="1"/>
      <c r="C306" s="1"/>
      <c r="D306" s="1"/>
      <c r="F306" s="7"/>
      <c r="G306" s="1"/>
      <c r="H306" s="1"/>
      <c r="I306" s="1"/>
      <c r="J306" s="51"/>
      <c r="K306" s="7"/>
      <c r="L306" s="1"/>
      <c r="M306" s="63"/>
      <c r="P306" s="7"/>
      <c r="Q306" s="1"/>
      <c r="R306" s="63"/>
    </row>
    <row r="307" spans="1:18" x14ac:dyDescent="0.25">
      <c r="A307" s="7"/>
      <c r="B307" s="1"/>
      <c r="C307" s="1"/>
      <c r="D307" s="1"/>
      <c r="F307" s="7"/>
      <c r="G307" s="1"/>
      <c r="H307" s="1"/>
      <c r="I307" s="1"/>
      <c r="J307" s="51"/>
      <c r="K307" s="7"/>
      <c r="L307" s="1"/>
      <c r="M307" s="63"/>
      <c r="P307" s="7"/>
      <c r="Q307" s="1"/>
      <c r="R307" s="63"/>
    </row>
    <row r="308" spans="1:18" x14ac:dyDescent="0.25">
      <c r="A308" s="7"/>
      <c r="B308" s="1"/>
      <c r="C308" s="1"/>
      <c r="D308" s="1"/>
      <c r="F308" s="7"/>
      <c r="G308" s="1"/>
      <c r="H308" s="1"/>
      <c r="I308" s="1"/>
      <c r="J308" s="51"/>
      <c r="K308" s="7"/>
      <c r="L308" s="1"/>
      <c r="M308" s="63"/>
      <c r="P308" s="7"/>
      <c r="Q308" s="1"/>
      <c r="R308" s="63"/>
    </row>
    <row r="309" spans="1:18" x14ac:dyDescent="0.25">
      <c r="A309" s="7"/>
      <c r="B309" s="1"/>
      <c r="C309" s="1"/>
      <c r="D309" s="1"/>
      <c r="F309" s="7"/>
      <c r="G309" s="1"/>
      <c r="H309" s="1"/>
      <c r="I309" s="1"/>
      <c r="J309" s="51"/>
      <c r="K309" s="7"/>
      <c r="L309" s="1"/>
      <c r="M309" s="63"/>
      <c r="P309" s="7"/>
      <c r="Q309" s="1"/>
      <c r="R309" s="63"/>
    </row>
    <row r="310" spans="1:18" x14ac:dyDescent="0.25">
      <c r="A310" s="7"/>
      <c r="B310" s="1"/>
      <c r="C310" s="1"/>
      <c r="D310" s="1"/>
      <c r="F310" s="7"/>
      <c r="G310" s="1"/>
      <c r="H310" s="1"/>
      <c r="I310" s="1"/>
      <c r="J310" s="51"/>
      <c r="K310" s="7"/>
      <c r="L310" s="1"/>
      <c r="M310" s="63"/>
      <c r="P310" s="7"/>
      <c r="Q310" s="1"/>
      <c r="R310" s="63"/>
    </row>
    <row r="311" spans="1:18" x14ac:dyDescent="0.25">
      <c r="A311" s="7"/>
      <c r="B311" s="1"/>
      <c r="C311" s="1"/>
      <c r="D311" s="1"/>
      <c r="F311" s="7"/>
      <c r="G311" s="1"/>
      <c r="H311" s="1"/>
      <c r="I311" s="1"/>
      <c r="J311" s="51"/>
      <c r="K311" s="7"/>
      <c r="L311" s="1"/>
      <c r="M311" s="63"/>
      <c r="P311" s="7"/>
      <c r="Q311" s="1"/>
      <c r="R311" s="63"/>
    </row>
    <row r="312" spans="1:18" x14ac:dyDescent="0.25">
      <c r="A312" s="7"/>
      <c r="B312" s="1"/>
      <c r="C312" s="1"/>
      <c r="D312" s="1"/>
      <c r="F312" s="7"/>
      <c r="G312" s="1"/>
      <c r="H312" s="1"/>
      <c r="I312" s="1"/>
      <c r="J312" s="51"/>
      <c r="K312" s="7"/>
      <c r="L312" s="1"/>
      <c r="M312" s="63"/>
      <c r="P312" s="7"/>
      <c r="Q312" s="1"/>
      <c r="R312" s="63"/>
    </row>
    <row r="313" spans="1:18" x14ac:dyDescent="0.25">
      <c r="A313" s="7"/>
      <c r="B313" s="1"/>
      <c r="C313" s="1"/>
      <c r="D313" s="1"/>
      <c r="F313" s="7"/>
      <c r="G313" s="1"/>
      <c r="H313" s="1"/>
      <c r="I313" s="1"/>
      <c r="J313" s="51"/>
      <c r="K313" s="7"/>
      <c r="L313" s="1"/>
      <c r="M313" s="63"/>
      <c r="P313" s="7"/>
      <c r="Q313" s="1"/>
      <c r="R313" s="63"/>
    </row>
    <row r="314" spans="1:18" x14ac:dyDescent="0.25">
      <c r="A314" s="7"/>
      <c r="B314" s="1"/>
      <c r="C314" s="1"/>
      <c r="D314" s="1"/>
      <c r="F314" s="7"/>
      <c r="G314" s="1"/>
      <c r="H314" s="1"/>
      <c r="I314" s="1"/>
      <c r="J314" s="51"/>
      <c r="K314" s="7"/>
      <c r="L314" s="1"/>
      <c r="M314" s="63"/>
      <c r="P314" s="7"/>
      <c r="Q314" s="1"/>
      <c r="R314" s="63"/>
    </row>
    <row r="315" spans="1:18" x14ac:dyDescent="0.25">
      <c r="A315" s="7"/>
      <c r="B315" s="1"/>
      <c r="C315" s="1"/>
      <c r="D315" s="1"/>
      <c r="F315" s="7"/>
      <c r="G315" s="1"/>
      <c r="H315" s="1"/>
      <c r="I315" s="1"/>
      <c r="J315" s="51"/>
      <c r="K315" s="7"/>
      <c r="L315" s="1"/>
      <c r="M315" s="63"/>
      <c r="P315" s="7"/>
      <c r="Q315" s="1"/>
      <c r="R315" s="63"/>
    </row>
    <row r="316" spans="1:18" x14ac:dyDescent="0.25">
      <c r="A316" s="7"/>
      <c r="B316" s="1"/>
      <c r="C316" s="1"/>
      <c r="D316" s="1"/>
      <c r="F316" s="7"/>
      <c r="G316" s="1"/>
      <c r="H316" s="1"/>
      <c r="I316" s="1"/>
      <c r="J316" s="51"/>
      <c r="K316" s="7"/>
      <c r="L316" s="1"/>
      <c r="M316" s="63"/>
      <c r="P316" s="7"/>
      <c r="Q316" s="1"/>
      <c r="R316" s="63"/>
    </row>
    <row r="317" spans="1:18" x14ac:dyDescent="0.25">
      <c r="A317" s="7"/>
      <c r="B317" s="1"/>
      <c r="C317" s="1"/>
      <c r="D317" s="1"/>
      <c r="F317" s="7"/>
      <c r="G317" s="1"/>
      <c r="H317" s="1"/>
      <c r="I317" s="1"/>
      <c r="J317" s="51"/>
      <c r="K317" s="7"/>
      <c r="L317" s="1"/>
      <c r="M317" s="63"/>
      <c r="P317" s="7"/>
      <c r="Q317" s="1"/>
      <c r="R317" s="63"/>
    </row>
    <row r="318" spans="1:18" x14ac:dyDescent="0.25">
      <c r="A318" s="7"/>
      <c r="B318" s="1"/>
      <c r="C318" s="1"/>
      <c r="D318" s="1"/>
      <c r="F318" s="7"/>
      <c r="G318" s="1"/>
      <c r="H318" s="1"/>
      <c r="I318" s="1"/>
      <c r="J318" s="51"/>
      <c r="K318" s="7"/>
      <c r="L318" s="1"/>
      <c r="M318" s="63"/>
      <c r="P318" s="7"/>
      <c r="Q318" s="1"/>
      <c r="R318" s="63"/>
    </row>
    <row r="319" spans="1:18" x14ac:dyDescent="0.25">
      <c r="A319" s="7"/>
      <c r="B319" s="1"/>
      <c r="C319" s="1"/>
      <c r="D319" s="1"/>
      <c r="F319" s="7"/>
      <c r="G319" s="1"/>
      <c r="H319" s="1"/>
      <c r="I319" s="1"/>
      <c r="J319" s="51"/>
      <c r="K319" s="7"/>
      <c r="L319" s="1"/>
      <c r="M319" s="63"/>
      <c r="P319" s="7"/>
      <c r="Q319" s="1"/>
      <c r="R319" s="63"/>
    </row>
    <row r="320" spans="1:18" x14ac:dyDescent="0.25">
      <c r="A320" s="7"/>
      <c r="B320" s="1"/>
      <c r="C320" s="1"/>
      <c r="D320" s="1"/>
      <c r="F320" s="7"/>
      <c r="G320" s="1"/>
      <c r="H320" s="1"/>
      <c r="I320" s="1"/>
      <c r="J320" s="51"/>
      <c r="K320" s="7"/>
      <c r="L320" s="1"/>
      <c r="M320" s="63"/>
      <c r="P320" s="7"/>
      <c r="Q320" s="1"/>
      <c r="R320" s="63"/>
    </row>
    <row r="321" spans="1:18" x14ac:dyDescent="0.25">
      <c r="A321" s="7"/>
      <c r="B321" s="1"/>
      <c r="C321" s="1"/>
      <c r="D321" s="1"/>
      <c r="F321" s="7"/>
      <c r="G321" s="1"/>
      <c r="H321" s="1"/>
      <c r="I321" s="1"/>
      <c r="J321" s="51"/>
      <c r="K321" s="7"/>
      <c r="L321" s="1"/>
      <c r="M321" s="63"/>
      <c r="P321" s="7"/>
      <c r="Q321" s="1"/>
      <c r="R321" s="63"/>
    </row>
    <row r="322" spans="1:18" x14ac:dyDescent="0.25">
      <c r="A322" s="7"/>
      <c r="B322" s="1"/>
      <c r="C322" s="1"/>
      <c r="D322" s="1"/>
      <c r="F322" s="7"/>
      <c r="G322" s="1"/>
      <c r="H322" s="1"/>
      <c r="I322" s="1"/>
      <c r="J322" s="51"/>
      <c r="K322" s="7"/>
      <c r="L322" s="1"/>
      <c r="M322" s="63"/>
      <c r="P322" s="7"/>
      <c r="Q322" s="1"/>
      <c r="R322" s="63"/>
    </row>
    <row r="323" spans="1:18" x14ac:dyDescent="0.25">
      <c r="A323" s="7"/>
      <c r="B323" s="1"/>
      <c r="C323" s="1"/>
      <c r="D323" s="1"/>
      <c r="F323" s="7"/>
      <c r="G323" s="1"/>
      <c r="H323" s="1"/>
      <c r="I323" s="1"/>
      <c r="J323" s="51"/>
    </row>
    <row r="324" spans="1:18" x14ac:dyDescent="0.25">
      <c r="A324" s="7"/>
      <c r="B324" s="1"/>
      <c r="C324" s="1"/>
      <c r="D324" s="1"/>
      <c r="F324" s="7"/>
      <c r="G324" s="1"/>
      <c r="H324" s="1"/>
      <c r="I324" s="1"/>
      <c r="J324" s="51"/>
    </row>
    <row r="325" spans="1:18" x14ac:dyDescent="0.25">
      <c r="A325" s="7"/>
      <c r="B325" s="1"/>
      <c r="C325" s="1"/>
      <c r="D325" s="1"/>
      <c r="F325" s="7"/>
      <c r="G325" s="1"/>
      <c r="H325" s="1"/>
      <c r="I325" s="1"/>
      <c r="J325" s="51"/>
    </row>
    <row r="326" spans="1:18" x14ac:dyDescent="0.25">
      <c r="A326" s="7"/>
      <c r="B326" s="1"/>
      <c r="C326" s="1"/>
      <c r="D326" s="1"/>
      <c r="F326" s="7"/>
      <c r="G326" s="1"/>
      <c r="H326" s="1"/>
      <c r="I326" s="1"/>
      <c r="J326" s="51"/>
    </row>
    <row r="327" spans="1:18" x14ac:dyDescent="0.25">
      <c r="A327" s="7"/>
      <c r="B327" s="1"/>
      <c r="C327" s="1"/>
      <c r="D327" s="1"/>
      <c r="F327" s="7"/>
      <c r="G327" s="1"/>
      <c r="H327" s="1"/>
      <c r="I327" s="1"/>
      <c r="J327" s="51"/>
    </row>
    <row r="328" spans="1:18" x14ac:dyDescent="0.25">
      <c r="A328" s="7"/>
      <c r="B328" s="1"/>
      <c r="C328" s="1"/>
      <c r="D328" s="1"/>
      <c r="F328" s="7"/>
      <c r="G328" s="1"/>
      <c r="H328" s="1"/>
      <c r="I328" s="1"/>
      <c r="J328" s="51"/>
    </row>
    <row r="329" spans="1:18" x14ac:dyDescent="0.25">
      <c r="A329" s="7"/>
      <c r="B329" s="1"/>
      <c r="C329" s="1"/>
      <c r="D329" s="1"/>
      <c r="F329" s="7"/>
      <c r="G329" s="1"/>
      <c r="H329" s="1"/>
      <c r="I329" s="1"/>
      <c r="J329" s="51"/>
    </row>
    <row r="330" spans="1:18" x14ac:dyDescent="0.25">
      <c r="A330" s="7"/>
      <c r="B330" s="1"/>
      <c r="C330" s="1"/>
      <c r="D330" s="1"/>
      <c r="F330" s="7"/>
      <c r="G330" s="1"/>
      <c r="H330" s="1"/>
      <c r="I330" s="1"/>
      <c r="J330" s="51"/>
    </row>
    <row r="331" spans="1:18" x14ac:dyDescent="0.25">
      <c r="A331" s="7"/>
      <c r="B331" s="1"/>
      <c r="C331" s="1"/>
      <c r="D331" s="1"/>
      <c r="F331" s="7"/>
      <c r="G331" s="1"/>
      <c r="H331" s="1"/>
      <c r="I331" s="1"/>
      <c r="J331" s="51"/>
    </row>
    <row r="332" spans="1:18" x14ac:dyDescent="0.25">
      <c r="A332" s="7"/>
      <c r="B332" s="1"/>
      <c r="C332" s="1"/>
      <c r="D332" s="1"/>
      <c r="F332" s="7"/>
      <c r="G332" s="1"/>
      <c r="H332" s="1"/>
      <c r="I332" s="1"/>
      <c r="J332" s="51"/>
    </row>
    <row r="333" spans="1:18" x14ac:dyDescent="0.25">
      <c r="A333" s="7"/>
      <c r="B333" s="1"/>
      <c r="C333" s="1"/>
      <c r="D333" s="1"/>
      <c r="F333" s="7"/>
      <c r="G333" s="1"/>
      <c r="H333" s="1"/>
      <c r="I333" s="1"/>
      <c r="J333" s="51"/>
    </row>
    <row r="334" spans="1:18" x14ac:dyDescent="0.25">
      <c r="A334" s="7"/>
      <c r="B334" s="1"/>
      <c r="C334" s="1"/>
      <c r="D334" s="1"/>
      <c r="F334" s="7"/>
      <c r="G334" s="1"/>
      <c r="H334" s="1"/>
      <c r="I334" s="1"/>
      <c r="J334" s="51"/>
    </row>
    <row r="335" spans="1:18" x14ac:dyDescent="0.25">
      <c r="A335" s="7"/>
      <c r="B335" s="1"/>
      <c r="C335" s="1"/>
      <c r="D335" s="1"/>
      <c r="F335" s="7"/>
      <c r="G335" s="1"/>
      <c r="H335" s="1"/>
      <c r="I335" s="1"/>
      <c r="J335" s="51"/>
    </row>
    <row r="336" spans="1:18" x14ac:dyDescent="0.25">
      <c r="A336" s="7"/>
      <c r="B336" s="1"/>
      <c r="C336" s="1"/>
      <c r="D336" s="1"/>
      <c r="F336" s="7"/>
      <c r="G336" s="1"/>
      <c r="H336" s="1"/>
      <c r="I336" s="1"/>
      <c r="J336" s="51"/>
    </row>
    <row r="337" spans="1:10" x14ac:dyDescent="0.25">
      <c r="A337" s="7"/>
      <c r="B337" s="1"/>
      <c r="C337" s="1"/>
      <c r="D337" s="1"/>
      <c r="F337" s="7"/>
      <c r="G337" s="1"/>
      <c r="H337" s="1"/>
      <c r="I337" s="1"/>
      <c r="J337" s="51"/>
    </row>
    <row r="338" spans="1:10" x14ac:dyDescent="0.25">
      <c r="A338" s="7"/>
      <c r="B338" s="1"/>
      <c r="C338" s="1"/>
      <c r="D338" s="1"/>
      <c r="F338" s="7"/>
      <c r="G338" s="1"/>
      <c r="H338" s="1"/>
      <c r="I338" s="1"/>
      <c r="J338" s="51"/>
    </row>
    <row r="339" spans="1:10" x14ac:dyDescent="0.25">
      <c r="A339" s="7"/>
      <c r="B339" s="1"/>
      <c r="C339" s="1"/>
      <c r="D339" s="1"/>
      <c r="F339" s="7"/>
      <c r="G339" s="1"/>
      <c r="H339" s="1"/>
      <c r="I339" s="1"/>
      <c r="J339" s="51"/>
    </row>
    <row r="340" spans="1:10" x14ac:dyDescent="0.25">
      <c r="A340" s="7"/>
      <c r="B340" s="1"/>
      <c r="C340" s="1"/>
      <c r="D340" s="1"/>
      <c r="F340" s="7"/>
      <c r="G340" s="1"/>
      <c r="H340" s="1"/>
      <c r="I340" s="1"/>
      <c r="J340" s="51"/>
    </row>
    <row r="341" spans="1:10" x14ac:dyDescent="0.25">
      <c r="A341" s="7"/>
      <c r="B341" s="1"/>
      <c r="C341" s="1"/>
      <c r="D341" s="1"/>
      <c r="F341" s="7"/>
      <c r="G341" s="1"/>
      <c r="H341" s="1"/>
      <c r="I341" s="1"/>
      <c r="J341" s="51"/>
    </row>
    <row r="342" spans="1:10" x14ac:dyDescent="0.25">
      <c r="A342" s="7"/>
      <c r="B342" s="1"/>
      <c r="C342" s="1"/>
      <c r="D342" s="1"/>
      <c r="F342" s="7"/>
      <c r="G342" s="1"/>
      <c r="H342" s="1"/>
      <c r="I342" s="1"/>
      <c r="J342" s="51"/>
    </row>
    <row r="343" spans="1:10" x14ac:dyDescent="0.25">
      <c r="A343" s="7"/>
      <c r="B343" s="1"/>
      <c r="C343" s="1"/>
      <c r="D343" s="1"/>
      <c r="F343" s="7"/>
      <c r="G343" s="1"/>
      <c r="H343" s="1"/>
      <c r="I343" s="1"/>
      <c r="J343" s="51"/>
    </row>
    <row r="344" spans="1:10" x14ac:dyDescent="0.25">
      <c r="A344" s="7"/>
      <c r="B344" s="1"/>
      <c r="C344" s="1"/>
      <c r="D344" s="1"/>
      <c r="F344" s="7"/>
      <c r="G344" s="1"/>
      <c r="H344" s="1"/>
      <c r="I344" s="1"/>
      <c r="J344" s="51"/>
    </row>
    <row r="345" spans="1:10" x14ac:dyDescent="0.25">
      <c r="A345" s="7"/>
      <c r="B345" s="1"/>
      <c r="C345" s="1"/>
      <c r="D345" s="1"/>
      <c r="F345" s="7"/>
      <c r="G345" s="1"/>
      <c r="H345" s="1"/>
      <c r="I345" s="1"/>
      <c r="J345" s="51"/>
    </row>
    <row r="346" spans="1:10" x14ac:dyDescent="0.25">
      <c r="A346" s="7"/>
      <c r="B346" s="1"/>
      <c r="C346" s="1"/>
      <c r="D346" s="1"/>
      <c r="F346" s="7"/>
      <c r="G346" s="1"/>
      <c r="H346" s="1"/>
      <c r="I346" s="1"/>
      <c r="J346" s="51"/>
    </row>
    <row r="347" spans="1:10" x14ac:dyDescent="0.25">
      <c r="A347" s="7"/>
      <c r="B347" s="1"/>
      <c r="C347" s="1"/>
      <c r="D347" s="1"/>
      <c r="F347" s="7"/>
      <c r="G347" s="1"/>
      <c r="H347" s="1"/>
      <c r="I347" s="1"/>
      <c r="J347" s="51"/>
    </row>
    <row r="348" spans="1:10" x14ac:dyDescent="0.25">
      <c r="A348" s="7"/>
      <c r="B348" s="1"/>
      <c r="C348" s="1"/>
      <c r="D348" s="1"/>
      <c r="F348" s="7"/>
      <c r="G348" s="1"/>
      <c r="H348" s="1"/>
      <c r="I348" s="1"/>
      <c r="J348" s="51"/>
    </row>
    <row r="349" spans="1:10" x14ac:dyDescent="0.25">
      <c r="A349" s="7"/>
      <c r="B349" s="1"/>
      <c r="C349" s="1"/>
      <c r="D349" s="1"/>
      <c r="F349" s="7"/>
      <c r="G349" s="1"/>
      <c r="H349" s="1"/>
      <c r="I349" s="1"/>
      <c r="J349" s="51"/>
    </row>
    <row r="350" spans="1:10" x14ac:dyDescent="0.25">
      <c r="A350" s="7"/>
      <c r="B350" s="1"/>
      <c r="C350" s="1"/>
      <c r="D350" s="1"/>
      <c r="F350" s="7"/>
      <c r="G350" s="1"/>
      <c r="H350" s="1"/>
      <c r="I350" s="1"/>
      <c r="J350" s="51"/>
    </row>
    <row r="351" spans="1:10" x14ac:dyDescent="0.25">
      <c r="A351" s="7"/>
      <c r="B351" s="1"/>
      <c r="C351" s="1"/>
      <c r="D351" s="1"/>
      <c r="F351" s="7"/>
      <c r="G351" s="1"/>
      <c r="H351" s="1"/>
      <c r="I351" s="1"/>
      <c r="J351" s="51"/>
    </row>
    <row r="352" spans="1:10" x14ac:dyDescent="0.25">
      <c r="A352" s="7"/>
      <c r="B352" s="1"/>
      <c r="C352" s="1"/>
      <c r="D352" s="1"/>
      <c r="F352" s="7"/>
      <c r="G352" s="1"/>
      <c r="H352" s="1"/>
      <c r="I352" s="1"/>
      <c r="J352" s="51"/>
    </row>
    <row r="353" spans="1:10" x14ac:dyDescent="0.25">
      <c r="A353" s="7"/>
      <c r="B353" s="1"/>
      <c r="C353" s="1"/>
      <c r="D353" s="1"/>
      <c r="F353" s="7"/>
      <c r="G353" s="1"/>
      <c r="H353" s="1"/>
      <c r="I353" s="1"/>
      <c r="J353" s="51"/>
    </row>
    <row r="354" spans="1:10" x14ac:dyDescent="0.25">
      <c r="A354" s="7"/>
      <c r="B354" s="1"/>
      <c r="C354" s="1"/>
      <c r="D354" s="1"/>
      <c r="F354" s="7"/>
      <c r="G354" s="1"/>
      <c r="H354" s="1"/>
      <c r="I354" s="1"/>
      <c r="J354" s="51"/>
    </row>
    <row r="355" spans="1:10" x14ac:dyDescent="0.25">
      <c r="A355" s="7"/>
      <c r="B355" s="1"/>
      <c r="C355" s="1"/>
      <c r="D355" s="1"/>
      <c r="F355" s="7"/>
      <c r="G355" s="1"/>
      <c r="H355" s="1"/>
      <c r="I355" s="1"/>
      <c r="J355" s="51"/>
    </row>
    <row r="356" spans="1:10" x14ac:dyDescent="0.25">
      <c r="A356" s="7"/>
      <c r="B356" s="1"/>
      <c r="C356" s="1"/>
      <c r="D356" s="1"/>
      <c r="F356" s="7"/>
      <c r="G356" s="1"/>
      <c r="H356" s="1"/>
      <c r="I356" s="1"/>
      <c r="J356" s="51"/>
    </row>
    <row r="357" spans="1:10" x14ac:dyDescent="0.25">
      <c r="A357" s="7"/>
      <c r="B357" s="1"/>
      <c r="C357" s="1"/>
      <c r="D357" s="1"/>
      <c r="F357" s="7"/>
      <c r="G357" s="1"/>
      <c r="H357" s="1"/>
      <c r="I357" s="1"/>
      <c r="J357" s="51"/>
    </row>
    <row r="358" spans="1:10" x14ac:dyDescent="0.25">
      <c r="A358" s="7"/>
      <c r="B358" s="1"/>
      <c r="C358" s="1"/>
      <c r="D358" s="1"/>
      <c r="F358" s="7"/>
      <c r="G358" s="1"/>
      <c r="H358" s="1"/>
      <c r="I358" s="1"/>
      <c r="J358" s="51"/>
    </row>
    <row r="359" spans="1:10" x14ac:dyDescent="0.25">
      <c r="A359" s="7"/>
      <c r="B359" s="1"/>
      <c r="C359" s="1"/>
      <c r="D359" s="1"/>
      <c r="F359" s="7"/>
      <c r="G359" s="1"/>
      <c r="H359" s="1"/>
      <c r="I359" s="1"/>
      <c r="J359" s="51"/>
    </row>
    <row r="360" spans="1:10" x14ac:dyDescent="0.25">
      <c r="A360" s="7"/>
      <c r="B360" s="1"/>
      <c r="C360" s="1"/>
      <c r="D360" s="1"/>
      <c r="F360" s="7"/>
      <c r="G360" s="1"/>
      <c r="H360" s="1"/>
      <c r="I360" s="1"/>
      <c r="J360" s="51"/>
    </row>
    <row r="361" spans="1:10" x14ac:dyDescent="0.25">
      <c r="A361" s="7"/>
      <c r="B361" s="1"/>
      <c r="C361" s="1"/>
      <c r="D361" s="1"/>
      <c r="F361" s="7"/>
      <c r="G361" s="1"/>
      <c r="H361" s="1"/>
      <c r="I361" s="1"/>
      <c r="J361" s="51"/>
    </row>
    <row r="362" spans="1:10" x14ac:dyDescent="0.25">
      <c r="A362" s="7"/>
      <c r="B362" s="1"/>
      <c r="C362" s="1"/>
      <c r="D362" s="1"/>
      <c r="F362" s="7"/>
      <c r="G362" s="1"/>
      <c r="H362" s="1"/>
      <c r="I362" s="1"/>
      <c r="J362" s="51"/>
    </row>
    <row r="363" spans="1:10" x14ac:dyDescent="0.25">
      <c r="A363" s="7"/>
      <c r="B363" s="1"/>
      <c r="C363" s="1"/>
      <c r="D363" s="1"/>
      <c r="F363" s="7"/>
      <c r="G363" s="1"/>
      <c r="H363" s="1"/>
      <c r="I363" s="1"/>
      <c r="J363" s="51"/>
    </row>
    <row r="364" spans="1:10" x14ac:dyDescent="0.25">
      <c r="A364" s="7"/>
      <c r="B364" s="1"/>
      <c r="C364" s="1"/>
      <c r="D364" s="1"/>
      <c r="F364" s="7"/>
      <c r="G364" s="1"/>
      <c r="H364" s="1"/>
      <c r="I364" s="1"/>
      <c r="J364" s="51"/>
    </row>
    <row r="365" spans="1:10" x14ac:dyDescent="0.25">
      <c r="A365" s="7"/>
      <c r="B365" s="1"/>
      <c r="C365" s="1"/>
      <c r="D365" s="1"/>
      <c r="F365" s="7"/>
      <c r="G365" s="1"/>
      <c r="H365" s="1"/>
      <c r="I365" s="1"/>
      <c r="J365" s="51"/>
    </row>
    <row r="366" spans="1:10" x14ac:dyDescent="0.25">
      <c r="A366" s="7"/>
      <c r="B366" s="1"/>
      <c r="C366" s="1"/>
      <c r="D366" s="1"/>
      <c r="F366" s="7"/>
      <c r="G366" s="1"/>
      <c r="H366" s="1"/>
      <c r="I366" s="1"/>
      <c r="J366" s="51"/>
    </row>
    <row r="367" spans="1:10" x14ac:dyDescent="0.25">
      <c r="A367" s="7"/>
      <c r="B367" s="1"/>
      <c r="C367" s="1"/>
      <c r="D367" s="1"/>
      <c r="F367" s="7"/>
      <c r="G367" s="1"/>
      <c r="H367" s="1"/>
      <c r="I367" s="1"/>
      <c r="J367" s="51"/>
    </row>
    <row r="368" spans="1:10" x14ac:dyDescent="0.25">
      <c r="A368" s="7"/>
      <c r="B368" s="1"/>
      <c r="C368" s="1"/>
      <c r="D368" s="1"/>
      <c r="F368" s="7"/>
      <c r="G368" s="1"/>
      <c r="H368" s="1"/>
      <c r="I368" s="1"/>
      <c r="J368" s="51"/>
    </row>
    <row r="369" spans="1:10" x14ac:dyDescent="0.25">
      <c r="A369" s="7"/>
      <c r="B369" s="1"/>
      <c r="C369" s="1"/>
      <c r="D369" s="1"/>
      <c r="F369" s="7"/>
      <c r="G369" s="1"/>
      <c r="H369" s="1"/>
      <c r="I369" s="1"/>
      <c r="J369" s="51"/>
    </row>
    <row r="370" spans="1:10" x14ac:dyDescent="0.25">
      <c r="A370" s="7"/>
      <c r="B370" s="1"/>
      <c r="C370" s="1"/>
      <c r="D370" s="1"/>
      <c r="F370" s="7"/>
      <c r="G370" s="1"/>
      <c r="H370" s="1"/>
      <c r="I370" s="1"/>
      <c r="J370" s="51"/>
    </row>
    <row r="371" spans="1:10" x14ac:dyDescent="0.25">
      <c r="A371" s="7"/>
      <c r="B371" s="1"/>
      <c r="C371" s="1"/>
      <c r="D371" s="1"/>
      <c r="F371" s="7"/>
      <c r="G371" s="1"/>
      <c r="H371" s="1"/>
      <c r="I371" s="1"/>
      <c r="J371" s="51"/>
    </row>
    <row r="372" spans="1:10" x14ac:dyDescent="0.25">
      <c r="A372" s="7"/>
      <c r="B372" s="1"/>
      <c r="C372" s="1"/>
      <c r="D372" s="1"/>
      <c r="F372" s="7"/>
      <c r="G372" s="1"/>
      <c r="H372" s="1"/>
      <c r="I372" s="1"/>
      <c r="J372" s="51"/>
    </row>
    <row r="373" spans="1:10" x14ac:dyDescent="0.25">
      <c r="A373" s="7"/>
      <c r="B373" s="1"/>
      <c r="C373" s="1"/>
      <c r="D373" s="1"/>
      <c r="F373" s="7"/>
      <c r="G373" s="1"/>
      <c r="H373" s="1"/>
      <c r="I373" s="1"/>
      <c r="J373" s="51"/>
    </row>
    <row r="374" spans="1:10" x14ac:dyDescent="0.25">
      <c r="A374" s="7"/>
      <c r="B374" s="1"/>
      <c r="C374" s="1"/>
      <c r="D374" s="1"/>
      <c r="F374" s="7"/>
      <c r="G374" s="1"/>
      <c r="H374" s="1"/>
      <c r="I374" s="1"/>
      <c r="J374" s="51"/>
    </row>
    <row r="375" spans="1:10" x14ac:dyDescent="0.25">
      <c r="A375" s="7"/>
      <c r="B375" s="1"/>
      <c r="C375" s="1"/>
      <c r="D375" s="1"/>
      <c r="F375" s="7"/>
      <c r="G375" s="1"/>
      <c r="H375" s="1"/>
      <c r="I375" s="1"/>
      <c r="J375" s="51"/>
    </row>
    <row r="376" spans="1:10" x14ac:dyDescent="0.25">
      <c r="A376" s="7"/>
      <c r="B376" s="1"/>
      <c r="C376" s="1"/>
      <c r="D376" s="1"/>
      <c r="F376" s="7"/>
      <c r="G376" s="1"/>
      <c r="H376" s="1"/>
      <c r="I376" s="1"/>
      <c r="J376" s="51"/>
    </row>
    <row r="377" spans="1:10" x14ac:dyDescent="0.25">
      <c r="A377" s="7"/>
      <c r="B377" s="1"/>
      <c r="C377" s="1"/>
      <c r="D377" s="1"/>
      <c r="F377" s="7"/>
      <c r="G377" s="1"/>
      <c r="H377" s="1"/>
      <c r="I377" s="1"/>
      <c r="J377" s="51"/>
    </row>
    <row r="378" spans="1:10" x14ac:dyDescent="0.25">
      <c r="A378" s="7"/>
      <c r="B378" s="1"/>
      <c r="C378" s="1"/>
      <c r="D378" s="1"/>
      <c r="F378" s="7"/>
      <c r="G378" s="1"/>
      <c r="H378" s="1"/>
      <c r="I378" s="1"/>
      <c r="J378" s="51"/>
    </row>
    <row r="379" spans="1:10" x14ac:dyDescent="0.25">
      <c r="A379" s="7"/>
      <c r="B379" s="1"/>
      <c r="C379" s="1"/>
      <c r="D379" s="1"/>
      <c r="F379" s="7"/>
      <c r="G379" s="1"/>
      <c r="H379" s="1"/>
      <c r="I379" s="1"/>
      <c r="J379" s="51"/>
    </row>
    <row r="380" spans="1:10" x14ac:dyDescent="0.25">
      <c r="A380" s="7"/>
      <c r="B380" s="1"/>
      <c r="C380" s="1"/>
      <c r="D380" s="1"/>
      <c r="F380" s="7"/>
      <c r="G380" s="1"/>
      <c r="H380" s="1"/>
      <c r="I380" s="1"/>
      <c r="J380" s="51"/>
    </row>
    <row r="381" spans="1:10" x14ac:dyDescent="0.25">
      <c r="A381" s="7"/>
      <c r="B381" s="1"/>
      <c r="C381" s="1"/>
      <c r="D381" s="1"/>
      <c r="F381" s="7"/>
      <c r="G381" s="1"/>
      <c r="H381" s="1"/>
      <c r="I381" s="1"/>
      <c r="J381" s="51"/>
    </row>
    <row r="382" spans="1:10" x14ac:dyDescent="0.25">
      <c r="A382" s="7"/>
      <c r="B382" s="1"/>
      <c r="C382" s="1"/>
      <c r="D382" s="1"/>
      <c r="F382" s="7"/>
      <c r="G382" s="1"/>
      <c r="H382" s="1"/>
      <c r="I382" s="1"/>
      <c r="J382" s="51"/>
    </row>
    <row r="383" spans="1:10" x14ac:dyDescent="0.25">
      <c r="A383" s="7"/>
      <c r="B383" s="1"/>
      <c r="C383" s="1"/>
      <c r="D383" s="1"/>
      <c r="F383" s="7"/>
      <c r="G383" s="1"/>
      <c r="H383" s="1"/>
      <c r="I383" s="1"/>
      <c r="J383" s="51"/>
    </row>
    <row r="384" spans="1:10" x14ac:dyDescent="0.25">
      <c r="A384" s="7"/>
      <c r="B384" s="1"/>
      <c r="C384" s="1"/>
      <c r="D384" s="1"/>
      <c r="F384" s="7"/>
      <c r="G384" s="1"/>
      <c r="H384" s="1"/>
      <c r="I384" s="1"/>
      <c r="J384" s="51"/>
    </row>
    <row r="385" spans="1:10" x14ac:dyDescent="0.25">
      <c r="A385" s="7"/>
      <c r="B385" s="1"/>
      <c r="C385" s="1"/>
      <c r="D385" s="1"/>
      <c r="F385" s="7"/>
      <c r="G385" s="1"/>
      <c r="H385" s="1"/>
      <c r="I385" s="1"/>
      <c r="J385" s="51"/>
    </row>
    <row r="386" spans="1:10" x14ac:dyDescent="0.25">
      <c r="A386" s="7"/>
      <c r="B386" s="1"/>
      <c r="C386" s="1"/>
      <c r="D386" s="1"/>
      <c r="F386" s="7"/>
      <c r="G386" s="1"/>
      <c r="H386" s="1"/>
      <c r="I386" s="1"/>
      <c r="J386" s="51"/>
    </row>
    <row r="387" spans="1:10" x14ac:dyDescent="0.25">
      <c r="A387" s="7"/>
      <c r="B387" s="1"/>
      <c r="C387" s="1"/>
      <c r="D387" s="1"/>
      <c r="F387" s="7"/>
      <c r="G387" s="1"/>
      <c r="H387" s="1"/>
      <c r="I387" s="1"/>
      <c r="J387" s="51"/>
    </row>
    <row r="388" spans="1:10" x14ac:dyDescent="0.25">
      <c r="A388" s="7"/>
      <c r="B388" s="1"/>
      <c r="C388" s="1"/>
      <c r="D388" s="1"/>
      <c r="F388" s="7"/>
      <c r="G388" s="1"/>
      <c r="H388" s="1"/>
      <c r="I388" s="1"/>
      <c r="J388" s="51"/>
    </row>
    <row r="389" spans="1:10" x14ac:dyDescent="0.25">
      <c r="A389" s="7"/>
      <c r="B389" s="1"/>
      <c r="C389" s="1"/>
      <c r="D389" s="1"/>
      <c r="F389" s="7"/>
      <c r="G389" s="1"/>
      <c r="H389" s="1"/>
      <c r="I389" s="1"/>
      <c r="J389" s="51"/>
    </row>
    <row r="390" spans="1:10" x14ac:dyDescent="0.25">
      <c r="A390" s="7"/>
      <c r="B390" s="1"/>
      <c r="C390" s="1"/>
      <c r="D390" s="1"/>
      <c r="F390" s="7"/>
      <c r="G390" s="1"/>
      <c r="H390" s="1"/>
      <c r="I390" s="1"/>
      <c r="J390" s="51"/>
    </row>
    <row r="391" spans="1:10" x14ac:dyDescent="0.25">
      <c r="A391" s="7"/>
      <c r="B391" s="1"/>
      <c r="C391" s="1"/>
      <c r="D391" s="1"/>
      <c r="F391" s="7"/>
      <c r="G391" s="1"/>
      <c r="H391" s="1"/>
      <c r="I391" s="1"/>
      <c r="J391" s="51"/>
    </row>
    <row r="392" spans="1:10" x14ac:dyDescent="0.25">
      <c r="A392" s="7"/>
      <c r="B392" s="1"/>
      <c r="C392" s="1"/>
      <c r="D392" s="1"/>
      <c r="F392" s="7"/>
      <c r="G392" s="1"/>
      <c r="H392" s="1"/>
      <c r="I392" s="1"/>
      <c r="J392" s="51"/>
    </row>
    <row r="393" spans="1:10" x14ac:dyDescent="0.25">
      <c r="A393" s="7"/>
      <c r="B393" s="1"/>
      <c r="C393" s="1"/>
      <c r="D393" s="1"/>
      <c r="F393" s="7"/>
      <c r="G393" s="1"/>
      <c r="H393" s="1"/>
      <c r="I393" s="1"/>
      <c r="J393" s="51"/>
    </row>
    <row r="394" spans="1:10" x14ac:dyDescent="0.25">
      <c r="A394" s="7"/>
      <c r="B394" s="1"/>
      <c r="C394" s="1"/>
      <c r="D394" s="1"/>
      <c r="F394" s="7"/>
      <c r="G394" s="1"/>
      <c r="H394" s="1"/>
      <c r="I394" s="1"/>
      <c r="J394" s="51"/>
    </row>
    <row r="395" spans="1:10" x14ac:dyDescent="0.25">
      <c r="A395" s="7"/>
      <c r="B395" s="1"/>
      <c r="C395" s="1"/>
      <c r="D395" s="1"/>
      <c r="F395" s="7"/>
      <c r="G395" s="1"/>
      <c r="H395" s="1"/>
      <c r="I395" s="1"/>
      <c r="J395" s="51"/>
    </row>
    <row r="396" spans="1:10" x14ac:dyDescent="0.25">
      <c r="A396" s="7"/>
      <c r="B396" s="1"/>
      <c r="C396" s="1"/>
      <c r="D396" s="1"/>
      <c r="F396" s="7"/>
      <c r="G396" s="1"/>
      <c r="H396" s="1"/>
      <c r="I396" s="1"/>
      <c r="J396" s="51"/>
    </row>
    <row r="397" spans="1:10" x14ac:dyDescent="0.25">
      <c r="A397" s="7"/>
      <c r="B397" s="1"/>
      <c r="C397" s="1"/>
      <c r="D397" s="1"/>
      <c r="F397" s="7"/>
      <c r="G397" s="1"/>
      <c r="H397" s="1"/>
      <c r="I397" s="1"/>
      <c r="J397" s="51"/>
    </row>
    <row r="398" spans="1:10" x14ac:dyDescent="0.25">
      <c r="A398" s="7"/>
      <c r="B398" s="1"/>
      <c r="C398" s="1"/>
      <c r="D398" s="1"/>
      <c r="F398" s="7"/>
      <c r="G398" s="1"/>
      <c r="H398" s="1"/>
      <c r="I398" s="1"/>
      <c r="J398" s="51"/>
    </row>
    <row r="399" spans="1:10" x14ac:dyDescent="0.25">
      <c r="A399" s="7"/>
      <c r="B399" s="1"/>
      <c r="C399" s="1"/>
      <c r="D399" s="1"/>
      <c r="F399" s="7"/>
      <c r="G399" s="1"/>
      <c r="H399" s="1"/>
      <c r="I399" s="1"/>
      <c r="J399" s="51"/>
    </row>
    <row r="400" spans="1:10" x14ac:dyDescent="0.25">
      <c r="A400" s="7"/>
      <c r="B400" s="1"/>
      <c r="C400" s="1"/>
      <c r="D400" s="1"/>
      <c r="F400" s="7"/>
      <c r="G400" s="1"/>
      <c r="H400" s="1"/>
      <c r="I400" s="1"/>
      <c r="J400" s="51"/>
    </row>
    <row r="401" spans="1:10" x14ac:dyDescent="0.25">
      <c r="A401" s="7"/>
      <c r="B401" s="1"/>
      <c r="C401" s="1"/>
      <c r="D401" s="1"/>
      <c r="F401" s="7"/>
      <c r="G401" s="1"/>
      <c r="H401" s="1"/>
      <c r="I401" s="1"/>
      <c r="J401" s="51"/>
    </row>
    <row r="402" spans="1:10" x14ac:dyDescent="0.25">
      <c r="A402" s="7"/>
      <c r="B402" s="1"/>
      <c r="C402" s="1"/>
      <c r="D402" s="1"/>
      <c r="F402" s="7"/>
      <c r="G402" s="1"/>
      <c r="H402" s="1"/>
      <c r="I402" s="1"/>
      <c r="J402" s="51"/>
    </row>
    <row r="403" spans="1:10" x14ac:dyDescent="0.25">
      <c r="A403" s="7"/>
      <c r="B403" s="1"/>
      <c r="C403" s="1"/>
      <c r="D403" s="1"/>
      <c r="F403" s="7"/>
      <c r="G403" s="1"/>
      <c r="H403" s="1"/>
      <c r="I403" s="1"/>
      <c r="J403" s="51"/>
    </row>
    <row r="404" spans="1:10" x14ac:dyDescent="0.25">
      <c r="A404" s="7"/>
      <c r="B404" s="1"/>
      <c r="C404" s="1"/>
      <c r="D404" s="1"/>
      <c r="F404" s="7"/>
      <c r="G404" s="1"/>
      <c r="H404" s="1"/>
      <c r="I404" s="1"/>
      <c r="J404" s="51"/>
    </row>
    <row r="405" spans="1:10" x14ac:dyDescent="0.25">
      <c r="A405" s="7"/>
      <c r="B405" s="1"/>
      <c r="C405" s="1"/>
      <c r="D405" s="1"/>
      <c r="F405" s="7"/>
      <c r="G405" s="1"/>
      <c r="H405" s="1"/>
      <c r="I405" s="1"/>
      <c r="J405" s="51"/>
    </row>
    <row r="406" spans="1:10" x14ac:dyDescent="0.25">
      <c r="A406" s="7"/>
      <c r="B406" s="1"/>
      <c r="C406" s="1"/>
      <c r="D406" s="1"/>
      <c r="F406" s="7"/>
      <c r="G406" s="1"/>
      <c r="H406" s="1"/>
      <c r="I406" s="1"/>
      <c r="J406" s="51"/>
    </row>
    <row r="407" spans="1:10" x14ac:dyDescent="0.25">
      <c r="A407" s="7"/>
      <c r="B407" s="1"/>
      <c r="C407" s="1"/>
      <c r="D407" s="1"/>
      <c r="F407" s="7"/>
      <c r="G407" s="1"/>
      <c r="H407" s="1"/>
      <c r="I407" s="1"/>
      <c r="J407" s="51"/>
    </row>
    <row r="408" spans="1:10" x14ac:dyDescent="0.25">
      <c r="A408" s="7"/>
      <c r="B408" s="1"/>
      <c r="C408" s="1"/>
      <c r="D408" s="1"/>
      <c r="F408" s="7"/>
      <c r="G408" s="1"/>
      <c r="H408" s="1"/>
      <c r="I408" s="1"/>
      <c r="J408" s="51"/>
    </row>
    <row r="409" spans="1:10" x14ac:dyDescent="0.25">
      <c r="A409" s="7"/>
      <c r="B409" s="1"/>
      <c r="C409" s="1"/>
      <c r="D409" s="1"/>
      <c r="F409" s="7"/>
      <c r="G409" s="1"/>
      <c r="H409" s="1"/>
      <c r="I409" s="1"/>
      <c r="J409" s="51"/>
    </row>
    <row r="410" spans="1:10" x14ac:dyDescent="0.25">
      <c r="A410" s="7"/>
      <c r="B410" s="1"/>
      <c r="C410" s="1"/>
      <c r="D410" s="1"/>
      <c r="F410" s="7"/>
      <c r="G410" s="1"/>
      <c r="H410" s="1"/>
      <c r="I410" s="1"/>
      <c r="J410" s="51"/>
    </row>
    <row r="411" spans="1:10" x14ac:dyDescent="0.25">
      <c r="A411" s="7"/>
      <c r="B411" s="1"/>
      <c r="C411" s="1"/>
      <c r="D411" s="1"/>
      <c r="F411" s="7"/>
      <c r="G411" s="1"/>
      <c r="H411" s="1"/>
      <c r="I411" s="1"/>
      <c r="J411" s="51"/>
    </row>
    <row r="412" spans="1:10" x14ac:dyDescent="0.25">
      <c r="A412" s="7"/>
      <c r="B412" s="1"/>
      <c r="C412" s="1"/>
      <c r="D412" s="1"/>
      <c r="F412" s="7"/>
      <c r="G412" s="1"/>
      <c r="H412" s="1"/>
      <c r="I412" s="1"/>
      <c r="J412" s="51"/>
    </row>
    <row r="413" spans="1:10" x14ac:dyDescent="0.25">
      <c r="A413" s="7"/>
      <c r="B413" s="1"/>
      <c r="C413" s="1"/>
      <c r="D413" s="1"/>
      <c r="F413" s="7"/>
      <c r="G413" s="1"/>
      <c r="H413" s="1"/>
      <c r="I413" s="1"/>
      <c r="J413" s="51"/>
    </row>
    <row r="414" spans="1:10" x14ac:dyDescent="0.25">
      <c r="A414" s="7"/>
      <c r="B414" s="1"/>
      <c r="C414" s="1"/>
      <c r="D414" s="1"/>
      <c r="F414" s="7"/>
      <c r="G414" s="1"/>
      <c r="H414" s="1"/>
      <c r="I414" s="1"/>
      <c r="J414" s="51"/>
    </row>
    <row r="415" spans="1:10" x14ac:dyDescent="0.25">
      <c r="A415" s="7"/>
      <c r="B415" s="1"/>
      <c r="C415" s="1"/>
      <c r="D415" s="1"/>
      <c r="F415" s="7"/>
      <c r="G415" s="1"/>
      <c r="H415" s="1"/>
      <c r="I415" s="1"/>
      <c r="J415" s="51"/>
    </row>
    <row r="416" spans="1:10" x14ac:dyDescent="0.25">
      <c r="A416" s="7"/>
      <c r="B416" s="1"/>
      <c r="C416" s="1"/>
      <c r="D416" s="1"/>
      <c r="F416" s="7"/>
      <c r="G416" s="1"/>
      <c r="H416" s="1"/>
      <c r="I416" s="1"/>
      <c r="J416" s="51"/>
    </row>
    <row r="417" spans="1:10" x14ac:dyDescent="0.25">
      <c r="A417" s="7"/>
      <c r="B417" s="1"/>
      <c r="C417" s="1"/>
      <c r="D417" s="1"/>
      <c r="F417" s="7"/>
      <c r="G417" s="1"/>
      <c r="H417" s="1"/>
      <c r="I417" s="1"/>
      <c r="J417" s="51"/>
    </row>
    <row r="418" spans="1:10" x14ac:dyDescent="0.25">
      <c r="A418" s="7"/>
      <c r="B418" s="1"/>
      <c r="C418" s="1"/>
      <c r="D418" s="1"/>
      <c r="F418" s="7"/>
      <c r="G418" s="1"/>
      <c r="H418" s="1"/>
      <c r="I418" s="1"/>
      <c r="J418" s="51"/>
    </row>
    <row r="419" spans="1:10" x14ac:dyDescent="0.25">
      <c r="A419" s="7"/>
      <c r="B419" s="1"/>
      <c r="C419" s="1"/>
      <c r="D419" s="1"/>
      <c r="F419" s="7"/>
      <c r="G419" s="1"/>
      <c r="H419" s="1"/>
      <c r="I419" s="1"/>
      <c r="J419" s="51"/>
    </row>
    <row r="420" spans="1:10" x14ac:dyDescent="0.25">
      <c r="A420" s="7"/>
      <c r="B420" s="1"/>
      <c r="C420" s="1"/>
      <c r="D420" s="1"/>
      <c r="F420" s="7"/>
      <c r="G420" s="1"/>
      <c r="H420" s="1"/>
      <c r="I420" s="1"/>
      <c r="J420" s="51"/>
    </row>
    <row r="421" spans="1:10" x14ac:dyDescent="0.25">
      <c r="A421" s="7"/>
      <c r="B421" s="1"/>
      <c r="C421" s="1"/>
      <c r="D421" s="1"/>
      <c r="F421" s="7"/>
      <c r="G421" s="1"/>
      <c r="H421" s="1"/>
      <c r="I421" s="1"/>
      <c r="J421" s="51"/>
    </row>
    <row r="422" spans="1:10" x14ac:dyDescent="0.25">
      <c r="A422" s="7"/>
      <c r="B422" s="1"/>
      <c r="C422" s="1"/>
      <c r="D422" s="1"/>
      <c r="F422" s="7"/>
      <c r="G422" s="1"/>
      <c r="H422" s="1"/>
      <c r="I422" s="1"/>
      <c r="J422" s="51"/>
    </row>
    <row r="423" spans="1:10" x14ac:dyDescent="0.25">
      <c r="A423" s="7"/>
      <c r="B423" s="1"/>
      <c r="C423" s="1"/>
      <c r="D423" s="1"/>
      <c r="F423" s="7"/>
      <c r="G423" s="1"/>
      <c r="H423" s="1"/>
      <c r="I423" s="1"/>
      <c r="J423" s="51"/>
    </row>
    <row r="424" spans="1:10" x14ac:dyDescent="0.25">
      <c r="A424" s="7"/>
      <c r="B424" s="1"/>
      <c r="C424" s="1"/>
      <c r="D424" s="1"/>
      <c r="F424" s="7"/>
      <c r="G424" s="1"/>
      <c r="H424" s="1"/>
      <c r="I424" s="1"/>
      <c r="J424" s="51"/>
    </row>
    <row r="425" spans="1:10" x14ac:dyDescent="0.25">
      <c r="A425" s="7"/>
      <c r="B425" s="1"/>
      <c r="C425" s="1"/>
      <c r="D425" s="1"/>
      <c r="F425" s="7"/>
      <c r="G425" s="1"/>
      <c r="H425" s="1"/>
      <c r="I425" s="1"/>
      <c r="J425" s="51"/>
    </row>
    <row r="426" spans="1:10" x14ac:dyDescent="0.25">
      <c r="A426" s="7"/>
      <c r="B426" s="1"/>
      <c r="C426" s="1"/>
      <c r="D426" s="1"/>
      <c r="F426" s="7"/>
      <c r="G426" s="1"/>
      <c r="H426" s="1"/>
      <c r="I426" s="1"/>
      <c r="J426" s="51"/>
    </row>
    <row r="427" spans="1:10" x14ac:dyDescent="0.25">
      <c r="A427" s="7"/>
      <c r="B427" s="1"/>
      <c r="C427" s="1"/>
      <c r="D427" s="1"/>
      <c r="F427" s="7"/>
      <c r="G427" s="1"/>
      <c r="H427" s="1"/>
      <c r="I427" s="1"/>
      <c r="J427" s="51"/>
    </row>
    <row r="428" spans="1:10" x14ac:dyDescent="0.25">
      <c r="A428" s="7"/>
      <c r="B428" s="1"/>
      <c r="C428" s="1"/>
      <c r="D428" s="1"/>
      <c r="F428" s="7"/>
      <c r="G428" s="1"/>
      <c r="H428" s="1"/>
      <c r="I428" s="1"/>
      <c r="J428" s="51"/>
    </row>
    <row r="429" spans="1:10" x14ac:dyDescent="0.25">
      <c r="A429" s="7"/>
      <c r="B429" s="1"/>
      <c r="C429" s="1"/>
      <c r="D429" s="1"/>
      <c r="F429" s="7"/>
      <c r="G429" s="1"/>
      <c r="H429" s="1"/>
      <c r="I429" s="1"/>
      <c r="J429" s="51"/>
    </row>
    <row r="430" spans="1:10" x14ac:dyDescent="0.25">
      <c r="A430" s="7"/>
      <c r="B430" s="1"/>
      <c r="C430" s="1"/>
      <c r="D430" s="1"/>
      <c r="F430" s="7"/>
      <c r="G430" s="1"/>
      <c r="H430" s="1"/>
      <c r="I430" s="1"/>
      <c r="J430" s="51"/>
    </row>
    <row r="431" spans="1:10" x14ac:dyDescent="0.25">
      <c r="A431" s="7"/>
      <c r="B431" s="1"/>
      <c r="C431" s="1"/>
      <c r="D431" s="1"/>
      <c r="F431" s="7"/>
      <c r="G431" s="1"/>
      <c r="H431" s="1"/>
      <c r="I431" s="1"/>
      <c r="J431" s="51"/>
    </row>
    <row r="432" spans="1:10" x14ac:dyDescent="0.25">
      <c r="A432" s="7"/>
      <c r="B432" s="1"/>
      <c r="C432" s="1"/>
      <c r="D432" s="1"/>
      <c r="F432" s="7"/>
      <c r="G432" s="1"/>
      <c r="H432" s="1"/>
      <c r="I432" s="1"/>
      <c r="J432" s="51"/>
    </row>
    <row r="433" spans="1:10" x14ac:dyDescent="0.25">
      <c r="A433" s="7"/>
      <c r="B433" s="1"/>
      <c r="C433" s="1"/>
      <c r="D433" s="1"/>
      <c r="F433" s="7"/>
      <c r="G433" s="1"/>
      <c r="H433" s="1"/>
      <c r="I433" s="1"/>
      <c r="J433" s="51"/>
    </row>
    <row r="434" spans="1:10" x14ac:dyDescent="0.25">
      <c r="A434" s="7"/>
      <c r="B434" s="1"/>
      <c r="C434" s="1"/>
      <c r="D434" s="1"/>
      <c r="F434" s="7"/>
      <c r="G434" s="1"/>
      <c r="H434" s="1"/>
      <c r="I434" s="1"/>
      <c r="J434" s="51"/>
    </row>
    <row r="435" spans="1:10" x14ac:dyDescent="0.25">
      <c r="A435" s="7"/>
      <c r="B435" s="1"/>
      <c r="C435" s="1"/>
      <c r="D435" s="1"/>
      <c r="F435" s="7"/>
      <c r="G435" s="1"/>
      <c r="H435" s="1"/>
      <c r="I435" s="1"/>
      <c r="J435" s="51"/>
    </row>
    <row r="436" spans="1:10" x14ac:dyDescent="0.25">
      <c r="A436" s="7"/>
      <c r="B436" s="1"/>
      <c r="C436" s="1"/>
      <c r="D436" s="1"/>
      <c r="F436" s="7"/>
      <c r="G436" s="1"/>
      <c r="H436" s="1"/>
      <c r="I436" s="1"/>
      <c r="J436" s="51"/>
    </row>
    <row r="437" spans="1:10" x14ac:dyDescent="0.25">
      <c r="A437" s="7"/>
      <c r="B437" s="1"/>
      <c r="C437" s="1"/>
      <c r="D437" s="1"/>
      <c r="F437" s="7"/>
      <c r="G437" s="1"/>
      <c r="H437" s="1"/>
      <c r="I437" s="1"/>
      <c r="J437" s="51"/>
    </row>
    <row r="438" spans="1:10" x14ac:dyDescent="0.25">
      <c r="A438" s="7"/>
      <c r="B438" s="1"/>
      <c r="C438" s="1"/>
      <c r="D438" s="1"/>
      <c r="F438" s="7"/>
      <c r="G438" s="1"/>
      <c r="H438" s="1"/>
      <c r="I438" s="1"/>
      <c r="J438" s="51"/>
    </row>
    <row r="439" spans="1:10" x14ac:dyDescent="0.25">
      <c r="A439" s="7"/>
      <c r="B439" s="1"/>
      <c r="C439" s="1"/>
      <c r="D439" s="1"/>
      <c r="F439" s="7"/>
      <c r="G439" s="1"/>
      <c r="H439" s="1"/>
      <c r="I439" s="1"/>
      <c r="J439" s="51"/>
    </row>
    <row r="440" spans="1:10" x14ac:dyDescent="0.25">
      <c r="A440" s="7"/>
      <c r="B440" s="1"/>
      <c r="C440" s="1"/>
      <c r="D440" s="1"/>
      <c r="F440" s="7"/>
      <c r="G440" s="1"/>
      <c r="H440" s="1"/>
      <c r="I440" s="1"/>
      <c r="J440" s="51"/>
    </row>
    <row r="441" spans="1:10" x14ac:dyDescent="0.25">
      <c r="A441" s="7"/>
      <c r="B441" s="1"/>
      <c r="C441" s="1"/>
      <c r="D441" s="1"/>
      <c r="F441" s="7"/>
      <c r="G441" s="1"/>
      <c r="H441" s="1"/>
      <c r="I441" s="1"/>
      <c r="J441" s="51"/>
    </row>
    <row r="442" spans="1:10" x14ac:dyDescent="0.25">
      <c r="A442" s="7"/>
      <c r="B442" s="1"/>
      <c r="C442" s="1"/>
      <c r="D442" s="1"/>
      <c r="F442" s="7"/>
      <c r="G442" s="1"/>
      <c r="H442" s="1"/>
      <c r="I442" s="1"/>
      <c r="J442" s="51"/>
    </row>
    <row r="443" spans="1:10" x14ac:dyDescent="0.25">
      <c r="A443" s="7"/>
      <c r="B443" s="1"/>
      <c r="C443" s="1"/>
      <c r="D443" s="1"/>
      <c r="F443" s="7"/>
      <c r="G443" s="1"/>
      <c r="H443" s="1"/>
      <c r="I443" s="1"/>
      <c r="J443" s="51"/>
    </row>
    <row r="444" spans="1:10" x14ac:dyDescent="0.25">
      <c r="A444" s="7"/>
      <c r="B444" s="1"/>
      <c r="C444" s="1"/>
      <c r="D444" s="1"/>
      <c r="F444" s="7"/>
      <c r="G444" s="1"/>
      <c r="H444" s="1"/>
      <c r="I444" s="1"/>
      <c r="J444" s="51"/>
    </row>
    <row r="445" spans="1:10" x14ac:dyDescent="0.25">
      <c r="A445" s="7"/>
      <c r="B445" s="1"/>
      <c r="C445" s="1"/>
      <c r="D445" s="1"/>
      <c r="F445" s="7"/>
      <c r="G445" s="1"/>
      <c r="H445" s="1"/>
      <c r="I445" s="1"/>
      <c r="J445" s="51"/>
    </row>
    <row r="446" spans="1:10" x14ac:dyDescent="0.25">
      <c r="A446" s="7"/>
      <c r="B446" s="1"/>
      <c r="C446" s="1"/>
      <c r="D446" s="1"/>
      <c r="F446" s="7"/>
      <c r="G446" s="1"/>
      <c r="H446" s="1"/>
      <c r="I446" s="1"/>
      <c r="J446" s="51"/>
    </row>
    <row r="447" spans="1:10" x14ac:dyDescent="0.25">
      <c r="A447" s="7"/>
      <c r="B447" s="1"/>
      <c r="C447" s="1"/>
      <c r="D447" s="1"/>
      <c r="F447" s="7"/>
      <c r="G447" s="1"/>
      <c r="H447" s="1"/>
      <c r="I447" s="1"/>
      <c r="J447" s="51"/>
    </row>
    <row r="448" spans="1:10" x14ac:dyDescent="0.25">
      <c r="A448" s="7"/>
      <c r="B448" s="1"/>
      <c r="C448" s="1"/>
      <c r="D448" s="1"/>
      <c r="F448" s="7"/>
      <c r="G448" s="1"/>
      <c r="H448" s="1"/>
      <c r="I448" s="1"/>
      <c r="J448" s="51"/>
    </row>
    <row r="449" spans="1:10" x14ac:dyDescent="0.25">
      <c r="A449" s="7"/>
      <c r="B449" s="1"/>
      <c r="C449" s="1"/>
      <c r="D449" s="1"/>
      <c r="F449" s="7"/>
      <c r="G449" s="1"/>
      <c r="H449" s="1"/>
      <c r="I449" s="1"/>
      <c r="J449" s="51"/>
    </row>
    <row r="450" spans="1:10" x14ac:dyDescent="0.25">
      <c r="A450" s="7"/>
      <c r="B450" s="1"/>
      <c r="C450" s="1"/>
      <c r="D450" s="1"/>
      <c r="F450" s="7"/>
      <c r="G450" s="1"/>
      <c r="H450" s="1"/>
      <c r="I450" s="1"/>
      <c r="J450" s="51"/>
    </row>
    <row r="451" spans="1:10" x14ac:dyDescent="0.25">
      <c r="A451" s="7"/>
      <c r="B451" s="1"/>
      <c r="C451" s="1"/>
      <c r="D451" s="1"/>
      <c r="F451" s="7"/>
      <c r="G451" s="1"/>
      <c r="H451" s="1"/>
      <c r="I451" s="1"/>
      <c r="J451" s="51"/>
    </row>
    <row r="452" spans="1:10" x14ac:dyDescent="0.25">
      <c r="A452" s="7"/>
      <c r="B452" s="1"/>
      <c r="C452" s="1"/>
      <c r="D452" s="1"/>
      <c r="F452" s="7"/>
      <c r="G452" s="1"/>
      <c r="H452" s="1"/>
      <c r="I452" s="1"/>
      <c r="J452" s="51"/>
    </row>
    <row r="453" spans="1:10" x14ac:dyDescent="0.25">
      <c r="A453" s="7"/>
      <c r="B453" s="1"/>
      <c r="C453" s="1"/>
      <c r="D453" s="1"/>
      <c r="F453" s="7"/>
      <c r="G453" s="1"/>
      <c r="H453" s="1"/>
      <c r="I453" s="1"/>
      <c r="J453" s="51"/>
    </row>
    <row r="454" spans="1:10" x14ac:dyDescent="0.25">
      <c r="A454" s="7"/>
      <c r="B454" s="1"/>
      <c r="C454" s="1"/>
      <c r="D454" s="1"/>
      <c r="F454" s="7"/>
      <c r="G454" s="1"/>
      <c r="H454" s="1"/>
      <c r="I454" s="1"/>
      <c r="J454" s="51"/>
    </row>
    <row r="455" spans="1:10" x14ac:dyDescent="0.25">
      <c r="A455" s="7"/>
      <c r="B455" s="1"/>
      <c r="C455" s="1"/>
      <c r="D455" s="1"/>
      <c r="F455" s="7"/>
      <c r="G455" s="1"/>
      <c r="H455" s="1"/>
      <c r="I455" s="1"/>
      <c r="J455" s="51"/>
    </row>
    <row r="456" spans="1:10" x14ac:dyDescent="0.25">
      <c r="A456" s="7"/>
      <c r="B456" s="1"/>
      <c r="C456" s="1"/>
      <c r="D456" s="1"/>
      <c r="F456" s="7"/>
      <c r="G456" s="1"/>
      <c r="H456" s="1"/>
      <c r="I456" s="1"/>
      <c r="J456" s="51"/>
    </row>
    <row r="457" spans="1:10" x14ac:dyDescent="0.25">
      <c r="A457" s="7"/>
      <c r="B457" s="1"/>
      <c r="C457" s="1"/>
      <c r="D457" s="1"/>
      <c r="F457" s="7"/>
      <c r="G457" s="1"/>
      <c r="H457" s="1"/>
      <c r="I457" s="1"/>
      <c r="J457" s="51"/>
    </row>
    <row r="458" spans="1:10" x14ac:dyDescent="0.25">
      <c r="A458" s="7"/>
      <c r="B458" s="1"/>
      <c r="C458" s="1"/>
      <c r="D458" s="1"/>
      <c r="F458" s="7"/>
      <c r="G458" s="1"/>
      <c r="H458" s="1"/>
      <c r="I458" s="1"/>
      <c r="J458" s="51"/>
    </row>
    <row r="459" spans="1:10" x14ac:dyDescent="0.25">
      <c r="A459" s="7"/>
      <c r="B459" s="1"/>
      <c r="C459" s="1"/>
      <c r="D459" s="1"/>
      <c r="F459" s="7"/>
      <c r="G459" s="1"/>
      <c r="H459" s="1"/>
      <c r="I459" s="1"/>
      <c r="J459" s="51"/>
    </row>
    <row r="460" spans="1:10" x14ac:dyDescent="0.25">
      <c r="A460" s="7"/>
      <c r="B460" s="1"/>
      <c r="C460" s="1"/>
      <c r="D460" s="1"/>
      <c r="F460" s="7"/>
      <c r="G460" s="1"/>
      <c r="H460" s="1"/>
      <c r="I460" s="1"/>
      <c r="J460" s="51"/>
    </row>
    <row r="461" spans="1:10" x14ac:dyDescent="0.25">
      <c r="A461" s="7"/>
      <c r="B461" s="1"/>
      <c r="C461" s="1"/>
      <c r="D461" s="1"/>
      <c r="F461" s="7"/>
      <c r="G461" s="1"/>
      <c r="H461" s="1"/>
      <c r="I461" s="1"/>
      <c r="J461" s="51"/>
    </row>
    <row r="462" spans="1:10" x14ac:dyDescent="0.25">
      <c r="A462" s="7"/>
      <c r="B462" s="1"/>
      <c r="C462" s="1"/>
      <c r="D462" s="1"/>
      <c r="F462" s="7"/>
      <c r="G462" s="1"/>
      <c r="H462" s="1"/>
      <c r="I462" s="1"/>
      <c r="J462" s="51"/>
    </row>
    <row r="463" spans="1:10" x14ac:dyDescent="0.25">
      <c r="A463" s="7"/>
      <c r="B463" s="1"/>
      <c r="C463" s="1"/>
      <c r="D463" s="1"/>
      <c r="F463" s="7"/>
      <c r="G463" s="1"/>
      <c r="H463" s="1"/>
      <c r="I463" s="1"/>
      <c r="J463" s="51"/>
    </row>
    <row r="464" spans="1:10" x14ac:dyDescent="0.25">
      <c r="A464" s="7"/>
      <c r="B464" s="1"/>
      <c r="C464" s="1"/>
      <c r="D464" s="1"/>
      <c r="F464" s="7"/>
      <c r="G464" s="1"/>
      <c r="H464" s="1"/>
      <c r="I464" s="1"/>
      <c r="J464" s="51"/>
    </row>
    <row r="465" spans="1:10" x14ac:dyDescent="0.25">
      <c r="A465" s="7"/>
      <c r="B465" s="1"/>
      <c r="C465" s="1"/>
      <c r="D465" s="1"/>
      <c r="F465" s="7"/>
      <c r="G465" s="1"/>
      <c r="H465" s="1"/>
      <c r="I465" s="1"/>
      <c r="J465" s="51"/>
    </row>
    <row r="466" spans="1:10" x14ac:dyDescent="0.25">
      <c r="A466" s="7"/>
      <c r="B466" s="1"/>
      <c r="C466" s="1"/>
      <c r="D466" s="1"/>
      <c r="F466" s="7"/>
      <c r="G466" s="1"/>
      <c r="H466" s="1"/>
      <c r="I466" s="1"/>
      <c r="J466" s="51"/>
    </row>
    <row r="467" spans="1:10" x14ac:dyDescent="0.25">
      <c r="A467" s="7"/>
      <c r="B467" s="1"/>
      <c r="C467" s="1"/>
      <c r="D467" s="1"/>
      <c r="F467" s="7"/>
      <c r="G467" s="1"/>
      <c r="H467" s="1"/>
      <c r="I467" s="1"/>
      <c r="J467" s="51"/>
    </row>
    <row r="468" spans="1:10" x14ac:dyDescent="0.25">
      <c r="A468" s="7"/>
      <c r="B468" s="1"/>
      <c r="C468" s="1"/>
      <c r="D468" s="1"/>
      <c r="F468" s="7"/>
      <c r="G468" s="1"/>
      <c r="H468" s="1"/>
      <c r="I468" s="1"/>
      <c r="J468" s="51"/>
    </row>
    <row r="469" spans="1:10" x14ac:dyDescent="0.25">
      <c r="A469" s="7"/>
      <c r="B469" s="1"/>
      <c r="C469" s="1"/>
      <c r="D469" s="1"/>
      <c r="F469" s="7"/>
      <c r="G469" s="1"/>
      <c r="H469" s="1"/>
      <c r="I469" s="1"/>
      <c r="J469" s="51"/>
    </row>
    <row r="470" spans="1:10" x14ac:dyDescent="0.25">
      <c r="A470" s="7"/>
      <c r="B470" s="1"/>
      <c r="C470" s="1"/>
      <c r="D470" s="1"/>
      <c r="F470" s="7"/>
      <c r="G470" s="1"/>
      <c r="H470" s="1"/>
      <c r="I470" s="1"/>
      <c r="J470" s="51"/>
    </row>
    <row r="471" spans="1:10" x14ac:dyDescent="0.25">
      <c r="A471" s="7"/>
      <c r="B471" s="1"/>
      <c r="C471" s="1"/>
      <c r="D471" s="1"/>
      <c r="F471" s="7"/>
      <c r="G471" s="1"/>
      <c r="H471" s="1"/>
      <c r="I471" s="1"/>
      <c r="J471" s="51"/>
    </row>
    <row r="472" spans="1:10" x14ac:dyDescent="0.25">
      <c r="A472" s="7"/>
      <c r="B472" s="1"/>
      <c r="C472" s="1"/>
      <c r="D472" s="1"/>
      <c r="F472" s="7"/>
      <c r="G472" s="1"/>
      <c r="H472" s="1"/>
      <c r="I472" s="1"/>
      <c r="J472" s="51"/>
    </row>
    <row r="473" spans="1:10" x14ac:dyDescent="0.25">
      <c r="A473" s="7"/>
      <c r="B473" s="1"/>
      <c r="C473" s="1"/>
      <c r="D473" s="1"/>
      <c r="F473" s="7"/>
      <c r="G473" s="1"/>
      <c r="H473" s="1"/>
      <c r="I473" s="1"/>
      <c r="J473" s="51"/>
    </row>
    <row r="474" spans="1:10" x14ac:dyDescent="0.25">
      <c r="A474" s="7"/>
      <c r="B474" s="1"/>
      <c r="C474" s="1"/>
      <c r="D474" s="1"/>
      <c r="F474" s="7"/>
      <c r="G474" s="1"/>
      <c r="H474" s="1"/>
      <c r="I474" s="1"/>
      <c r="J474" s="51"/>
    </row>
    <row r="475" spans="1:10" x14ac:dyDescent="0.25">
      <c r="A475" s="7"/>
      <c r="B475" s="1"/>
      <c r="C475" s="1"/>
      <c r="D475" s="1"/>
      <c r="F475" s="7"/>
      <c r="G475" s="1"/>
      <c r="H475" s="1"/>
      <c r="I475" s="1"/>
      <c r="J475" s="51"/>
    </row>
    <row r="476" spans="1:10" x14ac:dyDescent="0.25">
      <c r="A476" s="7"/>
      <c r="B476" s="1"/>
      <c r="C476" s="1"/>
      <c r="D476" s="1"/>
      <c r="F476" s="7"/>
      <c r="G476" s="1"/>
      <c r="H476" s="1"/>
      <c r="I476" s="1"/>
      <c r="J476" s="51"/>
    </row>
    <row r="477" spans="1:10" x14ac:dyDescent="0.25">
      <c r="A477" s="7"/>
      <c r="B477" s="1"/>
      <c r="C477" s="1"/>
      <c r="D477" s="1"/>
      <c r="F477" s="7"/>
      <c r="G477" s="1"/>
      <c r="H477" s="1"/>
      <c r="I477" s="1"/>
      <c r="J477" s="51"/>
    </row>
    <row r="478" spans="1:10" x14ac:dyDescent="0.25">
      <c r="A478" s="7"/>
      <c r="B478" s="1"/>
      <c r="C478" s="1"/>
      <c r="D478" s="1"/>
      <c r="F478" s="7"/>
      <c r="G478" s="1"/>
      <c r="H478" s="1"/>
      <c r="I478" s="1"/>
      <c r="J478" s="51"/>
    </row>
    <row r="479" spans="1:10" x14ac:dyDescent="0.25">
      <c r="A479" s="7"/>
      <c r="B479" s="1"/>
      <c r="C479" s="1"/>
      <c r="D479" s="1"/>
      <c r="F479" s="7"/>
      <c r="G479" s="1"/>
      <c r="H479" s="1"/>
      <c r="I479" s="1"/>
      <c r="J479" s="51"/>
    </row>
    <row r="480" spans="1:10" x14ac:dyDescent="0.25">
      <c r="A480" s="7"/>
      <c r="B480" s="1"/>
      <c r="C480" s="1"/>
      <c r="D480" s="1"/>
      <c r="F480" s="7"/>
      <c r="G480" s="1"/>
      <c r="H480" s="1"/>
      <c r="I480" s="1"/>
      <c r="J480" s="51"/>
    </row>
    <row r="481" spans="1:10" x14ac:dyDescent="0.25">
      <c r="A481" s="7"/>
      <c r="B481" s="1"/>
      <c r="C481" s="1"/>
      <c r="D481" s="1"/>
      <c r="F481" s="7"/>
      <c r="G481" s="1"/>
      <c r="H481" s="1"/>
      <c r="I481" s="1"/>
      <c r="J481" s="51"/>
    </row>
    <row r="482" spans="1:10" x14ac:dyDescent="0.25">
      <c r="A482" s="7"/>
      <c r="B482" s="1"/>
      <c r="C482" s="1"/>
      <c r="D482" s="1"/>
      <c r="F482" s="7"/>
      <c r="G482" s="1"/>
      <c r="H482" s="1"/>
      <c r="I482" s="1"/>
      <c r="J482" s="51"/>
    </row>
    <row r="483" spans="1:10" x14ac:dyDescent="0.25">
      <c r="A483" s="7"/>
      <c r="B483" s="1"/>
      <c r="C483" s="1"/>
      <c r="D483" s="1"/>
      <c r="F483" s="7"/>
      <c r="G483" s="1"/>
      <c r="H483" s="1"/>
      <c r="I483" s="1"/>
      <c r="J483" s="51"/>
    </row>
    <row r="484" spans="1:10" x14ac:dyDescent="0.25">
      <c r="A484" s="7"/>
      <c r="B484" s="1"/>
      <c r="C484" s="1"/>
      <c r="D484" s="1"/>
      <c r="F484" s="7"/>
      <c r="G484" s="1"/>
      <c r="H484" s="1"/>
      <c r="I484" s="1"/>
      <c r="J484" s="51"/>
    </row>
    <row r="485" spans="1:10" x14ac:dyDescent="0.25">
      <c r="A485" s="7"/>
      <c r="B485" s="1"/>
      <c r="C485" s="1"/>
      <c r="D485" s="1"/>
      <c r="F485" s="7"/>
      <c r="G485" s="1"/>
      <c r="H485" s="1"/>
      <c r="I485" s="1"/>
      <c r="J485" s="51"/>
    </row>
    <row r="486" spans="1:10" x14ac:dyDescent="0.25">
      <c r="A486" s="7"/>
      <c r="B486" s="1"/>
      <c r="C486" s="1"/>
      <c r="D486" s="1"/>
      <c r="F486" s="7"/>
      <c r="G486" s="1"/>
      <c r="H486" s="1"/>
      <c r="I486" s="1"/>
      <c r="J486" s="51"/>
    </row>
    <row r="487" spans="1:10" x14ac:dyDescent="0.25">
      <c r="A487" s="7"/>
      <c r="B487" s="1"/>
      <c r="C487" s="1"/>
      <c r="D487" s="1"/>
      <c r="F487" s="7"/>
      <c r="G487" s="1"/>
      <c r="H487" s="1"/>
      <c r="I487" s="1"/>
      <c r="J487" s="51"/>
    </row>
    <row r="488" spans="1:10" x14ac:dyDescent="0.25">
      <c r="A488" s="7"/>
      <c r="B488" s="1"/>
      <c r="C488" s="1"/>
      <c r="D488" s="1"/>
      <c r="F488" s="7"/>
      <c r="G488" s="1"/>
      <c r="H488" s="1"/>
      <c r="I488" s="1"/>
      <c r="J488" s="51"/>
    </row>
    <row r="489" spans="1:10" x14ac:dyDescent="0.25">
      <c r="A489" s="7"/>
      <c r="B489" s="1"/>
      <c r="C489" s="1"/>
      <c r="D489" s="1"/>
      <c r="F489" s="7"/>
      <c r="G489" s="1"/>
      <c r="H489" s="1"/>
      <c r="I489" s="1"/>
      <c r="J489" s="51"/>
    </row>
    <row r="490" spans="1:10" x14ac:dyDescent="0.25">
      <c r="A490" s="7"/>
      <c r="B490" s="1"/>
      <c r="C490" s="1"/>
      <c r="D490" s="1"/>
      <c r="F490" s="7"/>
      <c r="G490" s="1"/>
      <c r="H490" s="1"/>
      <c r="I490" s="1"/>
      <c r="J490" s="51"/>
    </row>
    <row r="491" spans="1:10" x14ac:dyDescent="0.25">
      <c r="A491" s="7"/>
      <c r="B491" s="1"/>
      <c r="C491" s="1"/>
      <c r="D491" s="1"/>
      <c r="F491" s="7"/>
      <c r="G491" s="1"/>
      <c r="H491" s="1"/>
      <c r="I491" s="1"/>
      <c r="J491" s="51"/>
    </row>
    <row r="492" spans="1:10" x14ac:dyDescent="0.25">
      <c r="A492" s="7"/>
      <c r="B492" s="1"/>
      <c r="C492" s="1"/>
      <c r="D492" s="1"/>
      <c r="F492" s="7"/>
      <c r="G492" s="1"/>
      <c r="H492" s="1"/>
      <c r="I492" s="1"/>
      <c r="J492" s="51"/>
    </row>
    <row r="493" spans="1:10" x14ac:dyDescent="0.25">
      <c r="A493" s="7"/>
      <c r="B493" s="1"/>
      <c r="C493" s="1"/>
      <c r="D493" s="1"/>
      <c r="F493" s="7"/>
      <c r="G493" s="1"/>
      <c r="H493" s="1"/>
      <c r="I493" s="1"/>
      <c r="J493" s="51"/>
    </row>
    <row r="494" spans="1:10" x14ac:dyDescent="0.25">
      <c r="A494" s="7"/>
      <c r="B494" s="1"/>
      <c r="C494" s="1"/>
      <c r="D494" s="1"/>
      <c r="F494" s="7"/>
      <c r="G494" s="1"/>
      <c r="H494" s="1"/>
      <c r="I494" s="1"/>
      <c r="J494" s="51"/>
    </row>
    <row r="495" spans="1:10" x14ac:dyDescent="0.25">
      <c r="A495" s="7"/>
      <c r="B495" s="1"/>
      <c r="C495" s="1"/>
      <c r="D495" s="1"/>
      <c r="F495" s="7"/>
      <c r="G495" s="1"/>
      <c r="H495" s="1"/>
      <c r="I495" s="1"/>
      <c r="J495" s="51"/>
    </row>
    <row r="496" spans="1:10" x14ac:dyDescent="0.25">
      <c r="A496" s="7"/>
      <c r="B496" s="1"/>
      <c r="C496" s="1"/>
      <c r="D496" s="1"/>
      <c r="F496" s="7"/>
      <c r="G496" s="1"/>
      <c r="H496" s="1"/>
      <c r="I496" s="1"/>
      <c r="J496" s="51"/>
    </row>
    <row r="497" spans="1:10" x14ac:dyDescent="0.25">
      <c r="A497" s="7"/>
      <c r="B497" s="1"/>
      <c r="C497" s="1"/>
      <c r="D497" s="1"/>
      <c r="F497" s="7"/>
      <c r="G497" s="1"/>
      <c r="H497" s="1"/>
      <c r="I497" s="1"/>
      <c r="J497" s="51"/>
    </row>
    <row r="498" spans="1:10" x14ac:dyDescent="0.25">
      <c r="A498" s="7"/>
      <c r="B498" s="1"/>
      <c r="C498" s="1"/>
      <c r="D498" s="1"/>
      <c r="F498" s="7"/>
      <c r="G498" s="1"/>
      <c r="H498" s="1"/>
      <c r="I498" s="1"/>
      <c r="J498" s="51"/>
    </row>
    <row r="499" spans="1:10" x14ac:dyDescent="0.25">
      <c r="A499" s="7"/>
      <c r="B499" s="1"/>
      <c r="C499" s="1"/>
      <c r="D499" s="1"/>
      <c r="F499" s="7"/>
      <c r="G499" s="1"/>
      <c r="H499" s="1"/>
      <c r="I499" s="1"/>
      <c r="J499" s="51"/>
    </row>
    <row r="500" spans="1:10" x14ac:dyDescent="0.25">
      <c r="A500" s="7"/>
      <c r="B500" s="1"/>
      <c r="C500" s="1"/>
      <c r="D500" s="1"/>
      <c r="F500" s="7"/>
      <c r="G500" s="1"/>
      <c r="H500" s="1"/>
      <c r="I500" s="1"/>
      <c r="J500" s="51"/>
    </row>
    <row r="501" spans="1:10" x14ac:dyDescent="0.25">
      <c r="A501" s="7"/>
      <c r="B501" s="1"/>
      <c r="C501" s="1"/>
      <c r="D501" s="1"/>
      <c r="F501" s="7"/>
      <c r="G501" s="1"/>
      <c r="H501" s="1"/>
      <c r="I501" s="1"/>
      <c r="J501" s="51"/>
    </row>
    <row r="502" spans="1:10" x14ac:dyDescent="0.25">
      <c r="A502" s="7"/>
      <c r="B502" s="1"/>
      <c r="C502" s="1"/>
      <c r="D502" s="1"/>
      <c r="F502" s="7"/>
      <c r="G502" s="1"/>
      <c r="H502" s="1"/>
      <c r="I502" s="1"/>
      <c r="J502" s="51"/>
    </row>
    <row r="503" spans="1:10" x14ac:dyDescent="0.25">
      <c r="A503" s="7"/>
      <c r="B503" s="1"/>
      <c r="C503" s="1"/>
      <c r="D503" s="1"/>
      <c r="F503" s="7"/>
      <c r="G503" s="1"/>
      <c r="H503" s="1"/>
      <c r="I503" s="1"/>
      <c r="J503" s="51"/>
    </row>
    <row r="504" spans="1:10" x14ac:dyDescent="0.25">
      <c r="A504" s="7"/>
      <c r="B504" s="1"/>
      <c r="C504" s="1"/>
      <c r="D504" s="1"/>
      <c r="F504" s="7"/>
      <c r="G504" s="1"/>
      <c r="H504" s="1"/>
      <c r="I504" s="1"/>
      <c r="J504" s="51"/>
    </row>
    <row r="505" spans="1:10" x14ac:dyDescent="0.25">
      <c r="A505" s="7"/>
      <c r="B505" s="1"/>
      <c r="C505" s="1"/>
      <c r="D505" s="1"/>
      <c r="F505" s="7"/>
      <c r="G505" s="1"/>
      <c r="H505" s="1"/>
      <c r="I505" s="1"/>
      <c r="J505" s="51"/>
    </row>
    <row r="506" spans="1:10" x14ac:dyDescent="0.25">
      <c r="A506" s="7"/>
      <c r="B506" s="1"/>
      <c r="C506" s="1"/>
      <c r="D506" s="1"/>
      <c r="F506" s="7"/>
      <c r="G506" s="1"/>
      <c r="H506" s="1"/>
      <c r="I506" s="1"/>
      <c r="J506" s="51"/>
    </row>
    <row r="507" spans="1:10" x14ac:dyDescent="0.25">
      <c r="A507" s="7"/>
      <c r="B507" s="1"/>
      <c r="C507" s="1"/>
      <c r="D507" s="1"/>
      <c r="F507" s="7"/>
      <c r="G507" s="1"/>
      <c r="H507" s="1"/>
      <c r="I507" s="1"/>
      <c r="J507" s="51"/>
    </row>
    <row r="508" spans="1:10" x14ac:dyDescent="0.25">
      <c r="A508" s="7"/>
      <c r="B508" s="1"/>
      <c r="C508" s="1"/>
      <c r="D508" s="1"/>
      <c r="F508" s="7"/>
      <c r="G508" s="1"/>
      <c r="H508" s="1"/>
      <c r="I508" s="1"/>
      <c r="J508" s="51"/>
    </row>
    <row r="509" spans="1:10" x14ac:dyDescent="0.25">
      <c r="A509" s="7"/>
      <c r="B509" s="1"/>
      <c r="C509" s="1"/>
      <c r="D509" s="1"/>
      <c r="F509" s="7"/>
      <c r="G509" s="1"/>
      <c r="H509" s="1"/>
      <c r="I509" s="1"/>
      <c r="J509" s="51"/>
    </row>
    <row r="510" spans="1:10" x14ac:dyDescent="0.25">
      <c r="A510" s="7"/>
      <c r="B510" s="1"/>
      <c r="C510" s="1"/>
      <c r="D510" s="1"/>
      <c r="F510" s="7"/>
      <c r="G510" s="1"/>
      <c r="H510" s="1"/>
      <c r="I510" s="1"/>
      <c r="J510" s="51"/>
    </row>
    <row r="511" spans="1:10" x14ac:dyDescent="0.25">
      <c r="A511" s="7"/>
      <c r="B511" s="1"/>
      <c r="C511" s="1"/>
      <c r="D511" s="1"/>
      <c r="F511" s="7"/>
      <c r="G511" s="1"/>
      <c r="H511" s="1"/>
      <c r="I511" s="1"/>
      <c r="J511" s="51"/>
    </row>
    <row r="512" spans="1:10" x14ac:dyDescent="0.25">
      <c r="A512" s="7"/>
      <c r="B512" s="1"/>
      <c r="C512" s="1"/>
      <c r="D512" s="1"/>
      <c r="F512" s="7"/>
      <c r="G512" s="1"/>
      <c r="H512" s="1"/>
      <c r="I512" s="1"/>
      <c r="J512" s="51"/>
    </row>
    <row r="513" spans="1:10" x14ac:dyDescent="0.25">
      <c r="A513" s="7"/>
      <c r="B513" s="1"/>
      <c r="C513" s="1"/>
      <c r="D513" s="1"/>
      <c r="F513" s="7"/>
      <c r="G513" s="1"/>
      <c r="H513" s="1"/>
      <c r="I513" s="1"/>
      <c r="J513" s="51"/>
    </row>
    <row r="514" spans="1:10" x14ac:dyDescent="0.25">
      <c r="A514" s="7"/>
      <c r="B514" s="1"/>
      <c r="C514" s="1"/>
      <c r="D514" s="1"/>
      <c r="F514" s="7"/>
      <c r="G514" s="1"/>
      <c r="H514" s="1"/>
      <c r="I514" s="1"/>
      <c r="J514" s="51"/>
    </row>
    <row r="515" spans="1:10" x14ac:dyDescent="0.25">
      <c r="A515" s="7"/>
      <c r="B515" s="1"/>
      <c r="C515" s="1"/>
      <c r="D515" s="1"/>
      <c r="F515" s="7"/>
      <c r="G515" s="1"/>
      <c r="H515" s="1"/>
      <c r="I515" s="1"/>
      <c r="J515" s="51"/>
    </row>
    <row r="516" spans="1:10" x14ac:dyDescent="0.25">
      <c r="A516" s="7"/>
      <c r="B516" s="1"/>
      <c r="C516" s="1"/>
      <c r="D516" s="1"/>
      <c r="F516" s="7"/>
      <c r="G516" s="1"/>
      <c r="H516" s="1"/>
      <c r="I516" s="1"/>
      <c r="J516" s="51"/>
    </row>
    <row r="517" spans="1:10" x14ac:dyDescent="0.25">
      <c r="A517" s="7"/>
      <c r="B517" s="1"/>
      <c r="C517" s="1"/>
      <c r="D517" s="1"/>
      <c r="F517" s="7"/>
      <c r="G517" s="1"/>
      <c r="H517" s="1"/>
      <c r="I517" s="1"/>
      <c r="J517" s="51"/>
    </row>
    <row r="518" spans="1:10" x14ac:dyDescent="0.25">
      <c r="A518" s="7"/>
      <c r="B518" s="1"/>
      <c r="C518" s="1"/>
      <c r="D518" s="1"/>
      <c r="F518" s="7"/>
      <c r="G518" s="1"/>
      <c r="H518" s="1"/>
      <c r="I518" s="1"/>
      <c r="J518" s="51"/>
    </row>
    <row r="519" spans="1:10" x14ac:dyDescent="0.25">
      <c r="A519" s="7"/>
      <c r="B519" s="1"/>
      <c r="C519" s="1"/>
      <c r="D519" s="1"/>
      <c r="F519" s="7"/>
      <c r="G519" s="1"/>
      <c r="H519" s="1"/>
      <c r="I519" s="1"/>
      <c r="J519" s="51"/>
    </row>
    <row r="520" spans="1:10" x14ac:dyDescent="0.25">
      <c r="A520" s="7"/>
      <c r="B520" s="1"/>
      <c r="C520" s="1"/>
      <c r="D520" s="1"/>
      <c r="F520" s="7"/>
      <c r="G520" s="1"/>
      <c r="H520" s="1"/>
      <c r="I520" s="1"/>
      <c r="J520" s="51"/>
    </row>
    <row r="521" spans="1:10" x14ac:dyDescent="0.25">
      <c r="A521" s="7"/>
      <c r="B521" s="1"/>
      <c r="C521" s="1"/>
      <c r="D521" s="1"/>
      <c r="F521" s="7"/>
      <c r="G521" s="1"/>
      <c r="H521" s="1"/>
      <c r="I521" s="1"/>
      <c r="J521" s="51"/>
    </row>
    <row r="522" spans="1:10" x14ac:dyDescent="0.25">
      <c r="A522" s="7"/>
      <c r="B522" s="1"/>
      <c r="C522" s="1"/>
      <c r="D522" s="1"/>
      <c r="F522" s="7"/>
      <c r="G522" s="1"/>
      <c r="H522" s="1"/>
      <c r="I522" s="1"/>
      <c r="J522" s="51"/>
    </row>
    <row r="523" spans="1:10" x14ac:dyDescent="0.25">
      <c r="A523" s="7"/>
      <c r="B523" s="1"/>
      <c r="C523" s="1"/>
      <c r="D523" s="1"/>
      <c r="F523" s="7"/>
      <c r="G523" s="1"/>
      <c r="H523" s="1"/>
      <c r="I523" s="1"/>
      <c r="J523" s="51"/>
    </row>
    <row r="524" spans="1:10" x14ac:dyDescent="0.25">
      <c r="A524" s="7"/>
      <c r="B524" s="1"/>
      <c r="C524" s="1"/>
      <c r="D524" s="1"/>
      <c r="F524" s="7"/>
      <c r="G524" s="1"/>
      <c r="H524" s="1"/>
      <c r="I524" s="1"/>
      <c r="J524" s="51"/>
    </row>
    <row r="525" spans="1:10" x14ac:dyDescent="0.25">
      <c r="A525" s="7"/>
      <c r="B525" s="1"/>
      <c r="C525" s="1"/>
      <c r="D525" s="1"/>
      <c r="F525" s="7"/>
      <c r="G525" s="1"/>
      <c r="H525" s="1"/>
      <c r="I525" s="1"/>
      <c r="J525" s="51"/>
    </row>
    <row r="526" spans="1:10" x14ac:dyDescent="0.25">
      <c r="A526" s="7"/>
      <c r="B526" s="1"/>
      <c r="C526" s="1"/>
      <c r="D526" s="1"/>
      <c r="F526" s="7"/>
      <c r="G526" s="1"/>
      <c r="H526" s="1"/>
      <c r="I526" s="1"/>
      <c r="J526" s="51"/>
    </row>
    <row r="527" spans="1:10" x14ac:dyDescent="0.25">
      <c r="A527" s="7"/>
      <c r="B527" s="1"/>
      <c r="C527" s="1"/>
      <c r="D527" s="1"/>
      <c r="F527" s="7"/>
      <c r="G527" s="1"/>
      <c r="H527" s="1"/>
      <c r="I527" s="1"/>
      <c r="J527" s="51"/>
    </row>
    <row r="528" spans="1:10" x14ac:dyDescent="0.25">
      <c r="A528" s="7"/>
      <c r="B528" s="1"/>
      <c r="C528" s="1"/>
      <c r="D528" s="1"/>
      <c r="F528" s="7"/>
      <c r="G528" s="1"/>
      <c r="H528" s="1"/>
      <c r="I528" s="1"/>
      <c r="J528" s="51"/>
    </row>
    <row r="529" spans="1:10" x14ac:dyDescent="0.25">
      <c r="A529" s="7"/>
      <c r="B529" s="1"/>
      <c r="C529" s="1"/>
      <c r="D529" s="1"/>
      <c r="F529" s="7"/>
      <c r="G529" s="1"/>
      <c r="H529" s="1"/>
      <c r="I529" s="1"/>
      <c r="J529" s="51"/>
    </row>
    <row r="530" spans="1:10" x14ac:dyDescent="0.25">
      <c r="A530" s="7"/>
      <c r="B530" s="1"/>
      <c r="C530" s="1"/>
      <c r="D530" s="1"/>
      <c r="F530" s="7"/>
      <c r="G530" s="1"/>
      <c r="H530" s="1"/>
      <c r="I530" s="1"/>
      <c r="J530" s="51"/>
    </row>
    <row r="531" spans="1:10" x14ac:dyDescent="0.25">
      <c r="A531" s="7"/>
      <c r="B531" s="1"/>
      <c r="C531" s="1"/>
      <c r="D531" s="1"/>
      <c r="F531" s="7"/>
      <c r="G531" s="1"/>
      <c r="H531" s="1"/>
      <c r="I531" s="1"/>
      <c r="J531" s="51"/>
    </row>
    <row r="532" spans="1:10" x14ac:dyDescent="0.25">
      <c r="A532" s="7"/>
      <c r="B532" s="1"/>
      <c r="C532" s="1"/>
      <c r="D532" s="1"/>
      <c r="F532" s="7"/>
      <c r="G532" s="1"/>
      <c r="H532" s="1"/>
      <c r="I532" s="1"/>
      <c r="J532" s="51"/>
    </row>
    <row r="533" spans="1:10" x14ac:dyDescent="0.25">
      <c r="A533" s="7"/>
      <c r="B533" s="1"/>
      <c r="C533" s="1"/>
      <c r="D533" s="1"/>
      <c r="F533" s="7"/>
      <c r="G533" s="1"/>
      <c r="H533" s="1"/>
      <c r="I533" s="1"/>
      <c r="J533" s="51"/>
    </row>
    <row r="534" spans="1:10" x14ac:dyDescent="0.25">
      <c r="A534" s="7"/>
      <c r="B534" s="1"/>
      <c r="C534" s="1"/>
      <c r="D534" s="1"/>
      <c r="F534" s="7"/>
      <c r="G534" s="1"/>
      <c r="H534" s="1"/>
      <c r="I534" s="1"/>
      <c r="J534" s="51"/>
    </row>
    <row r="535" spans="1:10" x14ac:dyDescent="0.25">
      <c r="A535" s="7"/>
      <c r="B535" s="1"/>
      <c r="C535" s="1"/>
      <c r="D535" s="1"/>
      <c r="F535" s="7"/>
      <c r="G535" s="1"/>
      <c r="H535" s="1"/>
      <c r="I535" s="1"/>
      <c r="J535" s="51"/>
    </row>
    <row r="536" spans="1:10" x14ac:dyDescent="0.25">
      <c r="A536" s="7"/>
      <c r="B536" s="1"/>
      <c r="C536" s="1"/>
      <c r="D536" s="1"/>
      <c r="F536" s="7"/>
      <c r="G536" s="1"/>
      <c r="H536" s="1"/>
      <c r="I536" s="1"/>
      <c r="J536" s="51"/>
    </row>
    <row r="537" spans="1:10" x14ac:dyDescent="0.25">
      <c r="A537" s="7"/>
      <c r="B537" s="1"/>
      <c r="C537" s="1"/>
      <c r="D537" s="1"/>
      <c r="F537" s="7"/>
      <c r="G537" s="1"/>
      <c r="H537" s="1"/>
      <c r="I537" s="1"/>
      <c r="J537" s="51"/>
    </row>
    <row r="538" spans="1:10" x14ac:dyDescent="0.25">
      <c r="A538" s="7"/>
      <c r="B538" s="1"/>
      <c r="C538" s="1"/>
      <c r="D538" s="1"/>
      <c r="F538" s="7"/>
      <c r="G538" s="1"/>
      <c r="H538" s="1"/>
      <c r="I538" s="1"/>
      <c r="J538" s="51"/>
    </row>
    <row r="539" spans="1:10" x14ac:dyDescent="0.25">
      <c r="A539" s="7"/>
      <c r="B539" s="1"/>
      <c r="C539" s="1"/>
      <c r="D539" s="1"/>
      <c r="F539" s="7"/>
      <c r="G539" s="1"/>
      <c r="H539" s="1"/>
      <c r="I539" s="1"/>
      <c r="J539" s="51"/>
    </row>
    <row r="540" spans="1:10" x14ac:dyDescent="0.25">
      <c r="A540" s="7"/>
      <c r="B540" s="1"/>
      <c r="C540" s="1"/>
      <c r="D540" s="1"/>
      <c r="F540" s="7"/>
      <c r="G540" s="1"/>
      <c r="H540" s="1"/>
      <c r="I540" s="1"/>
      <c r="J540" s="51"/>
    </row>
    <row r="541" spans="1:10" x14ac:dyDescent="0.25">
      <c r="A541" s="7"/>
      <c r="B541" s="1"/>
      <c r="C541" s="1"/>
      <c r="D541" s="1"/>
      <c r="F541" s="7"/>
      <c r="G541" s="1"/>
      <c r="H541" s="1"/>
      <c r="I541" s="1"/>
      <c r="J541" s="51"/>
    </row>
    <row r="542" spans="1:10" x14ac:dyDescent="0.25">
      <c r="A542" s="7"/>
      <c r="B542" s="1"/>
      <c r="C542" s="1"/>
      <c r="D542" s="1"/>
      <c r="F542" s="7"/>
      <c r="G542" s="1"/>
      <c r="H542" s="1"/>
      <c r="I542" s="1"/>
      <c r="J542" s="51"/>
    </row>
    <row r="543" spans="1:10" x14ac:dyDescent="0.25">
      <c r="A543" s="7"/>
      <c r="B543" s="1"/>
      <c r="C543" s="1"/>
      <c r="D543" s="1"/>
      <c r="F543" s="7"/>
      <c r="G543" s="1"/>
      <c r="H543" s="1"/>
      <c r="I543" s="1"/>
      <c r="J543" s="51"/>
    </row>
    <row r="544" spans="1:10" x14ac:dyDescent="0.25">
      <c r="A544" s="7"/>
      <c r="B544" s="1"/>
      <c r="C544" s="1"/>
      <c r="D544" s="1"/>
      <c r="F544" s="7"/>
      <c r="G544" s="1"/>
      <c r="H544" s="1"/>
      <c r="I544" s="1"/>
      <c r="J544" s="51"/>
    </row>
    <row r="545" spans="1:10" x14ac:dyDescent="0.25">
      <c r="A545" s="7"/>
      <c r="B545" s="1"/>
      <c r="C545" s="1"/>
      <c r="D545" s="1"/>
      <c r="F545" s="7"/>
      <c r="G545" s="1"/>
      <c r="H545" s="1"/>
      <c r="I545" s="1"/>
      <c r="J545" s="51"/>
    </row>
    <row r="546" spans="1:10" x14ac:dyDescent="0.25">
      <c r="A546" s="7"/>
      <c r="B546" s="1"/>
      <c r="C546" s="1"/>
      <c r="D546" s="1"/>
      <c r="F546" s="7"/>
      <c r="G546" s="1"/>
      <c r="H546" s="1"/>
      <c r="I546" s="1"/>
      <c r="J546" s="51"/>
    </row>
    <row r="547" spans="1:10" x14ac:dyDescent="0.25">
      <c r="A547" s="7"/>
      <c r="B547" s="1"/>
      <c r="C547" s="1"/>
      <c r="D547" s="1"/>
      <c r="F547" s="7"/>
      <c r="G547" s="1"/>
      <c r="H547" s="1"/>
      <c r="I547" s="1"/>
      <c r="J547" s="51"/>
    </row>
    <row r="548" spans="1:10" x14ac:dyDescent="0.25">
      <c r="A548" s="7"/>
      <c r="B548" s="1"/>
      <c r="C548" s="1"/>
      <c r="D548" s="1"/>
      <c r="F548" s="7"/>
      <c r="G548" s="1"/>
      <c r="H548" s="1"/>
      <c r="I548" s="1"/>
      <c r="J548" s="51"/>
    </row>
    <row r="549" spans="1:10" x14ac:dyDescent="0.25">
      <c r="A549" s="7"/>
      <c r="B549" s="1"/>
      <c r="C549" s="1"/>
      <c r="D549" s="1"/>
      <c r="F549" s="7"/>
      <c r="G549" s="1"/>
      <c r="H549" s="1"/>
      <c r="I549" s="1"/>
      <c r="J549" s="51"/>
    </row>
    <row r="550" spans="1:10" x14ac:dyDescent="0.25">
      <c r="A550" s="7"/>
      <c r="B550" s="1"/>
      <c r="C550" s="1"/>
      <c r="D550" s="1"/>
      <c r="F550" s="7"/>
      <c r="G550" s="1"/>
      <c r="H550" s="1"/>
      <c r="I550" s="1"/>
      <c r="J550" s="51"/>
    </row>
    <row r="551" spans="1:10" x14ac:dyDescent="0.25">
      <c r="A551" s="7"/>
      <c r="B551" s="1"/>
      <c r="C551" s="1"/>
      <c r="D551" s="1"/>
      <c r="F551" s="7"/>
      <c r="G551" s="1"/>
      <c r="H551" s="1"/>
      <c r="I551" s="1"/>
      <c r="J551" s="51"/>
    </row>
    <row r="552" spans="1:10" x14ac:dyDescent="0.25">
      <c r="A552" s="7"/>
      <c r="B552" s="1"/>
      <c r="C552" s="1"/>
      <c r="D552" s="1"/>
      <c r="F552" s="7"/>
      <c r="G552" s="1"/>
      <c r="H552" s="1"/>
      <c r="I552" s="1"/>
      <c r="J552" s="51"/>
    </row>
    <row r="553" spans="1:10" x14ac:dyDescent="0.25">
      <c r="A553" s="7"/>
      <c r="B553" s="1"/>
      <c r="C553" s="1"/>
      <c r="D553" s="1"/>
      <c r="F553" s="7"/>
      <c r="G553" s="1"/>
      <c r="H553" s="1"/>
      <c r="I553" s="1"/>
      <c r="J553" s="51"/>
    </row>
    <row r="554" spans="1:10" x14ac:dyDescent="0.25">
      <c r="A554" s="7"/>
      <c r="B554" s="1"/>
      <c r="C554" s="1"/>
      <c r="D554" s="1"/>
      <c r="F554" s="7"/>
      <c r="G554" s="1"/>
      <c r="H554" s="1"/>
      <c r="I554" s="1"/>
      <c r="J554" s="51"/>
    </row>
    <row r="555" spans="1:10" x14ac:dyDescent="0.25">
      <c r="A555" s="7"/>
      <c r="B555" s="1"/>
      <c r="C555" s="1"/>
      <c r="D555" s="1"/>
      <c r="F555" s="7"/>
      <c r="G555" s="1"/>
      <c r="H555" s="1"/>
      <c r="I555" s="1"/>
      <c r="J555" s="51"/>
    </row>
    <row r="556" spans="1:10" x14ac:dyDescent="0.25">
      <c r="A556" s="7"/>
      <c r="B556" s="1"/>
      <c r="C556" s="1"/>
      <c r="D556" s="1"/>
      <c r="F556" s="7"/>
      <c r="G556" s="1"/>
      <c r="H556" s="1"/>
      <c r="I556" s="1"/>
      <c r="J556" s="51"/>
    </row>
    <row r="557" spans="1:10" x14ac:dyDescent="0.25">
      <c r="A557" s="7"/>
      <c r="B557" s="1"/>
      <c r="C557" s="1"/>
      <c r="D557" s="1"/>
      <c r="F557" s="7"/>
      <c r="G557" s="1"/>
      <c r="H557" s="1"/>
      <c r="I557" s="1"/>
      <c r="J557" s="51"/>
    </row>
    <row r="558" spans="1:10" x14ac:dyDescent="0.25">
      <c r="A558" s="7"/>
      <c r="B558" s="1"/>
      <c r="C558" s="1"/>
      <c r="D558" s="1"/>
      <c r="F558" s="7"/>
      <c r="G558" s="1"/>
      <c r="H558" s="1"/>
      <c r="I558" s="1"/>
      <c r="J558" s="51"/>
    </row>
    <row r="559" spans="1:10" x14ac:dyDescent="0.25">
      <c r="A559" s="7"/>
      <c r="B559" s="1"/>
      <c r="C559" s="1"/>
      <c r="D559" s="1"/>
      <c r="F559" s="7"/>
      <c r="G559" s="1"/>
      <c r="H559" s="1"/>
      <c r="I559" s="1"/>
      <c r="J559" s="51"/>
    </row>
    <row r="560" spans="1:10" x14ac:dyDescent="0.25">
      <c r="A560" s="7"/>
      <c r="B560" s="1"/>
      <c r="C560" s="1"/>
      <c r="D560" s="1"/>
      <c r="F560" s="7"/>
      <c r="G560" s="1"/>
      <c r="H560" s="1"/>
      <c r="I560" s="1"/>
      <c r="J560" s="51"/>
    </row>
    <row r="561" spans="1:10" x14ac:dyDescent="0.25">
      <c r="A561" s="7"/>
      <c r="B561" s="1"/>
      <c r="C561" s="1"/>
      <c r="D561" s="1"/>
      <c r="F561" s="7"/>
      <c r="G561" s="1"/>
      <c r="H561" s="1"/>
      <c r="I561" s="1"/>
      <c r="J561" s="51"/>
    </row>
    <row r="562" spans="1:10" x14ac:dyDescent="0.25">
      <c r="A562" s="7"/>
      <c r="B562" s="1"/>
      <c r="C562" s="1"/>
      <c r="D562" s="1"/>
      <c r="F562" s="7"/>
      <c r="G562" s="1"/>
      <c r="H562" s="1"/>
      <c r="I562" s="1"/>
      <c r="J562" s="51"/>
    </row>
    <row r="563" spans="1:10" x14ac:dyDescent="0.25">
      <c r="A563" s="7"/>
      <c r="B563" s="1"/>
      <c r="C563" s="1"/>
      <c r="D563" s="1"/>
      <c r="F563" s="7"/>
      <c r="G563" s="1"/>
      <c r="H563" s="1"/>
      <c r="I563" s="1"/>
      <c r="J563" s="51"/>
    </row>
    <row r="564" spans="1:10" x14ac:dyDescent="0.25">
      <c r="A564" s="7"/>
      <c r="B564" s="1"/>
      <c r="C564" s="1"/>
      <c r="D564" s="1"/>
      <c r="F564" s="7"/>
      <c r="G564" s="1"/>
      <c r="H564" s="1"/>
      <c r="I564" s="1"/>
      <c r="J564" s="51"/>
    </row>
    <row r="565" spans="1:10" x14ac:dyDescent="0.25">
      <c r="A565" s="7"/>
      <c r="B565" s="1"/>
      <c r="C565" s="1"/>
      <c r="D565" s="1"/>
      <c r="F565" s="7"/>
      <c r="G565" s="1"/>
      <c r="H565" s="1"/>
      <c r="I565" s="1"/>
      <c r="J565" s="51"/>
    </row>
    <row r="566" spans="1:10" x14ac:dyDescent="0.25">
      <c r="A566" s="7"/>
      <c r="B566" s="1"/>
      <c r="C566" s="1"/>
      <c r="D566" s="1"/>
      <c r="F566" s="7"/>
      <c r="G566" s="1"/>
      <c r="H566" s="1"/>
      <c r="I566" s="1"/>
      <c r="J566" s="51"/>
    </row>
    <row r="567" spans="1:10" x14ac:dyDescent="0.25">
      <c r="A567" s="7"/>
      <c r="B567" s="1"/>
      <c r="C567" s="1"/>
      <c r="D567" s="1"/>
      <c r="F567" s="7"/>
      <c r="G567" s="1"/>
      <c r="H567" s="1"/>
      <c r="I567" s="1"/>
      <c r="J567" s="51"/>
    </row>
    <row r="568" spans="1:10" x14ac:dyDescent="0.25">
      <c r="A568" s="7"/>
      <c r="B568" s="1"/>
      <c r="C568" s="1"/>
      <c r="D568" s="1"/>
      <c r="F568" s="7"/>
      <c r="G568" s="1"/>
      <c r="H568" s="1"/>
      <c r="I568" s="1"/>
      <c r="J568" s="51"/>
    </row>
    <row r="569" spans="1:10" x14ac:dyDescent="0.25">
      <c r="A569" s="7"/>
      <c r="B569" s="1"/>
      <c r="C569" s="1"/>
      <c r="D569" s="1"/>
      <c r="F569" s="7"/>
      <c r="G569" s="1"/>
      <c r="H569" s="1"/>
      <c r="I569" s="1"/>
      <c r="J569" s="51"/>
    </row>
    <row r="570" spans="1:10" x14ac:dyDescent="0.25">
      <c r="A570" s="7"/>
      <c r="B570" s="1"/>
      <c r="C570" s="1"/>
      <c r="D570" s="1"/>
      <c r="F570" s="7"/>
      <c r="G570" s="1"/>
      <c r="H570" s="1"/>
      <c r="I570" s="1"/>
      <c r="J570" s="51"/>
    </row>
    <row r="571" spans="1:10" x14ac:dyDescent="0.25">
      <c r="A571" s="7"/>
      <c r="B571" s="1"/>
      <c r="C571" s="1"/>
      <c r="D571" s="1"/>
      <c r="F571" s="7"/>
      <c r="G571" s="1"/>
      <c r="H571" s="1"/>
      <c r="I571" s="1"/>
      <c r="J571" s="51"/>
    </row>
    <row r="572" spans="1:10" x14ac:dyDescent="0.25">
      <c r="A572" s="7"/>
      <c r="B572" s="1"/>
      <c r="C572" s="1"/>
      <c r="D572" s="1"/>
      <c r="F572" s="7"/>
      <c r="G572" s="1"/>
      <c r="H572" s="1"/>
      <c r="I572" s="1"/>
      <c r="J572" s="51"/>
    </row>
    <row r="573" spans="1:10" x14ac:dyDescent="0.25">
      <c r="A573" s="7"/>
      <c r="B573" s="1"/>
      <c r="C573" s="1"/>
      <c r="D573" s="1"/>
      <c r="F573" s="7"/>
      <c r="G573" s="1"/>
      <c r="H573" s="1"/>
      <c r="I573" s="1"/>
      <c r="J573" s="51"/>
    </row>
    <row r="574" spans="1:10" x14ac:dyDescent="0.25">
      <c r="A574" s="7"/>
      <c r="B574" s="1"/>
      <c r="C574" s="1"/>
      <c r="D574" s="1"/>
      <c r="F574" s="7"/>
      <c r="G574" s="1"/>
      <c r="H574" s="1"/>
      <c r="I574" s="1"/>
      <c r="J574" s="51"/>
    </row>
    <row r="575" spans="1:10" x14ac:dyDescent="0.25">
      <c r="A575" s="7"/>
      <c r="B575" s="1"/>
      <c r="C575" s="1"/>
      <c r="D575" s="1"/>
      <c r="F575" s="7"/>
      <c r="G575" s="1"/>
      <c r="H575" s="1"/>
      <c r="I575" s="1"/>
      <c r="J575" s="51"/>
    </row>
    <row r="576" spans="1:10" x14ac:dyDescent="0.25">
      <c r="A576" s="7"/>
      <c r="B576" s="1"/>
      <c r="C576" s="1"/>
      <c r="D576" s="1"/>
      <c r="F576" s="7"/>
      <c r="G576" s="1"/>
      <c r="H576" s="1"/>
      <c r="I576" s="1"/>
      <c r="J576" s="51"/>
    </row>
    <row r="577" spans="1:10" x14ac:dyDescent="0.25">
      <c r="A577" s="7"/>
      <c r="B577" s="1"/>
      <c r="C577" s="1"/>
      <c r="D577" s="1"/>
      <c r="F577" s="7"/>
      <c r="G577" s="1"/>
      <c r="H577" s="1"/>
      <c r="I577" s="1"/>
      <c r="J577" s="51"/>
    </row>
    <row r="578" spans="1:10" x14ac:dyDescent="0.25">
      <c r="A578" s="7"/>
      <c r="B578" s="1"/>
      <c r="C578" s="1"/>
      <c r="D578" s="1"/>
      <c r="F578" s="7"/>
      <c r="G578" s="1"/>
      <c r="H578" s="1"/>
      <c r="I578" s="1"/>
      <c r="J578" s="51"/>
    </row>
    <row r="579" spans="1:10" x14ac:dyDescent="0.25">
      <c r="A579" s="7"/>
      <c r="B579" s="1"/>
      <c r="C579" s="1"/>
      <c r="D579" s="1"/>
      <c r="F579" s="7"/>
      <c r="G579" s="1"/>
      <c r="H579" s="1"/>
      <c r="I579" s="1"/>
      <c r="J579" s="51"/>
    </row>
    <row r="580" spans="1:10" x14ac:dyDescent="0.25">
      <c r="A580" s="7"/>
      <c r="B580" s="1"/>
      <c r="C580" s="1"/>
      <c r="D580" s="1"/>
      <c r="F580" s="7"/>
      <c r="G580" s="1"/>
      <c r="H580" s="1"/>
      <c r="I580" s="1"/>
      <c r="J580" s="51"/>
    </row>
    <row r="581" spans="1:10" x14ac:dyDescent="0.25">
      <c r="A581" s="7"/>
      <c r="B581" s="1"/>
      <c r="C581" s="1"/>
      <c r="D581" s="1"/>
      <c r="F581" s="7"/>
      <c r="G581" s="1"/>
      <c r="H581" s="1"/>
      <c r="I581" s="1"/>
      <c r="J581" s="51"/>
    </row>
    <row r="582" spans="1:10" x14ac:dyDescent="0.25">
      <c r="A582" s="7"/>
      <c r="B582" s="1"/>
      <c r="C582" s="1"/>
      <c r="D582" s="1"/>
      <c r="F582" s="7"/>
      <c r="G582" s="1"/>
      <c r="H582" s="1"/>
      <c r="I582" s="1"/>
      <c r="J582" s="51"/>
    </row>
    <row r="583" spans="1:10" x14ac:dyDescent="0.25">
      <c r="A583" s="7"/>
      <c r="B583" s="1"/>
      <c r="C583" s="1"/>
      <c r="D583" s="1"/>
      <c r="F583" s="7"/>
      <c r="G583" s="1"/>
      <c r="H583" s="1"/>
      <c r="I583" s="1"/>
      <c r="J583" s="51"/>
    </row>
    <row r="584" spans="1:10" x14ac:dyDescent="0.25">
      <c r="A584" s="7"/>
      <c r="B584" s="1"/>
      <c r="C584" s="1"/>
      <c r="D584" s="1"/>
      <c r="F584" s="7"/>
      <c r="G584" s="1"/>
      <c r="H584" s="1"/>
      <c r="I584" s="1"/>
      <c r="J584" s="51"/>
    </row>
    <row r="585" spans="1:10" x14ac:dyDescent="0.25">
      <c r="A585" s="7"/>
      <c r="B585" s="1"/>
      <c r="C585" s="1"/>
      <c r="D585" s="1"/>
      <c r="F585" s="7"/>
      <c r="G585" s="1"/>
      <c r="H585" s="1"/>
      <c r="I585" s="1"/>
      <c r="J585" s="51"/>
    </row>
    <row r="586" spans="1:10" x14ac:dyDescent="0.25">
      <c r="A586" s="7"/>
      <c r="B586" s="1"/>
      <c r="C586" s="1"/>
      <c r="D586" s="1"/>
      <c r="F586" s="7"/>
      <c r="G586" s="1"/>
      <c r="H586" s="1"/>
      <c r="I586" s="1"/>
      <c r="J586" s="51"/>
    </row>
    <row r="587" spans="1:10" x14ac:dyDescent="0.25">
      <c r="A587" s="7"/>
      <c r="B587" s="1"/>
      <c r="C587" s="1"/>
      <c r="D587" s="1"/>
      <c r="F587" s="7"/>
      <c r="G587" s="1"/>
      <c r="H587" s="1"/>
      <c r="I587" s="1"/>
      <c r="J587" s="51"/>
    </row>
    <row r="588" spans="1:10" x14ac:dyDescent="0.25">
      <c r="A588" s="7"/>
      <c r="B588" s="1"/>
      <c r="C588" s="1"/>
      <c r="D588" s="1"/>
      <c r="F588" s="7"/>
      <c r="G588" s="1"/>
      <c r="H588" s="1"/>
      <c r="I588" s="1"/>
      <c r="J588" s="51"/>
    </row>
    <row r="589" spans="1:10" x14ac:dyDescent="0.25">
      <c r="A589" s="7"/>
      <c r="B589" s="1"/>
      <c r="C589" s="1"/>
      <c r="D589" s="1"/>
      <c r="F589" s="7"/>
      <c r="G589" s="1"/>
      <c r="H589" s="1"/>
      <c r="I589" s="1"/>
      <c r="J589" s="51"/>
    </row>
    <row r="590" spans="1:10" x14ac:dyDescent="0.25">
      <c r="A590" s="7"/>
      <c r="B590" s="1"/>
      <c r="C590" s="1"/>
      <c r="D590" s="1"/>
      <c r="F590" s="7"/>
      <c r="G590" s="1"/>
      <c r="H590" s="1"/>
      <c r="I590" s="1"/>
      <c r="J590" s="51"/>
    </row>
    <row r="591" spans="1:10" x14ac:dyDescent="0.25">
      <c r="A591" s="7"/>
      <c r="B591" s="1"/>
      <c r="C591" s="1"/>
      <c r="D591" s="1"/>
      <c r="F591" s="7"/>
      <c r="G591" s="1"/>
      <c r="H591" s="1"/>
      <c r="I591" s="1"/>
      <c r="J591" s="51"/>
    </row>
    <row r="592" spans="1:10" x14ac:dyDescent="0.25">
      <c r="A592" s="7"/>
      <c r="B592" s="1"/>
      <c r="C592" s="1"/>
      <c r="D592" s="1"/>
      <c r="F592" s="7"/>
      <c r="G592" s="1"/>
      <c r="H592" s="1"/>
      <c r="I592" s="1"/>
      <c r="J592" s="51"/>
    </row>
    <row r="593" spans="1:10" x14ac:dyDescent="0.25">
      <c r="A593" s="7"/>
      <c r="B593" s="1"/>
      <c r="C593" s="1"/>
      <c r="D593" s="1"/>
      <c r="F593" s="7"/>
      <c r="G593" s="1"/>
      <c r="H593" s="1"/>
      <c r="I593" s="1"/>
      <c r="J593" s="51"/>
    </row>
    <row r="594" spans="1:10" x14ac:dyDescent="0.25">
      <c r="A594" s="7"/>
      <c r="B594" s="1"/>
      <c r="C594" s="1"/>
      <c r="D594" s="1"/>
      <c r="F594" s="7"/>
      <c r="G594" s="1"/>
      <c r="H594" s="1"/>
      <c r="I594" s="1"/>
      <c r="J594" s="51"/>
    </row>
    <row r="595" spans="1:10" x14ac:dyDescent="0.25">
      <c r="A595" s="7"/>
      <c r="B595" s="1"/>
      <c r="C595" s="1"/>
      <c r="D595" s="1"/>
      <c r="F595" s="7"/>
      <c r="G595" s="1"/>
      <c r="H595" s="1"/>
      <c r="I595" s="1"/>
      <c r="J595" s="51"/>
    </row>
    <row r="596" spans="1:10" x14ac:dyDescent="0.25">
      <c r="A596" s="7"/>
      <c r="B596" s="1"/>
      <c r="C596" s="1"/>
      <c r="D596" s="1"/>
      <c r="F596" s="7"/>
      <c r="G596" s="1"/>
      <c r="H596" s="1"/>
      <c r="I596" s="1"/>
      <c r="J596" s="51"/>
    </row>
    <row r="597" spans="1:10" x14ac:dyDescent="0.25">
      <c r="A597" s="7"/>
      <c r="B597" s="1"/>
      <c r="C597" s="1"/>
      <c r="D597" s="1"/>
      <c r="F597" s="7"/>
      <c r="G597" s="1"/>
      <c r="H597" s="1"/>
      <c r="I597" s="1"/>
      <c r="J597" s="51"/>
    </row>
    <row r="598" spans="1:10" x14ac:dyDescent="0.25">
      <c r="A598" s="7"/>
      <c r="B598" s="1"/>
      <c r="C598" s="1"/>
      <c r="D598" s="1"/>
      <c r="F598" s="7"/>
      <c r="G598" s="1"/>
      <c r="H598" s="1"/>
      <c r="I598" s="1"/>
      <c r="J598" s="51"/>
    </row>
    <row r="599" spans="1:10" x14ac:dyDescent="0.25">
      <c r="A599" s="7"/>
      <c r="B599" s="1"/>
      <c r="C599" s="1"/>
      <c r="D599" s="1"/>
      <c r="F599" s="7"/>
      <c r="G599" s="1"/>
      <c r="H599" s="1"/>
      <c r="I599" s="1"/>
      <c r="J599" s="51"/>
    </row>
    <row r="600" spans="1:10" x14ac:dyDescent="0.25">
      <c r="A600" s="7"/>
      <c r="B600" s="1"/>
      <c r="C600" s="1"/>
      <c r="D600" s="1"/>
      <c r="F600" s="7"/>
      <c r="G600" s="1"/>
      <c r="H600" s="1"/>
      <c r="I600" s="1"/>
      <c r="J600" s="51"/>
    </row>
    <row r="601" spans="1:10" x14ac:dyDescent="0.25">
      <c r="A601" s="7"/>
      <c r="B601" s="1"/>
      <c r="C601" s="1"/>
      <c r="D601" s="1"/>
      <c r="F601" s="7"/>
      <c r="G601" s="1"/>
      <c r="H601" s="1"/>
      <c r="I601" s="1"/>
      <c r="J601" s="51"/>
    </row>
    <row r="602" spans="1:10" x14ac:dyDescent="0.25">
      <c r="A602" s="7"/>
      <c r="B602" s="1"/>
      <c r="C602" s="1"/>
      <c r="D602" s="1"/>
      <c r="F602" s="7"/>
      <c r="G602" s="1"/>
      <c r="H602" s="1"/>
      <c r="I602" s="1"/>
      <c r="J602" s="51"/>
    </row>
    <row r="603" spans="1:10" x14ac:dyDescent="0.25">
      <c r="A603" s="7"/>
      <c r="B603" s="1"/>
      <c r="C603" s="1"/>
      <c r="D603" s="1"/>
      <c r="F603" s="7"/>
      <c r="G603" s="1"/>
      <c r="H603" s="1"/>
      <c r="I603" s="1"/>
      <c r="J603" s="51"/>
    </row>
    <row r="604" spans="1:10" x14ac:dyDescent="0.25">
      <c r="A604" s="7"/>
      <c r="B604" s="1"/>
      <c r="C604" s="1"/>
      <c r="D604" s="1"/>
      <c r="F604" s="7"/>
      <c r="G604" s="1"/>
      <c r="H604" s="1"/>
      <c r="I604" s="1"/>
      <c r="J604" s="51"/>
    </row>
    <row r="605" spans="1:10" x14ac:dyDescent="0.25">
      <c r="A605" s="7"/>
      <c r="B605" s="1"/>
      <c r="C605" s="1"/>
      <c r="D605" s="1"/>
      <c r="F605" s="7"/>
      <c r="G605" s="1"/>
      <c r="H605" s="1"/>
      <c r="I605" s="1"/>
      <c r="J605" s="51"/>
    </row>
    <row r="606" spans="1:10" x14ac:dyDescent="0.25">
      <c r="A606" s="7"/>
      <c r="B606" s="1"/>
      <c r="C606" s="1"/>
      <c r="D606" s="1"/>
      <c r="F606" s="7"/>
      <c r="G606" s="1"/>
      <c r="H606" s="1"/>
      <c r="I606" s="1"/>
      <c r="J606" s="51"/>
    </row>
    <row r="607" spans="1:10" x14ac:dyDescent="0.25">
      <c r="A607" s="7"/>
      <c r="B607" s="1"/>
      <c r="C607" s="1"/>
      <c r="D607" s="1"/>
      <c r="F607" s="7"/>
      <c r="G607" s="1"/>
      <c r="H607" s="1"/>
      <c r="I607" s="1"/>
      <c r="J607" s="51"/>
    </row>
    <row r="608" spans="1:10" x14ac:dyDescent="0.25">
      <c r="A608" s="7"/>
      <c r="B608" s="1"/>
      <c r="C608" s="1"/>
      <c r="D608" s="1"/>
      <c r="F608" s="7"/>
      <c r="G608" s="1"/>
      <c r="H608" s="1"/>
      <c r="I608" s="1"/>
      <c r="J608" s="51"/>
    </row>
    <row r="609" spans="1:10" x14ac:dyDescent="0.25">
      <c r="A609" s="7"/>
      <c r="B609" s="1"/>
      <c r="C609" s="1"/>
      <c r="D609" s="1"/>
      <c r="F609" s="7"/>
      <c r="G609" s="1"/>
      <c r="H609" s="1"/>
      <c r="I609" s="1"/>
      <c r="J609" s="51"/>
    </row>
    <row r="610" spans="1:10" x14ac:dyDescent="0.25">
      <c r="A610" s="7"/>
      <c r="B610" s="1"/>
      <c r="C610" s="1"/>
      <c r="D610" s="1"/>
      <c r="F610" s="7"/>
      <c r="G610" s="1"/>
      <c r="H610" s="1"/>
      <c r="I610" s="1"/>
      <c r="J610" s="51"/>
    </row>
    <row r="611" spans="1:10" x14ac:dyDescent="0.25">
      <c r="A611" s="7"/>
      <c r="B611" s="1"/>
      <c r="C611" s="1"/>
      <c r="D611" s="1"/>
      <c r="F611" s="7"/>
      <c r="G611" s="1"/>
      <c r="H611" s="1"/>
      <c r="I611" s="1"/>
      <c r="J611" s="51"/>
    </row>
    <row r="612" spans="1:10" x14ac:dyDescent="0.25">
      <c r="A612" s="7"/>
      <c r="B612" s="1"/>
      <c r="C612" s="1"/>
      <c r="D612" s="1"/>
      <c r="F612" s="7"/>
      <c r="G612" s="1"/>
      <c r="H612" s="1"/>
      <c r="I612" s="1"/>
      <c r="J612" s="51"/>
    </row>
    <row r="613" spans="1:10" x14ac:dyDescent="0.25">
      <c r="A613" s="7"/>
      <c r="B613" s="1"/>
      <c r="C613" s="1"/>
      <c r="D613" s="1"/>
      <c r="F613" s="7"/>
      <c r="G613" s="1"/>
      <c r="H613" s="1"/>
      <c r="I613" s="1"/>
      <c r="J613" s="51"/>
    </row>
    <row r="614" spans="1:10" x14ac:dyDescent="0.25">
      <c r="A614" s="7"/>
      <c r="B614" s="1"/>
      <c r="C614" s="1"/>
      <c r="D614" s="1"/>
      <c r="F614" s="7"/>
      <c r="G614" s="1"/>
      <c r="H614" s="1"/>
      <c r="I614" s="1"/>
      <c r="J614" s="51"/>
    </row>
    <row r="615" spans="1:10" x14ac:dyDescent="0.25">
      <c r="A615" s="7"/>
      <c r="B615" s="1"/>
      <c r="C615" s="1"/>
      <c r="D615" s="1"/>
      <c r="F615" s="7"/>
      <c r="G615" s="1"/>
      <c r="H615" s="1"/>
      <c r="I615" s="1"/>
      <c r="J615" s="51"/>
    </row>
    <row r="616" spans="1:10" x14ac:dyDescent="0.25">
      <c r="A616" s="7"/>
      <c r="B616" s="1"/>
      <c r="C616" s="1"/>
      <c r="D616" s="1"/>
      <c r="F616" s="7"/>
      <c r="G616" s="1"/>
      <c r="H616" s="1"/>
      <c r="I616" s="1"/>
      <c r="J616" s="51"/>
    </row>
    <row r="617" spans="1:10" x14ac:dyDescent="0.25">
      <c r="A617" s="7"/>
      <c r="B617" s="1"/>
      <c r="C617" s="1"/>
      <c r="D617" s="1"/>
      <c r="F617" s="7"/>
      <c r="G617" s="1"/>
      <c r="H617" s="1"/>
      <c r="I617" s="1"/>
      <c r="J617" s="51"/>
    </row>
    <row r="618" spans="1:10" x14ac:dyDescent="0.25">
      <c r="A618" s="7"/>
      <c r="B618" s="1"/>
      <c r="C618" s="1"/>
      <c r="D618" s="1"/>
      <c r="F618" s="7"/>
      <c r="G618" s="1"/>
      <c r="H618" s="1"/>
      <c r="I618" s="1"/>
      <c r="J618" s="51"/>
    </row>
    <row r="619" spans="1:10" x14ac:dyDescent="0.25">
      <c r="A619" s="7"/>
      <c r="B619" s="1"/>
      <c r="C619" s="1"/>
      <c r="D619" s="1"/>
      <c r="F619" s="7"/>
      <c r="G619" s="1"/>
      <c r="H619" s="1"/>
      <c r="I619" s="1"/>
      <c r="J619" s="51"/>
    </row>
    <row r="620" spans="1:10" x14ac:dyDescent="0.25">
      <c r="A620" s="7"/>
      <c r="B620" s="1"/>
      <c r="C620" s="1"/>
      <c r="D620" s="1"/>
      <c r="F620" s="7"/>
      <c r="G620" s="1"/>
      <c r="H620" s="1"/>
      <c r="I620" s="1"/>
      <c r="J620" s="51"/>
    </row>
    <row r="621" spans="1:10" x14ac:dyDescent="0.25">
      <c r="A621" s="7"/>
      <c r="B621" s="1"/>
      <c r="C621" s="1"/>
      <c r="D621" s="1"/>
      <c r="F621" s="7"/>
      <c r="G621" s="1"/>
      <c r="H621" s="1"/>
      <c r="I621" s="1"/>
      <c r="J621" s="51"/>
    </row>
    <row r="622" spans="1:10" x14ac:dyDescent="0.25">
      <c r="A622" s="7"/>
      <c r="B622" s="1"/>
      <c r="C622" s="1"/>
      <c r="D622" s="1"/>
      <c r="F622" s="7"/>
      <c r="G622" s="1"/>
      <c r="H622" s="1"/>
      <c r="I622" s="1"/>
      <c r="J622" s="51"/>
    </row>
    <row r="623" spans="1:10" x14ac:dyDescent="0.25">
      <c r="A623" s="7"/>
      <c r="B623" s="1"/>
      <c r="C623" s="1"/>
      <c r="D623" s="1"/>
      <c r="F623" s="7"/>
      <c r="G623" s="1"/>
      <c r="H623" s="1"/>
      <c r="I623" s="1"/>
      <c r="J623" s="51"/>
    </row>
    <row r="624" spans="1:10" x14ac:dyDescent="0.25">
      <c r="A624" s="7"/>
      <c r="B624" s="1"/>
      <c r="C624" s="1"/>
      <c r="D624" s="1"/>
      <c r="F624" s="7"/>
      <c r="G624" s="1"/>
      <c r="H624" s="1"/>
      <c r="I624" s="1"/>
      <c r="J624" s="51"/>
    </row>
    <row r="625" spans="1:10" x14ac:dyDescent="0.25">
      <c r="A625" s="7"/>
      <c r="B625" s="1"/>
      <c r="C625" s="1"/>
      <c r="D625" s="1"/>
      <c r="F625" s="7"/>
      <c r="G625" s="1"/>
      <c r="H625" s="1"/>
      <c r="I625" s="1"/>
      <c r="J625" s="51"/>
    </row>
    <row r="626" spans="1:10" x14ac:dyDescent="0.25">
      <c r="A626" s="7"/>
      <c r="B626" s="1"/>
      <c r="C626" s="1"/>
      <c r="D626" s="1"/>
      <c r="F626" s="7"/>
      <c r="G626" s="1"/>
      <c r="H626" s="1"/>
      <c r="I626" s="1"/>
      <c r="J626" s="51"/>
    </row>
    <row r="627" spans="1:10" x14ac:dyDescent="0.25">
      <c r="A627" s="7"/>
      <c r="B627" s="1"/>
      <c r="C627" s="1"/>
      <c r="D627" s="1"/>
      <c r="F627" s="7"/>
      <c r="G627" s="1"/>
      <c r="H627" s="1"/>
      <c r="I627" s="1"/>
      <c r="J627" s="51"/>
    </row>
    <row r="628" spans="1:10" x14ac:dyDescent="0.25">
      <c r="A628" s="7"/>
      <c r="B628" s="1"/>
      <c r="C628" s="1"/>
      <c r="D628" s="1"/>
      <c r="F628" s="7"/>
      <c r="G628" s="1"/>
      <c r="H628" s="1"/>
      <c r="I628" s="1"/>
      <c r="J628" s="51"/>
    </row>
    <row r="629" spans="1:10" x14ac:dyDescent="0.25">
      <c r="A629" s="7"/>
      <c r="B629" s="1"/>
      <c r="C629" s="1"/>
      <c r="D629" s="1"/>
      <c r="F629" s="7"/>
      <c r="G629" s="1"/>
      <c r="H629" s="1"/>
      <c r="I629" s="1"/>
      <c r="J629" s="51"/>
    </row>
    <row r="630" spans="1:10" x14ac:dyDescent="0.25">
      <c r="A630" s="7"/>
      <c r="B630" s="1"/>
      <c r="C630" s="1"/>
      <c r="D630" s="1"/>
      <c r="F630" s="7"/>
      <c r="G630" s="1"/>
      <c r="H630" s="1"/>
      <c r="I630" s="1"/>
      <c r="J630" s="51"/>
    </row>
    <row r="631" spans="1:10" x14ac:dyDescent="0.25">
      <c r="A631" s="7"/>
      <c r="B631" s="1"/>
      <c r="C631" s="1"/>
      <c r="D631" s="1"/>
      <c r="F631" s="7"/>
      <c r="G631" s="1"/>
      <c r="H631" s="1"/>
      <c r="I631" s="1"/>
      <c r="J631" s="51"/>
    </row>
    <row r="632" spans="1:10" x14ac:dyDescent="0.25">
      <c r="A632" s="7"/>
      <c r="B632" s="1"/>
      <c r="C632" s="1"/>
      <c r="D632" s="1"/>
      <c r="F632" s="7"/>
      <c r="G632" s="1"/>
      <c r="H632" s="1"/>
      <c r="I632" s="1"/>
      <c r="J632" s="51"/>
    </row>
    <row r="633" spans="1:10" x14ac:dyDescent="0.25">
      <c r="A633" s="7"/>
      <c r="B633" s="1"/>
      <c r="C633" s="1"/>
      <c r="D633" s="1"/>
      <c r="F633" s="7"/>
      <c r="G633" s="1"/>
      <c r="H633" s="1"/>
      <c r="I633" s="1"/>
      <c r="J633" s="51"/>
    </row>
    <row r="634" spans="1:10" x14ac:dyDescent="0.25">
      <c r="A634" s="7"/>
      <c r="B634" s="1"/>
      <c r="C634" s="1"/>
      <c r="D634" s="1"/>
      <c r="F634" s="7"/>
      <c r="G634" s="1"/>
      <c r="H634" s="1"/>
      <c r="I634" s="1"/>
      <c r="J634" s="51"/>
    </row>
    <row r="635" spans="1:10" x14ac:dyDescent="0.25">
      <c r="A635" s="7"/>
      <c r="B635" s="1"/>
      <c r="C635" s="1"/>
      <c r="D635" s="1"/>
      <c r="F635" s="7"/>
      <c r="G635" s="1"/>
      <c r="H635" s="1"/>
      <c r="I635" s="1"/>
      <c r="J635" s="51"/>
    </row>
    <row r="636" spans="1:10" x14ac:dyDescent="0.25">
      <c r="A636" s="7"/>
      <c r="B636" s="1"/>
      <c r="C636" s="1"/>
      <c r="D636" s="1"/>
      <c r="F636" s="7"/>
      <c r="G636" s="1"/>
      <c r="H636" s="1"/>
      <c r="I636" s="1"/>
      <c r="J636" s="51"/>
    </row>
    <row r="637" spans="1:10" x14ac:dyDescent="0.25">
      <c r="A637" s="7"/>
      <c r="B637" s="1"/>
      <c r="C637" s="1"/>
      <c r="D637" s="1"/>
      <c r="F637" s="7"/>
      <c r="G637" s="1"/>
      <c r="H637" s="1"/>
      <c r="I637" s="1"/>
      <c r="J637" s="51"/>
    </row>
    <row r="638" spans="1:10" x14ac:dyDescent="0.25">
      <c r="A638" s="7"/>
      <c r="B638" s="1"/>
      <c r="C638" s="1"/>
      <c r="D638" s="1"/>
      <c r="F638" s="7"/>
      <c r="G638" s="1"/>
      <c r="H638" s="1"/>
      <c r="I638" s="1"/>
      <c r="J638" s="51"/>
    </row>
    <row r="639" spans="1:10" x14ac:dyDescent="0.25">
      <c r="A639" s="7"/>
      <c r="B639" s="1"/>
      <c r="C639" s="1"/>
      <c r="D639" s="1"/>
      <c r="F639" s="7"/>
      <c r="G639" s="1"/>
      <c r="H639" s="1"/>
      <c r="I639" s="1"/>
      <c r="J639" s="51"/>
    </row>
    <row r="640" spans="1:10" x14ac:dyDescent="0.25">
      <c r="A640" s="7"/>
      <c r="B640" s="1"/>
      <c r="C640" s="1"/>
      <c r="D640" s="1"/>
      <c r="F640" s="7"/>
      <c r="G640" s="1"/>
      <c r="H640" s="1"/>
      <c r="I640" s="1"/>
      <c r="J640" s="51"/>
    </row>
    <row r="641" spans="1:10" x14ac:dyDescent="0.25">
      <c r="A641" s="7"/>
      <c r="B641" s="1"/>
      <c r="C641" s="1"/>
      <c r="D641" s="1"/>
      <c r="F641" s="7"/>
      <c r="G641" s="1"/>
      <c r="H641" s="1"/>
      <c r="I641" s="1"/>
      <c r="J641" s="51"/>
    </row>
    <row r="642" spans="1:10" x14ac:dyDescent="0.25">
      <c r="A642" s="7"/>
      <c r="B642" s="1"/>
      <c r="C642" s="1"/>
      <c r="D642" s="1"/>
      <c r="F642" s="7"/>
      <c r="G642" s="1"/>
      <c r="H642" s="1"/>
      <c r="I642" s="1"/>
      <c r="J642" s="51"/>
    </row>
    <row r="643" spans="1:10" x14ac:dyDescent="0.25">
      <c r="A643" s="7"/>
      <c r="B643" s="1"/>
      <c r="C643" s="1"/>
      <c r="D643" s="1"/>
      <c r="F643" s="7"/>
      <c r="G643" s="1"/>
      <c r="H643" s="1"/>
      <c r="I643" s="1"/>
      <c r="J643" s="51"/>
    </row>
    <row r="644" spans="1:10" x14ac:dyDescent="0.25">
      <c r="A644" s="7"/>
      <c r="B644" s="1"/>
      <c r="C644" s="1"/>
      <c r="D644" s="1"/>
      <c r="F644" s="7"/>
      <c r="G644" s="1"/>
      <c r="H644" s="1"/>
      <c r="I644" s="1"/>
      <c r="J644" s="51"/>
    </row>
    <row r="645" spans="1:10" x14ac:dyDescent="0.25">
      <c r="A645" s="7"/>
      <c r="B645" s="1"/>
      <c r="C645" s="1"/>
      <c r="D645" s="1"/>
      <c r="F645" s="7"/>
      <c r="G645" s="1"/>
      <c r="H645" s="1"/>
      <c r="I645" s="1"/>
      <c r="J645" s="51"/>
    </row>
    <row r="646" spans="1:10" x14ac:dyDescent="0.25">
      <c r="A646" s="7"/>
      <c r="B646" s="1"/>
      <c r="C646" s="1"/>
      <c r="D646" s="1"/>
      <c r="F646" s="7"/>
      <c r="G646" s="1"/>
      <c r="H646" s="1"/>
      <c r="I646" s="1"/>
      <c r="J646" s="51"/>
    </row>
    <row r="647" spans="1:10" x14ac:dyDescent="0.25">
      <c r="A647" s="7"/>
      <c r="B647" s="1"/>
      <c r="C647" s="1"/>
      <c r="D647" s="1"/>
      <c r="F647" s="7"/>
      <c r="G647" s="1"/>
      <c r="H647" s="1"/>
      <c r="I647" s="1"/>
      <c r="J647" s="51"/>
    </row>
    <row r="648" spans="1:10" x14ac:dyDescent="0.25">
      <c r="A648" s="7"/>
      <c r="B648" s="1"/>
      <c r="C648" s="1"/>
      <c r="D648" s="1"/>
      <c r="F648" s="7"/>
      <c r="G648" s="1"/>
      <c r="H648" s="1"/>
      <c r="I648" s="1"/>
      <c r="J648" s="51"/>
    </row>
    <row r="649" spans="1:10" x14ac:dyDescent="0.25">
      <c r="A649" s="7"/>
      <c r="B649" s="1"/>
      <c r="C649" s="1"/>
      <c r="D649" s="1"/>
      <c r="F649" s="7"/>
      <c r="G649" s="1"/>
      <c r="H649" s="1"/>
      <c r="I649" s="1"/>
      <c r="J649" s="51"/>
    </row>
    <row r="650" spans="1:10" x14ac:dyDescent="0.25">
      <c r="A650" s="7"/>
      <c r="B650" s="1"/>
      <c r="C650" s="1"/>
      <c r="D650" s="1"/>
      <c r="F650" s="7"/>
      <c r="G650" s="1"/>
      <c r="H650" s="1"/>
      <c r="I650" s="1"/>
      <c r="J650" s="51"/>
    </row>
    <row r="651" spans="1:10" x14ac:dyDescent="0.25">
      <c r="A651" s="7"/>
      <c r="B651" s="1"/>
      <c r="C651" s="1"/>
      <c r="D651" s="1"/>
      <c r="F651" s="7"/>
      <c r="G651" s="1"/>
      <c r="H651" s="1"/>
      <c r="I651" s="1"/>
      <c r="J651" s="51"/>
    </row>
    <row r="652" spans="1:10" x14ac:dyDescent="0.25">
      <c r="A652" s="7"/>
      <c r="B652" s="1"/>
      <c r="C652" s="1"/>
      <c r="D652" s="1"/>
      <c r="F652" s="7"/>
      <c r="G652" s="1"/>
      <c r="H652" s="1"/>
      <c r="I652" s="1"/>
      <c r="J652" s="51"/>
    </row>
    <row r="653" spans="1:10" x14ac:dyDescent="0.25">
      <c r="A653" s="7"/>
      <c r="B653" s="1"/>
      <c r="C653" s="1"/>
      <c r="D653" s="1"/>
      <c r="F653" s="7"/>
      <c r="G653" s="1"/>
      <c r="H653" s="1"/>
      <c r="I653" s="1"/>
      <c r="J653" s="51"/>
    </row>
    <row r="654" spans="1:10" x14ac:dyDescent="0.25">
      <c r="A654" s="7"/>
      <c r="B654" s="1"/>
      <c r="C654" s="1"/>
      <c r="D654" s="1"/>
      <c r="F654" s="7"/>
      <c r="G654" s="1"/>
      <c r="H654" s="1"/>
      <c r="I654" s="1"/>
      <c r="J654" s="51"/>
    </row>
    <row r="655" spans="1:10" x14ac:dyDescent="0.25">
      <c r="A655" s="7"/>
      <c r="B655" s="1"/>
      <c r="C655" s="1"/>
      <c r="D655" s="1"/>
      <c r="F655" s="7"/>
      <c r="G655" s="1"/>
      <c r="H655" s="1"/>
      <c r="I655" s="1"/>
      <c r="J655" s="51"/>
    </row>
    <row r="656" spans="1:10" x14ac:dyDescent="0.25">
      <c r="A656" s="7"/>
      <c r="B656" s="1"/>
      <c r="C656" s="1"/>
      <c r="D656" s="1"/>
      <c r="F656" s="7"/>
      <c r="G656" s="1"/>
      <c r="H656" s="1"/>
      <c r="I656" s="1"/>
      <c r="J656" s="51"/>
    </row>
    <row r="657" spans="1:10" x14ac:dyDescent="0.25">
      <c r="A657" s="7"/>
      <c r="B657" s="1"/>
      <c r="C657" s="1"/>
      <c r="D657" s="1"/>
      <c r="F657" s="7"/>
      <c r="G657" s="1"/>
      <c r="H657" s="1"/>
      <c r="I657" s="1"/>
      <c r="J657" s="51"/>
    </row>
    <row r="658" spans="1:10" x14ac:dyDescent="0.25">
      <c r="A658" s="7"/>
      <c r="B658" s="1"/>
      <c r="C658" s="1"/>
      <c r="D658" s="1"/>
      <c r="F658" s="7"/>
      <c r="G658" s="1"/>
      <c r="H658" s="1"/>
      <c r="I658" s="1"/>
      <c r="J658" s="51"/>
    </row>
    <row r="659" spans="1:10" x14ac:dyDescent="0.25">
      <c r="A659" s="7"/>
      <c r="B659" s="1"/>
      <c r="C659" s="1"/>
      <c r="D659" s="1"/>
      <c r="F659" s="7"/>
      <c r="G659" s="1"/>
      <c r="H659" s="1"/>
      <c r="I659" s="1"/>
      <c r="J659" s="51"/>
    </row>
    <row r="660" spans="1:10" x14ac:dyDescent="0.25">
      <c r="A660" s="7"/>
      <c r="B660" s="1"/>
      <c r="C660" s="1"/>
      <c r="D660" s="1"/>
      <c r="F660" s="7"/>
      <c r="G660" s="1"/>
      <c r="H660" s="1"/>
      <c r="I660" s="1"/>
      <c r="J660" s="51"/>
    </row>
    <row r="661" spans="1:10" x14ac:dyDescent="0.25">
      <c r="A661" s="7"/>
      <c r="B661" s="1"/>
      <c r="C661" s="1"/>
      <c r="D661" s="1"/>
      <c r="F661" s="7"/>
      <c r="G661" s="1"/>
      <c r="H661" s="1"/>
      <c r="I661" s="1"/>
      <c r="J661" s="51"/>
    </row>
    <row r="662" spans="1:10" x14ac:dyDescent="0.25">
      <c r="A662" s="7"/>
      <c r="B662" s="1"/>
      <c r="C662" s="1"/>
      <c r="D662" s="1"/>
      <c r="F662" s="7"/>
      <c r="G662" s="1"/>
      <c r="H662" s="1"/>
      <c r="I662" s="1"/>
      <c r="J662" s="51"/>
    </row>
    <row r="663" spans="1:10" x14ac:dyDescent="0.25">
      <c r="A663" s="7"/>
      <c r="B663" s="1"/>
      <c r="C663" s="1"/>
      <c r="D663" s="1"/>
      <c r="F663" s="7"/>
      <c r="G663" s="1"/>
      <c r="H663" s="1"/>
      <c r="I663" s="1"/>
      <c r="J663" s="51"/>
    </row>
    <row r="664" spans="1:10" x14ac:dyDescent="0.25">
      <c r="A664" s="7"/>
      <c r="B664" s="1"/>
      <c r="C664" s="1"/>
      <c r="D664" s="1"/>
      <c r="F664" s="7"/>
      <c r="G664" s="1"/>
      <c r="H664" s="1"/>
      <c r="I664" s="1"/>
      <c r="J664" s="51"/>
    </row>
    <row r="665" spans="1:10" x14ac:dyDescent="0.25">
      <c r="A665" s="7"/>
      <c r="B665" s="1"/>
      <c r="C665" s="1"/>
      <c r="D665" s="1"/>
      <c r="F665" s="7"/>
      <c r="G665" s="1"/>
      <c r="H665" s="1"/>
      <c r="I665" s="1"/>
      <c r="J665" s="51"/>
    </row>
    <row r="666" spans="1:10" x14ac:dyDescent="0.25">
      <c r="A666" s="7"/>
      <c r="B666" s="1"/>
      <c r="C666" s="1"/>
      <c r="D666" s="1"/>
      <c r="F666" s="7"/>
      <c r="G666" s="1"/>
      <c r="H666" s="1"/>
      <c r="I666" s="1"/>
      <c r="J666" s="51"/>
    </row>
    <row r="667" spans="1:10" x14ac:dyDescent="0.25">
      <c r="A667" s="7"/>
      <c r="B667" s="1"/>
      <c r="C667" s="1"/>
      <c r="D667" s="1"/>
      <c r="F667" s="7"/>
      <c r="G667" s="1"/>
      <c r="H667" s="1"/>
      <c r="I667" s="1"/>
      <c r="J667" s="51"/>
    </row>
    <row r="668" spans="1:10" x14ac:dyDescent="0.25">
      <c r="A668" s="7"/>
      <c r="B668" s="1"/>
      <c r="C668" s="1"/>
      <c r="D668" s="1"/>
      <c r="F668" s="7"/>
      <c r="G668" s="1"/>
      <c r="H668" s="1"/>
      <c r="I668" s="1"/>
      <c r="J668" s="51"/>
    </row>
    <row r="669" spans="1:10" x14ac:dyDescent="0.25">
      <c r="A669" s="7"/>
      <c r="B669" s="1"/>
      <c r="C669" s="1"/>
      <c r="D669" s="1"/>
      <c r="F669" s="7"/>
      <c r="G669" s="1"/>
      <c r="H669" s="1"/>
      <c r="I669" s="1"/>
      <c r="J669" s="51"/>
    </row>
    <row r="670" spans="1:10" x14ac:dyDescent="0.25">
      <c r="A670" s="7"/>
      <c r="B670" s="1"/>
      <c r="C670" s="1"/>
      <c r="D670" s="1"/>
      <c r="F670" s="7"/>
      <c r="G670" s="1"/>
      <c r="H670" s="1"/>
      <c r="I670" s="1"/>
      <c r="J670" s="51"/>
    </row>
    <row r="671" spans="1:10" x14ac:dyDescent="0.25">
      <c r="A671" s="7"/>
      <c r="B671" s="1"/>
      <c r="C671" s="1"/>
      <c r="D671" s="1"/>
      <c r="F671" s="7"/>
      <c r="G671" s="1"/>
      <c r="H671" s="1"/>
      <c r="I671" s="1"/>
      <c r="J671" s="51"/>
    </row>
    <row r="672" spans="1:10" x14ac:dyDescent="0.25">
      <c r="A672" s="7"/>
      <c r="B672" s="1"/>
      <c r="C672" s="1"/>
      <c r="D672" s="1"/>
      <c r="F672" s="7"/>
      <c r="G672" s="1"/>
      <c r="H672" s="1"/>
      <c r="I672" s="1"/>
      <c r="J672" s="51"/>
    </row>
    <row r="673" spans="1:10" x14ac:dyDescent="0.25">
      <c r="A673" s="7"/>
      <c r="B673" s="1"/>
      <c r="C673" s="1"/>
      <c r="D673" s="1"/>
      <c r="F673" s="7"/>
      <c r="G673" s="1"/>
      <c r="H673" s="1"/>
      <c r="I673" s="1"/>
      <c r="J673" s="51"/>
    </row>
    <row r="674" spans="1:10" x14ac:dyDescent="0.25">
      <c r="A674" s="7"/>
      <c r="B674" s="1"/>
      <c r="C674" s="1"/>
      <c r="D674" s="1"/>
      <c r="F674" s="7"/>
      <c r="G674" s="1"/>
      <c r="H674" s="1"/>
      <c r="I674" s="1"/>
      <c r="J674" s="51"/>
    </row>
    <row r="675" spans="1:10" x14ac:dyDescent="0.25">
      <c r="A675" s="7"/>
      <c r="B675" s="1"/>
      <c r="C675" s="1"/>
      <c r="D675" s="1"/>
      <c r="F675" s="7"/>
      <c r="G675" s="1"/>
      <c r="H675" s="1"/>
      <c r="I675" s="1"/>
      <c r="J675" s="51"/>
    </row>
    <row r="676" spans="1:10" x14ac:dyDescent="0.25">
      <c r="A676" s="7"/>
      <c r="B676" s="1"/>
      <c r="C676" s="1"/>
      <c r="D676" s="1"/>
      <c r="F676" s="7"/>
      <c r="G676" s="1"/>
      <c r="H676" s="1"/>
      <c r="I676" s="1"/>
      <c r="J676" s="51"/>
    </row>
    <row r="677" spans="1:10" x14ac:dyDescent="0.25">
      <c r="A677" s="7"/>
      <c r="B677" s="1"/>
      <c r="C677" s="1"/>
      <c r="D677" s="1"/>
      <c r="F677" s="7"/>
      <c r="G677" s="1"/>
      <c r="H677" s="1"/>
      <c r="I677" s="1"/>
      <c r="J677" s="51"/>
    </row>
    <row r="678" spans="1:10" x14ac:dyDescent="0.25">
      <c r="A678" s="7"/>
      <c r="B678" s="1"/>
      <c r="C678" s="1"/>
      <c r="D678" s="1"/>
      <c r="F678" s="7"/>
      <c r="G678" s="1"/>
      <c r="H678" s="1"/>
      <c r="I678" s="1"/>
      <c r="J678" s="51"/>
    </row>
    <row r="679" spans="1:10" x14ac:dyDescent="0.25">
      <c r="A679" s="7"/>
      <c r="B679" s="1"/>
      <c r="C679" s="1"/>
      <c r="D679" s="1"/>
      <c r="F679" s="7"/>
      <c r="G679" s="1"/>
      <c r="H679" s="1"/>
      <c r="I679" s="1"/>
      <c r="J679" s="51"/>
    </row>
    <row r="680" spans="1:10" x14ac:dyDescent="0.25">
      <c r="A680" s="7"/>
      <c r="B680" s="1"/>
      <c r="C680" s="1"/>
      <c r="D680" s="1"/>
      <c r="F680" s="7"/>
      <c r="G680" s="1"/>
      <c r="H680" s="1"/>
      <c r="I680" s="1"/>
      <c r="J680" s="51"/>
    </row>
    <row r="681" spans="1:10" x14ac:dyDescent="0.25">
      <c r="A681" s="7"/>
      <c r="B681" s="1"/>
      <c r="C681" s="1"/>
      <c r="D681" s="1"/>
      <c r="F681" s="7"/>
      <c r="G681" s="1"/>
      <c r="H681" s="1"/>
      <c r="I681" s="1"/>
      <c r="J681" s="51"/>
    </row>
    <row r="682" spans="1:10" x14ac:dyDescent="0.25">
      <c r="A682" s="7"/>
      <c r="B682" s="1"/>
      <c r="C682" s="1"/>
      <c r="D682" s="1"/>
      <c r="F682" s="7"/>
      <c r="G682" s="1"/>
      <c r="H682" s="1"/>
      <c r="I682" s="1"/>
      <c r="J682" s="51"/>
    </row>
    <row r="683" spans="1:10" x14ac:dyDescent="0.25">
      <c r="A683" s="7"/>
      <c r="B683" s="1"/>
      <c r="C683" s="1"/>
      <c r="D683" s="1"/>
      <c r="F683" s="7"/>
      <c r="G683" s="1"/>
      <c r="H683" s="1"/>
      <c r="I683" s="1"/>
      <c r="J683" s="51"/>
    </row>
    <row r="684" spans="1:10" x14ac:dyDescent="0.25">
      <c r="A684" s="7"/>
      <c r="B684" s="1"/>
      <c r="C684" s="1"/>
      <c r="D684" s="1"/>
      <c r="F684" s="7"/>
      <c r="G684" s="1"/>
      <c r="H684" s="1"/>
      <c r="I684" s="1"/>
      <c r="J684" s="51"/>
    </row>
    <row r="685" spans="1:10" x14ac:dyDescent="0.25">
      <c r="A685" s="7"/>
      <c r="B685" s="1"/>
      <c r="C685" s="1"/>
      <c r="D685" s="1"/>
      <c r="F685" s="7"/>
      <c r="G685" s="1"/>
      <c r="H685" s="1"/>
      <c r="I685" s="1"/>
      <c r="J685" s="51"/>
    </row>
    <row r="686" spans="1:10" x14ac:dyDescent="0.25">
      <c r="A686" s="7"/>
      <c r="B686" s="1"/>
      <c r="C686" s="1"/>
      <c r="D686" s="1"/>
      <c r="F686" s="7"/>
      <c r="G686" s="1"/>
      <c r="H686" s="1"/>
      <c r="I686" s="1"/>
      <c r="J686" s="51"/>
    </row>
    <row r="687" spans="1:10" x14ac:dyDescent="0.25">
      <c r="A687" s="7"/>
      <c r="B687" s="1"/>
      <c r="C687" s="1"/>
      <c r="D687" s="1"/>
      <c r="F687" s="7"/>
      <c r="G687" s="1"/>
      <c r="H687" s="1"/>
      <c r="I687" s="1"/>
      <c r="J687" s="51"/>
    </row>
    <row r="688" spans="1:10" x14ac:dyDescent="0.25">
      <c r="A688" s="7"/>
      <c r="B688" s="1"/>
      <c r="C688" s="1"/>
      <c r="D688" s="1"/>
      <c r="F688" s="7"/>
      <c r="G688" s="1"/>
      <c r="H688" s="1"/>
      <c r="I688" s="1"/>
      <c r="J688" s="51"/>
    </row>
    <row r="689" spans="1:10" x14ac:dyDescent="0.25">
      <c r="A689" s="7"/>
      <c r="B689" s="1"/>
      <c r="C689" s="1"/>
      <c r="D689" s="1"/>
      <c r="F689" s="7"/>
      <c r="G689" s="1"/>
      <c r="H689" s="1"/>
      <c r="I689" s="1"/>
      <c r="J689" s="51"/>
    </row>
    <row r="690" spans="1:10" x14ac:dyDescent="0.25">
      <c r="A690" s="7"/>
      <c r="B690" s="1"/>
      <c r="C690" s="1"/>
      <c r="D690" s="1"/>
      <c r="F690" s="7"/>
      <c r="G690" s="1"/>
      <c r="H690" s="1"/>
      <c r="I690" s="1"/>
      <c r="J690" s="51"/>
    </row>
    <row r="691" spans="1:10" x14ac:dyDescent="0.25">
      <c r="A691" s="7"/>
      <c r="B691" s="1"/>
      <c r="C691" s="1"/>
      <c r="D691" s="1"/>
      <c r="F691" s="7"/>
      <c r="G691" s="1"/>
      <c r="H691" s="1"/>
      <c r="I691" s="1"/>
      <c r="J691" s="51"/>
    </row>
    <row r="692" spans="1:10" x14ac:dyDescent="0.25">
      <c r="A692" s="7"/>
      <c r="B692" s="1"/>
      <c r="C692" s="1"/>
      <c r="D692" s="1"/>
      <c r="F692" s="7"/>
      <c r="G692" s="1"/>
      <c r="H692" s="1"/>
      <c r="I692" s="1"/>
      <c r="J692" s="51"/>
    </row>
    <row r="693" spans="1:10" x14ac:dyDescent="0.25">
      <c r="A693" s="7"/>
      <c r="B693" s="1"/>
      <c r="C693" s="1"/>
      <c r="D693" s="1"/>
      <c r="F693" s="7"/>
      <c r="G693" s="1"/>
      <c r="H693" s="1"/>
      <c r="I693" s="1"/>
      <c r="J693" s="51"/>
    </row>
    <row r="694" spans="1:10" x14ac:dyDescent="0.25">
      <c r="A694" s="7"/>
      <c r="B694" s="1"/>
      <c r="C694" s="1"/>
      <c r="D694" s="1"/>
      <c r="F694" s="7"/>
      <c r="G694" s="1"/>
      <c r="H694" s="1"/>
      <c r="I694" s="1"/>
      <c r="J694" s="51"/>
    </row>
    <row r="695" spans="1:10" x14ac:dyDescent="0.25">
      <c r="A695" s="7"/>
      <c r="B695" s="1"/>
      <c r="C695" s="1"/>
      <c r="D695" s="1"/>
      <c r="F695" s="7"/>
      <c r="G695" s="1"/>
      <c r="H695" s="1"/>
      <c r="I695" s="1"/>
      <c r="J695" s="51"/>
    </row>
    <row r="696" spans="1:10" x14ac:dyDescent="0.25">
      <c r="A696" s="7"/>
      <c r="B696" s="1"/>
      <c r="C696" s="1"/>
      <c r="D696" s="1"/>
      <c r="F696" s="7"/>
      <c r="G696" s="1"/>
      <c r="H696" s="1"/>
      <c r="I696" s="1"/>
      <c r="J696" s="51"/>
    </row>
    <row r="697" spans="1:10" x14ac:dyDescent="0.25">
      <c r="A697" s="7"/>
      <c r="B697" s="1"/>
      <c r="C697" s="1"/>
      <c r="D697" s="1"/>
      <c r="F697" s="7"/>
      <c r="G697" s="1"/>
      <c r="H697" s="1"/>
      <c r="I697" s="1"/>
      <c r="J697" s="51"/>
    </row>
    <row r="698" spans="1:10" x14ac:dyDescent="0.25">
      <c r="A698" s="7"/>
      <c r="B698" s="1"/>
      <c r="C698" s="1"/>
      <c r="D698" s="1"/>
      <c r="F698" s="7"/>
      <c r="G698" s="1"/>
      <c r="H698" s="1"/>
      <c r="I698" s="1"/>
      <c r="J698" s="51"/>
    </row>
    <row r="699" spans="1:10" x14ac:dyDescent="0.25">
      <c r="A699" s="7"/>
      <c r="B699" s="1"/>
      <c r="C699" s="1"/>
      <c r="D699" s="1"/>
      <c r="F699" s="7"/>
      <c r="G699" s="1"/>
      <c r="H699" s="1"/>
      <c r="I699" s="1"/>
      <c r="J699" s="51"/>
    </row>
    <row r="700" spans="1:10" x14ac:dyDescent="0.25">
      <c r="A700" s="7"/>
      <c r="B700" s="1"/>
      <c r="C700" s="1"/>
      <c r="D700" s="1"/>
      <c r="F700" s="7"/>
      <c r="G700" s="1"/>
      <c r="H700" s="1"/>
      <c r="I700" s="1"/>
      <c r="J700" s="51"/>
    </row>
    <row r="701" spans="1:10" x14ac:dyDescent="0.25">
      <c r="A701" s="7"/>
      <c r="B701" s="1"/>
      <c r="C701" s="1"/>
      <c r="D701" s="1"/>
      <c r="F701" s="7"/>
      <c r="G701" s="1"/>
      <c r="H701" s="1"/>
      <c r="I701" s="1"/>
      <c r="J701" s="51"/>
    </row>
    <row r="702" spans="1:10" x14ac:dyDescent="0.25">
      <c r="A702" s="7"/>
      <c r="B702" s="1"/>
      <c r="C702" s="1"/>
      <c r="D702" s="1"/>
      <c r="F702" s="7"/>
      <c r="G702" s="1"/>
      <c r="H702" s="1"/>
      <c r="I702" s="1"/>
      <c r="J702" s="51"/>
    </row>
    <row r="703" spans="1:10" x14ac:dyDescent="0.25">
      <c r="A703" s="7"/>
      <c r="B703" s="1"/>
      <c r="C703" s="1"/>
      <c r="D703" s="1"/>
      <c r="F703" s="7"/>
      <c r="G703" s="1"/>
      <c r="H703" s="1"/>
      <c r="I703" s="1"/>
      <c r="J703" s="51"/>
    </row>
    <row r="704" spans="1:10" x14ac:dyDescent="0.25">
      <c r="A704" s="7"/>
      <c r="B704" s="1"/>
      <c r="C704" s="1"/>
      <c r="D704" s="1"/>
      <c r="F704" s="7"/>
      <c r="G704" s="1"/>
      <c r="H704" s="1"/>
      <c r="I704" s="1"/>
      <c r="J704" s="51"/>
    </row>
    <row r="705" spans="1:10" x14ac:dyDescent="0.25">
      <c r="A705" s="7"/>
      <c r="B705" s="1"/>
      <c r="C705" s="1"/>
      <c r="D705" s="1"/>
      <c r="F705" s="7"/>
      <c r="G705" s="1"/>
      <c r="H705" s="1"/>
      <c r="I705" s="1"/>
      <c r="J705" s="51"/>
    </row>
    <row r="706" spans="1:10" x14ac:dyDescent="0.25">
      <c r="A706" s="7"/>
      <c r="B706" s="1"/>
      <c r="C706" s="1"/>
      <c r="D706" s="1"/>
      <c r="F706" s="7"/>
      <c r="G706" s="1"/>
      <c r="H706" s="1"/>
      <c r="I706" s="1"/>
      <c r="J706" s="51"/>
    </row>
    <row r="707" spans="1:10" x14ac:dyDescent="0.25">
      <c r="A707" s="7"/>
      <c r="B707" s="1"/>
      <c r="C707" s="1"/>
      <c r="D707" s="1"/>
      <c r="F707" s="7"/>
      <c r="G707" s="1"/>
      <c r="H707" s="1"/>
      <c r="I707" s="1"/>
      <c r="J707" s="51"/>
    </row>
    <row r="708" spans="1:10" x14ac:dyDescent="0.25">
      <c r="A708" s="7"/>
      <c r="B708" s="1"/>
      <c r="C708" s="1"/>
      <c r="D708" s="1"/>
      <c r="F708" s="7"/>
      <c r="G708" s="1"/>
      <c r="H708" s="1"/>
      <c r="I708" s="1"/>
      <c r="J708" s="51"/>
    </row>
    <row r="709" spans="1:10" x14ac:dyDescent="0.25">
      <c r="A709" s="7"/>
      <c r="B709" s="1"/>
      <c r="C709" s="1"/>
      <c r="D709" s="1"/>
      <c r="F709" s="7"/>
      <c r="G709" s="1"/>
      <c r="H709" s="1"/>
      <c r="I709" s="1"/>
      <c r="J709" s="51"/>
    </row>
    <row r="710" spans="1:10" x14ac:dyDescent="0.25">
      <c r="A710" s="7"/>
      <c r="B710" s="1"/>
      <c r="C710" s="1"/>
      <c r="D710" s="1"/>
      <c r="F710" s="7"/>
      <c r="G710" s="1"/>
      <c r="H710" s="1"/>
      <c r="I710" s="1"/>
      <c r="J710" s="51"/>
    </row>
    <row r="711" spans="1:10" x14ac:dyDescent="0.25">
      <c r="A711" s="7"/>
      <c r="B711" s="1"/>
      <c r="C711" s="1"/>
      <c r="D711" s="1"/>
      <c r="F711" s="7"/>
      <c r="G711" s="1"/>
      <c r="H711" s="1"/>
      <c r="I711" s="1"/>
      <c r="J711" s="51"/>
    </row>
    <row r="712" spans="1:10" x14ac:dyDescent="0.25">
      <c r="A712" s="7"/>
      <c r="B712" s="1"/>
      <c r="C712" s="1"/>
      <c r="D712" s="1"/>
      <c r="F712" s="7"/>
      <c r="G712" s="1"/>
      <c r="H712" s="1"/>
      <c r="I712" s="1"/>
      <c r="J712" s="51"/>
    </row>
    <row r="713" spans="1:10" x14ac:dyDescent="0.25">
      <c r="A713" s="7"/>
      <c r="B713" s="1"/>
      <c r="C713" s="1"/>
      <c r="D713" s="1"/>
      <c r="F713" s="7"/>
      <c r="G713" s="1"/>
      <c r="H713" s="1"/>
      <c r="I713" s="1"/>
      <c r="J713" s="51"/>
    </row>
    <row r="714" spans="1:10" x14ac:dyDescent="0.25">
      <c r="A714" s="7"/>
      <c r="B714" s="1"/>
      <c r="C714" s="1"/>
      <c r="D714" s="1"/>
      <c r="F714" s="7"/>
      <c r="G714" s="1"/>
      <c r="H714" s="1"/>
      <c r="I714" s="1"/>
      <c r="J714" s="51"/>
    </row>
    <row r="715" spans="1:10" x14ac:dyDescent="0.25">
      <c r="A715" s="7"/>
      <c r="B715" s="1"/>
      <c r="C715" s="1"/>
      <c r="D715" s="1"/>
      <c r="F715" s="7"/>
      <c r="G715" s="1"/>
      <c r="H715" s="1"/>
      <c r="I715" s="1"/>
      <c r="J715" s="51"/>
    </row>
    <row r="716" spans="1:10" x14ac:dyDescent="0.25">
      <c r="A716" s="7"/>
      <c r="B716" s="1"/>
      <c r="C716" s="1"/>
      <c r="D716" s="1"/>
      <c r="F716" s="7"/>
      <c r="G716" s="1"/>
      <c r="H716" s="1"/>
      <c r="I716" s="1"/>
      <c r="J716" s="51"/>
    </row>
    <row r="717" spans="1:10" x14ac:dyDescent="0.25">
      <c r="A717" s="7"/>
      <c r="B717" s="1"/>
      <c r="C717" s="1"/>
      <c r="D717" s="1"/>
      <c r="F717" s="7"/>
      <c r="G717" s="1"/>
      <c r="H717" s="1"/>
      <c r="I717" s="1"/>
      <c r="J717" s="51"/>
    </row>
    <row r="718" spans="1:10" x14ac:dyDescent="0.25">
      <c r="A718" s="7"/>
      <c r="B718" s="1"/>
      <c r="C718" s="1"/>
      <c r="D718" s="1"/>
      <c r="F718" s="7"/>
      <c r="G718" s="1"/>
      <c r="H718" s="1"/>
      <c r="I718" s="1"/>
      <c r="J718" s="51"/>
    </row>
    <row r="719" spans="1:10" x14ac:dyDescent="0.25">
      <c r="A719" s="7"/>
      <c r="B719" s="1"/>
      <c r="C719" s="1"/>
      <c r="D719" s="1"/>
      <c r="F719" s="7"/>
      <c r="G719" s="1"/>
      <c r="H719" s="1"/>
      <c r="I719" s="1"/>
      <c r="J719" s="51"/>
    </row>
    <row r="720" spans="1:10" x14ac:dyDescent="0.25">
      <c r="A720" s="7"/>
      <c r="B720" s="1"/>
      <c r="C720" s="1"/>
      <c r="D720" s="1"/>
      <c r="F720" s="7"/>
      <c r="G720" s="1"/>
      <c r="H720" s="1"/>
      <c r="I720" s="1"/>
      <c r="J720" s="51"/>
    </row>
    <row r="721" spans="1:10" x14ac:dyDescent="0.25">
      <c r="A721" s="7"/>
      <c r="B721" s="1"/>
      <c r="C721" s="1"/>
      <c r="D721" s="1"/>
      <c r="F721" s="7"/>
      <c r="G721" s="1"/>
      <c r="H721" s="1"/>
      <c r="I721" s="1"/>
      <c r="J721" s="51"/>
    </row>
    <row r="722" spans="1:10" x14ac:dyDescent="0.25">
      <c r="A722" s="7"/>
      <c r="B722" s="1"/>
      <c r="C722" s="1"/>
      <c r="D722" s="1"/>
      <c r="F722" s="7"/>
      <c r="G722" s="1"/>
      <c r="H722" s="1"/>
      <c r="I722" s="1"/>
      <c r="J722" s="51"/>
    </row>
    <row r="723" spans="1:10" x14ac:dyDescent="0.25">
      <c r="A723" s="7"/>
      <c r="B723" s="1"/>
      <c r="C723" s="1"/>
      <c r="D723" s="1"/>
      <c r="F723" s="7"/>
      <c r="G723" s="1"/>
      <c r="H723" s="1"/>
      <c r="I723" s="1"/>
      <c r="J723" s="51"/>
    </row>
    <row r="724" spans="1:10" x14ac:dyDescent="0.25">
      <c r="A724" s="7"/>
      <c r="B724" s="1"/>
      <c r="C724" s="1"/>
      <c r="D724" s="1"/>
      <c r="F724" s="7"/>
      <c r="G724" s="1"/>
      <c r="H724" s="1"/>
      <c r="I724" s="1"/>
      <c r="J724" s="51"/>
    </row>
    <row r="725" spans="1:10" x14ac:dyDescent="0.25">
      <c r="A725" s="7"/>
      <c r="B725" s="1"/>
      <c r="C725" s="1"/>
      <c r="D725" s="1"/>
      <c r="F725" s="7"/>
      <c r="G725" s="1"/>
      <c r="H725" s="1"/>
      <c r="I725" s="1"/>
      <c r="J725" s="51"/>
    </row>
    <row r="726" spans="1:10" x14ac:dyDescent="0.25">
      <c r="A726" s="7"/>
      <c r="B726" s="1"/>
      <c r="C726" s="1"/>
      <c r="D726" s="1"/>
      <c r="F726" s="7"/>
      <c r="G726" s="1"/>
      <c r="H726" s="1"/>
      <c r="I726" s="1"/>
      <c r="J726" s="51"/>
    </row>
    <row r="727" spans="1:10" x14ac:dyDescent="0.25">
      <c r="A727" s="7"/>
      <c r="B727" s="1"/>
      <c r="C727" s="1"/>
      <c r="D727" s="1"/>
      <c r="F727" s="7"/>
      <c r="G727" s="1"/>
      <c r="H727" s="1"/>
      <c r="I727" s="1"/>
      <c r="J727" s="51"/>
    </row>
    <row r="728" spans="1:10" x14ac:dyDescent="0.25">
      <c r="A728" s="7"/>
      <c r="B728" s="1"/>
      <c r="C728" s="1"/>
      <c r="D728" s="1"/>
      <c r="F728" s="7"/>
      <c r="G728" s="1"/>
      <c r="H728" s="1"/>
      <c r="I728" s="1"/>
      <c r="J728" s="51"/>
    </row>
    <row r="729" spans="1:10" x14ac:dyDescent="0.25">
      <c r="A729" s="7"/>
      <c r="B729" s="1"/>
      <c r="C729" s="1"/>
      <c r="D729" s="1"/>
      <c r="F729" s="7"/>
      <c r="G729" s="1"/>
      <c r="H729" s="1"/>
      <c r="I729" s="1"/>
      <c r="J729" s="51"/>
    </row>
    <row r="730" spans="1:10" x14ac:dyDescent="0.25">
      <c r="A730" s="7"/>
      <c r="B730" s="1"/>
      <c r="C730" s="1"/>
      <c r="D730" s="1"/>
      <c r="F730" s="7"/>
      <c r="G730" s="1"/>
      <c r="H730" s="1"/>
      <c r="I730" s="1"/>
      <c r="J730" s="51"/>
    </row>
    <row r="731" spans="1:10" x14ac:dyDescent="0.25">
      <c r="A731" s="7"/>
      <c r="B731" s="1"/>
      <c r="C731" s="1"/>
      <c r="D731" s="1"/>
      <c r="F731" s="7"/>
      <c r="G731" s="1"/>
      <c r="H731" s="1"/>
      <c r="I731" s="1"/>
      <c r="J731" s="51"/>
    </row>
    <row r="732" spans="1:10" x14ac:dyDescent="0.25">
      <c r="A732" s="7"/>
      <c r="B732" s="1"/>
      <c r="C732" s="1"/>
      <c r="D732" s="1"/>
      <c r="F732" s="7"/>
      <c r="G732" s="1"/>
      <c r="H732" s="1"/>
      <c r="I732" s="1"/>
      <c r="J732" s="51"/>
    </row>
    <row r="733" spans="1:10" x14ac:dyDescent="0.25">
      <c r="A733" s="7"/>
      <c r="B733" s="1"/>
      <c r="C733" s="1"/>
      <c r="D733" s="1"/>
      <c r="F733" s="7"/>
      <c r="G733" s="1"/>
      <c r="H733" s="1"/>
      <c r="I733" s="1"/>
      <c r="J733" s="51"/>
    </row>
    <row r="734" spans="1:10" x14ac:dyDescent="0.25">
      <c r="A734" s="7"/>
      <c r="B734" s="1"/>
      <c r="C734" s="1"/>
      <c r="D734" s="1"/>
      <c r="F734" s="7"/>
      <c r="G734" s="1"/>
      <c r="H734" s="1"/>
      <c r="I734" s="1"/>
      <c r="J734" s="51"/>
    </row>
    <row r="735" spans="1:10" x14ac:dyDescent="0.25">
      <c r="A735" s="7"/>
      <c r="B735" s="1"/>
      <c r="C735" s="1"/>
      <c r="D735" s="1"/>
      <c r="F735" s="7"/>
      <c r="G735" s="1"/>
      <c r="H735" s="1"/>
      <c r="I735" s="1"/>
      <c r="J735" s="51"/>
    </row>
    <row r="736" spans="1:10" x14ac:dyDescent="0.25">
      <c r="A736" s="7"/>
      <c r="B736" s="1"/>
      <c r="C736" s="1"/>
      <c r="D736" s="1"/>
      <c r="F736" s="7"/>
      <c r="G736" s="1"/>
      <c r="H736" s="1"/>
      <c r="I736" s="1"/>
      <c r="J736" s="51"/>
    </row>
    <row r="737" spans="1:10" x14ac:dyDescent="0.25">
      <c r="A737" s="7"/>
      <c r="B737" s="1"/>
      <c r="C737" s="1"/>
      <c r="D737" s="1"/>
      <c r="F737" s="7"/>
      <c r="G737" s="1"/>
      <c r="H737" s="1"/>
      <c r="I737" s="1"/>
      <c r="J737" s="51"/>
    </row>
    <row r="738" spans="1:10" x14ac:dyDescent="0.25">
      <c r="A738" s="7"/>
      <c r="B738" s="1"/>
      <c r="C738" s="1"/>
      <c r="D738" s="1"/>
      <c r="F738" s="7"/>
      <c r="G738" s="1"/>
      <c r="H738" s="1"/>
      <c r="I738" s="1"/>
      <c r="J738" s="51"/>
    </row>
    <row r="739" spans="1:10" x14ac:dyDescent="0.25">
      <c r="A739" s="7"/>
      <c r="B739" s="1"/>
      <c r="C739" s="1"/>
      <c r="D739" s="1"/>
      <c r="F739" s="7"/>
      <c r="G739" s="1"/>
      <c r="H739" s="1"/>
      <c r="I739" s="1"/>
      <c r="J739" s="51"/>
    </row>
    <row r="740" spans="1:10" x14ac:dyDescent="0.25">
      <c r="A740" s="7"/>
      <c r="B740" s="1"/>
      <c r="C740" s="1"/>
      <c r="D740" s="1"/>
      <c r="F740" s="7"/>
      <c r="G740" s="1"/>
      <c r="H740" s="1"/>
      <c r="I740" s="1"/>
      <c r="J740" s="51"/>
    </row>
    <row r="741" spans="1:10" x14ac:dyDescent="0.25">
      <c r="A741" s="7"/>
      <c r="B741" s="1"/>
      <c r="C741" s="1"/>
      <c r="D741" s="1"/>
      <c r="F741" s="7"/>
      <c r="G741" s="1"/>
      <c r="H741" s="1"/>
      <c r="I741" s="1"/>
      <c r="J741" s="51"/>
    </row>
    <row r="742" spans="1:10" x14ac:dyDescent="0.25">
      <c r="A742" s="7"/>
      <c r="B742" s="1"/>
      <c r="C742" s="1"/>
      <c r="D742" s="1"/>
      <c r="F742" s="7"/>
      <c r="G742" s="1"/>
      <c r="H742" s="1"/>
      <c r="I742" s="1"/>
      <c r="J742" s="51"/>
    </row>
    <row r="743" spans="1:10" x14ac:dyDescent="0.25">
      <c r="A743" s="7"/>
      <c r="B743" s="1"/>
      <c r="C743" s="1"/>
      <c r="D743" s="1"/>
      <c r="F743" s="7"/>
      <c r="G743" s="1"/>
      <c r="H743" s="1"/>
      <c r="I743" s="1"/>
      <c r="J743" s="51"/>
    </row>
    <row r="744" spans="1:10" x14ac:dyDescent="0.25">
      <c r="A744" s="7"/>
      <c r="B744" s="1"/>
      <c r="C744" s="1"/>
      <c r="D744" s="1"/>
      <c r="F744" s="7"/>
      <c r="G744" s="1"/>
      <c r="H744" s="1"/>
      <c r="I744" s="1"/>
      <c r="J744" s="51"/>
    </row>
    <row r="745" spans="1:10" x14ac:dyDescent="0.25">
      <c r="A745" s="7"/>
      <c r="B745" s="1"/>
      <c r="C745" s="1"/>
      <c r="D745" s="1"/>
      <c r="F745" s="7"/>
      <c r="G745" s="1"/>
      <c r="H745" s="1"/>
      <c r="I745" s="1"/>
      <c r="J745" s="51"/>
    </row>
    <row r="746" spans="1:10" x14ac:dyDescent="0.25">
      <c r="A746" s="7"/>
      <c r="B746" s="1"/>
      <c r="C746" s="1"/>
      <c r="D746" s="1"/>
      <c r="F746" s="7"/>
      <c r="G746" s="1"/>
      <c r="H746" s="1"/>
      <c r="I746" s="1"/>
      <c r="J746" s="51"/>
    </row>
    <row r="747" spans="1:10" x14ac:dyDescent="0.25">
      <c r="A747" s="7"/>
      <c r="B747" s="1"/>
      <c r="C747" s="1"/>
      <c r="D747" s="1"/>
      <c r="F747" s="7"/>
      <c r="G747" s="1"/>
      <c r="H747" s="1"/>
      <c r="I747" s="1"/>
      <c r="J747" s="51"/>
    </row>
    <row r="748" spans="1:10" x14ac:dyDescent="0.25">
      <c r="A748" s="7"/>
      <c r="B748" s="1"/>
      <c r="C748" s="1"/>
      <c r="D748" s="1"/>
      <c r="F748" s="7"/>
      <c r="G748" s="1"/>
      <c r="H748" s="1"/>
      <c r="I748" s="1"/>
      <c r="J748" s="51"/>
    </row>
    <row r="749" spans="1:10" x14ac:dyDescent="0.25">
      <c r="A749" s="7"/>
      <c r="B749" s="1"/>
      <c r="C749" s="1"/>
      <c r="D749" s="1"/>
      <c r="F749" s="7"/>
      <c r="G749" s="1"/>
      <c r="H749" s="1"/>
      <c r="I749" s="1"/>
      <c r="J749" s="51"/>
    </row>
    <row r="750" spans="1:10" x14ac:dyDescent="0.25">
      <c r="A750" s="7"/>
      <c r="B750" s="1"/>
      <c r="C750" s="1"/>
      <c r="D750" s="1"/>
      <c r="F750" s="7"/>
      <c r="G750" s="1"/>
      <c r="H750" s="1"/>
      <c r="I750" s="1"/>
      <c r="J750" s="51"/>
    </row>
    <row r="751" spans="1:10" x14ac:dyDescent="0.25">
      <c r="A751" s="7"/>
      <c r="B751" s="1"/>
      <c r="C751" s="1"/>
      <c r="D751" s="1"/>
      <c r="F751" s="7"/>
      <c r="G751" s="1"/>
      <c r="H751" s="1"/>
      <c r="I751" s="1"/>
      <c r="J751" s="51"/>
    </row>
    <row r="752" spans="1:10" x14ac:dyDescent="0.25">
      <c r="A752" s="7"/>
      <c r="B752" s="1"/>
      <c r="C752" s="1"/>
      <c r="D752" s="1"/>
      <c r="F752" s="7"/>
      <c r="G752" s="1"/>
      <c r="H752" s="1"/>
      <c r="I752" s="1"/>
      <c r="J752" s="51"/>
    </row>
    <row r="753" spans="1:10" x14ac:dyDescent="0.25">
      <c r="A753" s="7"/>
      <c r="B753" s="1"/>
      <c r="C753" s="1"/>
      <c r="D753" s="1"/>
      <c r="F753" s="7"/>
      <c r="G753" s="1"/>
      <c r="H753" s="1"/>
      <c r="I753" s="1"/>
      <c r="J753" s="51"/>
    </row>
    <row r="754" spans="1:10" x14ac:dyDescent="0.25">
      <c r="A754" s="7"/>
      <c r="B754" s="1"/>
      <c r="C754" s="1"/>
      <c r="D754" s="1"/>
      <c r="F754" s="7"/>
      <c r="G754" s="1"/>
      <c r="H754" s="1"/>
      <c r="I754" s="1"/>
      <c r="J754" s="51"/>
    </row>
    <row r="755" spans="1:10" x14ac:dyDescent="0.25">
      <c r="A755" s="7"/>
      <c r="B755" s="1"/>
      <c r="C755" s="1"/>
      <c r="D755" s="1"/>
      <c r="F755" s="7"/>
      <c r="G755" s="1"/>
      <c r="H755" s="1"/>
      <c r="I755" s="1"/>
      <c r="J755" s="51"/>
    </row>
    <row r="756" spans="1:10" x14ac:dyDescent="0.25">
      <c r="A756" s="7"/>
      <c r="B756" s="1"/>
      <c r="C756" s="1"/>
      <c r="D756" s="1"/>
      <c r="F756" s="7"/>
      <c r="G756" s="1"/>
      <c r="H756" s="1"/>
      <c r="I756" s="1"/>
      <c r="J756" s="51"/>
    </row>
    <row r="757" spans="1:10" x14ac:dyDescent="0.25">
      <c r="A757" s="7"/>
      <c r="B757" s="1"/>
      <c r="C757" s="1"/>
      <c r="D757" s="1"/>
      <c r="F757" s="7"/>
      <c r="G757" s="1"/>
      <c r="H757" s="1"/>
      <c r="I757" s="1"/>
      <c r="J757" s="51"/>
    </row>
    <row r="758" spans="1:10" x14ac:dyDescent="0.25">
      <c r="A758" s="7"/>
      <c r="B758" s="1"/>
      <c r="C758" s="1"/>
      <c r="D758" s="1"/>
      <c r="F758" s="7"/>
      <c r="G758" s="1"/>
      <c r="H758" s="1"/>
      <c r="I758" s="1"/>
      <c r="J758" s="51"/>
    </row>
    <row r="759" spans="1:10" x14ac:dyDescent="0.25">
      <c r="A759" s="7"/>
      <c r="B759" s="1"/>
      <c r="C759" s="1"/>
      <c r="D759" s="1"/>
      <c r="F759" s="7"/>
      <c r="G759" s="1"/>
      <c r="H759" s="1"/>
      <c r="I759" s="1"/>
      <c r="J759" s="51"/>
    </row>
    <row r="760" spans="1:10" x14ac:dyDescent="0.25">
      <c r="A760" s="7"/>
      <c r="B760" s="1"/>
      <c r="C760" s="1"/>
      <c r="D760" s="1"/>
      <c r="F760" s="7"/>
      <c r="G760" s="1"/>
      <c r="H760" s="1"/>
      <c r="I760" s="1"/>
      <c r="J760" s="51"/>
    </row>
    <row r="761" spans="1:10" x14ac:dyDescent="0.25">
      <c r="A761" s="7"/>
      <c r="B761" s="1"/>
      <c r="C761" s="1"/>
      <c r="D761" s="1"/>
      <c r="F761" s="7"/>
      <c r="G761" s="1"/>
      <c r="H761" s="1"/>
      <c r="I761" s="1"/>
      <c r="J761" s="51"/>
    </row>
    <row r="762" spans="1:10" x14ac:dyDescent="0.25">
      <c r="A762" s="7"/>
      <c r="B762" s="1"/>
      <c r="C762" s="1"/>
      <c r="D762" s="1"/>
      <c r="F762" s="7"/>
      <c r="G762" s="1"/>
      <c r="H762" s="1"/>
      <c r="I762" s="1"/>
      <c r="J762" s="51"/>
    </row>
    <row r="763" spans="1:10" x14ac:dyDescent="0.25">
      <c r="A763" s="7"/>
      <c r="B763" s="1"/>
      <c r="C763" s="1"/>
      <c r="D763" s="1"/>
      <c r="F763" s="7"/>
      <c r="G763" s="1"/>
      <c r="H763" s="1"/>
      <c r="I763" s="1"/>
      <c r="J763" s="51"/>
    </row>
    <row r="764" spans="1:10" x14ac:dyDescent="0.25">
      <c r="A764" s="7"/>
      <c r="B764" s="1"/>
      <c r="C764" s="1"/>
      <c r="D764" s="1"/>
      <c r="F764" s="7"/>
      <c r="G764" s="1"/>
      <c r="H764" s="1"/>
      <c r="I764" s="1"/>
      <c r="J764" s="51"/>
    </row>
    <row r="765" spans="1:10" x14ac:dyDescent="0.25">
      <c r="A765" s="7"/>
      <c r="B765" s="1"/>
      <c r="C765" s="1"/>
      <c r="D765" s="1"/>
      <c r="F765" s="7"/>
      <c r="G765" s="1"/>
      <c r="H765" s="1"/>
      <c r="I765" s="1"/>
      <c r="J765" s="51"/>
    </row>
    <row r="766" spans="1:10" x14ac:dyDescent="0.25">
      <c r="A766" s="7"/>
      <c r="B766" s="1"/>
      <c r="C766" s="1"/>
      <c r="D766" s="1"/>
      <c r="F766" s="7"/>
      <c r="G766" s="1"/>
      <c r="H766" s="1"/>
      <c r="I766" s="1"/>
      <c r="J766" s="51"/>
    </row>
    <row r="767" spans="1:10" x14ac:dyDescent="0.25">
      <c r="A767" s="7"/>
      <c r="B767" s="1"/>
      <c r="C767" s="1"/>
      <c r="D767" s="1"/>
      <c r="F767" s="7"/>
      <c r="G767" s="1"/>
      <c r="H767" s="1"/>
      <c r="I767" s="1"/>
      <c r="J767" s="51"/>
    </row>
    <row r="768" spans="1:10" x14ac:dyDescent="0.25">
      <c r="A768" s="7"/>
      <c r="B768" s="1"/>
      <c r="C768" s="1"/>
      <c r="D768" s="1"/>
      <c r="F768" s="7"/>
      <c r="G768" s="1"/>
      <c r="H768" s="1"/>
      <c r="I768" s="1"/>
      <c r="J768" s="51"/>
    </row>
    <row r="769" spans="1:10" x14ac:dyDescent="0.25">
      <c r="A769" s="7"/>
      <c r="B769" s="1"/>
      <c r="C769" s="1"/>
      <c r="D769" s="1"/>
      <c r="F769" s="7"/>
      <c r="G769" s="1"/>
      <c r="H769" s="1"/>
      <c r="I769" s="1"/>
      <c r="J769" s="51"/>
    </row>
    <row r="770" spans="1:10" x14ac:dyDescent="0.25">
      <c r="A770" s="7"/>
      <c r="B770" s="1"/>
      <c r="C770" s="1"/>
      <c r="D770" s="1"/>
      <c r="F770" s="7"/>
      <c r="G770" s="1"/>
      <c r="H770" s="1"/>
      <c r="I770" s="1"/>
      <c r="J770" s="51"/>
    </row>
    <row r="771" spans="1:10" x14ac:dyDescent="0.25">
      <c r="A771" s="7"/>
      <c r="B771" s="1"/>
      <c r="C771" s="1"/>
      <c r="D771" s="1"/>
      <c r="F771" s="7"/>
      <c r="G771" s="1"/>
      <c r="H771" s="1"/>
      <c r="I771" s="1"/>
      <c r="J771" s="51"/>
    </row>
    <row r="772" spans="1:10" x14ac:dyDescent="0.25">
      <c r="A772" s="7"/>
      <c r="B772" s="1"/>
      <c r="C772" s="1"/>
      <c r="D772" s="1"/>
      <c r="F772" s="7"/>
      <c r="G772" s="1"/>
      <c r="H772" s="1"/>
      <c r="I772" s="1"/>
      <c r="J772" s="51"/>
    </row>
    <row r="773" spans="1:10" x14ac:dyDescent="0.25">
      <c r="A773" s="7"/>
      <c r="B773" s="1"/>
      <c r="C773" s="1"/>
      <c r="D773" s="1"/>
      <c r="F773" s="7"/>
      <c r="G773" s="1"/>
      <c r="H773" s="1"/>
      <c r="I773" s="1"/>
      <c r="J773" s="51"/>
    </row>
    <row r="774" spans="1:10" x14ac:dyDescent="0.25">
      <c r="A774" s="7"/>
      <c r="B774" s="1"/>
      <c r="C774" s="1"/>
      <c r="D774" s="1"/>
      <c r="F774" s="7"/>
      <c r="G774" s="1"/>
      <c r="H774" s="1"/>
      <c r="I774" s="1"/>
      <c r="J774" s="51"/>
    </row>
    <row r="775" spans="1:10" x14ac:dyDescent="0.25">
      <c r="A775" s="7"/>
      <c r="B775" s="1"/>
      <c r="C775" s="1"/>
      <c r="D775" s="1"/>
      <c r="F775" s="7"/>
      <c r="G775" s="1"/>
      <c r="H775" s="1"/>
      <c r="I775" s="1"/>
      <c r="J775" s="51"/>
    </row>
    <row r="776" spans="1:10" x14ac:dyDescent="0.25">
      <c r="A776" s="7"/>
      <c r="B776" s="1"/>
      <c r="C776" s="1"/>
      <c r="D776" s="1"/>
      <c r="F776" s="7"/>
      <c r="G776" s="1"/>
      <c r="H776" s="1"/>
      <c r="I776" s="1"/>
      <c r="J776" s="51"/>
    </row>
    <row r="777" spans="1:10" x14ac:dyDescent="0.25">
      <c r="A777" s="7"/>
      <c r="B777" s="1"/>
      <c r="C777" s="1"/>
      <c r="D777" s="1"/>
      <c r="F777" s="7"/>
      <c r="G777" s="1"/>
      <c r="H777" s="1"/>
      <c r="I777" s="1"/>
      <c r="J777" s="51"/>
    </row>
    <row r="778" spans="1:10" x14ac:dyDescent="0.25">
      <c r="A778" s="7"/>
      <c r="B778" s="1"/>
      <c r="C778" s="1"/>
      <c r="D778" s="1"/>
      <c r="F778" s="7"/>
      <c r="G778" s="1"/>
      <c r="H778" s="1"/>
      <c r="I778" s="1"/>
      <c r="J778" s="51"/>
    </row>
    <row r="779" spans="1:10" x14ac:dyDescent="0.25">
      <c r="A779" s="7"/>
      <c r="B779" s="1"/>
      <c r="C779" s="1"/>
      <c r="D779" s="1"/>
      <c r="F779" s="7"/>
      <c r="G779" s="1"/>
      <c r="H779" s="1"/>
      <c r="I779" s="1"/>
      <c r="J779" s="51"/>
    </row>
    <row r="780" spans="1:10" x14ac:dyDescent="0.25">
      <c r="A780" s="7"/>
      <c r="B780" s="1"/>
      <c r="C780" s="1"/>
      <c r="D780" s="1"/>
      <c r="F780" s="7"/>
      <c r="G780" s="1"/>
      <c r="H780" s="1"/>
      <c r="I780" s="1"/>
      <c r="J780" s="51"/>
    </row>
    <row r="781" spans="1:10" x14ac:dyDescent="0.25">
      <c r="A781" s="7"/>
      <c r="B781" s="1"/>
      <c r="C781" s="1"/>
      <c r="D781" s="1"/>
      <c r="F781" s="7"/>
      <c r="G781" s="1"/>
      <c r="H781" s="1"/>
      <c r="I781" s="1"/>
      <c r="J781" s="51"/>
    </row>
    <row r="782" spans="1:10" x14ac:dyDescent="0.25">
      <c r="A782" s="7"/>
      <c r="B782" s="1"/>
      <c r="C782" s="1"/>
      <c r="D782" s="1"/>
      <c r="F782" s="7"/>
      <c r="G782" s="1"/>
      <c r="H782" s="1"/>
      <c r="I782" s="1"/>
      <c r="J782" s="51"/>
    </row>
    <row r="783" spans="1:10" x14ac:dyDescent="0.25">
      <c r="A783" s="7"/>
      <c r="B783" s="1"/>
      <c r="C783" s="1"/>
      <c r="D783" s="1"/>
      <c r="F783" s="7"/>
      <c r="G783" s="1"/>
      <c r="H783" s="1"/>
      <c r="I783" s="1"/>
      <c r="J783" s="51"/>
    </row>
    <row r="784" spans="1:10" x14ac:dyDescent="0.25">
      <c r="A784" s="7"/>
      <c r="B784" s="1"/>
      <c r="C784" s="1"/>
      <c r="D784" s="1"/>
      <c r="F784" s="7"/>
      <c r="G784" s="1"/>
      <c r="H784" s="1"/>
      <c r="I784" s="1"/>
      <c r="J784" s="51"/>
    </row>
    <row r="785" spans="1:10" x14ac:dyDescent="0.25">
      <c r="A785" s="7"/>
      <c r="B785" s="1"/>
      <c r="C785" s="1"/>
      <c r="D785" s="1"/>
      <c r="F785" s="7"/>
      <c r="G785" s="1"/>
      <c r="H785" s="1"/>
      <c r="I785" s="1"/>
      <c r="J785" s="51"/>
    </row>
    <row r="786" spans="1:10" x14ac:dyDescent="0.25">
      <c r="A786" s="7"/>
      <c r="B786" s="1"/>
      <c r="C786" s="1"/>
      <c r="D786" s="1"/>
      <c r="F786" s="7"/>
      <c r="G786" s="1"/>
      <c r="H786" s="1"/>
      <c r="I786" s="1"/>
      <c r="J786" s="51"/>
    </row>
    <row r="787" spans="1:10" x14ac:dyDescent="0.25">
      <c r="A787" s="7"/>
      <c r="B787" s="1"/>
      <c r="C787" s="1"/>
      <c r="D787" s="1"/>
      <c r="F787" s="7"/>
      <c r="G787" s="1"/>
      <c r="H787" s="1"/>
      <c r="I787" s="1"/>
      <c r="J787" s="51"/>
    </row>
    <row r="788" spans="1:10" x14ac:dyDescent="0.25">
      <c r="A788" s="7"/>
      <c r="B788" s="1"/>
      <c r="C788" s="1"/>
      <c r="D788" s="1"/>
      <c r="F788" s="7"/>
      <c r="G788" s="1"/>
      <c r="H788" s="1"/>
      <c r="I788" s="1"/>
      <c r="J788" s="51"/>
    </row>
    <row r="789" spans="1:10" x14ac:dyDescent="0.25">
      <c r="A789" s="7"/>
      <c r="B789" s="1"/>
      <c r="C789" s="1"/>
      <c r="D789" s="1"/>
      <c r="F789" s="7"/>
      <c r="G789" s="1"/>
      <c r="H789" s="1"/>
      <c r="I789" s="1"/>
      <c r="J789" s="51"/>
    </row>
    <row r="790" spans="1:10" x14ac:dyDescent="0.25">
      <c r="A790" s="7"/>
      <c r="B790" s="1"/>
      <c r="C790" s="1"/>
      <c r="D790" s="1"/>
      <c r="F790" s="7"/>
      <c r="G790" s="1"/>
      <c r="H790" s="1"/>
      <c r="I790" s="1"/>
      <c r="J790" s="51"/>
    </row>
    <row r="791" spans="1:10" x14ac:dyDescent="0.25">
      <c r="A791" s="7"/>
      <c r="B791" s="1"/>
      <c r="C791" s="1"/>
      <c r="D791" s="1"/>
      <c r="F791" s="7"/>
      <c r="G791" s="1"/>
      <c r="H791" s="1"/>
      <c r="I791" s="1"/>
      <c r="J791" s="51"/>
    </row>
    <row r="792" spans="1:10" x14ac:dyDescent="0.25">
      <c r="A792" s="7"/>
      <c r="B792" s="1"/>
      <c r="C792" s="1"/>
      <c r="D792" s="1"/>
      <c r="F792" s="7"/>
      <c r="G792" s="1"/>
      <c r="H792" s="1"/>
      <c r="I792" s="1"/>
      <c r="J792" s="51"/>
    </row>
    <row r="793" spans="1:10" x14ac:dyDescent="0.25">
      <c r="A793" s="7"/>
      <c r="B793" s="1"/>
      <c r="C793" s="1"/>
      <c r="D793" s="1"/>
      <c r="F793" s="7"/>
      <c r="G793" s="1"/>
      <c r="H793" s="1"/>
      <c r="I793" s="1"/>
      <c r="J793" s="51"/>
    </row>
    <row r="794" spans="1:10" x14ac:dyDescent="0.25">
      <c r="A794" s="7"/>
      <c r="B794" s="1"/>
      <c r="C794" s="1"/>
      <c r="D794" s="1"/>
      <c r="E794" s="8"/>
      <c r="F794" s="7"/>
      <c r="G794" s="1"/>
      <c r="H794" s="1"/>
      <c r="I794" s="1"/>
    </row>
    <row r="795" spans="1:10" x14ac:dyDescent="0.25">
      <c r="A795" s="7"/>
      <c r="B795" s="1"/>
      <c r="C795" s="1"/>
      <c r="D795" s="1"/>
      <c r="F795" s="7"/>
      <c r="G795" s="1"/>
      <c r="H795" s="1"/>
      <c r="I795" s="1"/>
    </row>
    <row r="796" spans="1:10" x14ac:dyDescent="0.25">
      <c r="A796" s="7"/>
      <c r="B796" s="1"/>
      <c r="C796" s="1"/>
      <c r="D796" s="1"/>
      <c r="F796" s="7"/>
      <c r="G796" s="1"/>
      <c r="H796" s="1"/>
      <c r="I796" s="1"/>
    </row>
    <row r="797" spans="1:10" x14ac:dyDescent="0.25">
      <c r="A797" s="7"/>
      <c r="B797" s="1"/>
      <c r="C797" s="1"/>
      <c r="D797" s="1"/>
      <c r="F797" s="7"/>
      <c r="G797" s="1"/>
      <c r="H797" s="1"/>
      <c r="I797" s="1"/>
    </row>
    <row r="798" spans="1:10" x14ac:dyDescent="0.25">
      <c r="A798" s="7"/>
      <c r="B798" s="1"/>
      <c r="C798" s="1"/>
      <c r="D798" s="1"/>
      <c r="F798" s="7"/>
      <c r="G798" s="1"/>
      <c r="H798" s="1"/>
      <c r="I798" s="1"/>
    </row>
    <row r="799" spans="1:10" x14ac:dyDescent="0.25">
      <c r="A799" s="7"/>
      <c r="B799" s="1"/>
      <c r="C799" s="1"/>
      <c r="D799" s="1"/>
      <c r="F799" s="7"/>
      <c r="G799" s="1"/>
      <c r="H799" s="1"/>
      <c r="I799" s="1"/>
    </row>
    <row r="800" spans="1:10" x14ac:dyDescent="0.25">
      <c r="A800" s="7"/>
      <c r="B800" s="1"/>
      <c r="C800" s="1"/>
      <c r="D800" s="1"/>
      <c r="F800" s="7"/>
      <c r="G800" s="1"/>
      <c r="H800" s="1"/>
      <c r="I800" s="1"/>
    </row>
    <row r="801" spans="1:9" x14ac:dyDescent="0.25">
      <c r="A801" s="7"/>
      <c r="B801" s="1"/>
      <c r="C801" s="1"/>
      <c r="D801" s="1"/>
      <c r="F801" s="7"/>
      <c r="G801" s="1"/>
      <c r="H801" s="1"/>
      <c r="I801" s="1"/>
    </row>
    <row r="802" spans="1:9" x14ac:dyDescent="0.25">
      <c r="A802" s="7"/>
      <c r="B802" s="1"/>
      <c r="C802" s="1"/>
      <c r="D802" s="1"/>
      <c r="F802" s="7"/>
      <c r="G802" s="1"/>
      <c r="H802" s="1"/>
      <c r="I802" s="1"/>
    </row>
    <row r="803" spans="1:9" x14ac:dyDescent="0.25">
      <c r="A803" s="7"/>
      <c r="B803" s="1"/>
      <c r="C803" s="1"/>
      <c r="D803" s="1"/>
      <c r="F803" s="7"/>
      <c r="G803" s="1"/>
      <c r="H803" s="1"/>
      <c r="I803" s="1"/>
    </row>
    <row r="804" spans="1:9" x14ac:dyDescent="0.25">
      <c r="A804" s="7"/>
      <c r="B804" s="1"/>
      <c r="C804" s="1"/>
      <c r="D804" s="1"/>
      <c r="F804" s="7"/>
      <c r="G804" s="1"/>
      <c r="H804" s="1"/>
      <c r="I804" s="1"/>
    </row>
    <row r="805" spans="1:9" x14ac:dyDescent="0.25">
      <c r="A805" s="7"/>
      <c r="B805" s="1"/>
      <c r="C805" s="1"/>
      <c r="D805" s="1"/>
      <c r="F805" s="7"/>
      <c r="G805" s="1"/>
      <c r="H805" s="1"/>
      <c r="I805" s="1"/>
    </row>
    <row r="806" spans="1:9" x14ac:dyDescent="0.25">
      <c r="A806" s="7"/>
      <c r="B806" s="1"/>
      <c r="C806" s="1"/>
      <c r="D806" s="1"/>
      <c r="F806" s="7"/>
      <c r="G806" s="1"/>
      <c r="H806" s="1"/>
      <c r="I806" s="1"/>
    </row>
    <row r="807" spans="1:9" x14ac:dyDescent="0.25">
      <c r="A807" s="7"/>
      <c r="B807" s="1"/>
      <c r="C807" s="1"/>
      <c r="D807" s="1"/>
      <c r="F807" s="7"/>
      <c r="G807" s="1"/>
      <c r="H807" s="1"/>
      <c r="I807" s="1"/>
    </row>
    <row r="808" spans="1:9" x14ac:dyDescent="0.25">
      <c r="A808" s="7"/>
      <c r="B808" s="1"/>
      <c r="C808" s="1"/>
      <c r="D808" s="1"/>
      <c r="F808" s="7"/>
      <c r="G808" s="1"/>
      <c r="H808" s="1"/>
      <c r="I808" s="1"/>
    </row>
    <row r="809" spans="1:9" x14ac:dyDescent="0.25">
      <c r="A809" s="7"/>
      <c r="B809" s="1"/>
      <c r="C809" s="1"/>
      <c r="D809" s="1"/>
      <c r="F809" s="7"/>
      <c r="G809" s="1"/>
      <c r="H809" s="1"/>
      <c r="I809" s="1"/>
    </row>
    <row r="810" spans="1:9" x14ac:dyDescent="0.25">
      <c r="A810" s="7"/>
      <c r="B810" s="1"/>
      <c r="C810" s="1"/>
      <c r="D810" s="1"/>
      <c r="F810" s="7"/>
      <c r="G810" s="1"/>
      <c r="H810" s="1"/>
      <c r="I810" s="1"/>
    </row>
    <row r="811" spans="1:9" x14ac:dyDescent="0.25">
      <c r="A811" s="7"/>
      <c r="B811" s="1"/>
      <c r="C811" s="1"/>
      <c r="D811" s="1"/>
      <c r="F811" s="7"/>
      <c r="G811" s="1"/>
      <c r="H811" s="1"/>
      <c r="I811" s="1"/>
    </row>
    <row r="812" spans="1:9" x14ac:dyDescent="0.25">
      <c r="A812" s="7"/>
      <c r="B812" s="1"/>
      <c r="C812" s="1"/>
      <c r="D812" s="1"/>
      <c r="F812" s="7"/>
      <c r="G812" s="1"/>
      <c r="H812" s="1"/>
      <c r="I812" s="1"/>
    </row>
    <row r="813" spans="1:9" x14ac:dyDescent="0.25">
      <c r="A813" s="7"/>
      <c r="B813" s="1"/>
      <c r="C813" s="1"/>
      <c r="D813" s="1"/>
      <c r="F813" s="7"/>
      <c r="G813" s="1"/>
      <c r="H813" s="1"/>
      <c r="I813" s="1"/>
    </row>
    <row r="814" spans="1:9" x14ac:dyDescent="0.25">
      <c r="A814" s="7"/>
      <c r="B814" s="1"/>
      <c r="C814" s="1"/>
      <c r="D814" s="1"/>
      <c r="F814" s="7"/>
      <c r="G814" s="1"/>
      <c r="H814" s="1"/>
      <c r="I814" s="1"/>
    </row>
    <row r="815" spans="1:9" x14ac:dyDescent="0.25">
      <c r="A815" s="7"/>
      <c r="B815" s="1"/>
      <c r="C815" s="1"/>
      <c r="D815" s="1"/>
      <c r="F815" s="7"/>
      <c r="G815" s="1"/>
      <c r="H815" s="1"/>
      <c r="I815" s="1"/>
    </row>
    <row r="816" spans="1:9" x14ac:dyDescent="0.25">
      <c r="A816" s="7"/>
      <c r="B816" s="1"/>
      <c r="C816" s="1"/>
      <c r="D816" s="1"/>
      <c r="F816" s="7"/>
      <c r="G816" s="1"/>
      <c r="H816" s="1"/>
      <c r="I816" s="1"/>
    </row>
    <row r="817" spans="1:9" x14ac:dyDescent="0.25">
      <c r="A817" s="7"/>
      <c r="B817" s="1"/>
      <c r="C817" s="1"/>
      <c r="D817" s="1"/>
      <c r="F817" s="7"/>
      <c r="G817" s="1"/>
      <c r="H817" s="1"/>
      <c r="I817" s="1"/>
    </row>
    <row r="818" spans="1:9" x14ac:dyDescent="0.25">
      <c r="A818" s="7"/>
      <c r="B818" s="1"/>
      <c r="C818" s="1"/>
      <c r="D818" s="1"/>
      <c r="F818" s="7"/>
      <c r="G818" s="1"/>
      <c r="H818" s="1"/>
      <c r="I818" s="1"/>
    </row>
    <row r="819" spans="1:9" x14ac:dyDescent="0.25">
      <c r="A819" s="7"/>
      <c r="B819" s="1"/>
      <c r="C819" s="1"/>
      <c r="D819" s="1"/>
      <c r="F819" s="7"/>
      <c r="G819" s="1"/>
      <c r="H819" s="1"/>
      <c r="I819" s="1"/>
    </row>
    <row r="820" spans="1:9" x14ac:dyDescent="0.25">
      <c r="A820" s="7"/>
      <c r="B820" s="1"/>
      <c r="C820" s="1"/>
      <c r="D820" s="1"/>
      <c r="F820" s="7"/>
      <c r="G820" s="1"/>
      <c r="H820" s="1"/>
      <c r="I820" s="1"/>
    </row>
    <row r="821" spans="1:9" x14ac:dyDescent="0.25">
      <c r="A821" s="7"/>
      <c r="B821" s="1"/>
      <c r="C821" s="1"/>
      <c r="D821" s="1"/>
      <c r="F821" s="7"/>
      <c r="G821" s="1"/>
      <c r="H821" s="1"/>
      <c r="I821" s="1"/>
    </row>
    <row r="822" spans="1:9" x14ac:dyDescent="0.25">
      <c r="A822" s="7"/>
      <c r="B822" s="1"/>
      <c r="C822" s="1"/>
      <c r="D822" s="1"/>
      <c r="F822" s="7"/>
      <c r="G822" s="1"/>
      <c r="H822" s="1"/>
      <c r="I822" s="1"/>
    </row>
    <row r="823" spans="1:9" x14ac:dyDescent="0.25">
      <c r="A823" s="7"/>
      <c r="B823" s="1"/>
      <c r="C823" s="1"/>
      <c r="D823" s="1"/>
      <c r="F823" s="7"/>
      <c r="G823" s="1"/>
      <c r="H823" s="1"/>
      <c r="I823" s="1"/>
    </row>
    <row r="824" spans="1:9" x14ac:dyDescent="0.25">
      <c r="A824" s="7"/>
      <c r="B824" s="1"/>
      <c r="C824" s="1"/>
      <c r="D824" s="1"/>
      <c r="F824" s="7"/>
      <c r="G824" s="1"/>
      <c r="H824" s="1"/>
      <c r="I824" s="1"/>
    </row>
    <row r="825" spans="1:9" x14ac:dyDescent="0.25">
      <c r="A825" s="7"/>
      <c r="B825" s="1"/>
      <c r="C825" s="1"/>
      <c r="D825" s="1"/>
      <c r="F825" s="7"/>
      <c r="G825" s="1"/>
      <c r="H825" s="1"/>
      <c r="I825" s="1"/>
    </row>
    <row r="826" spans="1:9" x14ac:dyDescent="0.25">
      <c r="A826" s="7"/>
      <c r="B826" s="1"/>
      <c r="C826" s="1"/>
      <c r="D826" s="1"/>
      <c r="F826" s="7"/>
      <c r="G826" s="1"/>
      <c r="H826" s="1"/>
      <c r="I826" s="1"/>
    </row>
    <row r="827" spans="1:9" x14ac:dyDescent="0.25">
      <c r="A827" s="7"/>
      <c r="B827" s="1"/>
      <c r="C827" s="1"/>
      <c r="D827" s="1"/>
      <c r="F827" s="7"/>
      <c r="G827" s="1"/>
      <c r="H827" s="1"/>
      <c r="I827" s="1"/>
    </row>
    <row r="828" spans="1:9" x14ac:dyDescent="0.25">
      <c r="A828" s="7"/>
      <c r="B828" s="1"/>
      <c r="C828" s="1"/>
      <c r="D828" s="1"/>
      <c r="F828" s="7"/>
      <c r="G828" s="1"/>
      <c r="H828" s="1"/>
      <c r="I828" s="1"/>
    </row>
    <row r="829" spans="1:9" x14ac:dyDescent="0.25">
      <c r="A829" s="7"/>
      <c r="B829" s="1"/>
      <c r="C829" s="1"/>
      <c r="D829" s="1"/>
      <c r="F829" s="7"/>
      <c r="G829" s="1"/>
      <c r="H829" s="1"/>
      <c r="I829" s="1"/>
    </row>
    <row r="830" spans="1:9" x14ac:dyDescent="0.25">
      <c r="A830" s="7"/>
      <c r="B830" s="1"/>
      <c r="C830" s="1"/>
      <c r="D830" s="1"/>
      <c r="F830" s="7"/>
      <c r="G830" s="1"/>
      <c r="H830" s="1"/>
      <c r="I830" s="1"/>
    </row>
    <row r="831" spans="1:9" x14ac:dyDescent="0.25">
      <c r="A831" s="7"/>
      <c r="B831" s="1"/>
      <c r="C831" s="1"/>
      <c r="D831" s="1"/>
      <c r="F831" s="7"/>
      <c r="G831" s="1"/>
      <c r="H831" s="1"/>
      <c r="I831" s="1"/>
    </row>
    <row r="832" spans="1:9" x14ac:dyDescent="0.25">
      <c r="A832" s="7"/>
      <c r="B832" s="1"/>
      <c r="C832" s="1"/>
      <c r="D832" s="1"/>
      <c r="F832" s="7"/>
      <c r="G832" s="1"/>
      <c r="H832" s="1"/>
      <c r="I832" s="1"/>
    </row>
    <row r="833" spans="1:9" x14ac:dyDescent="0.25">
      <c r="A833" s="7"/>
      <c r="B833" s="1"/>
      <c r="C833" s="1"/>
      <c r="D833" s="1"/>
      <c r="F833" s="7"/>
      <c r="G833" s="1"/>
      <c r="H833" s="1"/>
      <c r="I833" s="1"/>
    </row>
    <row r="834" spans="1:9" x14ac:dyDescent="0.25">
      <c r="A834" s="7"/>
      <c r="B834" s="1"/>
      <c r="C834" s="1"/>
      <c r="D834" s="1"/>
      <c r="F834" s="7"/>
      <c r="G834" s="1"/>
      <c r="H834" s="1"/>
      <c r="I834" s="1"/>
    </row>
    <row r="835" spans="1:9" x14ac:dyDescent="0.25">
      <c r="A835" s="7"/>
      <c r="B835" s="1"/>
      <c r="C835" s="1"/>
      <c r="D835" s="1"/>
      <c r="F835" s="7"/>
      <c r="G835" s="1"/>
      <c r="H835" s="1"/>
      <c r="I835" s="1"/>
    </row>
    <row r="836" spans="1:9" x14ac:dyDescent="0.25">
      <c r="A836" s="7"/>
      <c r="B836" s="1"/>
      <c r="C836" s="1"/>
      <c r="D836" s="1"/>
      <c r="F836" s="7"/>
      <c r="G836" s="1"/>
      <c r="H836" s="1"/>
      <c r="I836" s="1"/>
    </row>
    <row r="837" spans="1:9" x14ac:dyDescent="0.25">
      <c r="A837" s="7"/>
      <c r="B837" s="1"/>
      <c r="C837" s="1"/>
      <c r="D837" s="1"/>
      <c r="F837" s="7"/>
      <c r="G837" s="1"/>
      <c r="H837" s="1"/>
      <c r="I837" s="1"/>
    </row>
    <row r="838" spans="1:9" x14ac:dyDescent="0.25">
      <c r="A838" s="7"/>
      <c r="B838" s="1"/>
      <c r="C838" s="1"/>
      <c r="D838" s="1"/>
      <c r="F838" s="7"/>
      <c r="G838" s="1"/>
      <c r="H838" s="1"/>
      <c r="I838" s="1"/>
    </row>
    <row r="839" spans="1:9" x14ac:dyDescent="0.25">
      <c r="A839" s="7"/>
      <c r="B839" s="1"/>
      <c r="C839" s="1"/>
      <c r="D839" s="1"/>
      <c r="F839" s="7"/>
      <c r="G839" s="1"/>
      <c r="H839" s="1"/>
      <c r="I839" s="1"/>
    </row>
    <row r="840" spans="1:9" x14ac:dyDescent="0.25">
      <c r="A840" s="7"/>
      <c r="B840" s="1"/>
      <c r="C840" s="1"/>
      <c r="D840" s="1"/>
      <c r="F840" s="7"/>
      <c r="G840" s="1"/>
      <c r="H840" s="1"/>
      <c r="I840" s="1"/>
    </row>
    <row r="841" spans="1:9" x14ac:dyDescent="0.25">
      <c r="A841" s="7"/>
      <c r="B841" s="1"/>
      <c r="C841" s="1"/>
      <c r="D841" s="1"/>
      <c r="F841" s="7"/>
      <c r="G841" s="1"/>
      <c r="H841" s="1"/>
      <c r="I841" s="1"/>
    </row>
    <row r="842" spans="1:9" x14ac:dyDescent="0.25">
      <c r="A842" s="7"/>
      <c r="B842" s="1"/>
      <c r="C842" s="1"/>
      <c r="D842" s="1"/>
      <c r="F842" s="7"/>
      <c r="G842" s="1"/>
      <c r="H842" s="1"/>
      <c r="I842" s="1"/>
    </row>
    <row r="843" spans="1:9" x14ac:dyDescent="0.25">
      <c r="A843" s="7"/>
      <c r="B843" s="1"/>
      <c r="C843" s="1"/>
      <c r="D843" s="1"/>
      <c r="F843" s="7"/>
      <c r="G843" s="1"/>
      <c r="H843" s="1"/>
      <c r="I843" s="1"/>
    </row>
    <row r="844" spans="1:9" x14ac:dyDescent="0.25">
      <c r="A844" s="7"/>
      <c r="B844" s="1"/>
      <c r="C844" s="1"/>
      <c r="D844" s="1"/>
      <c r="F844" s="7"/>
      <c r="G844" s="1"/>
      <c r="H844" s="1"/>
      <c r="I844" s="1"/>
    </row>
    <row r="845" spans="1:9" x14ac:dyDescent="0.25">
      <c r="A845" s="7"/>
      <c r="B845" s="1"/>
      <c r="C845" s="1"/>
      <c r="D845" s="1"/>
      <c r="F845" s="7"/>
      <c r="G845" s="1"/>
      <c r="H845" s="1"/>
      <c r="I845" s="1"/>
    </row>
    <row r="846" spans="1:9" x14ac:dyDescent="0.25">
      <c r="A846" s="7"/>
      <c r="B846" s="1"/>
      <c r="C846" s="1"/>
      <c r="D846" s="1"/>
      <c r="F846" s="7"/>
      <c r="G846" s="1"/>
      <c r="H846" s="1"/>
      <c r="I846" s="1"/>
    </row>
    <row r="847" spans="1:9" x14ac:dyDescent="0.25">
      <c r="A847" s="7"/>
      <c r="B847" s="1"/>
      <c r="C847" s="1"/>
      <c r="D847" s="1"/>
      <c r="F847" s="7"/>
      <c r="G847" s="1"/>
      <c r="H847" s="1"/>
      <c r="I847" s="1"/>
    </row>
    <row r="848" spans="1:9" x14ac:dyDescent="0.25">
      <c r="A848" s="7"/>
      <c r="B848" s="1"/>
      <c r="C848" s="1"/>
      <c r="D848" s="1"/>
      <c r="F848" s="7"/>
      <c r="G848" s="1"/>
      <c r="H848" s="1"/>
      <c r="I848" s="1"/>
    </row>
    <row r="849" spans="1:9" x14ac:dyDescent="0.25">
      <c r="A849" s="7"/>
      <c r="B849" s="1"/>
      <c r="C849" s="1"/>
      <c r="D849" s="1"/>
      <c r="F849" s="7"/>
      <c r="G849" s="1"/>
      <c r="H849" s="1"/>
      <c r="I849" s="1"/>
    </row>
    <row r="850" spans="1:9" x14ac:dyDescent="0.25">
      <c r="A850" s="7"/>
      <c r="B850" s="1"/>
      <c r="C850" s="1"/>
      <c r="D850" s="1"/>
      <c r="F850" s="7"/>
      <c r="G850" s="1"/>
      <c r="H850" s="1"/>
      <c r="I850" s="1"/>
    </row>
    <row r="851" spans="1:9" x14ac:dyDescent="0.25">
      <c r="A851" s="7"/>
      <c r="B851" s="1"/>
      <c r="C851" s="1"/>
      <c r="D851" s="1"/>
      <c r="F851" s="7"/>
      <c r="G851" s="1"/>
      <c r="H851" s="1"/>
      <c r="I851" s="1"/>
    </row>
    <row r="852" spans="1:9" x14ac:dyDescent="0.25">
      <c r="A852" s="7"/>
      <c r="B852" s="1"/>
      <c r="C852" s="1"/>
      <c r="D852" s="1"/>
      <c r="F852" s="7"/>
      <c r="G852" s="1"/>
      <c r="H852" s="1"/>
      <c r="I852" s="1"/>
    </row>
    <row r="853" spans="1:9" x14ac:dyDescent="0.25">
      <c r="A853" s="7"/>
      <c r="B853" s="1"/>
      <c r="C853" s="1"/>
      <c r="D853" s="1"/>
      <c r="F853" s="7"/>
      <c r="G853" s="1"/>
      <c r="H853" s="1"/>
      <c r="I853" s="1"/>
    </row>
    <row r="854" spans="1:9" x14ac:dyDescent="0.25">
      <c r="A854" s="7"/>
      <c r="B854" s="1"/>
      <c r="C854" s="1"/>
      <c r="D854" s="1"/>
      <c r="F854" s="7"/>
      <c r="G854" s="1"/>
      <c r="H854" s="1"/>
      <c r="I854" s="1"/>
    </row>
    <row r="855" spans="1:9" x14ac:dyDescent="0.25">
      <c r="A855" s="7"/>
      <c r="B855" s="1"/>
      <c r="C855" s="1"/>
      <c r="D855" s="1"/>
      <c r="F855" s="7"/>
      <c r="G855" s="1"/>
      <c r="H855" s="1"/>
      <c r="I855" s="1"/>
    </row>
    <row r="856" spans="1:9" x14ac:dyDescent="0.25">
      <c r="A856" s="7"/>
      <c r="B856" s="1"/>
      <c r="C856" s="1"/>
      <c r="D856" s="1"/>
      <c r="F856" s="7"/>
      <c r="G856" s="1"/>
      <c r="H856" s="1"/>
      <c r="I856" s="1"/>
    </row>
    <row r="857" spans="1:9" x14ac:dyDescent="0.25">
      <c r="A857" s="7"/>
      <c r="B857" s="1"/>
      <c r="C857" s="1"/>
      <c r="D857" s="1"/>
      <c r="F857" s="7"/>
      <c r="G857" s="1"/>
      <c r="H857" s="1"/>
      <c r="I857" s="1"/>
    </row>
    <row r="858" spans="1:9" x14ac:dyDescent="0.25">
      <c r="A858" s="7"/>
      <c r="B858" s="1"/>
      <c r="C858" s="1"/>
      <c r="D858" s="1"/>
      <c r="F858" s="7"/>
      <c r="G858" s="1"/>
      <c r="H858" s="1"/>
      <c r="I858" s="1"/>
    </row>
    <row r="859" spans="1:9" x14ac:dyDescent="0.25">
      <c r="A859" s="7"/>
      <c r="B859" s="1"/>
      <c r="C859" s="1"/>
      <c r="D859" s="1"/>
      <c r="F859" s="7"/>
      <c r="G859" s="1"/>
      <c r="H859" s="1"/>
      <c r="I859" s="1"/>
    </row>
    <row r="860" spans="1:9" x14ac:dyDescent="0.25">
      <c r="A860" s="7"/>
      <c r="B860" s="1"/>
      <c r="C860" s="1"/>
      <c r="D860" s="1"/>
      <c r="F860" s="7"/>
      <c r="G860" s="1"/>
      <c r="H860" s="1"/>
      <c r="I860" s="1"/>
    </row>
    <row r="861" spans="1:9" x14ac:dyDescent="0.25">
      <c r="A861" s="7"/>
      <c r="B861" s="1"/>
      <c r="C861" s="1"/>
      <c r="D861" s="1"/>
      <c r="F861" s="7"/>
      <c r="G861" s="1"/>
      <c r="H861" s="1"/>
      <c r="I861" s="1"/>
    </row>
    <row r="862" spans="1:9" x14ac:dyDescent="0.25">
      <c r="A862" s="7"/>
      <c r="B862" s="1"/>
      <c r="C862" s="1"/>
      <c r="D862" s="1"/>
      <c r="F862" s="7"/>
      <c r="G862" s="1"/>
      <c r="H862" s="1"/>
      <c r="I862" s="1"/>
    </row>
    <row r="863" spans="1:9" x14ac:dyDescent="0.25">
      <c r="A863" s="7"/>
      <c r="B863" s="1"/>
      <c r="C863" s="1"/>
      <c r="D863" s="1"/>
      <c r="F863" s="7"/>
      <c r="G863" s="1"/>
      <c r="H863" s="1"/>
      <c r="I863" s="1"/>
    </row>
    <row r="864" spans="1:9" x14ac:dyDescent="0.25">
      <c r="A864" s="7"/>
      <c r="B864" s="1"/>
      <c r="C864" s="1"/>
      <c r="D864" s="1"/>
      <c r="F864" s="7"/>
      <c r="G864" s="1"/>
      <c r="H864" s="1"/>
      <c r="I864" s="1"/>
    </row>
    <row r="865" spans="1:9" x14ac:dyDescent="0.25">
      <c r="A865" s="7"/>
      <c r="B865" s="1"/>
      <c r="C865" s="1"/>
      <c r="D865" s="1"/>
      <c r="F865" s="7"/>
      <c r="G865" s="1"/>
      <c r="H865" s="1"/>
      <c r="I865" s="1"/>
    </row>
    <row r="866" spans="1:9" x14ac:dyDescent="0.25">
      <c r="A866" s="7"/>
      <c r="B866" s="1"/>
      <c r="C866" s="1"/>
      <c r="D866" s="1"/>
      <c r="F866" s="7"/>
      <c r="G866" s="1"/>
      <c r="H866" s="1"/>
      <c r="I866" s="1"/>
    </row>
    <row r="867" spans="1:9" x14ac:dyDescent="0.25">
      <c r="A867" s="7"/>
      <c r="B867" s="1"/>
      <c r="C867" s="1"/>
      <c r="D867" s="1"/>
      <c r="F867" s="7"/>
      <c r="G867" s="1"/>
      <c r="H867" s="1"/>
      <c r="I867" s="1"/>
    </row>
    <row r="868" spans="1:9" x14ac:dyDescent="0.25">
      <c r="A868" s="7"/>
      <c r="B868" s="1"/>
      <c r="C868" s="1"/>
      <c r="D868" s="1"/>
      <c r="F868" s="7"/>
      <c r="G868" s="1"/>
      <c r="H868" s="1"/>
      <c r="I868" s="1"/>
    </row>
    <row r="869" spans="1:9" x14ac:dyDescent="0.25">
      <c r="A869" s="7"/>
      <c r="B869" s="1"/>
      <c r="C869" s="1"/>
      <c r="D869" s="1"/>
      <c r="F869" s="7"/>
      <c r="G869" s="1"/>
      <c r="H869" s="1"/>
      <c r="I869" s="1"/>
    </row>
    <row r="870" spans="1:9" x14ac:dyDescent="0.25">
      <c r="A870" s="7"/>
      <c r="B870" s="1"/>
      <c r="C870" s="1"/>
      <c r="D870" s="1"/>
      <c r="F870" s="7"/>
      <c r="G870" s="1"/>
      <c r="H870" s="1"/>
      <c r="I870" s="1"/>
    </row>
    <row r="871" spans="1:9" x14ac:dyDescent="0.25">
      <c r="A871" s="7"/>
      <c r="B871" s="1"/>
      <c r="C871" s="1"/>
      <c r="D871" s="1"/>
      <c r="F871" s="7"/>
      <c r="G871" s="1"/>
      <c r="H871" s="1"/>
      <c r="I871" s="1"/>
    </row>
    <row r="872" spans="1:9" x14ac:dyDescent="0.25">
      <c r="A872" s="7"/>
      <c r="B872" s="1"/>
      <c r="C872" s="1"/>
      <c r="D872" s="1"/>
      <c r="F872" s="7"/>
      <c r="G872" s="1"/>
      <c r="H872" s="1"/>
      <c r="I872" s="1"/>
    </row>
    <row r="873" spans="1:9" x14ac:dyDescent="0.25">
      <c r="A873" s="7"/>
      <c r="B873" s="1"/>
      <c r="C873" s="1"/>
      <c r="D873" s="1"/>
      <c r="F873" s="7"/>
      <c r="G873" s="1"/>
      <c r="H873" s="1"/>
      <c r="I873" s="1"/>
    </row>
    <row r="874" spans="1:9" x14ac:dyDescent="0.25">
      <c r="A874" s="7"/>
      <c r="B874" s="1"/>
      <c r="C874" s="1"/>
      <c r="D874" s="1"/>
      <c r="F874" s="7"/>
      <c r="G874" s="1"/>
      <c r="H874" s="1"/>
      <c r="I874" s="1"/>
    </row>
    <row r="875" spans="1:9" x14ac:dyDescent="0.25">
      <c r="A875" s="7"/>
      <c r="B875" s="1"/>
      <c r="C875" s="1"/>
      <c r="D875" s="1"/>
      <c r="F875" s="7"/>
      <c r="G875" s="1"/>
      <c r="H875" s="1"/>
      <c r="I875" s="1"/>
    </row>
    <row r="876" spans="1:9" x14ac:dyDescent="0.25">
      <c r="A876" s="7"/>
      <c r="B876" s="1"/>
      <c r="C876" s="1"/>
      <c r="D876" s="1"/>
      <c r="F876" s="7"/>
      <c r="G876" s="1"/>
      <c r="H876" s="1"/>
      <c r="I876" s="1"/>
    </row>
    <row r="877" spans="1:9" x14ac:dyDescent="0.25">
      <c r="A877" s="7"/>
      <c r="B877" s="1"/>
      <c r="C877" s="1"/>
      <c r="D877" s="1"/>
      <c r="F877" s="7"/>
      <c r="G877" s="1"/>
      <c r="H877" s="1"/>
      <c r="I877" s="1"/>
    </row>
    <row r="878" spans="1:9" x14ac:dyDescent="0.25">
      <c r="A878" s="7"/>
      <c r="B878" s="1"/>
      <c r="C878" s="1"/>
      <c r="D878" s="1"/>
      <c r="F878" s="7"/>
      <c r="G878" s="1"/>
      <c r="H878" s="1"/>
      <c r="I878" s="1"/>
    </row>
    <row r="879" spans="1:9" x14ac:dyDescent="0.25">
      <c r="A879" s="7"/>
      <c r="B879" s="1"/>
      <c r="C879" s="1"/>
      <c r="D879" s="1"/>
      <c r="F879" s="7"/>
      <c r="G879" s="1"/>
      <c r="H879" s="1"/>
      <c r="I879" s="1"/>
    </row>
    <row r="880" spans="1:9" x14ac:dyDescent="0.25">
      <c r="A880" s="7"/>
      <c r="B880" s="1"/>
      <c r="C880" s="1"/>
      <c r="D880" s="1"/>
      <c r="F880" s="7"/>
      <c r="G880" s="1"/>
      <c r="H880" s="1"/>
      <c r="I880" s="1"/>
    </row>
    <row r="881" spans="1:9" x14ac:dyDescent="0.25">
      <c r="A881" s="7"/>
      <c r="B881" s="1"/>
      <c r="C881" s="1"/>
      <c r="D881" s="1"/>
      <c r="F881" s="7"/>
      <c r="G881" s="1"/>
      <c r="H881" s="1"/>
      <c r="I881" s="1"/>
    </row>
    <row r="882" spans="1:9" x14ac:dyDescent="0.25">
      <c r="A882" s="7"/>
      <c r="B882" s="1"/>
      <c r="C882" s="1"/>
      <c r="D882" s="1"/>
      <c r="F882" s="7"/>
      <c r="G882" s="1"/>
      <c r="H882" s="1"/>
      <c r="I882" s="1"/>
    </row>
    <row r="883" spans="1:9" x14ac:dyDescent="0.25">
      <c r="A883" s="7"/>
      <c r="B883" s="1"/>
      <c r="C883" s="1"/>
      <c r="D883" s="1"/>
      <c r="F883" s="7"/>
      <c r="G883" s="1"/>
      <c r="H883" s="1"/>
      <c r="I883" s="1"/>
    </row>
    <row r="884" spans="1:9" x14ac:dyDescent="0.25">
      <c r="A884" s="7"/>
      <c r="B884" s="1"/>
      <c r="C884" s="1"/>
      <c r="D884" s="1"/>
      <c r="F884" s="7"/>
      <c r="G884" s="1"/>
      <c r="H884" s="1"/>
      <c r="I884" s="1"/>
    </row>
    <row r="885" spans="1:9" x14ac:dyDescent="0.25">
      <c r="A885" s="7"/>
      <c r="B885" s="1"/>
      <c r="C885" s="1"/>
      <c r="D885" s="1"/>
      <c r="F885" s="7"/>
      <c r="G885" s="1"/>
      <c r="H885" s="1"/>
      <c r="I885" s="1"/>
    </row>
    <row r="886" spans="1:9" x14ac:dyDescent="0.25">
      <c r="A886" s="7"/>
      <c r="B886" s="1"/>
      <c r="C886" s="1"/>
      <c r="D886" s="1"/>
      <c r="F886" s="7"/>
      <c r="G886" s="1"/>
      <c r="H886" s="1"/>
      <c r="I886" s="1"/>
    </row>
    <row r="887" spans="1:9" x14ac:dyDescent="0.25">
      <c r="A887" s="7"/>
      <c r="B887" s="1"/>
      <c r="C887" s="1"/>
      <c r="D887" s="1"/>
      <c r="F887" s="7"/>
      <c r="G887" s="1"/>
      <c r="H887" s="1"/>
      <c r="I887" s="1"/>
    </row>
    <row r="888" spans="1:9" x14ac:dyDescent="0.25">
      <c r="A888" s="7"/>
      <c r="B888" s="1"/>
      <c r="C888" s="1"/>
      <c r="D888" s="1"/>
      <c r="F888" s="7"/>
      <c r="G888" s="1"/>
      <c r="H888" s="1"/>
      <c r="I888" s="1"/>
    </row>
    <row r="889" spans="1:9" x14ac:dyDescent="0.25">
      <c r="A889" s="7"/>
      <c r="B889" s="1"/>
      <c r="C889" s="1"/>
      <c r="D889" s="1"/>
      <c r="F889" s="7"/>
      <c r="G889" s="1"/>
      <c r="H889" s="1"/>
      <c r="I889" s="1"/>
    </row>
    <row r="890" spans="1:9" x14ac:dyDescent="0.25">
      <c r="A890" s="7"/>
      <c r="B890" s="1"/>
      <c r="C890" s="1"/>
      <c r="D890" s="1"/>
      <c r="F890" s="7"/>
      <c r="G890" s="1"/>
      <c r="H890" s="1"/>
      <c r="I890" s="1"/>
    </row>
    <row r="891" spans="1:9" x14ac:dyDescent="0.25">
      <c r="A891" s="7"/>
      <c r="B891" s="1"/>
      <c r="C891" s="1"/>
      <c r="D891" s="1"/>
      <c r="F891" s="7"/>
      <c r="G891" s="1"/>
      <c r="H891" s="1"/>
      <c r="I891" s="1"/>
    </row>
    <row r="892" spans="1:9" x14ac:dyDescent="0.25">
      <c r="A892" s="7"/>
      <c r="B892" s="1"/>
      <c r="C892" s="1"/>
      <c r="D892" s="1"/>
      <c r="F892" s="7"/>
      <c r="G892" s="1"/>
      <c r="H892" s="1"/>
      <c r="I892" s="1"/>
    </row>
    <row r="893" spans="1:9" x14ac:dyDescent="0.25">
      <c r="A893" s="7"/>
      <c r="B893" s="1"/>
      <c r="C893" s="1"/>
      <c r="D893" s="1"/>
      <c r="F893" s="7"/>
      <c r="G893" s="1"/>
      <c r="H893" s="1"/>
      <c r="I893" s="1"/>
    </row>
    <row r="894" spans="1:9" x14ac:dyDescent="0.25">
      <c r="A894" s="7"/>
      <c r="B894" s="1"/>
      <c r="C894" s="1"/>
      <c r="D894" s="1"/>
      <c r="F894" s="7"/>
      <c r="G894" s="1"/>
      <c r="H894" s="1"/>
      <c r="I894" s="1"/>
    </row>
    <row r="895" spans="1:9" x14ac:dyDescent="0.25">
      <c r="A895" s="7"/>
      <c r="B895" s="1"/>
      <c r="C895" s="1"/>
      <c r="D895" s="1"/>
      <c r="F895" s="7"/>
      <c r="G895" s="1"/>
      <c r="H895" s="1"/>
      <c r="I895" s="1"/>
    </row>
    <row r="896" spans="1:9" x14ac:dyDescent="0.25">
      <c r="A896" s="7"/>
      <c r="B896" s="1"/>
      <c r="C896" s="1"/>
      <c r="D896" s="1"/>
      <c r="F896" s="7"/>
      <c r="G896" s="1"/>
      <c r="H896" s="1"/>
      <c r="I896" s="1"/>
    </row>
    <row r="897" spans="1:9" x14ac:dyDescent="0.25">
      <c r="A897" s="7"/>
      <c r="B897" s="1"/>
      <c r="C897" s="1"/>
      <c r="D897" s="1"/>
      <c r="F897" s="7"/>
      <c r="G897" s="1"/>
      <c r="H897" s="1"/>
      <c r="I897" s="1"/>
    </row>
    <row r="898" spans="1:9" x14ac:dyDescent="0.25">
      <c r="A898" s="7"/>
      <c r="B898" s="1"/>
      <c r="C898" s="1"/>
      <c r="D898" s="1"/>
      <c r="F898" s="7"/>
      <c r="G898" s="1"/>
      <c r="H898" s="1"/>
      <c r="I898" s="1"/>
    </row>
    <row r="899" spans="1:9" x14ac:dyDescent="0.25">
      <c r="A899" s="7"/>
      <c r="B899" s="1"/>
      <c r="C899" s="1"/>
      <c r="D899" s="1"/>
      <c r="F899" s="7"/>
      <c r="G899" s="1"/>
      <c r="H899" s="1"/>
      <c r="I899" s="1"/>
    </row>
    <row r="900" spans="1:9" x14ac:dyDescent="0.25">
      <c r="A900" s="7"/>
      <c r="B900" s="1"/>
      <c r="C900" s="1"/>
      <c r="D900" s="1"/>
      <c r="F900" s="7"/>
      <c r="G900" s="1"/>
      <c r="H900" s="1"/>
      <c r="I900" s="1"/>
    </row>
    <row r="901" spans="1:9" x14ac:dyDescent="0.25">
      <c r="A901" s="7"/>
      <c r="B901" s="1"/>
      <c r="C901" s="1"/>
      <c r="D901" s="1"/>
      <c r="F901" s="7"/>
      <c r="G901" s="1"/>
      <c r="H901" s="1"/>
      <c r="I901" s="1"/>
    </row>
    <row r="902" spans="1:9" x14ac:dyDescent="0.25">
      <c r="A902" s="7"/>
      <c r="B902" s="1"/>
      <c r="C902" s="1"/>
      <c r="D902" s="1"/>
      <c r="F902" s="7"/>
      <c r="G902" s="1"/>
      <c r="H902" s="1"/>
      <c r="I902" s="1"/>
    </row>
    <row r="903" spans="1:9" x14ac:dyDescent="0.25">
      <c r="A903" s="7"/>
      <c r="B903" s="1"/>
      <c r="C903" s="1"/>
      <c r="D903" s="1"/>
      <c r="F903" s="7"/>
      <c r="G903" s="1"/>
      <c r="H903" s="1"/>
      <c r="I903" s="1"/>
    </row>
    <row r="904" spans="1:9" x14ac:dyDescent="0.25">
      <c r="A904" s="7"/>
      <c r="B904" s="1"/>
      <c r="C904" s="1"/>
      <c r="D904" s="1"/>
      <c r="F904" s="7"/>
      <c r="G904" s="1"/>
      <c r="H904" s="1"/>
      <c r="I904" s="1"/>
    </row>
    <row r="905" spans="1:9" x14ac:dyDescent="0.25">
      <c r="A905" s="7"/>
      <c r="B905" s="1"/>
      <c r="C905" s="1"/>
      <c r="D905" s="1"/>
      <c r="F905" s="7"/>
      <c r="G905" s="1"/>
      <c r="H905" s="1"/>
      <c r="I905" s="1"/>
    </row>
    <row r="906" spans="1:9" x14ac:dyDescent="0.25">
      <c r="A906" s="7"/>
      <c r="B906" s="1"/>
      <c r="C906" s="1"/>
      <c r="D906" s="1"/>
      <c r="F906" s="7"/>
      <c r="G906" s="1"/>
      <c r="H906" s="1"/>
      <c r="I906" s="1"/>
    </row>
    <row r="907" spans="1:9" x14ac:dyDescent="0.25">
      <c r="A907" s="7"/>
      <c r="B907" s="1"/>
      <c r="C907" s="1"/>
      <c r="D907" s="1"/>
      <c r="F907" s="7"/>
      <c r="G907" s="1"/>
      <c r="H907" s="1"/>
      <c r="I907" s="1"/>
    </row>
    <row r="908" spans="1:9" x14ac:dyDescent="0.25">
      <c r="A908" s="7"/>
      <c r="B908" s="1"/>
      <c r="C908" s="1"/>
      <c r="D908" s="1"/>
      <c r="F908" s="7"/>
      <c r="G908" s="1"/>
      <c r="H908" s="1"/>
      <c r="I908" s="1"/>
    </row>
    <row r="909" spans="1:9" x14ac:dyDescent="0.25">
      <c r="A909" s="7"/>
      <c r="B909" s="1"/>
      <c r="C909" s="1"/>
      <c r="D909" s="1"/>
      <c r="F909" s="7"/>
      <c r="G909" s="1"/>
      <c r="H909" s="1"/>
      <c r="I909" s="1"/>
    </row>
    <row r="910" spans="1:9" x14ac:dyDescent="0.25">
      <c r="A910" s="7"/>
      <c r="B910" s="1"/>
      <c r="C910" s="1"/>
      <c r="D910" s="1"/>
      <c r="F910" s="7"/>
      <c r="G910" s="1"/>
      <c r="H910" s="1"/>
      <c r="I910" s="1"/>
    </row>
    <row r="911" spans="1:9" x14ac:dyDescent="0.25">
      <c r="A911" s="7"/>
      <c r="B911" s="1"/>
      <c r="C911" s="1"/>
      <c r="D911" s="1"/>
      <c r="F911" s="7"/>
      <c r="G911" s="1"/>
      <c r="H911" s="1"/>
      <c r="I911" s="1"/>
    </row>
    <row r="912" spans="1:9" x14ac:dyDescent="0.25">
      <c r="A912" s="7"/>
      <c r="B912" s="1"/>
      <c r="C912" s="1"/>
      <c r="D912" s="1"/>
      <c r="F912" s="7"/>
      <c r="G912" s="1"/>
      <c r="H912" s="1"/>
      <c r="I912" s="1"/>
    </row>
    <row r="913" spans="1:9" x14ac:dyDescent="0.25">
      <c r="A913" s="7"/>
      <c r="B913" s="1"/>
      <c r="C913" s="1"/>
      <c r="D913" s="1"/>
      <c r="F913" s="7"/>
      <c r="G913" s="1"/>
      <c r="H913" s="1"/>
      <c r="I913" s="1"/>
    </row>
    <row r="914" spans="1:9" x14ac:dyDescent="0.25">
      <c r="A914" s="7"/>
      <c r="B914" s="1"/>
      <c r="C914" s="1"/>
      <c r="D914" s="1"/>
      <c r="F914" s="7"/>
      <c r="G914" s="1"/>
      <c r="H914" s="1"/>
      <c r="I914" s="1"/>
    </row>
    <row r="915" spans="1:9" x14ac:dyDescent="0.25">
      <c r="A915" s="7"/>
      <c r="B915" s="1"/>
      <c r="C915" s="1"/>
      <c r="D915" s="1"/>
      <c r="F915" s="7"/>
      <c r="G915" s="1"/>
      <c r="H915" s="1"/>
      <c r="I915" s="1"/>
    </row>
    <row r="916" spans="1:9" x14ac:dyDescent="0.25">
      <c r="A916" s="7"/>
      <c r="B916" s="1"/>
      <c r="C916" s="1"/>
      <c r="D916" s="1"/>
      <c r="F916" s="7"/>
      <c r="G916" s="1"/>
      <c r="H916" s="1"/>
      <c r="I916" s="1"/>
    </row>
    <row r="917" spans="1:9" x14ac:dyDescent="0.25">
      <c r="A917" s="7"/>
      <c r="B917" s="1"/>
      <c r="C917" s="1"/>
      <c r="D917" s="1"/>
      <c r="F917" s="7"/>
      <c r="G917" s="1"/>
      <c r="H917" s="1"/>
      <c r="I917" s="1"/>
    </row>
    <row r="918" spans="1:9" x14ac:dyDescent="0.25">
      <c r="A918" s="7"/>
      <c r="B918" s="1"/>
      <c r="C918" s="1"/>
      <c r="D918" s="1"/>
      <c r="F918" s="7"/>
      <c r="G918" s="1"/>
      <c r="H918" s="1"/>
      <c r="I918" s="1"/>
    </row>
    <row r="919" spans="1:9" x14ac:dyDescent="0.25">
      <c r="A919" s="7"/>
      <c r="B919" s="1"/>
      <c r="C919" s="1"/>
      <c r="D919" s="1"/>
      <c r="F919" s="7"/>
      <c r="G919" s="1"/>
      <c r="H919" s="1"/>
      <c r="I919" s="1"/>
    </row>
    <row r="920" spans="1:9" x14ac:dyDescent="0.25">
      <c r="A920" s="7"/>
      <c r="B920" s="1"/>
      <c r="C920" s="1"/>
      <c r="D920" s="1"/>
      <c r="F920" s="7"/>
      <c r="G920" s="1"/>
      <c r="H920" s="1"/>
      <c r="I920" s="1"/>
    </row>
    <row r="921" spans="1:9" x14ac:dyDescent="0.25">
      <c r="A921" s="7"/>
      <c r="B921" s="1"/>
      <c r="C921" s="1"/>
      <c r="D921" s="1"/>
      <c r="F921" s="7"/>
      <c r="G921" s="1"/>
      <c r="H921" s="1"/>
      <c r="I921" s="1"/>
    </row>
    <row r="922" spans="1:9" x14ac:dyDescent="0.25">
      <c r="A922" s="7"/>
      <c r="B922" s="1"/>
      <c r="C922" s="1"/>
      <c r="D922" s="1"/>
      <c r="F922" s="7"/>
      <c r="G922" s="1"/>
      <c r="H922" s="1"/>
      <c r="I922" s="1"/>
    </row>
    <row r="923" spans="1:9" x14ac:dyDescent="0.25">
      <c r="A923" s="7"/>
      <c r="B923" s="1"/>
      <c r="C923" s="1"/>
      <c r="D923" s="1"/>
      <c r="F923" s="7"/>
      <c r="G923" s="1"/>
      <c r="H923" s="1"/>
      <c r="I923" s="1"/>
    </row>
    <row r="924" spans="1:9" x14ac:dyDescent="0.25">
      <c r="A924" s="7"/>
      <c r="B924" s="1"/>
      <c r="C924" s="1"/>
      <c r="D924" s="1"/>
      <c r="F924" s="7"/>
      <c r="G924" s="1"/>
      <c r="H924" s="1"/>
      <c r="I924" s="1"/>
    </row>
    <row r="925" spans="1:9" x14ac:dyDescent="0.25">
      <c r="A925" s="7"/>
      <c r="B925" s="1"/>
      <c r="C925" s="1"/>
      <c r="D925" s="1"/>
      <c r="F925" s="7"/>
      <c r="G925" s="1"/>
      <c r="H925" s="1"/>
      <c r="I925" s="1"/>
    </row>
    <row r="926" spans="1:9" x14ac:dyDescent="0.25">
      <c r="A926" s="7"/>
      <c r="B926" s="1"/>
      <c r="C926" s="1"/>
      <c r="D926" s="1"/>
      <c r="F926" s="7"/>
      <c r="G926" s="1"/>
      <c r="H926" s="1"/>
      <c r="I926" s="1"/>
    </row>
    <row r="927" spans="1:9" x14ac:dyDescent="0.25">
      <c r="A927" s="7"/>
      <c r="B927" s="1"/>
      <c r="C927" s="1"/>
      <c r="D927" s="1"/>
      <c r="F927" s="7"/>
      <c r="G927" s="1"/>
      <c r="H927" s="1"/>
      <c r="I927" s="1"/>
    </row>
    <row r="928" spans="1:9" x14ac:dyDescent="0.25">
      <c r="A928" s="7"/>
      <c r="B928" s="1"/>
      <c r="C928" s="1"/>
      <c r="D928" s="1"/>
      <c r="F928" s="7"/>
      <c r="G928" s="1"/>
      <c r="H928" s="1"/>
      <c r="I928" s="1"/>
    </row>
    <row r="929" spans="1:9" x14ac:dyDescent="0.25">
      <c r="A929" s="7"/>
      <c r="B929" s="1"/>
      <c r="C929" s="1"/>
      <c r="D929" s="1"/>
      <c r="F929" s="7"/>
      <c r="G929" s="1"/>
      <c r="H929" s="1"/>
      <c r="I929" s="1"/>
    </row>
    <row r="930" spans="1:9" x14ac:dyDescent="0.25">
      <c r="A930" s="7"/>
      <c r="B930" s="1"/>
      <c r="C930" s="1"/>
      <c r="D930" s="1"/>
      <c r="F930" s="7"/>
      <c r="G930" s="1"/>
      <c r="H930" s="1"/>
      <c r="I930" s="1"/>
    </row>
    <row r="931" spans="1:9" x14ac:dyDescent="0.25">
      <c r="A931" s="7"/>
      <c r="B931" s="1"/>
      <c r="C931" s="1"/>
      <c r="D931" s="1"/>
      <c r="F931" s="7"/>
      <c r="G931" s="1"/>
      <c r="H931" s="1"/>
      <c r="I931" s="1"/>
    </row>
    <row r="932" spans="1:9" x14ac:dyDescent="0.25">
      <c r="A932" s="7"/>
      <c r="B932" s="1"/>
      <c r="C932" s="1"/>
      <c r="D932" s="1"/>
      <c r="F932" s="7"/>
      <c r="G932" s="1"/>
      <c r="H932" s="1"/>
      <c r="I932" s="1"/>
    </row>
    <row r="933" spans="1:9" x14ac:dyDescent="0.25">
      <c r="A933" s="7"/>
      <c r="B933" s="1"/>
      <c r="C933" s="1"/>
      <c r="D933" s="1"/>
      <c r="F933" s="7"/>
      <c r="G933" s="1"/>
      <c r="H933" s="1"/>
      <c r="I933" s="1"/>
    </row>
    <row r="934" spans="1:9" x14ac:dyDescent="0.25">
      <c r="A934" s="7"/>
      <c r="B934" s="1"/>
      <c r="C934" s="1"/>
      <c r="D934" s="1"/>
      <c r="F934" s="7"/>
      <c r="G934" s="1"/>
      <c r="H934" s="1"/>
      <c r="I934" s="1"/>
    </row>
    <row r="935" spans="1:9" x14ac:dyDescent="0.25">
      <c r="A935" s="7"/>
      <c r="B935" s="1"/>
      <c r="C935" s="1"/>
      <c r="D935" s="1"/>
      <c r="F935" s="7"/>
      <c r="G935" s="1"/>
      <c r="H935" s="1"/>
      <c r="I935" s="1"/>
    </row>
    <row r="936" spans="1:9" x14ac:dyDescent="0.25">
      <c r="A936" s="7"/>
      <c r="B936" s="1"/>
      <c r="C936" s="1"/>
      <c r="D936" s="1"/>
      <c r="F936" s="7"/>
      <c r="G936" s="1"/>
      <c r="H936" s="1"/>
      <c r="I936" s="1"/>
    </row>
    <row r="937" spans="1:9" x14ac:dyDescent="0.25">
      <c r="A937" s="7"/>
      <c r="B937" s="1"/>
      <c r="C937" s="1"/>
      <c r="D937" s="1"/>
      <c r="F937" s="7"/>
      <c r="G937" s="1"/>
      <c r="H937" s="1"/>
      <c r="I937" s="1"/>
    </row>
    <row r="938" spans="1:9" x14ac:dyDescent="0.25">
      <c r="A938" s="7"/>
      <c r="B938" s="1"/>
      <c r="C938" s="1"/>
      <c r="D938" s="1"/>
      <c r="F938" s="7"/>
      <c r="G938" s="1"/>
      <c r="H938" s="1"/>
      <c r="I938" s="1"/>
    </row>
    <row r="939" spans="1:9" x14ac:dyDescent="0.25">
      <c r="A939" s="7"/>
      <c r="B939" s="1"/>
      <c r="C939" s="1"/>
      <c r="D939" s="1"/>
      <c r="F939" s="7"/>
      <c r="G939" s="1"/>
      <c r="H939" s="1"/>
      <c r="I939" s="1"/>
    </row>
    <row r="940" spans="1:9" x14ac:dyDescent="0.25">
      <c r="A940" s="7"/>
      <c r="B940" s="1"/>
      <c r="C940" s="1"/>
      <c r="D940" s="1"/>
      <c r="F940" s="7"/>
      <c r="G940" s="1"/>
      <c r="H940" s="1"/>
      <c r="I940" s="1"/>
    </row>
    <row r="941" spans="1:9" x14ac:dyDescent="0.25">
      <c r="A941" s="7"/>
      <c r="B941" s="1"/>
      <c r="C941" s="1"/>
      <c r="D941" s="1"/>
      <c r="F941" s="7"/>
      <c r="G941" s="1"/>
      <c r="H941" s="1"/>
      <c r="I941" s="1"/>
    </row>
    <row r="942" spans="1:9" x14ac:dyDescent="0.25">
      <c r="A942" s="7"/>
      <c r="B942" s="1"/>
      <c r="C942" s="1"/>
      <c r="D942" s="1"/>
      <c r="F942" s="7"/>
      <c r="G942" s="1"/>
      <c r="H942" s="1"/>
      <c r="I942" s="1"/>
    </row>
    <row r="943" spans="1:9" x14ac:dyDescent="0.25">
      <c r="A943" s="7"/>
      <c r="B943" s="1"/>
      <c r="C943" s="1"/>
      <c r="D943" s="1"/>
      <c r="F943" s="7"/>
      <c r="G943" s="1"/>
      <c r="H943" s="1"/>
      <c r="I943" s="1"/>
    </row>
    <row r="944" spans="1:9" x14ac:dyDescent="0.25">
      <c r="A944" s="7"/>
      <c r="B944" s="1"/>
      <c r="C944" s="1"/>
      <c r="D944" s="1"/>
      <c r="F944" s="7"/>
      <c r="G944" s="1"/>
      <c r="H944" s="1"/>
      <c r="I944" s="1"/>
    </row>
    <row r="945" spans="1:9" x14ac:dyDescent="0.25">
      <c r="A945" s="7"/>
      <c r="B945" s="1"/>
      <c r="C945" s="1"/>
      <c r="D945" s="1"/>
      <c r="F945" s="7"/>
      <c r="G945" s="1"/>
      <c r="H945" s="1"/>
      <c r="I945" s="1"/>
    </row>
    <row r="946" spans="1:9" x14ac:dyDescent="0.25">
      <c r="A946" s="7"/>
      <c r="B946" s="1"/>
      <c r="C946" s="1"/>
      <c r="D946" s="1"/>
      <c r="F946" s="7"/>
      <c r="G946" s="1"/>
      <c r="H946" s="1"/>
      <c r="I946" s="1"/>
    </row>
    <row r="947" spans="1:9" x14ac:dyDescent="0.25">
      <c r="A947" s="7"/>
      <c r="B947" s="1"/>
      <c r="C947" s="1"/>
      <c r="D947" s="1"/>
      <c r="F947" s="7"/>
      <c r="G947" s="1"/>
      <c r="H947" s="1"/>
      <c r="I947" s="1"/>
    </row>
    <row r="948" spans="1:9" x14ac:dyDescent="0.25">
      <c r="A948" s="7"/>
      <c r="B948" s="1"/>
      <c r="C948" s="1"/>
      <c r="D948" s="1"/>
      <c r="F948" s="7"/>
      <c r="G948" s="1"/>
      <c r="H948" s="1"/>
      <c r="I948" s="1"/>
    </row>
    <row r="949" spans="1:9" x14ac:dyDescent="0.25">
      <c r="A949" s="7"/>
      <c r="B949" s="1"/>
      <c r="C949" s="1"/>
      <c r="D949" s="1"/>
      <c r="F949" s="7"/>
      <c r="G949" s="1"/>
      <c r="H949" s="1"/>
      <c r="I949" s="1"/>
    </row>
    <row r="950" spans="1:9" x14ac:dyDescent="0.25">
      <c r="A950" s="7"/>
      <c r="B950" s="1"/>
      <c r="C950" s="1"/>
      <c r="D950" s="1"/>
      <c r="F950" s="7"/>
      <c r="G950" s="1"/>
      <c r="H950" s="1"/>
      <c r="I950" s="1"/>
    </row>
    <row r="951" spans="1:9" x14ac:dyDescent="0.25">
      <c r="A951" s="7"/>
      <c r="B951" s="1"/>
      <c r="C951" s="1"/>
      <c r="D951" s="1"/>
      <c r="F951" s="7"/>
      <c r="G951" s="1"/>
      <c r="H951" s="1"/>
      <c r="I951" s="1"/>
    </row>
    <row r="952" spans="1:9" x14ac:dyDescent="0.25">
      <c r="A952" s="7"/>
      <c r="B952" s="1"/>
      <c r="C952" s="1"/>
      <c r="D952" s="1"/>
      <c r="F952" s="7"/>
      <c r="G952" s="1"/>
      <c r="H952" s="1"/>
      <c r="I952" s="1"/>
    </row>
    <row r="953" spans="1:9" x14ac:dyDescent="0.25">
      <c r="A953" s="7"/>
      <c r="B953" s="1"/>
      <c r="C953" s="1"/>
      <c r="D953" s="1"/>
      <c r="F953" s="7"/>
      <c r="G953" s="1"/>
      <c r="H953" s="1"/>
      <c r="I953" s="1"/>
    </row>
    <row r="954" spans="1:9" x14ac:dyDescent="0.25">
      <c r="A954" s="7"/>
      <c r="B954" s="1"/>
      <c r="C954" s="1"/>
      <c r="D954" s="1"/>
      <c r="F954" s="7"/>
      <c r="G954" s="1"/>
      <c r="H954" s="1"/>
      <c r="I954" s="1"/>
    </row>
    <row r="955" spans="1:9" x14ac:dyDescent="0.25">
      <c r="A955" s="7"/>
      <c r="B955" s="1"/>
      <c r="C955" s="1"/>
      <c r="D955" s="1"/>
      <c r="F955" s="7"/>
      <c r="G955" s="1"/>
      <c r="H955" s="1"/>
      <c r="I955" s="1"/>
    </row>
    <row r="956" spans="1:9" x14ac:dyDescent="0.25">
      <c r="A956" s="7"/>
      <c r="B956" s="1"/>
      <c r="C956" s="1"/>
      <c r="D956" s="1"/>
      <c r="F956" s="7"/>
      <c r="G956" s="1"/>
      <c r="H956" s="1"/>
      <c r="I956" s="1"/>
    </row>
    <row r="957" spans="1:9" x14ac:dyDescent="0.25">
      <c r="A957" s="7"/>
      <c r="B957" s="1"/>
      <c r="C957" s="1"/>
      <c r="D957" s="1"/>
      <c r="F957" s="7"/>
      <c r="G957" s="1"/>
      <c r="H957" s="1"/>
      <c r="I957" s="1"/>
    </row>
    <row r="958" spans="1:9" x14ac:dyDescent="0.25">
      <c r="A958" s="7"/>
      <c r="B958" s="1"/>
      <c r="C958" s="1"/>
      <c r="D958" s="1"/>
      <c r="F958" s="7"/>
      <c r="G958" s="1"/>
      <c r="H958" s="1"/>
      <c r="I958" s="1"/>
    </row>
    <row r="959" spans="1:9" x14ac:dyDescent="0.25">
      <c r="A959" s="7"/>
      <c r="B959" s="1"/>
      <c r="C959" s="1"/>
      <c r="D959" s="1"/>
      <c r="F959" s="7"/>
      <c r="G959" s="1"/>
      <c r="H959" s="1"/>
      <c r="I959" s="1"/>
    </row>
    <row r="960" spans="1:9" x14ac:dyDescent="0.25">
      <c r="A960" s="7"/>
      <c r="B960" s="1"/>
      <c r="C960" s="1"/>
      <c r="D960" s="1"/>
      <c r="F960" s="7"/>
      <c r="G960" s="1"/>
      <c r="H960" s="1"/>
      <c r="I960" s="1"/>
    </row>
    <row r="961" spans="1:9" x14ac:dyDescent="0.25">
      <c r="A961" s="7"/>
      <c r="B961" s="1"/>
      <c r="C961" s="1"/>
      <c r="D961" s="1"/>
      <c r="F961" s="7"/>
      <c r="G961" s="1"/>
      <c r="H961" s="1"/>
      <c r="I961" s="1"/>
    </row>
    <row r="962" spans="1:9" x14ac:dyDescent="0.25">
      <c r="A962" s="7"/>
      <c r="B962" s="1"/>
      <c r="C962" s="1"/>
      <c r="D962" s="1"/>
      <c r="F962" s="7"/>
      <c r="G962" s="1"/>
      <c r="H962" s="1"/>
      <c r="I962" s="1"/>
    </row>
    <row r="963" spans="1:9" x14ac:dyDescent="0.25">
      <c r="A963" s="7"/>
      <c r="B963" s="1"/>
      <c r="C963" s="1"/>
      <c r="D963" s="1"/>
      <c r="F963" s="7"/>
      <c r="G963" s="1"/>
      <c r="H963" s="1"/>
      <c r="I963" s="1"/>
    </row>
    <row r="964" spans="1:9" x14ac:dyDescent="0.25">
      <c r="A964" s="7"/>
      <c r="B964" s="1"/>
      <c r="C964" s="1"/>
      <c r="D964" s="1"/>
      <c r="F964" s="7"/>
      <c r="G964" s="1"/>
      <c r="H964" s="1"/>
      <c r="I964" s="1"/>
    </row>
    <row r="965" spans="1:9" x14ac:dyDescent="0.25">
      <c r="A965" s="7"/>
      <c r="B965" s="1"/>
      <c r="C965" s="1"/>
      <c r="D965" s="1"/>
      <c r="F965" s="7"/>
      <c r="G965" s="1"/>
      <c r="H965" s="1"/>
      <c r="I965" s="1"/>
    </row>
    <row r="966" spans="1:9" x14ac:dyDescent="0.25">
      <c r="A966" s="7"/>
      <c r="B966" s="1"/>
      <c r="C966" s="1"/>
      <c r="D966" s="1"/>
      <c r="F966" s="7"/>
      <c r="G966" s="1"/>
      <c r="H966" s="1"/>
      <c r="I966" s="1"/>
    </row>
    <row r="967" spans="1:9" x14ac:dyDescent="0.25">
      <c r="A967" s="7"/>
      <c r="B967" s="1"/>
      <c r="C967" s="1"/>
      <c r="D967" s="1"/>
      <c r="F967" s="7"/>
      <c r="G967" s="1"/>
      <c r="H967" s="1"/>
      <c r="I967" s="1"/>
    </row>
    <row r="968" spans="1:9" x14ac:dyDescent="0.25">
      <c r="A968" s="7"/>
      <c r="B968" s="1"/>
      <c r="C968" s="1"/>
      <c r="D968" s="1"/>
      <c r="F968" s="7"/>
      <c r="G968" s="1"/>
      <c r="H968" s="1"/>
      <c r="I968" s="1"/>
    </row>
    <row r="969" spans="1:9" x14ac:dyDescent="0.25">
      <c r="A969" s="7"/>
      <c r="B969" s="1"/>
      <c r="C969" s="1"/>
      <c r="D969" s="1"/>
      <c r="F969" s="7"/>
      <c r="G969" s="1"/>
      <c r="H969" s="1"/>
      <c r="I969" s="1"/>
    </row>
    <row r="970" spans="1:9" x14ac:dyDescent="0.25">
      <c r="A970" s="7"/>
      <c r="B970" s="1"/>
      <c r="C970" s="1"/>
      <c r="D970" s="1"/>
      <c r="F970" s="7"/>
      <c r="G970" s="1"/>
      <c r="H970" s="1"/>
      <c r="I970" s="1"/>
    </row>
    <row r="971" spans="1:9" x14ac:dyDescent="0.25">
      <c r="A971" s="7"/>
      <c r="B971" s="1"/>
      <c r="C971" s="1"/>
      <c r="D971" s="1"/>
      <c r="F971" s="7"/>
      <c r="G971" s="1"/>
      <c r="H971" s="1"/>
      <c r="I971" s="1"/>
    </row>
    <row r="972" spans="1:9" x14ac:dyDescent="0.25">
      <c r="A972" s="7"/>
      <c r="B972" s="1"/>
      <c r="C972" s="1"/>
      <c r="D972" s="1"/>
      <c r="F972" s="7"/>
      <c r="G972" s="1"/>
      <c r="H972" s="1"/>
      <c r="I972" s="1"/>
    </row>
    <row r="973" spans="1:9" x14ac:dyDescent="0.25">
      <c r="A973" s="7"/>
      <c r="B973" s="1"/>
      <c r="C973" s="1"/>
      <c r="D973" s="1"/>
      <c r="F973" s="7"/>
      <c r="G973" s="1"/>
      <c r="H973" s="1"/>
      <c r="I973" s="1"/>
    </row>
    <row r="974" spans="1:9" x14ac:dyDescent="0.25">
      <c r="A974" s="7"/>
      <c r="B974" s="1"/>
      <c r="C974" s="1"/>
      <c r="D974" s="1"/>
      <c r="F974" s="7"/>
      <c r="G974" s="1"/>
      <c r="H974" s="1"/>
      <c r="I974" s="1"/>
    </row>
    <row r="975" spans="1:9" x14ac:dyDescent="0.25">
      <c r="A975" s="7"/>
      <c r="B975" s="1"/>
      <c r="C975" s="1"/>
      <c r="D975" s="1"/>
      <c r="F975" s="7"/>
      <c r="G975" s="1"/>
      <c r="H975" s="1"/>
      <c r="I975" s="1"/>
    </row>
    <row r="976" spans="1:9" x14ac:dyDescent="0.25">
      <c r="A976" s="7"/>
      <c r="B976" s="1"/>
      <c r="C976" s="1"/>
      <c r="D976" s="1"/>
      <c r="F976" s="7"/>
      <c r="G976" s="1"/>
      <c r="H976" s="1"/>
      <c r="I976" s="1"/>
    </row>
    <row r="977" spans="1:9" x14ac:dyDescent="0.25">
      <c r="A977" s="7"/>
      <c r="B977" s="1"/>
      <c r="C977" s="1"/>
      <c r="D977" s="1"/>
      <c r="F977" s="7"/>
      <c r="G977" s="1"/>
      <c r="H977" s="1"/>
      <c r="I977" s="1"/>
    </row>
    <row r="978" spans="1:9" x14ac:dyDescent="0.25">
      <c r="A978" s="7"/>
      <c r="B978" s="1"/>
      <c r="C978" s="1"/>
      <c r="D978" s="1"/>
      <c r="F978" s="7"/>
      <c r="G978" s="1"/>
      <c r="H978" s="1"/>
      <c r="I978" s="1"/>
    </row>
    <row r="979" spans="1:9" x14ac:dyDescent="0.25">
      <c r="A979" s="7"/>
      <c r="B979" s="1"/>
      <c r="C979" s="1"/>
      <c r="D979" s="1"/>
      <c r="F979" s="7"/>
      <c r="G979" s="1"/>
      <c r="H979" s="1"/>
      <c r="I979" s="1"/>
    </row>
    <row r="980" spans="1:9" x14ac:dyDescent="0.25">
      <c r="A980" s="7"/>
      <c r="B980" s="1"/>
      <c r="C980" s="1"/>
      <c r="D980" s="1"/>
      <c r="F980" s="7"/>
      <c r="G980" s="1"/>
      <c r="H980" s="1"/>
      <c r="I980" s="1"/>
    </row>
    <row r="981" spans="1:9" x14ac:dyDescent="0.25">
      <c r="A981" s="7"/>
      <c r="B981" s="1"/>
      <c r="C981" s="1"/>
      <c r="D981" s="1"/>
      <c r="F981" s="7"/>
      <c r="G981" s="1"/>
      <c r="H981" s="1"/>
      <c r="I981" s="1"/>
    </row>
    <row r="982" spans="1:9" x14ac:dyDescent="0.25">
      <c r="A982" s="7"/>
      <c r="B982" s="1"/>
      <c r="C982" s="1"/>
      <c r="D982" s="1"/>
      <c r="F982" s="7"/>
      <c r="G982" s="1"/>
      <c r="H982" s="1"/>
      <c r="I982" s="1"/>
    </row>
    <row r="983" spans="1:9" x14ac:dyDescent="0.25">
      <c r="A983" s="7"/>
      <c r="B983" s="1"/>
      <c r="C983" s="1"/>
      <c r="D983" s="1"/>
      <c r="F983" s="7"/>
      <c r="G983" s="1"/>
      <c r="H983" s="1"/>
      <c r="I983" s="1"/>
    </row>
    <row r="984" spans="1:9" x14ac:dyDescent="0.25">
      <c r="A984" s="7"/>
      <c r="B984" s="1"/>
      <c r="C984" s="1"/>
      <c r="D984" s="1"/>
      <c r="F984" s="7"/>
      <c r="G984" s="1"/>
      <c r="H984" s="1"/>
      <c r="I984" s="1"/>
    </row>
    <row r="985" spans="1:9" x14ac:dyDescent="0.25">
      <c r="A985" s="7"/>
      <c r="B985" s="1"/>
      <c r="C985" s="1"/>
      <c r="D985" s="1"/>
      <c r="F985" s="7"/>
      <c r="G985" s="1"/>
      <c r="H985" s="1"/>
      <c r="I985" s="1"/>
    </row>
    <row r="986" spans="1:9" x14ac:dyDescent="0.25">
      <c r="A986" s="7"/>
      <c r="B986" s="1"/>
      <c r="C986" s="1"/>
      <c r="D986" s="1"/>
      <c r="F986" s="7"/>
      <c r="G986" s="1"/>
      <c r="H986" s="1"/>
      <c r="I986" s="1"/>
    </row>
    <row r="987" spans="1:9" x14ac:dyDescent="0.25">
      <c r="A987" s="7"/>
      <c r="B987" s="1"/>
      <c r="C987" s="1"/>
      <c r="D987" s="1"/>
      <c r="F987" s="7"/>
      <c r="G987" s="1"/>
      <c r="H987" s="1"/>
      <c r="I987" s="1"/>
    </row>
    <row r="988" spans="1:9" x14ac:dyDescent="0.25">
      <c r="A988" s="7"/>
      <c r="B988" s="1"/>
      <c r="C988" s="1"/>
      <c r="D988" s="1"/>
      <c r="F988" s="7"/>
      <c r="G988" s="1"/>
      <c r="H988" s="1"/>
      <c r="I988" s="1"/>
    </row>
    <row r="989" spans="1:9" x14ac:dyDescent="0.25">
      <c r="A989" s="7"/>
      <c r="B989" s="1"/>
      <c r="C989" s="1"/>
      <c r="D989" s="1"/>
      <c r="F989" s="7"/>
      <c r="G989" s="1"/>
      <c r="H989" s="1"/>
      <c r="I989" s="1"/>
    </row>
    <row r="990" spans="1:9" x14ac:dyDescent="0.25">
      <c r="A990" s="7"/>
      <c r="B990" s="1"/>
      <c r="C990" s="1"/>
      <c r="D990" s="1"/>
      <c r="F990" s="7"/>
      <c r="G990" s="1"/>
      <c r="H990" s="1"/>
      <c r="I990" s="1"/>
    </row>
    <row r="991" spans="1:9" x14ac:dyDescent="0.25">
      <c r="A991" s="7"/>
      <c r="B991" s="1"/>
      <c r="C991" s="1"/>
      <c r="D991" s="1"/>
      <c r="F991" s="7"/>
      <c r="G991" s="1"/>
      <c r="H991" s="1"/>
      <c r="I991" s="1"/>
    </row>
    <row r="992" spans="1:9" x14ac:dyDescent="0.25">
      <c r="A992" s="7"/>
      <c r="B992" s="1"/>
      <c r="C992" s="1"/>
      <c r="D992" s="1"/>
      <c r="F992" s="7"/>
      <c r="G992" s="1"/>
      <c r="H992" s="1"/>
      <c r="I992" s="1"/>
    </row>
    <row r="993" spans="1:9" x14ac:dyDescent="0.25">
      <c r="A993" s="7"/>
      <c r="B993" s="1"/>
      <c r="C993" s="1"/>
      <c r="D993" s="1"/>
      <c r="F993" s="7"/>
      <c r="G993" s="1"/>
      <c r="H993" s="1"/>
      <c r="I993" s="1"/>
    </row>
    <row r="994" spans="1:9" x14ac:dyDescent="0.25">
      <c r="A994" s="7"/>
      <c r="B994" s="1"/>
      <c r="C994" s="1"/>
      <c r="D994" s="1"/>
      <c r="F994" s="7"/>
      <c r="G994" s="1"/>
      <c r="H994" s="1"/>
      <c r="I994" s="1"/>
    </row>
    <row r="995" spans="1:9" x14ac:dyDescent="0.25">
      <c r="A995" s="7"/>
      <c r="B995" s="1"/>
      <c r="C995" s="1"/>
      <c r="D995" s="1"/>
      <c r="F995" s="7"/>
      <c r="G995" s="1"/>
      <c r="H995" s="1"/>
      <c r="I995" s="1"/>
    </row>
    <row r="996" spans="1:9" x14ac:dyDescent="0.25">
      <c r="A996" s="7"/>
      <c r="B996" s="1"/>
      <c r="C996" s="1"/>
      <c r="D996" s="1"/>
      <c r="F996" s="7"/>
      <c r="G996" s="1"/>
      <c r="H996" s="1"/>
      <c r="I996" s="1"/>
    </row>
    <row r="997" spans="1:9" x14ac:dyDescent="0.25">
      <c r="A997" s="7"/>
      <c r="B997" s="1"/>
      <c r="C997" s="1"/>
      <c r="D997" s="1"/>
      <c r="F997" s="7"/>
      <c r="G997" s="1"/>
      <c r="H997" s="1"/>
      <c r="I997" s="1"/>
    </row>
    <row r="998" spans="1:9" x14ac:dyDescent="0.25">
      <c r="A998" s="7"/>
      <c r="B998" s="1"/>
      <c r="C998" s="1"/>
      <c r="D998" s="1"/>
      <c r="F998" s="7"/>
      <c r="G998" s="1"/>
      <c r="H998" s="1"/>
      <c r="I998" s="1"/>
    </row>
    <row r="999" spans="1:9" x14ac:dyDescent="0.25">
      <c r="A999" s="7"/>
      <c r="B999" s="1"/>
      <c r="C999" s="1"/>
      <c r="D999" s="1"/>
      <c r="F999" s="7"/>
      <c r="G999" s="1"/>
      <c r="H999" s="1"/>
      <c r="I999" s="1"/>
    </row>
    <row r="1000" spans="1:9" x14ac:dyDescent="0.25">
      <c r="A1000" s="7"/>
      <c r="B1000" s="1"/>
      <c r="C1000" s="1"/>
      <c r="D1000" s="1"/>
      <c r="F1000" s="7"/>
      <c r="G1000" s="1"/>
      <c r="H1000" s="1"/>
      <c r="I1000" s="1"/>
    </row>
    <row r="1001" spans="1:9" x14ac:dyDescent="0.25">
      <c r="A1001" s="7"/>
      <c r="B1001" s="1"/>
      <c r="C1001" s="1"/>
      <c r="D1001" s="1"/>
      <c r="F1001" s="7"/>
      <c r="G1001" s="1"/>
      <c r="H1001" s="1"/>
      <c r="I1001" s="1"/>
    </row>
    <row r="1002" spans="1:9" x14ac:dyDescent="0.25">
      <c r="A1002" s="7"/>
      <c r="B1002" s="1"/>
      <c r="C1002" s="1"/>
      <c r="D1002" s="1"/>
      <c r="F1002" s="7"/>
      <c r="G1002" s="1"/>
      <c r="H1002" s="1"/>
      <c r="I1002" s="1"/>
    </row>
    <row r="1003" spans="1:9" x14ac:dyDescent="0.25">
      <c r="A1003" s="7"/>
      <c r="B1003" s="1"/>
      <c r="C1003" s="1"/>
      <c r="D1003" s="1"/>
      <c r="F1003" s="7"/>
      <c r="G1003" s="1"/>
      <c r="H1003" s="1"/>
      <c r="I1003" s="1"/>
    </row>
    <row r="1004" spans="1:9" x14ac:dyDescent="0.25">
      <c r="A1004" s="7"/>
      <c r="B1004" s="1"/>
      <c r="C1004" s="1"/>
      <c r="D1004" s="1"/>
      <c r="F1004" s="7"/>
      <c r="G1004" s="1"/>
      <c r="H1004" s="1"/>
      <c r="I1004" s="1"/>
    </row>
    <row r="1005" spans="1:9" x14ac:dyDescent="0.25">
      <c r="A1005" s="7"/>
      <c r="B1005" s="1"/>
      <c r="C1005" s="1"/>
      <c r="D1005" s="1"/>
      <c r="F1005" s="7"/>
      <c r="G1005" s="1"/>
      <c r="H1005" s="1"/>
      <c r="I1005" s="1"/>
    </row>
    <row r="1006" spans="1:9" x14ac:dyDescent="0.25">
      <c r="A1006" s="7"/>
      <c r="B1006" s="1"/>
      <c r="C1006" s="1"/>
      <c r="D1006" s="1"/>
      <c r="F1006" s="7"/>
      <c r="G1006" s="1"/>
      <c r="H1006" s="1"/>
      <c r="I1006" s="1"/>
    </row>
    <row r="1007" spans="1:9" x14ac:dyDescent="0.25">
      <c r="A1007" s="7"/>
      <c r="B1007" s="1"/>
      <c r="C1007" s="1"/>
      <c r="D1007" s="1"/>
      <c r="F1007" s="7"/>
      <c r="G1007" s="1"/>
      <c r="H1007" s="1"/>
      <c r="I1007" s="1"/>
    </row>
    <row r="1008" spans="1:9" x14ac:dyDescent="0.25">
      <c r="A1008" s="7"/>
      <c r="B1008" s="1"/>
      <c r="C1008" s="1"/>
      <c r="D1008" s="1"/>
      <c r="F1008" s="7"/>
      <c r="G1008" s="1"/>
      <c r="H1008" s="1"/>
      <c r="I1008" s="1"/>
    </row>
    <row r="1009" spans="1:9" x14ac:dyDescent="0.25">
      <c r="A1009" s="7"/>
      <c r="B1009" s="1"/>
      <c r="C1009" s="1"/>
      <c r="D1009" s="1"/>
      <c r="F1009" s="7"/>
      <c r="G1009" s="1"/>
      <c r="H1009" s="1"/>
      <c r="I1009" s="1"/>
    </row>
    <row r="1010" spans="1:9" x14ac:dyDescent="0.25">
      <c r="A1010" s="7"/>
      <c r="B1010" s="1"/>
      <c r="C1010" s="1"/>
      <c r="D1010" s="1"/>
      <c r="F1010" s="7"/>
      <c r="G1010" s="1"/>
      <c r="H1010" s="1"/>
      <c r="I1010" s="1"/>
    </row>
    <row r="1011" spans="1:9" x14ac:dyDescent="0.25">
      <c r="A1011" s="7"/>
      <c r="B1011" s="1"/>
      <c r="C1011" s="1"/>
      <c r="D1011" s="1"/>
      <c r="F1011" s="7"/>
      <c r="G1011" s="1"/>
      <c r="H1011" s="1"/>
      <c r="I1011" s="1"/>
    </row>
    <row r="1012" spans="1:9" x14ac:dyDescent="0.25">
      <c r="A1012" s="7"/>
      <c r="B1012" s="1"/>
      <c r="C1012" s="1"/>
      <c r="D1012" s="1"/>
      <c r="F1012" s="7"/>
      <c r="G1012" s="1"/>
      <c r="H1012" s="1"/>
      <c r="I1012" s="1"/>
    </row>
    <row r="1013" spans="1:9" x14ac:dyDescent="0.25">
      <c r="A1013" s="7"/>
      <c r="B1013" s="1"/>
      <c r="C1013" s="1"/>
      <c r="D1013" s="1"/>
      <c r="F1013" s="7"/>
      <c r="G1013" s="1"/>
      <c r="H1013" s="1"/>
      <c r="I1013" s="1"/>
    </row>
    <row r="1014" spans="1:9" x14ac:dyDescent="0.25">
      <c r="A1014" s="7"/>
      <c r="B1014" s="1"/>
      <c r="C1014" s="1"/>
      <c r="D1014" s="1"/>
      <c r="F1014" s="7"/>
      <c r="G1014" s="1"/>
      <c r="H1014" s="1"/>
      <c r="I1014" s="1"/>
    </row>
    <row r="1015" spans="1:9" x14ac:dyDescent="0.25">
      <c r="A1015" s="7"/>
      <c r="B1015" s="1"/>
      <c r="C1015" s="1"/>
      <c r="D1015" s="1"/>
      <c r="F1015" s="7"/>
      <c r="G1015" s="1"/>
      <c r="H1015" s="1"/>
      <c r="I1015" s="1"/>
    </row>
    <row r="1016" spans="1:9" x14ac:dyDescent="0.25">
      <c r="A1016" s="7"/>
      <c r="B1016" s="1"/>
      <c r="C1016" s="1"/>
      <c r="D1016" s="1"/>
      <c r="F1016" s="7"/>
      <c r="G1016" s="1"/>
      <c r="H1016" s="1"/>
      <c r="I1016" s="1"/>
    </row>
    <row r="1017" spans="1:9" x14ac:dyDescent="0.25">
      <c r="A1017" s="7"/>
      <c r="B1017" s="1"/>
      <c r="C1017" s="1"/>
      <c r="D1017" s="1"/>
      <c r="F1017" s="7"/>
      <c r="G1017" s="1"/>
      <c r="H1017" s="1"/>
      <c r="I1017" s="1"/>
    </row>
    <row r="1018" spans="1:9" x14ac:dyDescent="0.25">
      <c r="A1018" s="7"/>
      <c r="B1018" s="1"/>
      <c r="C1018" s="1"/>
      <c r="D1018" s="1"/>
      <c r="F1018" s="7"/>
      <c r="G1018" s="1"/>
      <c r="H1018" s="1"/>
      <c r="I1018" s="1"/>
    </row>
    <row r="1019" spans="1:9" x14ac:dyDescent="0.25">
      <c r="A1019" s="7"/>
      <c r="B1019" s="1"/>
      <c r="C1019" s="1"/>
      <c r="D1019" s="1"/>
      <c r="F1019" s="7"/>
      <c r="G1019" s="1"/>
      <c r="H1019" s="1"/>
      <c r="I1019" s="1"/>
    </row>
    <row r="1020" spans="1:9" x14ac:dyDescent="0.25">
      <c r="A1020" s="7"/>
      <c r="B1020" s="1"/>
      <c r="C1020" s="1"/>
      <c r="D1020" s="1"/>
      <c r="F1020" s="7"/>
      <c r="G1020" s="1"/>
      <c r="H1020" s="1"/>
      <c r="I1020" s="1"/>
    </row>
    <row r="1021" spans="1:9" x14ac:dyDescent="0.25">
      <c r="A1021" s="7"/>
      <c r="B1021" s="1"/>
      <c r="C1021" s="1"/>
      <c r="D1021" s="1"/>
      <c r="F1021" s="7"/>
      <c r="G1021" s="1"/>
      <c r="H1021" s="1"/>
      <c r="I1021" s="1"/>
    </row>
    <row r="1022" spans="1:9" x14ac:dyDescent="0.25">
      <c r="A1022" s="7"/>
      <c r="B1022" s="1"/>
      <c r="C1022" s="1"/>
      <c r="D1022" s="1"/>
      <c r="F1022" s="7"/>
      <c r="G1022" s="1"/>
      <c r="H1022" s="1"/>
      <c r="I1022" s="1"/>
    </row>
    <row r="1023" spans="1:9" x14ac:dyDescent="0.25">
      <c r="A1023" s="7"/>
      <c r="B1023" s="1"/>
      <c r="C1023" s="1"/>
      <c r="D1023" s="1"/>
      <c r="F1023" s="7"/>
      <c r="G1023" s="1"/>
      <c r="H1023" s="1"/>
      <c r="I1023" s="1"/>
    </row>
    <row r="1024" spans="1:9" x14ac:dyDescent="0.25">
      <c r="A1024" s="7"/>
      <c r="B1024" s="1"/>
      <c r="C1024" s="1"/>
      <c r="D1024" s="1"/>
      <c r="F1024" s="7"/>
      <c r="G1024" s="1"/>
      <c r="H1024" s="1"/>
      <c r="I1024" s="1"/>
    </row>
    <row r="1025" spans="1:9" x14ac:dyDescent="0.25">
      <c r="A1025" s="7"/>
      <c r="B1025" s="1"/>
      <c r="C1025" s="1"/>
      <c r="D1025" s="1"/>
      <c r="F1025" s="7"/>
      <c r="G1025" s="1"/>
      <c r="H1025" s="1"/>
      <c r="I1025" s="1"/>
    </row>
    <row r="1026" spans="1:9" x14ac:dyDescent="0.25">
      <c r="A1026" s="7"/>
      <c r="B1026" s="1"/>
      <c r="C1026" s="1"/>
      <c r="D1026" s="1"/>
      <c r="F1026" s="7"/>
      <c r="G1026" s="1"/>
      <c r="H1026" s="1"/>
      <c r="I1026" s="1"/>
    </row>
    <row r="1027" spans="1:9" x14ac:dyDescent="0.25">
      <c r="A1027" s="7"/>
      <c r="B1027" s="1"/>
      <c r="C1027" s="1"/>
      <c r="D1027" s="1"/>
      <c r="F1027" s="7"/>
      <c r="G1027" s="1"/>
      <c r="H1027" s="1"/>
      <c r="I1027" s="1"/>
    </row>
    <row r="1028" spans="1:9" x14ac:dyDescent="0.25">
      <c r="A1028" s="7"/>
      <c r="B1028" s="1"/>
      <c r="C1028" s="1"/>
      <c r="D1028" s="1"/>
      <c r="F1028" s="7"/>
      <c r="G1028" s="1"/>
      <c r="H1028" s="1"/>
      <c r="I1028" s="1"/>
    </row>
    <row r="1029" spans="1:9" x14ac:dyDescent="0.25">
      <c r="A1029" s="7"/>
      <c r="B1029" s="1"/>
      <c r="C1029" s="1"/>
      <c r="D1029" s="1"/>
      <c r="F1029" s="7"/>
      <c r="G1029" s="1"/>
      <c r="H1029" s="1"/>
      <c r="I1029" s="1"/>
    </row>
    <row r="1030" spans="1:9" x14ac:dyDescent="0.25">
      <c r="A1030" s="7"/>
      <c r="B1030" s="1"/>
      <c r="C1030" s="1"/>
      <c r="D1030" s="1"/>
      <c r="F1030" s="7"/>
      <c r="G1030" s="1"/>
      <c r="H1030" s="1"/>
      <c r="I1030" s="1"/>
    </row>
    <row r="1031" spans="1:9" x14ac:dyDescent="0.25">
      <c r="A1031" s="7"/>
      <c r="B1031" s="1"/>
      <c r="C1031" s="1"/>
      <c r="D1031" s="1"/>
      <c r="F1031" s="7"/>
      <c r="G1031" s="1"/>
      <c r="H1031" s="1"/>
      <c r="I1031" s="1"/>
    </row>
    <row r="1032" spans="1:9" x14ac:dyDescent="0.25">
      <c r="A1032" s="7"/>
      <c r="B1032" s="1"/>
      <c r="C1032" s="1"/>
      <c r="D1032" s="1"/>
      <c r="F1032" s="7"/>
      <c r="G1032" s="1"/>
      <c r="H1032" s="1"/>
      <c r="I1032" s="1"/>
    </row>
    <row r="1033" spans="1:9" x14ac:dyDescent="0.25">
      <c r="A1033" s="7"/>
      <c r="B1033" s="1"/>
      <c r="C1033" s="1"/>
      <c r="D1033" s="1"/>
      <c r="F1033" s="7"/>
      <c r="G1033" s="1"/>
      <c r="H1033" s="1"/>
      <c r="I1033" s="1"/>
    </row>
    <row r="1034" spans="1:9" x14ac:dyDescent="0.25">
      <c r="A1034" s="7"/>
      <c r="B1034" s="1"/>
      <c r="C1034" s="1"/>
      <c r="D1034" s="1"/>
      <c r="F1034" s="7"/>
      <c r="G1034" s="1"/>
      <c r="H1034" s="1"/>
      <c r="I1034" s="1"/>
    </row>
    <row r="1035" spans="1:9" x14ac:dyDescent="0.25">
      <c r="A1035" s="7"/>
      <c r="B1035" s="1"/>
      <c r="C1035" s="1"/>
      <c r="D1035" s="1"/>
      <c r="F1035" s="7"/>
      <c r="G1035" s="1"/>
      <c r="H1035" s="1"/>
      <c r="I1035" s="1"/>
    </row>
    <row r="1036" spans="1:9" x14ac:dyDescent="0.25">
      <c r="A1036" s="7"/>
      <c r="B1036" s="1"/>
      <c r="C1036" s="1"/>
      <c r="D1036" s="1"/>
      <c r="F1036" s="7"/>
      <c r="G1036" s="1"/>
      <c r="H1036" s="1"/>
      <c r="I1036" s="1"/>
    </row>
    <row r="1037" spans="1:9" x14ac:dyDescent="0.25">
      <c r="A1037" s="7"/>
      <c r="B1037" s="1"/>
      <c r="C1037" s="1"/>
      <c r="D1037" s="1"/>
      <c r="F1037" s="7"/>
      <c r="G1037" s="1"/>
      <c r="H1037" s="1"/>
      <c r="I1037" s="1"/>
    </row>
    <row r="1038" spans="1:9" x14ac:dyDescent="0.25">
      <c r="A1038" s="7"/>
      <c r="B1038" s="1"/>
      <c r="C1038" s="1"/>
      <c r="D1038" s="1"/>
      <c r="F1038" s="7"/>
      <c r="G1038" s="1"/>
      <c r="H1038" s="1"/>
      <c r="I1038" s="1"/>
    </row>
    <row r="1039" spans="1:9" x14ac:dyDescent="0.25">
      <c r="A1039" s="7"/>
      <c r="B1039" s="1"/>
      <c r="C1039" s="1"/>
      <c r="D1039" s="1"/>
      <c r="F1039" s="7"/>
      <c r="G1039" s="1"/>
      <c r="H1039" s="1"/>
      <c r="I1039" s="1"/>
    </row>
    <row r="1040" spans="1:9" x14ac:dyDescent="0.25">
      <c r="A1040" s="7"/>
      <c r="B1040" s="1"/>
      <c r="C1040" s="1"/>
      <c r="D1040" s="1"/>
      <c r="F1040" s="7"/>
      <c r="G1040" s="1"/>
      <c r="H1040" s="1"/>
      <c r="I1040" s="1"/>
    </row>
    <row r="1041" spans="1:9" x14ac:dyDescent="0.25">
      <c r="A1041" s="7"/>
      <c r="B1041" s="1"/>
      <c r="C1041" s="1"/>
      <c r="D1041" s="1"/>
      <c r="F1041" s="7"/>
      <c r="G1041" s="1"/>
      <c r="H1041" s="1"/>
      <c r="I1041" s="1"/>
    </row>
    <row r="1042" spans="1:9" x14ac:dyDescent="0.25">
      <c r="A1042" s="7"/>
      <c r="B1042" s="1"/>
      <c r="C1042" s="1"/>
      <c r="D1042" s="1"/>
      <c r="F1042" s="7"/>
      <c r="G1042" s="1"/>
      <c r="H1042" s="1"/>
      <c r="I1042" s="1"/>
    </row>
    <row r="1043" spans="1:9" x14ac:dyDescent="0.25">
      <c r="A1043" s="7"/>
      <c r="B1043" s="1"/>
      <c r="C1043" s="1"/>
      <c r="D1043" s="1"/>
      <c r="F1043" s="7"/>
      <c r="G1043" s="1"/>
      <c r="H1043" s="1"/>
      <c r="I1043" s="1"/>
    </row>
    <row r="1044" spans="1:9" x14ac:dyDescent="0.25">
      <c r="A1044" s="7"/>
      <c r="B1044" s="1"/>
      <c r="C1044" s="1"/>
      <c r="D1044" s="1"/>
      <c r="F1044" s="7"/>
      <c r="G1044" s="1"/>
      <c r="H1044" s="1"/>
      <c r="I1044" s="1"/>
    </row>
    <row r="1045" spans="1:9" x14ac:dyDescent="0.25">
      <c r="A1045" s="7"/>
      <c r="B1045" s="1"/>
      <c r="C1045" s="1"/>
      <c r="D1045" s="1"/>
      <c r="F1045" s="7"/>
      <c r="G1045" s="1"/>
      <c r="H1045" s="1"/>
      <c r="I1045" s="1"/>
    </row>
    <row r="1046" spans="1:9" x14ac:dyDescent="0.25">
      <c r="A1046" s="7"/>
      <c r="B1046" s="1"/>
      <c r="C1046" s="1"/>
      <c r="D1046" s="1"/>
      <c r="F1046" s="7"/>
      <c r="G1046" s="1"/>
      <c r="H1046" s="1"/>
      <c r="I1046" s="1"/>
    </row>
    <row r="1047" spans="1:9" x14ac:dyDescent="0.25">
      <c r="A1047" s="7"/>
      <c r="B1047" s="1"/>
      <c r="C1047" s="1"/>
      <c r="D1047" s="1"/>
      <c r="F1047" s="7"/>
      <c r="G1047" s="1"/>
      <c r="H1047" s="1"/>
      <c r="I1047" s="1"/>
    </row>
    <row r="1048" spans="1:9" x14ac:dyDescent="0.25">
      <c r="A1048" s="7"/>
      <c r="B1048" s="1"/>
      <c r="C1048" s="1"/>
      <c r="D1048" s="1"/>
      <c r="F1048" s="7"/>
      <c r="G1048" s="1"/>
      <c r="H1048" s="1"/>
      <c r="I1048" s="1"/>
    </row>
    <row r="1049" spans="1:9" x14ac:dyDescent="0.25">
      <c r="A1049" s="7"/>
      <c r="B1049" s="1"/>
      <c r="C1049" s="1"/>
      <c r="D1049" s="1"/>
      <c r="F1049" s="7"/>
      <c r="G1049" s="1"/>
      <c r="H1049" s="1"/>
      <c r="I1049" s="1"/>
    </row>
    <row r="1050" spans="1:9" x14ac:dyDescent="0.25">
      <c r="A1050" s="7"/>
      <c r="B1050" s="1"/>
      <c r="C1050" s="1"/>
      <c r="D1050" s="1"/>
      <c r="F1050" s="7"/>
      <c r="G1050" s="1"/>
      <c r="H1050" s="1"/>
      <c r="I1050" s="1"/>
    </row>
    <row r="1051" spans="1:9" x14ac:dyDescent="0.25">
      <c r="A1051" s="7"/>
      <c r="B1051" s="1"/>
      <c r="C1051" s="1"/>
      <c r="D1051" s="1"/>
      <c r="F1051" s="7"/>
      <c r="G1051" s="1"/>
      <c r="H1051" s="1"/>
      <c r="I1051" s="1"/>
    </row>
    <row r="1052" spans="1:9" x14ac:dyDescent="0.25">
      <c r="A1052" s="7"/>
      <c r="B1052" s="1"/>
      <c r="C1052" s="1"/>
      <c r="D1052" s="1"/>
      <c r="F1052" s="7"/>
      <c r="G1052" s="1"/>
      <c r="H1052" s="1"/>
      <c r="I1052" s="1"/>
    </row>
    <row r="1053" spans="1:9" x14ac:dyDescent="0.25">
      <c r="A1053" s="7"/>
      <c r="B1053" s="1"/>
      <c r="C1053" s="1"/>
      <c r="D1053" s="1"/>
      <c r="F1053" s="7"/>
      <c r="G1053" s="1"/>
      <c r="H1053" s="1"/>
      <c r="I1053" s="1"/>
    </row>
    <row r="1054" spans="1:9" x14ac:dyDescent="0.25">
      <c r="A1054" s="7"/>
      <c r="B1054" s="1"/>
      <c r="C1054" s="1"/>
      <c r="D1054" s="1"/>
      <c r="F1054" s="7"/>
      <c r="G1054" s="1"/>
      <c r="H1054" s="1"/>
      <c r="I1054" s="1"/>
    </row>
    <row r="1055" spans="1:9" x14ac:dyDescent="0.25">
      <c r="A1055" s="7"/>
      <c r="B1055" s="1"/>
      <c r="C1055" s="1"/>
      <c r="D1055" s="1"/>
      <c r="F1055" s="7"/>
      <c r="G1055" s="1"/>
      <c r="H1055" s="1"/>
      <c r="I1055" s="1"/>
    </row>
    <row r="1056" spans="1:9" x14ac:dyDescent="0.25">
      <c r="A1056" s="7"/>
      <c r="B1056" s="1"/>
      <c r="C1056" s="1"/>
      <c r="D1056" s="1"/>
      <c r="F1056" s="7"/>
      <c r="G1056" s="1"/>
      <c r="H1056" s="1"/>
      <c r="I1056" s="1"/>
    </row>
    <row r="1057" spans="1:9" x14ac:dyDescent="0.25">
      <c r="A1057" s="7"/>
      <c r="B1057" s="1"/>
      <c r="C1057" s="1"/>
      <c r="D1057" s="1"/>
      <c r="F1057" s="7"/>
      <c r="G1057" s="1"/>
      <c r="H1057" s="1"/>
      <c r="I1057" s="1"/>
    </row>
    <row r="1058" spans="1:9" x14ac:dyDescent="0.25">
      <c r="A1058" s="7"/>
      <c r="B1058" s="1"/>
      <c r="C1058" s="1"/>
      <c r="D1058" s="1"/>
      <c r="F1058" s="7"/>
      <c r="G1058" s="1"/>
      <c r="H1058" s="1"/>
      <c r="I1058" s="1"/>
    </row>
    <row r="1059" spans="1:9" x14ac:dyDescent="0.25">
      <c r="A1059" s="7"/>
      <c r="B1059" s="1"/>
      <c r="C1059" s="1"/>
      <c r="D1059" s="1"/>
      <c r="F1059" s="7"/>
      <c r="G1059" s="1"/>
      <c r="H1059" s="1"/>
      <c r="I1059" s="1"/>
    </row>
    <row r="1060" spans="1:9" x14ac:dyDescent="0.25">
      <c r="A1060" s="7"/>
      <c r="B1060" s="1"/>
      <c r="C1060" s="1"/>
      <c r="D1060" s="1"/>
      <c r="F1060" s="7"/>
      <c r="G1060" s="1"/>
      <c r="H1060" s="1"/>
      <c r="I1060" s="1"/>
    </row>
    <row r="1061" spans="1:9" x14ac:dyDescent="0.25">
      <c r="A1061" s="7"/>
      <c r="B1061" s="1"/>
      <c r="C1061" s="1"/>
      <c r="D1061" s="1"/>
      <c r="F1061" s="7"/>
      <c r="G1061" s="1"/>
      <c r="H1061" s="1"/>
      <c r="I1061" s="1"/>
    </row>
    <row r="1062" spans="1:9" x14ac:dyDescent="0.25">
      <c r="A1062" s="7"/>
      <c r="B1062" s="1"/>
      <c r="C1062" s="1"/>
      <c r="D1062" s="1"/>
      <c r="F1062" s="7"/>
      <c r="G1062" s="1"/>
      <c r="H1062" s="1"/>
      <c r="I1062" s="1"/>
    </row>
    <row r="1063" spans="1:9" x14ac:dyDescent="0.25">
      <c r="A1063" s="7"/>
      <c r="B1063" s="1"/>
      <c r="C1063" s="1"/>
      <c r="D1063" s="1"/>
      <c r="F1063" s="7"/>
      <c r="G1063" s="1"/>
      <c r="H1063" s="1"/>
      <c r="I1063" s="1"/>
    </row>
    <row r="1064" spans="1:9" x14ac:dyDescent="0.25">
      <c r="A1064" s="7"/>
      <c r="B1064" s="1"/>
      <c r="C1064" s="1"/>
      <c r="D1064" s="1"/>
      <c r="F1064" s="7"/>
      <c r="G1064" s="1"/>
      <c r="H1064" s="1"/>
      <c r="I1064" s="1"/>
    </row>
    <row r="1065" spans="1:9" x14ac:dyDescent="0.25">
      <c r="A1065" s="7"/>
      <c r="B1065" s="1"/>
      <c r="C1065" s="1"/>
      <c r="D1065" s="1"/>
      <c r="F1065" s="7"/>
      <c r="G1065" s="1"/>
      <c r="H1065" s="1"/>
      <c r="I1065" s="1"/>
    </row>
    <row r="1066" spans="1:9" x14ac:dyDescent="0.25">
      <c r="A1066" s="7"/>
      <c r="B1066" s="1"/>
      <c r="C1066" s="1"/>
      <c r="D1066" s="1"/>
      <c r="F1066" s="7"/>
      <c r="G1066" s="1"/>
      <c r="H1066" s="1"/>
      <c r="I1066" s="1"/>
    </row>
    <row r="1067" spans="1:9" x14ac:dyDescent="0.25">
      <c r="A1067" s="7"/>
      <c r="B1067" s="1"/>
      <c r="C1067" s="1"/>
      <c r="D1067" s="1"/>
      <c r="F1067" s="7"/>
      <c r="G1067" s="1"/>
      <c r="H1067" s="1"/>
      <c r="I1067" s="1"/>
    </row>
    <row r="1068" spans="1:9" x14ac:dyDescent="0.25">
      <c r="A1068" s="7"/>
      <c r="B1068" s="1"/>
      <c r="C1068" s="1"/>
      <c r="D1068" s="1"/>
      <c r="F1068" s="7"/>
      <c r="G1068" s="1"/>
      <c r="H1068" s="1"/>
      <c r="I1068" s="1"/>
    </row>
    <row r="1069" spans="1:9" x14ac:dyDescent="0.25">
      <c r="A1069" s="7"/>
      <c r="B1069" s="1"/>
      <c r="C1069" s="1"/>
      <c r="D1069" s="1"/>
      <c r="F1069" s="7"/>
      <c r="G1069" s="1"/>
      <c r="H1069" s="1"/>
      <c r="I1069" s="1"/>
    </row>
    <row r="1070" spans="1:9" x14ac:dyDescent="0.25">
      <c r="A1070" s="7"/>
      <c r="B1070" s="1"/>
      <c r="C1070" s="1"/>
      <c r="D1070" s="1"/>
      <c r="F1070" s="7"/>
      <c r="G1070" s="1"/>
      <c r="H1070" s="1"/>
      <c r="I1070" s="1"/>
    </row>
    <row r="1071" spans="1:9" x14ac:dyDescent="0.25">
      <c r="A1071" s="7"/>
      <c r="B1071" s="1"/>
      <c r="C1071" s="1"/>
      <c r="D1071" s="1"/>
      <c r="F1071" s="7"/>
      <c r="G1071" s="1"/>
      <c r="H1071" s="1"/>
      <c r="I1071" s="1"/>
    </row>
    <row r="1072" spans="1:9" x14ac:dyDescent="0.25">
      <c r="A1072" s="7"/>
      <c r="B1072" s="1"/>
      <c r="C1072" s="1"/>
      <c r="D1072" s="1"/>
      <c r="F1072" s="7"/>
      <c r="G1072" s="1"/>
      <c r="H1072" s="1"/>
      <c r="I1072" s="1"/>
    </row>
    <row r="1073" spans="1:9" x14ac:dyDescent="0.25">
      <c r="A1073" s="7"/>
      <c r="B1073" s="1"/>
      <c r="C1073" s="1"/>
      <c r="D1073" s="1"/>
      <c r="F1073" s="7"/>
      <c r="G1073" s="1"/>
      <c r="H1073" s="1"/>
      <c r="I1073" s="1"/>
    </row>
    <row r="1074" spans="1:9" x14ac:dyDescent="0.25">
      <c r="A1074" s="7"/>
      <c r="B1074" s="1"/>
      <c r="C1074" s="1"/>
      <c r="D1074" s="1"/>
      <c r="F1074" s="7"/>
      <c r="G1074" s="1"/>
      <c r="H1074" s="1"/>
      <c r="I1074" s="1"/>
    </row>
    <row r="1075" spans="1:9" x14ac:dyDescent="0.25">
      <c r="A1075" s="7"/>
      <c r="B1075" s="1"/>
      <c r="C1075" s="1"/>
      <c r="D1075" s="1"/>
      <c r="F1075" s="7"/>
      <c r="G1075" s="1"/>
      <c r="H1075" s="1"/>
      <c r="I1075" s="1"/>
    </row>
    <row r="1076" spans="1:9" x14ac:dyDescent="0.25">
      <c r="A1076" s="7"/>
      <c r="B1076" s="1"/>
      <c r="C1076" s="1"/>
      <c r="D1076" s="1"/>
      <c r="F1076" s="7"/>
      <c r="G1076" s="1"/>
      <c r="H1076" s="1"/>
      <c r="I1076" s="1"/>
    </row>
    <row r="1077" spans="1:9" x14ac:dyDescent="0.25">
      <c r="A1077" s="7"/>
      <c r="B1077" s="1"/>
      <c r="C1077" s="1"/>
      <c r="D1077" s="1"/>
      <c r="F1077" s="7"/>
      <c r="G1077" s="1"/>
      <c r="H1077" s="1"/>
      <c r="I1077" s="1"/>
    </row>
    <row r="1078" spans="1:9" x14ac:dyDescent="0.25">
      <c r="A1078" s="7"/>
      <c r="B1078" s="1"/>
      <c r="C1078" s="1"/>
      <c r="D1078" s="1"/>
      <c r="F1078" s="7"/>
      <c r="G1078" s="1"/>
      <c r="H1078" s="1"/>
      <c r="I1078" s="1"/>
    </row>
    <row r="1079" spans="1:9" x14ac:dyDescent="0.25">
      <c r="A1079" s="7"/>
      <c r="B1079" s="1"/>
      <c r="C1079" s="1"/>
      <c r="D1079" s="1"/>
      <c r="F1079" s="7"/>
      <c r="G1079" s="1"/>
      <c r="H1079" s="1"/>
      <c r="I1079" s="1"/>
    </row>
    <row r="1080" spans="1:9" x14ac:dyDescent="0.25">
      <c r="A1080" s="7"/>
      <c r="B1080" s="1"/>
      <c r="C1080" s="1"/>
      <c r="D1080" s="1"/>
      <c r="F1080" s="7"/>
      <c r="G1080" s="1"/>
      <c r="H1080" s="1"/>
      <c r="I1080" s="1"/>
    </row>
    <row r="1081" spans="1:9" x14ac:dyDescent="0.25">
      <c r="A1081" s="7"/>
      <c r="B1081" s="1"/>
      <c r="C1081" s="1"/>
      <c r="D1081" s="1"/>
      <c r="F1081" s="7"/>
      <c r="G1081" s="1"/>
      <c r="H1081" s="1"/>
      <c r="I1081" s="1"/>
    </row>
    <row r="1082" spans="1:9" x14ac:dyDescent="0.25">
      <c r="A1082" s="7"/>
      <c r="B1082" s="1"/>
      <c r="C1082" s="1"/>
      <c r="D1082" s="1"/>
      <c r="F1082" s="7"/>
      <c r="G1082" s="1"/>
      <c r="H1082" s="1"/>
      <c r="I1082" s="1"/>
    </row>
    <row r="1083" spans="1:9" x14ac:dyDescent="0.25">
      <c r="A1083" s="7"/>
      <c r="B1083" s="1"/>
      <c r="C1083" s="1"/>
      <c r="D1083" s="1"/>
      <c r="F1083" s="7"/>
      <c r="G1083" s="1"/>
      <c r="H1083" s="1"/>
      <c r="I1083" s="1"/>
    </row>
    <row r="1084" spans="1:9" x14ac:dyDescent="0.25">
      <c r="A1084" s="7"/>
      <c r="B1084" s="1"/>
      <c r="C1084" s="1"/>
      <c r="D1084" s="1"/>
      <c r="F1084" s="7"/>
      <c r="G1084" s="1"/>
      <c r="H1084" s="1"/>
      <c r="I1084" s="1"/>
    </row>
    <row r="1085" spans="1:9" x14ac:dyDescent="0.25">
      <c r="A1085" s="7"/>
      <c r="B1085" s="1"/>
      <c r="C1085" s="1"/>
      <c r="D1085" s="1"/>
      <c r="F1085" s="7"/>
      <c r="G1085" s="1"/>
      <c r="H1085" s="1"/>
      <c r="I1085" s="1"/>
    </row>
    <row r="1086" spans="1:9" x14ac:dyDescent="0.25">
      <c r="A1086" s="7"/>
      <c r="B1086" s="1"/>
      <c r="C1086" s="1"/>
      <c r="D1086" s="1"/>
      <c r="F1086" s="7"/>
      <c r="G1086" s="1"/>
      <c r="H1086" s="1"/>
      <c r="I1086" s="1"/>
    </row>
    <row r="1087" spans="1:9" x14ac:dyDescent="0.25">
      <c r="A1087" s="7"/>
      <c r="B1087" s="1"/>
      <c r="C1087" s="1"/>
      <c r="D1087" s="1"/>
      <c r="F1087" s="7"/>
      <c r="G1087" s="1"/>
      <c r="H1087" s="1"/>
      <c r="I1087" s="1"/>
    </row>
    <row r="1088" spans="1:9" x14ac:dyDescent="0.25">
      <c r="A1088" s="7"/>
      <c r="B1088" s="1"/>
      <c r="C1088" s="1"/>
      <c r="D1088" s="1"/>
      <c r="F1088" s="7"/>
      <c r="G1088" s="1"/>
      <c r="H1088" s="1"/>
      <c r="I1088" s="1"/>
    </row>
    <row r="1089" spans="1:9" x14ac:dyDescent="0.25">
      <c r="A1089" s="7"/>
      <c r="B1089" s="1"/>
      <c r="C1089" s="1"/>
      <c r="D1089" s="1"/>
      <c r="F1089" s="7"/>
      <c r="G1089" s="1"/>
      <c r="H1089" s="1"/>
      <c r="I1089" s="1"/>
    </row>
    <row r="1090" spans="1:9" x14ac:dyDescent="0.25">
      <c r="A1090" s="7"/>
      <c r="B1090" s="1"/>
      <c r="C1090" s="1"/>
      <c r="D1090" s="1"/>
      <c r="F1090" s="7"/>
      <c r="G1090" s="1"/>
      <c r="H1090" s="1"/>
      <c r="I1090" s="1"/>
    </row>
    <row r="1091" spans="1:9" x14ac:dyDescent="0.25">
      <c r="A1091" s="7"/>
      <c r="B1091" s="1"/>
      <c r="C1091" s="1"/>
      <c r="D1091" s="1"/>
      <c r="F1091" s="7"/>
      <c r="G1091" s="1"/>
      <c r="H1091" s="1"/>
      <c r="I1091" s="1"/>
    </row>
    <row r="1092" spans="1:9" x14ac:dyDescent="0.25">
      <c r="A1092" s="7"/>
      <c r="B1092" s="1"/>
      <c r="C1092" s="1"/>
      <c r="D1092" s="1"/>
      <c r="F1092" s="7"/>
      <c r="G1092" s="1"/>
      <c r="H1092" s="1"/>
      <c r="I1092" s="1"/>
    </row>
    <row r="1093" spans="1:9" x14ac:dyDescent="0.25">
      <c r="A1093" s="7"/>
      <c r="B1093" s="1"/>
      <c r="C1093" s="1"/>
      <c r="D1093" s="1"/>
      <c r="F1093" s="7"/>
      <c r="G1093" s="1"/>
      <c r="H1093" s="1"/>
      <c r="I1093" s="1"/>
    </row>
    <row r="1094" spans="1:9" x14ac:dyDescent="0.25">
      <c r="A1094" s="7"/>
      <c r="B1094" s="1"/>
      <c r="C1094" s="1"/>
      <c r="D1094" s="1"/>
      <c r="F1094" s="7"/>
      <c r="G1094" s="1"/>
      <c r="H1094" s="1"/>
      <c r="I1094" s="1"/>
    </row>
    <row r="1095" spans="1:9" x14ac:dyDescent="0.25">
      <c r="A1095" s="7"/>
      <c r="B1095" s="1"/>
      <c r="C1095" s="1"/>
      <c r="D1095" s="1"/>
      <c r="F1095" s="7"/>
      <c r="G1095" s="1"/>
      <c r="H1095" s="1"/>
      <c r="I1095" s="1"/>
    </row>
    <row r="1096" spans="1:9" x14ac:dyDescent="0.25">
      <c r="A1096" s="7"/>
      <c r="B1096" s="1"/>
      <c r="C1096" s="1"/>
      <c r="D1096" s="1"/>
      <c r="F1096" s="7"/>
      <c r="G1096" s="1"/>
      <c r="H1096" s="1"/>
      <c r="I1096" s="1"/>
    </row>
    <row r="1097" spans="1:9" x14ac:dyDescent="0.25">
      <c r="A1097" s="7"/>
      <c r="B1097" s="1"/>
      <c r="C1097" s="1"/>
      <c r="D1097" s="1"/>
      <c r="F1097" s="7"/>
      <c r="G1097" s="1"/>
      <c r="H1097" s="1"/>
      <c r="I1097" s="1"/>
    </row>
    <row r="1098" spans="1:9" x14ac:dyDescent="0.25">
      <c r="A1098" s="7"/>
      <c r="B1098" s="1"/>
      <c r="C1098" s="1"/>
      <c r="D1098" s="1"/>
      <c r="F1098" s="7"/>
      <c r="G1098" s="1"/>
      <c r="H1098" s="1"/>
      <c r="I1098" s="1"/>
    </row>
    <row r="1099" spans="1:9" x14ac:dyDescent="0.25">
      <c r="A1099" s="7"/>
      <c r="B1099" s="1"/>
      <c r="C1099" s="1"/>
      <c r="D1099" s="1"/>
      <c r="F1099" s="7"/>
      <c r="G1099" s="1"/>
      <c r="H1099" s="1"/>
      <c r="I1099" s="1"/>
    </row>
    <row r="1100" spans="1:9" x14ac:dyDescent="0.25">
      <c r="A1100" s="7"/>
      <c r="B1100" s="1"/>
      <c r="C1100" s="1"/>
      <c r="D1100" s="1"/>
      <c r="F1100" s="7"/>
      <c r="G1100" s="1"/>
      <c r="H1100" s="1"/>
      <c r="I1100" s="1"/>
    </row>
    <row r="1101" spans="1:9" x14ac:dyDescent="0.25">
      <c r="A1101" s="7"/>
      <c r="B1101" s="1"/>
      <c r="C1101" s="1"/>
      <c r="D1101" s="1"/>
      <c r="F1101" s="7"/>
      <c r="G1101" s="1"/>
      <c r="H1101" s="1"/>
      <c r="I1101" s="1"/>
    </row>
    <row r="1102" spans="1:9" x14ac:dyDescent="0.25">
      <c r="A1102" s="7"/>
      <c r="B1102" s="1"/>
      <c r="C1102" s="1"/>
      <c r="D1102" s="1"/>
      <c r="F1102" s="7"/>
      <c r="G1102" s="1"/>
      <c r="H1102" s="1"/>
      <c r="I1102" s="1"/>
    </row>
    <row r="1103" spans="1:9" x14ac:dyDescent="0.25">
      <c r="A1103" s="7"/>
      <c r="B1103" s="1"/>
      <c r="C1103" s="1"/>
      <c r="D1103" s="1"/>
      <c r="F1103" s="7"/>
      <c r="G1103" s="1"/>
      <c r="H1103" s="1"/>
      <c r="I1103" s="1"/>
    </row>
    <row r="1104" spans="1:9" x14ac:dyDescent="0.25">
      <c r="A1104" s="7"/>
      <c r="B1104" s="1"/>
      <c r="C1104" s="1"/>
      <c r="D1104" s="1"/>
      <c r="F1104" s="7"/>
      <c r="G1104" s="1"/>
      <c r="H1104" s="1"/>
      <c r="I1104" s="1"/>
    </row>
    <row r="1105" spans="1:9" x14ac:dyDescent="0.25">
      <c r="A1105" s="7"/>
      <c r="B1105" s="1"/>
      <c r="C1105" s="1"/>
      <c r="D1105" s="1"/>
      <c r="F1105" s="7"/>
      <c r="G1105" s="1"/>
      <c r="H1105" s="1"/>
      <c r="I1105" s="1"/>
    </row>
    <row r="1106" spans="1:9" x14ac:dyDescent="0.25">
      <c r="A1106" s="7"/>
      <c r="B1106" s="1"/>
      <c r="C1106" s="1"/>
      <c r="D1106" s="1"/>
      <c r="F1106" s="7"/>
      <c r="G1106" s="1"/>
      <c r="H1106" s="1"/>
      <c r="I1106" s="1"/>
    </row>
    <row r="1107" spans="1:9" x14ac:dyDescent="0.25">
      <c r="A1107" s="7"/>
      <c r="B1107" s="1"/>
      <c r="C1107" s="1"/>
      <c r="D1107" s="1"/>
      <c r="F1107" s="7"/>
      <c r="G1107" s="1"/>
      <c r="H1107" s="1"/>
      <c r="I1107" s="1"/>
    </row>
    <row r="1108" spans="1:9" x14ac:dyDescent="0.25">
      <c r="A1108" s="7"/>
      <c r="B1108" s="1"/>
      <c r="C1108" s="1"/>
      <c r="D1108" s="1"/>
      <c r="F1108" s="7"/>
      <c r="G1108" s="1"/>
      <c r="H1108" s="1"/>
      <c r="I1108" s="1"/>
    </row>
    <row r="1109" spans="1:9" x14ac:dyDescent="0.25">
      <c r="A1109" s="7"/>
      <c r="B1109" s="1"/>
      <c r="C1109" s="1"/>
      <c r="D1109" s="1"/>
      <c r="F1109" s="7"/>
      <c r="G1109" s="1"/>
      <c r="H1109" s="1"/>
      <c r="I1109" s="1"/>
    </row>
    <row r="1110" spans="1:9" x14ac:dyDescent="0.25">
      <c r="A1110" s="7"/>
      <c r="B1110" s="1"/>
      <c r="C1110" s="1"/>
      <c r="D1110" s="1"/>
      <c r="F1110" s="7"/>
      <c r="G1110" s="1"/>
      <c r="H1110" s="1"/>
      <c r="I1110" s="1"/>
    </row>
    <row r="1111" spans="1:9" x14ac:dyDescent="0.25">
      <c r="A1111" s="7"/>
      <c r="B1111" s="1"/>
      <c r="C1111" s="1"/>
      <c r="D1111" s="1"/>
      <c r="F1111" s="7"/>
      <c r="G1111" s="1"/>
      <c r="H1111" s="1"/>
      <c r="I1111" s="1"/>
    </row>
    <row r="1112" spans="1:9" x14ac:dyDescent="0.25">
      <c r="A1112" s="7"/>
      <c r="B1112" s="1"/>
      <c r="C1112" s="1"/>
      <c r="D1112" s="1"/>
      <c r="F1112" s="7"/>
      <c r="G1112" s="1"/>
      <c r="H1112" s="1"/>
      <c r="I1112" s="1"/>
    </row>
    <row r="1113" spans="1:9" x14ac:dyDescent="0.25">
      <c r="A1113" s="7"/>
      <c r="B1113" s="1"/>
      <c r="C1113" s="1"/>
      <c r="D1113" s="1"/>
      <c r="F1113" s="7"/>
      <c r="G1113" s="1"/>
      <c r="H1113" s="1"/>
      <c r="I1113" s="1"/>
    </row>
    <row r="1114" spans="1:9" x14ac:dyDescent="0.25">
      <c r="A1114" s="7"/>
      <c r="B1114" s="1"/>
      <c r="C1114" s="1"/>
      <c r="D1114" s="1"/>
      <c r="F1114" s="7"/>
      <c r="G1114" s="1"/>
      <c r="H1114" s="1"/>
      <c r="I1114" s="1"/>
    </row>
    <row r="1115" spans="1:9" x14ac:dyDescent="0.25">
      <c r="A1115" s="7"/>
      <c r="B1115" s="1"/>
      <c r="C1115" s="1"/>
      <c r="D1115" s="1"/>
      <c r="F1115" s="7"/>
      <c r="G1115" s="1"/>
      <c r="H1115" s="1"/>
      <c r="I1115" s="1"/>
    </row>
    <row r="1116" spans="1:9" x14ac:dyDescent="0.25">
      <c r="A1116" s="7"/>
      <c r="B1116" s="1"/>
      <c r="C1116" s="1"/>
      <c r="D1116" s="1"/>
      <c r="F1116" s="7"/>
      <c r="G1116" s="1"/>
      <c r="H1116" s="1"/>
      <c r="I1116" s="1"/>
    </row>
    <row r="1117" spans="1:9" x14ac:dyDescent="0.25">
      <c r="A1117" s="7"/>
      <c r="B1117" s="1"/>
      <c r="C1117" s="1"/>
      <c r="D1117" s="1"/>
      <c r="F1117" s="7"/>
      <c r="G1117" s="1"/>
      <c r="H1117" s="1"/>
      <c r="I1117" s="1"/>
    </row>
    <row r="1118" spans="1:9" x14ac:dyDescent="0.25">
      <c r="A1118" s="7"/>
      <c r="B1118" s="1"/>
      <c r="C1118" s="1"/>
      <c r="D1118" s="1"/>
      <c r="F1118" s="7"/>
      <c r="G1118" s="1"/>
      <c r="H1118" s="1"/>
      <c r="I1118" s="1"/>
    </row>
    <row r="1119" spans="1:9" x14ac:dyDescent="0.25">
      <c r="A1119" s="7"/>
      <c r="B1119" s="1"/>
      <c r="C1119" s="1"/>
      <c r="D1119" s="1"/>
      <c r="F1119" s="7"/>
      <c r="G1119" s="1"/>
      <c r="H1119" s="1"/>
      <c r="I1119" s="1"/>
    </row>
    <row r="1120" spans="1:9" x14ac:dyDescent="0.25">
      <c r="A1120" s="7"/>
      <c r="B1120" s="1"/>
      <c r="C1120" s="1"/>
      <c r="D1120" s="1"/>
      <c r="F1120" s="7"/>
      <c r="G1120" s="1"/>
      <c r="H1120" s="1"/>
      <c r="I1120" s="1"/>
    </row>
    <row r="1121" spans="1:9" x14ac:dyDescent="0.25">
      <c r="A1121" s="7"/>
      <c r="B1121" s="1"/>
      <c r="C1121" s="1"/>
      <c r="D1121" s="1"/>
      <c r="F1121" s="7"/>
      <c r="G1121" s="1"/>
      <c r="H1121" s="1"/>
      <c r="I1121" s="1"/>
    </row>
    <row r="1122" spans="1:9" x14ac:dyDescent="0.25">
      <c r="A1122" s="7"/>
      <c r="B1122" s="1"/>
      <c r="C1122" s="1"/>
      <c r="D1122" s="1"/>
      <c r="F1122" s="7"/>
      <c r="G1122" s="1"/>
      <c r="H1122" s="1"/>
      <c r="I1122" s="1"/>
    </row>
    <row r="1123" spans="1:9" x14ac:dyDescent="0.25">
      <c r="A1123" s="7"/>
      <c r="B1123" s="1"/>
      <c r="C1123" s="1"/>
      <c r="D1123" s="1"/>
      <c r="F1123" s="7"/>
      <c r="G1123" s="1"/>
      <c r="H1123" s="1"/>
      <c r="I1123" s="1"/>
    </row>
    <row r="1124" spans="1:9" x14ac:dyDescent="0.25">
      <c r="A1124" s="7"/>
      <c r="B1124" s="1"/>
      <c r="C1124" s="1"/>
      <c r="D1124" s="1"/>
      <c r="F1124" s="7"/>
      <c r="G1124" s="1"/>
      <c r="H1124" s="1"/>
      <c r="I1124" s="1"/>
    </row>
    <row r="1125" spans="1:9" x14ac:dyDescent="0.25">
      <c r="A1125" s="7"/>
      <c r="B1125" s="1"/>
      <c r="C1125" s="1"/>
      <c r="D1125" s="1"/>
      <c r="F1125" s="7"/>
      <c r="G1125" s="1"/>
      <c r="H1125" s="1"/>
      <c r="I1125" s="1"/>
    </row>
    <row r="1126" spans="1:9" x14ac:dyDescent="0.25">
      <c r="A1126" s="7"/>
      <c r="B1126" s="1"/>
      <c r="C1126" s="1"/>
      <c r="D1126" s="1"/>
      <c r="F1126" s="7"/>
      <c r="G1126" s="1"/>
      <c r="H1126" s="1"/>
      <c r="I1126" s="1"/>
    </row>
    <row r="1127" spans="1:9" x14ac:dyDescent="0.25">
      <c r="A1127" s="7"/>
      <c r="B1127" s="1"/>
      <c r="C1127" s="1"/>
      <c r="D1127" s="1"/>
      <c r="F1127" s="7"/>
      <c r="G1127" s="1"/>
      <c r="H1127" s="1"/>
      <c r="I1127" s="1"/>
    </row>
    <row r="1128" spans="1:9" x14ac:dyDescent="0.25">
      <c r="A1128" s="7"/>
      <c r="B1128" s="1"/>
      <c r="C1128" s="1"/>
      <c r="D1128" s="1"/>
      <c r="F1128" s="7"/>
      <c r="G1128" s="1"/>
      <c r="H1128" s="1"/>
      <c r="I1128" s="1"/>
    </row>
    <row r="1129" spans="1:9" x14ac:dyDescent="0.25">
      <c r="A1129" s="7"/>
      <c r="B1129" s="1"/>
      <c r="C1129" s="1"/>
      <c r="D1129" s="1"/>
      <c r="F1129" s="7"/>
      <c r="G1129" s="1"/>
      <c r="H1129" s="1"/>
      <c r="I1129" s="1"/>
    </row>
    <row r="1130" spans="1:9" x14ac:dyDescent="0.25">
      <c r="A1130" s="7"/>
      <c r="B1130" s="1"/>
      <c r="C1130" s="1"/>
      <c r="D1130" s="1"/>
      <c r="F1130" s="7"/>
      <c r="G1130" s="1"/>
      <c r="H1130" s="1"/>
      <c r="I1130" s="1"/>
    </row>
    <row r="1131" spans="1:9" x14ac:dyDescent="0.25">
      <c r="A1131" s="7"/>
      <c r="B1131" s="1"/>
      <c r="C1131" s="1"/>
      <c r="D1131" s="1"/>
      <c r="F1131" s="7"/>
      <c r="G1131" s="1"/>
      <c r="H1131" s="1"/>
      <c r="I1131" s="1"/>
    </row>
    <row r="1132" spans="1:9" x14ac:dyDescent="0.25">
      <c r="A1132" s="7"/>
      <c r="B1132" s="1"/>
      <c r="C1132" s="1"/>
      <c r="D1132" s="1"/>
      <c r="F1132" s="7"/>
      <c r="G1132" s="1"/>
      <c r="H1132" s="1"/>
      <c r="I1132" s="1"/>
    </row>
    <row r="1133" spans="1:9" x14ac:dyDescent="0.25">
      <c r="A1133" s="7"/>
      <c r="B1133" s="1"/>
      <c r="C1133" s="1"/>
      <c r="D1133" s="1"/>
      <c r="F1133" s="7"/>
      <c r="G1133" s="1"/>
      <c r="H1133" s="1"/>
      <c r="I1133" s="1"/>
    </row>
    <row r="1134" spans="1:9" x14ac:dyDescent="0.25">
      <c r="A1134" s="7"/>
      <c r="B1134" s="1"/>
      <c r="C1134" s="1"/>
      <c r="D1134" s="1"/>
      <c r="F1134" s="7"/>
      <c r="G1134" s="1"/>
      <c r="H1134" s="1"/>
      <c r="I1134" s="1"/>
    </row>
    <row r="1135" spans="1:9" x14ac:dyDescent="0.25">
      <c r="A1135" s="7"/>
      <c r="B1135" s="1"/>
      <c r="C1135" s="1"/>
      <c r="D1135" s="1"/>
      <c r="F1135" s="7"/>
      <c r="G1135" s="1"/>
      <c r="H1135" s="1"/>
      <c r="I1135" s="1"/>
    </row>
    <row r="1136" spans="1:9" x14ac:dyDescent="0.25">
      <c r="A1136" s="7"/>
      <c r="B1136" s="1"/>
      <c r="C1136" s="1"/>
      <c r="D1136" s="1"/>
      <c r="F1136" s="7"/>
      <c r="G1136" s="1"/>
      <c r="H1136" s="1"/>
      <c r="I1136" s="1"/>
    </row>
    <row r="1137" spans="1:9" x14ac:dyDescent="0.25">
      <c r="A1137" s="7"/>
      <c r="B1137" s="1"/>
      <c r="C1137" s="1"/>
      <c r="D1137" s="1"/>
      <c r="F1137" s="7"/>
      <c r="G1137" s="1"/>
      <c r="H1137" s="1"/>
      <c r="I1137" s="1"/>
    </row>
    <row r="1138" spans="1:9" x14ac:dyDescent="0.25">
      <c r="A1138" s="7"/>
      <c r="B1138" s="1"/>
      <c r="C1138" s="1"/>
      <c r="D1138" s="1"/>
      <c r="F1138" s="7"/>
      <c r="G1138" s="1"/>
      <c r="H1138" s="1"/>
      <c r="I1138" s="1"/>
    </row>
    <row r="1139" spans="1:9" x14ac:dyDescent="0.25">
      <c r="A1139" s="7"/>
      <c r="B1139" s="1"/>
      <c r="C1139" s="1"/>
      <c r="D1139" s="1"/>
      <c r="F1139" s="7"/>
      <c r="G1139" s="1"/>
      <c r="H1139" s="1"/>
      <c r="I1139" s="1"/>
    </row>
    <row r="1140" spans="1:9" x14ac:dyDescent="0.25">
      <c r="A1140" s="7"/>
      <c r="B1140" s="1"/>
      <c r="C1140" s="1"/>
      <c r="D1140" s="1"/>
      <c r="F1140" s="7"/>
      <c r="G1140" s="1"/>
      <c r="H1140" s="1"/>
      <c r="I1140" s="1"/>
    </row>
    <row r="1141" spans="1:9" x14ac:dyDescent="0.25">
      <c r="A1141" s="7"/>
      <c r="B1141" s="1"/>
      <c r="C1141" s="1"/>
      <c r="D1141" s="1"/>
      <c r="F1141" s="7"/>
      <c r="G1141" s="1"/>
      <c r="H1141" s="1"/>
      <c r="I1141" s="1"/>
    </row>
    <row r="1142" spans="1:9" x14ac:dyDescent="0.25">
      <c r="A1142" s="7"/>
      <c r="B1142" s="1"/>
      <c r="C1142" s="1"/>
      <c r="D1142" s="1"/>
      <c r="F1142" s="7"/>
      <c r="G1142" s="1"/>
      <c r="H1142" s="1"/>
      <c r="I1142" s="1"/>
    </row>
    <row r="1143" spans="1:9" x14ac:dyDescent="0.25">
      <c r="A1143" s="7"/>
      <c r="B1143" s="1"/>
      <c r="C1143" s="1"/>
      <c r="D1143" s="1"/>
      <c r="F1143" s="7"/>
      <c r="G1143" s="1"/>
      <c r="H1143" s="1"/>
      <c r="I1143" s="1"/>
    </row>
    <row r="1144" spans="1:9" x14ac:dyDescent="0.25">
      <c r="A1144" s="7"/>
      <c r="B1144" s="1"/>
      <c r="C1144" s="1"/>
      <c r="D1144" s="1"/>
      <c r="F1144" s="7"/>
      <c r="G1144" s="1"/>
      <c r="H1144" s="1"/>
      <c r="I1144" s="1"/>
    </row>
    <row r="1145" spans="1:9" x14ac:dyDescent="0.25">
      <c r="A1145" s="7"/>
      <c r="B1145" s="1"/>
      <c r="C1145" s="1"/>
      <c r="D1145" s="1"/>
      <c r="F1145" s="7"/>
      <c r="G1145" s="1"/>
      <c r="H1145" s="1"/>
      <c r="I1145" s="1"/>
    </row>
    <row r="1146" spans="1:9" x14ac:dyDescent="0.25">
      <c r="A1146" s="7"/>
      <c r="B1146" s="1"/>
      <c r="C1146" s="1"/>
      <c r="D1146" s="1"/>
      <c r="F1146" s="7"/>
      <c r="G1146" s="1"/>
      <c r="H1146" s="1"/>
      <c r="I1146" s="1"/>
    </row>
    <row r="1147" spans="1:9" x14ac:dyDescent="0.25">
      <c r="A1147" s="7"/>
      <c r="B1147" s="1"/>
      <c r="C1147" s="1"/>
      <c r="D1147" s="1"/>
      <c r="F1147" s="7"/>
      <c r="G1147" s="1"/>
      <c r="H1147" s="1"/>
      <c r="I1147" s="1"/>
    </row>
    <row r="1148" spans="1:9" x14ac:dyDescent="0.25">
      <c r="A1148" s="7"/>
      <c r="B1148" s="1"/>
      <c r="C1148" s="1"/>
      <c r="D1148" s="1"/>
      <c r="F1148" s="7"/>
      <c r="G1148" s="1"/>
      <c r="H1148" s="1"/>
      <c r="I1148" s="1"/>
    </row>
    <row r="1149" spans="1:9" x14ac:dyDescent="0.25">
      <c r="A1149" s="7"/>
      <c r="B1149" s="1"/>
      <c r="C1149" s="1"/>
      <c r="D1149" s="1"/>
      <c r="F1149" s="7"/>
      <c r="G1149" s="1"/>
      <c r="H1149" s="1"/>
      <c r="I1149" s="1"/>
    </row>
    <row r="1150" spans="1:9" x14ac:dyDescent="0.25">
      <c r="A1150" s="7"/>
      <c r="B1150" s="1"/>
      <c r="C1150" s="1"/>
      <c r="D1150" s="1"/>
      <c r="F1150" s="7"/>
      <c r="G1150" s="1"/>
      <c r="H1150" s="1"/>
      <c r="I1150" s="1"/>
    </row>
    <row r="1151" spans="1:9" x14ac:dyDescent="0.25">
      <c r="A1151" s="7"/>
      <c r="B1151" s="1"/>
      <c r="C1151" s="1"/>
      <c r="D1151" s="1"/>
      <c r="F1151" s="7"/>
      <c r="G1151" s="1"/>
      <c r="H1151" s="1"/>
      <c r="I1151" s="1"/>
    </row>
    <row r="1152" spans="1:9" x14ac:dyDescent="0.25">
      <c r="A1152" s="7"/>
      <c r="B1152" s="1"/>
      <c r="C1152" s="1"/>
      <c r="D1152" s="1"/>
      <c r="F1152" s="7"/>
      <c r="G1152" s="1"/>
      <c r="H1152" s="1"/>
      <c r="I1152" s="1"/>
    </row>
    <row r="1153" spans="1:9" x14ac:dyDescent="0.25">
      <c r="A1153" s="7"/>
      <c r="B1153" s="1"/>
      <c r="C1153" s="1"/>
      <c r="D1153" s="1"/>
      <c r="F1153" s="7"/>
      <c r="G1153" s="1"/>
      <c r="H1153" s="1"/>
      <c r="I1153" s="1"/>
    </row>
    <row r="1154" spans="1:9" x14ac:dyDescent="0.25">
      <c r="A1154" s="7"/>
      <c r="B1154" s="1"/>
      <c r="C1154" s="1"/>
      <c r="D1154" s="1"/>
      <c r="F1154" s="7"/>
      <c r="G1154" s="1"/>
      <c r="H1154" s="1"/>
      <c r="I1154" s="1"/>
    </row>
    <row r="1155" spans="1:9" x14ac:dyDescent="0.25">
      <c r="A1155" s="7"/>
      <c r="B1155" s="1"/>
      <c r="C1155" s="1"/>
      <c r="D1155" s="1"/>
      <c r="F1155" s="7"/>
      <c r="G1155" s="1"/>
      <c r="H1155" s="1"/>
      <c r="I1155" s="1"/>
    </row>
    <row r="1156" spans="1:9" x14ac:dyDescent="0.25">
      <c r="A1156" s="7"/>
      <c r="B1156" s="1"/>
      <c r="C1156" s="1"/>
      <c r="D1156" s="1"/>
      <c r="F1156" s="7"/>
      <c r="G1156" s="1"/>
      <c r="H1156" s="1"/>
      <c r="I1156" s="1"/>
    </row>
    <row r="1157" spans="1:9" x14ac:dyDescent="0.25">
      <c r="A1157" s="7"/>
      <c r="B1157" s="1"/>
      <c r="C1157" s="1"/>
      <c r="D1157" s="1"/>
      <c r="F1157" s="7"/>
      <c r="G1157" s="1"/>
      <c r="H1157" s="1"/>
      <c r="I1157" s="1"/>
    </row>
    <row r="1158" spans="1:9" x14ac:dyDescent="0.25">
      <c r="A1158" s="7"/>
      <c r="B1158" s="1"/>
      <c r="C1158" s="1"/>
      <c r="D1158" s="1"/>
      <c r="F1158" s="7"/>
      <c r="G1158" s="1"/>
      <c r="H1158" s="1"/>
      <c r="I1158" s="1"/>
    </row>
    <row r="1159" spans="1:9" x14ac:dyDescent="0.25">
      <c r="A1159" s="7"/>
      <c r="B1159" s="1"/>
      <c r="C1159" s="1"/>
      <c r="D1159" s="1"/>
      <c r="F1159" s="7"/>
      <c r="G1159" s="1"/>
      <c r="H1159" s="1"/>
      <c r="I1159" s="1"/>
    </row>
    <row r="1160" spans="1:9" x14ac:dyDescent="0.25">
      <c r="A1160" s="7"/>
      <c r="B1160" s="1"/>
      <c r="C1160" s="1"/>
      <c r="D1160" s="1"/>
      <c r="F1160" s="7"/>
      <c r="G1160" s="1"/>
      <c r="H1160" s="1"/>
      <c r="I1160" s="1"/>
    </row>
    <row r="1161" spans="1:9" x14ac:dyDescent="0.25">
      <c r="A1161" s="7"/>
      <c r="B1161" s="1"/>
      <c r="C1161" s="1"/>
      <c r="D1161" s="1"/>
      <c r="F1161" s="7"/>
      <c r="G1161" s="1"/>
      <c r="H1161" s="1"/>
      <c r="I1161" s="1"/>
    </row>
    <row r="1162" spans="1:9" x14ac:dyDescent="0.25">
      <c r="A1162" s="7"/>
      <c r="B1162" s="1"/>
      <c r="C1162" s="1"/>
      <c r="D1162" s="1"/>
      <c r="F1162" s="7"/>
      <c r="G1162" s="1"/>
      <c r="H1162" s="1"/>
      <c r="I1162" s="1"/>
    </row>
    <row r="1163" spans="1:9" x14ac:dyDescent="0.25">
      <c r="A1163" s="7"/>
      <c r="B1163" s="1"/>
      <c r="C1163" s="1"/>
      <c r="D1163" s="1"/>
      <c r="F1163" s="7"/>
      <c r="G1163" s="1"/>
      <c r="H1163" s="1"/>
      <c r="I1163" s="1"/>
    </row>
    <row r="1164" spans="1:9" x14ac:dyDescent="0.25">
      <c r="A1164" s="7"/>
      <c r="B1164" s="1"/>
      <c r="C1164" s="1"/>
      <c r="D1164" s="1"/>
      <c r="F1164" s="7"/>
      <c r="G1164" s="1"/>
      <c r="H1164" s="1"/>
      <c r="I1164" s="1"/>
    </row>
    <row r="1165" spans="1:9" x14ac:dyDescent="0.25">
      <c r="A1165" s="7"/>
      <c r="B1165" s="1"/>
      <c r="C1165" s="1"/>
      <c r="D1165" s="1"/>
      <c r="F1165" s="7"/>
      <c r="G1165" s="1"/>
      <c r="H1165" s="1"/>
      <c r="I1165" s="1"/>
    </row>
    <row r="1166" spans="1:9" x14ac:dyDescent="0.25">
      <c r="A1166" s="7"/>
      <c r="B1166" s="1"/>
      <c r="C1166" s="1"/>
      <c r="D1166" s="1"/>
      <c r="F1166" s="7"/>
      <c r="G1166" s="1"/>
      <c r="H1166" s="1"/>
      <c r="I1166" s="1"/>
    </row>
    <row r="1167" spans="1:9" x14ac:dyDescent="0.25">
      <c r="A1167" s="7"/>
      <c r="B1167" s="1"/>
      <c r="C1167" s="1"/>
      <c r="D1167" s="1"/>
      <c r="F1167" s="7"/>
      <c r="G1167" s="1"/>
      <c r="H1167" s="1"/>
      <c r="I1167" s="1"/>
    </row>
    <row r="1168" spans="1:9" x14ac:dyDescent="0.25">
      <c r="A1168" s="7"/>
      <c r="B1168" s="1"/>
      <c r="C1168" s="1"/>
      <c r="D1168" s="1"/>
      <c r="F1168" s="7"/>
      <c r="G1168" s="1"/>
      <c r="H1168" s="1"/>
      <c r="I1168" s="1"/>
    </row>
    <row r="1169" spans="1:9" x14ac:dyDescent="0.25">
      <c r="A1169" s="7"/>
      <c r="B1169" s="1"/>
      <c r="C1169" s="1"/>
      <c r="D1169" s="1"/>
      <c r="F1169" s="7"/>
      <c r="G1169" s="1"/>
      <c r="H1169" s="1"/>
      <c r="I1169" s="1"/>
    </row>
    <row r="1170" spans="1:9" x14ac:dyDescent="0.25">
      <c r="A1170" s="7"/>
      <c r="B1170" s="1"/>
      <c r="C1170" s="1"/>
      <c r="D1170" s="1"/>
      <c r="F1170" s="7"/>
      <c r="G1170" s="1"/>
      <c r="H1170" s="1"/>
      <c r="I1170" s="1"/>
    </row>
    <row r="1171" spans="1:9" x14ac:dyDescent="0.25">
      <c r="A1171" s="7"/>
      <c r="B1171" s="1"/>
      <c r="C1171" s="1"/>
      <c r="D1171" s="1"/>
      <c r="F1171" s="7"/>
      <c r="G1171" s="1"/>
      <c r="H1171" s="1"/>
      <c r="I1171" s="1"/>
    </row>
    <row r="1172" spans="1:9" x14ac:dyDescent="0.25">
      <c r="A1172" s="7"/>
      <c r="B1172" s="1"/>
      <c r="C1172" s="1"/>
      <c r="D1172" s="1"/>
      <c r="F1172" s="7"/>
      <c r="G1172" s="1"/>
      <c r="H1172" s="1"/>
      <c r="I1172" s="1"/>
    </row>
    <row r="1173" spans="1:9" x14ac:dyDescent="0.25">
      <c r="A1173" s="7"/>
      <c r="B1173" s="1"/>
      <c r="C1173" s="1"/>
      <c r="D1173" s="1"/>
      <c r="F1173" s="7"/>
      <c r="G1173" s="1"/>
      <c r="H1173" s="1"/>
      <c r="I1173" s="1"/>
    </row>
    <row r="1174" spans="1:9" x14ac:dyDescent="0.25">
      <c r="A1174" s="7"/>
      <c r="B1174" s="1"/>
      <c r="C1174" s="1"/>
      <c r="D1174" s="1"/>
      <c r="F1174" s="7"/>
      <c r="G1174" s="1"/>
      <c r="H1174" s="1"/>
      <c r="I1174" s="1"/>
    </row>
    <row r="1175" spans="1:9" x14ac:dyDescent="0.25">
      <c r="A1175" s="7"/>
      <c r="B1175" s="1"/>
      <c r="C1175" s="1"/>
      <c r="D1175" s="1"/>
      <c r="F1175" s="7"/>
      <c r="G1175" s="1"/>
      <c r="H1175" s="1"/>
      <c r="I1175" s="1"/>
    </row>
    <row r="1176" spans="1:9" x14ac:dyDescent="0.25">
      <c r="A1176" s="7"/>
      <c r="B1176" s="1"/>
      <c r="C1176" s="1"/>
      <c r="D1176" s="1"/>
      <c r="F1176" s="7"/>
      <c r="G1176" s="1"/>
      <c r="H1176" s="1"/>
      <c r="I1176" s="1"/>
    </row>
    <row r="1177" spans="1:9" x14ac:dyDescent="0.25">
      <c r="A1177" s="7"/>
      <c r="B1177" s="1"/>
      <c r="C1177" s="1"/>
      <c r="D1177" s="1"/>
      <c r="F1177" s="7"/>
      <c r="G1177" s="1"/>
      <c r="H1177" s="1"/>
      <c r="I1177" s="1"/>
    </row>
    <row r="1178" spans="1:9" x14ac:dyDescent="0.25">
      <c r="A1178" s="7"/>
      <c r="B1178" s="1"/>
      <c r="C1178" s="1"/>
      <c r="D1178" s="1"/>
      <c r="F1178" s="7"/>
      <c r="G1178" s="1"/>
      <c r="H1178" s="1"/>
      <c r="I1178" s="1"/>
    </row>
    <row r="1179" spans="1:9" x14ac:dyDescent="0.25">
      <c r="A1179" s="7"/>
      <c r="B1179" s="1"/>
      <c r="C1179" s="1"/>
      <c r="D1179" s="1"/>
      <c r="F1179" s="7"/>
      <c r="G1179" s="1"/>
      <c r="H1179" s="1"/>
      <c r="I1179" s="1"/>
    </row>
    <row r="1180" spans="1:9" x14ac:dyDescent="0.25">
      <c r="A1180" s="7"/>
      <c r="B1180" s="1"/>
      <c r="C1180" s="1"/>
      <c r="D1180" s="1"/>
      <c r="F1180" s="7"/>
      <c r="G1180" s="1"/>
      <c r="H1180" s="1"/>
      <c r="I1180" s="1"/>
    </row>
    <row r="1181" spans="1:9" x14ac:dyDescent="0.25">
      <c r="A1181" s="7"/>
      <c r="B1181" s="1"/>
      <c r="C1181" s="1"/>
      <c r="D1181" s="1"/>
      <c r="F1181" s="7"/>
      <c r="G1181" s="1"/>
      <c r="H1181" s="1"/>
      <c r="I1181" s="1"/>
    </row>
    <row r="1182" spans="1:9" x14ac:dyDescent="0.25">
      <c r="A1182" s="7"/>
      <c r="B1182" s="1"/>
      <c r="C1182" s="1"/>
      <c r="D1182" s="1"/>
      <c r="F1182" s="7"/>
      <c r="G1182" s="1"/>
      <c r="H1182" s="1"/>
      <c r="I1182" s="1"/>
    </row>
    <row r="1183" spans="1:9" x14ac:dyDescent="0.25">
      <c r="A1183" s="7"/>
      <c r="B1183" s="1"/>
      <c r="C1183" s="1"/>
      <c r="D1183" s="1"/>
      <c r="F1183" s="7"/>
      <c r="G1183" s="1"/>
      <c r="H1183" s="1"/>
      <c r="I1183" s="1"/>
    </row>
    <row r="1184" spans="1:9" x14ac:dyDescent="0.25">
      <c r="A1184" s="7"/>
      <c r="B1184" s="1"/>
      <c r="C1184" s="1"/>
      <c r="D1184" s="1"/>
      <c r="F1184" s="7"/>
      <c r="G1184" s="1"/>
      <c r="H1184" s="1"/>
      <c r="I1184" s="1"/>
    </row>
    <row r="1185" spans="1:9" x14ac:dyDescent="0.25">
      <c r="A1185" s="7"/>
      <c r="B1185" s="1"/>
      <c r="C1185" s="1"/>
      <c r="D1185" s="1"/>
      <c r="F1185" s="7"/>
      <c r="G1185" s="1"/>
      <c r="H1185" s="1"/>
      <c r="I1185" s="1"/>
    </row>
    <row r="1186" spans="1:9" x14ac:dyDescent="0.25">
      <c r="A1186" s="7"/>
      <c r="B1186" s="1"/>
      <c r="C1186" s="1"/>
      <c r="D1186" s="1"/>
      <c r="F1186" s="7"/>
      <c r="G1186" s="1"/>
      <c r="H1186" s="1"/>
      <c r="I1186" s="1"/>
    </row>
    <row r="1187" spans="1:9" x14ac:dyDescent="0.25">
      <c r="A1187" s="7"/>
      <c r="B1187" s="1"/>
      <c r="C1187" s="1"/>
      <c r="D1187" s="1"/>
      <c r="F1187" s="7"/>
      <c r="G1187" s="1"/>
      <c r="H1187" s="1"/>
      <c r="I1187" s="1"/>
    </row>
    <row r="1188" spans="1:9" x14ac:dyDescent="0.25">
      <c r="A1188" s="7"/>
      <c r="B1188" s="1"/>
      <c r="C1188" s="1"/>
      <c r="D1188" s="1"/>
      <c r="F1188" s="7"/>
      <c r="G1188" s="1"/>
      <c r="H1188" s="1"/>
      <c r="I1188" s="1"/>
    </row>
    <row r="1189" spans="1:9" x14ac:dyDescent="0.25">
      <c r="A1189" s="7"/>
      <c r="B1189" s="1"/>
      <c r="C1189" s="1"/>
      <c r="D1189" s="1"/>
      <c r="F1189" s="7"/>
      <c r="G1189" s="1"/>
      <c r="H1189" s="1"/>
      <c r="I1189" s="1"/>
    </row>
    <row r="1190" spans="1:9" x14ac:dyDescent="0.25">
      <c r="A1190" s="7"/>
      <c r="B1190" s="1"/>
      <c r="C1190" s="1"/>
      <c r="D1190" s="1"/>
      <c r="F1190" s="7"/>
      <c r="G1190" s="1"/>
      <c r="H1190" s="1"/>
      <c r="I1190" s="1"/>
    </row>
    <row r="1191" spans="1:9" x14ac:dyDescent="0.25">
      <c r="A1191" s="7"/>
      <c r="B1191" s="1"/>
      <c r="C1191" s="1"/>
      <c r="D1191" s="1"/>
      <c r="F1191" s="7"/>
      <c r="G1191" s="1"/>
      <c r="H1191" s="1"/>
      <c r="I1191" s="1"/>
    </row>
    <row r="1192" spans="1:9" x14ac:dyDescent="0.25">
      <c r="A1192" s="7"/>
      <c r="B1192" s="1"/>
      <c r="C1192" s="1"/>
      <c r="D1192" s="1"/>
      <c r="F1192" s="7"/>
      <c r="G1192" s="1"/>
      <c r="H1192" s="1"/>
      <c r="I1192" s="1"/>
    </row>
    <row r="1193" spans="1:9" x14ac:dyDescent="0.25">
      <c r="A1193" s="7"/>
      <c r="B1193" s="1"/>
      <c r="C1193" s="1"/>
      <c r="D1193" s="1"/>
      <c r="F1193" s="7"/>
      <c r="G1193" s="1"/>
      <c r="H1193" s="1"/>
      <c r="I1193" s="1"/>
    </row>
    <row r="1194" spans="1:9" x14ac:dyDescent="0.25">
      <c r="A1194" s="7"/>
      <c r="B1194" s="1"/>
      <c r="C1194" s="1"/>
      <c r="D1194" s="1"/>
      <c r="F1194" s="7"/>
      <c r="G1194" s="1"/>
      <c r="H1194" s="1"/>
      <c r="I1194" s="1"/>
    </row>
    <row r="1195" spans="1:9" x14ac:dyDescent="0.25">
      <c r="A1195" s="7"/>
      <c r="B1195" s="1"/>
      <c r="C1195" s="1"/>
      <c r="D1195" s="1"/>
      <c r="F1195" s="7"/>
      <c r="G1195" s="1"/>
      <c r="H1195" s="1"/>
      <c r="I1195" s="1"/>
    </row>
    <row r="1196" spans="1:9" x14ac:dyDescent="0.25">
      <c r="A1196" s="7"/>
      <c r="B1196" s="1"/>
      <c r="C1196" s="1"/>
      <c r="D1196" s="1"/>
      <c r="F1196" s="7"/>
      <c r="G1196" s="1"/>
      <c r="H1196" s="1"/>
      <c r="I1196" s="1"/>
    </row>
    <row r="1197" spans="1:9" x14ac:dyDescent="0.25">
      <c r="A1197" s="7"/>
      <c r="B1197" s="1"/>
      <c r="C1197" s="1"/>
      <c r="D1197" s="1"/>
      <c r="F1197" s="7"/>
      <c r="G1197" s="1"/>
      <c r="H1197" s="1"/>
      <c r="I1197" s="1"/>
    </row>
    <row r="1198" spans="1:9" x14ac:dyDescent="0.25">
      <c r="A1198" s="7"/>
      <c r="B1198" s="1"/>
      <c r="C1198" s="1"/>
      <c r="D1198" s="1"/>
      <c r="F1198" s="7"/>
      <c r="G1198" s="1"/>
      <c r="H1198" s="1"/>
      <c r="I1198" s="1"/>
    </row>
    <row r="1199" spans="1:9" x14ac:dyDescent="0.25">
      <c r="A1199" s="7"/>
      <c r="B1199" s="1"/>
      <c r="C1199" s="1"/>
      <c r="D1199" s="1"/>
      <c r="F1199" s="7"/>
      <c r="G1199" s="1"/>
      <c r="H1199" s="1"/>
      <c r="I1199" s="1"/>
    </row>
    <row r="1200" spans="1:9" x14ac:dyDescent="0.25">
      <c r="A1200" s="7"/>
      <c r="B1200" s="1"/>
      <c r="C1200" s="1"/>
      <c r="D1200" s="1"/>
      <c r="F1200" s="7"/>
      <c r="G1200" s="1"/>
      <c r="H1200" s="1"/>
      <c r="I1200" s="1"/>
    </row>
    <row r="1201" spans="1:9" x14ac:dyDescent="0.25">
      <c r="A1201" s="7"/>
      <c r="B1201" s="1"/>
      <c r="C1201" s="1"/>
      <c r="D1201" s="1"/>
      <c r="F1201" s="7"/>
      <c r="G1201" s="1"/>
      <c r="H1201" s="1"/>
      <c r="I1201" s="1"/>
    </row>
    <row r="1202" spans="1:9" x14ac:dyDescent="0.25">
      <c r="A1202" s="7"/>
      <c r="B1202" s="1"/>
      <c r="C1202" s="1"/>
      <c r="D1202" s="1"/>
      <c r="F1202" s="7"/>
      <c r="G1202" s="1"/>
      <c r="H1202" s="1"/>
      <c r="I1202" s="1"/>
    </row>
    <row r="1203" spans="1:9" x14ac:dyDescent="0.25">
      <c r="A1203" s="7"/>
      <c r="B1203" s="1"/>
      <c r="C1203" s="1"/>
      <c r="D1203" s="1"/>
      <c r="F1203" s="7"/>
      <c r="G1203" s="1"/>
      <c r="H1203" s="1"/>
      <c r="I1203" s="1"/>
    </row>
    <row r="1204" spans="1:9" x14ac:dyDescent="0.25">
      <c r="A1204" s="7"/>
      <c r="B1204" s="1"/>
      <c r="C1204" s="1"/>
      <c r="D1204" s="1"/>
      <c r="F1204" s="7"/>
      <c r="G1204" s="1"/>
      <c r="H1204" s="1"/>
      <c r="I1204" s="1"/>
    </row>
    <row r="1205" spans="1:9" x14ac:dyDescent="0.25">
      <c r="A1205" s="7"/>
      <c r="B1205" s="1"/>
      <c r="C1205" s="1"/>
      <c r="D1205" s="1"/>
      <c r="F1205" s="7"/>
      <c r="G1205" s="1"/>
      <c r="H1205" s="1"/>
      <c r="I1205" s="1"/>
    </row>
    <row r="1206" spans="1:9" x14ac:dyDescent="0.25">
      <c r="A1206" s="7"/>
      <c r="B1206" s="1"/>
      <c r="C1206" s="1"/>
      <c r="D1206" s="1"/>
      <c r="F1206" s="7"/>
      <c r="G1206" s="1"/>
      <c r="H1206" s="1"/>
      <c r="I1206" s="1"/>
    </row>
    <row r="1207" spans="1:9" x14ac:dyDescent="0.25">
      <c r="A1207" s="7"/>
      <c r="B1207" s="1"/>
      <c r="C1207" s="1"/>
      <c r="D1207" s="1"/>
      <c r="F1207" s="7"/>
      <c r="G1207" s="1"/>
      <c r="H1207" s="1"/>
      <c r="I1207" s="1"/>
    </row>
    <row r="1208" spans="1:9" x14ac:dyDescent="0.25">
      <c r="A1208" s="7"/>
      <c r="B1208" s="1"/>
      <c r="C1208" s="1"/>
      <c r="D1208" s="1"/>
      <c r="F1208" s="7"/>
      <c r="G1208" s="1"/>
      <c r="H1208" s="1"/>
      <c r="I1208" s="1"/>
    </row>
    <row r="1209" spans="1:9" x14ac:dyDescent="0.25">
      <c r="A1209" s="7"/>
      <c r="B1209" s="1"/>
      <c r="C1209" s="1"/>
      <c r="D1209" s="1"/>
      <c r="F1209" s="7"/>
      <c r="G1209" s="1"/>
      <c r="H1209" s="1"/>
      <c r="I1209" s="1"/>
    </row>
    <row r="1210" spans="1:9" x14ac:dyDescent="0.25">
      <c r="A1210" s="7"/>
      <c r="B1210" s="1"/>
      <c r="C1210" s="1"/>
      <c r="D1210" s="1"/>
      <c r="F1210" s="7"/>
      <c r="G1210" s="1"/>
      <c r="H1210" s="1"/>
      <c r="I1210" s="1"/>
    </row>
    <row r="1211" spans="1:9" x14ac:dyDescent="0.25">
      <c r="A1211" s="7"/>
      <c r="B1211" s="1"/>
      <c r="C1211" s="1"/>
      <c r="D1211" s="1"/>
      <c r="F1211" s="7"/>
      <c r="G1211" s="1"/>
      <c r="H1211" s="1"/>
      <c r="I1211" s="1"/>
    </row>
    <row r="1212" spans="1:9" x14ac:dyDescent="0.25">
      <c r="A1212" s="7"/>
      <c r="B1212" s="1"/>
      <c r="C1212" s="1"/>
      <c r="D1212" s="1"/>
      <c r="F1212" s="7"/>
      <c r="G1212" s="1"/>
      <c r="H1212" s="1"/>
      <c r="I1212" s="1"/>
    </row>
    <row r="1213" spans="1:9" x14ac:dyDescent="0.25">
      <c r="A1213" s="7"/>
      <c r="B1213" s="1"/>
      <c r="C1213" s="1"/>
      <c r="D1213" s="1"/>
      <c r="F1213" s="7"/>
      <c r="G1213" s="1"/>
      <c r="H1213" s="1"/>
      <c r="I1213" s="1"/>
    </row>
    <row r="1214" spans="1:9" x14ac:dyDescent="0.25">
      <c r="A1214" s="7"/>
      <c r="B1214" s="1"/>
      <c r="C1214" s="1"/>
      <c r="D1214" s="1"/>
      <c r="F1214" s="7"/>
      <c r="G1214" s="1"/>
      <c r="H1214" s="1"/>
      <c r="I1214" s="1"/>
    </row>
    <row r="1215" spans="1:9" x14ac:dyDescent="0.25">
      <c r="A1215" s="7"/>
      <c r="B1215" s="1"/>
      <c r="C1215" s="1"/>
      <c r="D1215" s="1"/>
      <c r="F1215" s="7"/>
      <c r="G1215" s="1"/>
      <c r="H1215" s="1"/>
      <c r="I1215" s="1"/>
    </row>
    <row r="1216" spans="1:9" x14ac:dyDescent="0.25">
      <c r="A1216" s="7"/>
      <c r="B1216" s="1"/>
      <c r="C1216" s="1"/>
      <c r="D1216" s="1"/>
      <c r="F1216" s="7"/>
      <c r="G1216" s="1"/>
      <c r="H1216" s="1"/>
      <c r="I1216" s="1"/>
    </row>
    <row r="1217" spans="1:9" x14ac:dyDescent="0.25">
      <c r="A1217" s="7"/>
      <c r="B1217" s="1"/>
      <c r="C1217" s="1"/>
      <c r="D1217" s="1"/>
      <c r="F1217" s="7"/>
      <c r="G1217" s="1"/>
      <c r="H1217" s="1"/>
      <c r="I1217" s="1"/>
    </row>
    <row r="1218" spans="1:9" x14ac:dyDescent="0.25">
      <c r="A1218" s="7"/>
      <c r="B1218" s="1"/>
      <c r="C1218" s="1"/>
      <c r="D1218" s="1"/>
      <c r="F1218" s="7"/>
      <c r="G1218" s="1"/>
      <c r="H1218" s="1"/>
      <c r="I1218" s="1"/>
    </row>
    <row r="1219" spans="1:9" x14ac:dyDescent="0.25">
      <c r="A1219" s="7"/>
      <c r="B1219" s="1"/>
      <c r="C1219" s="1"/>
      <c r="D1219" s="1"/>
      <c r="F1219" s="7"/>
      <c r="G1219" s="1"/>
      <c r="H1219" s="1"/>
      <c r="I1219" s="1"/>
    </row>
    <row r="1220" spans="1:9" x14ac:dyDescent="0.25">
      <c r="A1220" s="7"/>
      <c r="B1220" s="1"/>
      <c r="C1220" s="1"/>
      <c r="D1220" s="1"/>
      <c r="F1220" s="7"/>
      <c r="G1220" s="1"/>
      <c r="H1220" s="1"/>
      <c r="I1220" s="1"/>
    </row>
    <row r="1221" spans="1:9" x14ac:dyDescent="0.25">
      <c r="A1221" s="7"/>
      <c r="B1221" s="1"/>
      <c r="C1221" s="1"/>
      <c r="D1221" s="1"/>
      <c r="F1221" s="7"/>
      <c r="G1221" s="1"/>
      <c r="H1221" s="1"/>
      <c r="I1221" s="1"/>
    </row>
    <row r="1222" spans="1:9" x14ac:dyDescent="0.25">
      <c r="A1222" s="7"/>
      <c r="B1222" s="1"/>
      <c r="C1222" s="1"/>
      <c r="D1222" s="1"/>
      <c r="F1222" s="7"/>
      <c r="G1222" s="1"/>
      <c r="H1222" s="1"/>
      <c r="I1222" s="1"/>
    </row>
    <row r="1223" spans="1:9" x14ac:dyDescent="0.25">
      <c r="A1223" s="7"/>
      <c r="B1223" s="1"/>
      <c r="C1223" s="1"/>
      <c r="D1223" s="1"/>
      <c r="F1223" s="7"/>
      <c r="G1223" s="1"/>
      <c r="H1223" s="1"/>
      <c r="I1223" s="1"/>
    </row>
    <row r="1224" spans="1:9" x14ac:dyDescent="0.25">
      <c r="A1224" s="7"/>
      <c r="B1224" s="1"/>
      <c r="C1224" s="1"/>
      <c r="D1224" s="1"/>
      <c r="F1224" s="7"/>
      <c r="G1224" s="1"/>
      <c r="H1224" s="1"/>
      <c r="I1224" s="1"/>
    </row>
    <row r="1225" spans="1:9" x14ac:dyDescent="0.25">
      <c r="A1225" s="7"/>
      <c r="B1225" s="1"/>
      <c r="C1225" s="1"/>
      <c r="D1225" s="1"/>
      <c r="F1225" s="7"/>
      <c r="G1225" s="1"/>
      <c r="H1225" s="1"/>
      <c r="I1225" s="1"/>
    </row>
    <row r="1226" spans="1:9" x14ac:dyDescent="0.25">
      <c r="A1226" s="7"/>
      <c r="B1226" s="1"/>
      <c r="C1226" s="1"/>
      <c r="D1226" s="1"/>
      <c r="F1226" s="7"/>
      <c r="G1226" s="1"/>
      <c r="H1226" s="1"/>
      <c r="I1226" s="1"/>
    </row>
    <row r="1227" spans="1:9" x14ac:dyDescent="0.25">
      <c r="A1227" s="7"/>
      <c r="B1227" s="1"/>
      <c r="C1227" s="1"/>
      <c r="D1227" s="1"/>
      <c r="F1227" s="7"/>
      <c r="G1227" s="1"/>
      <c r="H1227" s="1"/>
      <c r="I1227" s="1"/>
    </row>
    <row r="1228" spans="1:9" x14ac:dyDescent="0.25">
      <c r="A1228" s="7"/>
      <c r="B1228" s="1"/>
      <c r="C1228" s="1"/>
      <c r="D1228" s="1"/>
      <c r="F1228" s="7"/>
      <c r="G1228" s="1"/>
      <c r="H1228" s="1"/>
      <c r="I1228" s="1"/>
    </row>
    <row r="1229" spans="1:9" x14ac:dyDescent="0.25">
      <c r="A1229" s="7"/>
      <c r="B1229" s="1"/>
      <c r="C1229" s="1"/>
      <c r="D1229" s="1"/>
      <c r="F1229" s="7"/>
      <c r="G1229" s="1"/>
      <c r="H1229" s="1"/>
      <c r="I1229" s="1"/>
    </row>
    <row r="1230" spans="1:9" x14ac:dyDescent="0.25">
      <c r="A1230" s="7"/>
      <c r="B1230" s="1"/>
      <c r="C1230" s="1"/>
      <c r="D1230" s="1"/>
      <c r="F1230" s="7"/>
      <c r="G1230" s="1"/>
      <c r="H1230" s="1"/>
      <c r="I1230" s="1"/>
    </row>
    <row r="1231" spans="1:9" x14ac:dyDescent="0.25">
      <c r="A1231" s="7"/>
      <c r="B1231" s="1"/>
      <c r="C1231" s="1"/>
      <c r="D1231" s="1"/>
      <c r="F1231" s="7"/>
      <c r="G1231" s="1"/>
      <c r="H1231" s="1"/>
      <c r="I1231" s="1"/>
    </row>
    <row r="1232" spans="1:9" x14ac:dyDescent="0.25">
      <c r="A1232" s="7"/>
      <c r="B1232" s="1"/>
      <c r="C1232" s="1"/>
      <c r="D1232" s="1"/>
      <c r="F1232" s="7"/>
      <c r="G1232" s="1"/>
      <c r="H1232" s="1"/>
      <c r="I1232" s="1"/>
    </row>
    <row r="1233" spans="1:9" x14ac:dyDescent="0.25">
      <c r="A1233" s="7"/>
      <c r="B1233" s="1"/>
      <c r="C1233" s="1"/>
      <c r="D1233" s="1"/>
      <c r="F1233" s="7"/>
      <c r="G1233" s="1"/>
      <c r="H1233" s="1"/>
      <c r="I1233" s="1"/>
    </row>
    <row r="1234" spans="1:9" x14ac:dyDescent="0.25">
      <c r="A1234" s="7"/>
      <c r="B1234" s="1"/>
      <c r="C1234" s="1"/>
      <c r="D1234" s="1"/>
      <c r="F1234" s="7"/>
      <c r="G1234" s="1"/>
      <c r="H1234" s="1"/>
      <c r="I1234" s="1"/>
    </row>
    <row r="1235" spans="1:9" x14ac:dyDescent="0.25">
      <c r="A1235" s="7"/>
      <c r="B1235" s="1"/>
      <c r="C1235" s="1"/>
      <c r="D1235" s="1"/>
      <c r="F1235" s="7"/>
      <c r="G1235" s="1"/>
      <c r="H1235" s="1"/>
      <c r="I1235" s="1"/>
    </row>
    <row r="1236" spans="1:9" x14ac:dyDescent="0.25">
      <c r="A1236" s="7"/>
      <c r="B1236" s="1"/>
      <c r="C1236" s="1"/>
      <c r="D1236" s="1"/>
      <c r="F1236" s="7"/>
      <c r="G1236" s="1"/>
      <c r="H1236" s="1"/>
      <c r="I1236" s="1"/>
    </row>
    <row r="1237" spans="1:9" x14ac:dyDescent="0.25">
      <c r="A1237" s="7"/>
      <c r="B1237" s="1"/>
      <c r="C1237" s="1"/>
      <c r="D1237" s="1"/>
      <c r="F1237" s="7"/>
      <c r="G1237" s="1"/>
      <c r="H1237" s="1"/>
      <c r="I1237" s="1"/>
    </row>
    <row r="1238" spans="1:9" x14ac:dyDescent="0.25">
      <c r="A1238" s="7"/>
      <c r="B1238" s="1"/>
      <c r="C1238" s="1"/>
      <c r="D1238" s="1"/>
      <c r="F1238" s="7"/>
      <c r="G1238" s="1"/>
      <c r="H1238" s="1"/>
      <c r="I1238" s="1"/>
    </row>
    <row r="1239" spans="1:9" x14ac:dyDescent="0.25">
      <c r="A1239" s="7"/>
      <c r="B1239" s="1"/>
      <c r="C1239" s="1"/>
      <c r="D1239" s="1"/>
      <c r="F1239" s="7"/>
      <c r="G1239" s="1"/>
      <c r="H1239" s="1"/>
      <c r="I1239" s="1"/>
    </row>
    <row r="1240" spans="1:9" x14ac:dyDescent="0.25">
      <c r="A1240" s="7"/>
      <c r="B1240" s="1"/>
      <c r="C1240" s="1"/>
      <c r="D1240" s="1"/>
      <c r="F1240" s="7"/>
      <c r="G1240" s="1"/>
      <c r="H1240" s="1"/>
      <c r="I1240" s="1"/>
    </row>
    <row r="1241" spans="1:9" x14ac:dyDescent="0.25">
      <c r="A1241" s="7"/>
      <c r="B1241" s="1"/>
      <c r="C1241" s="1"/>
      <c r="D1241" s="1"/>
      <c r="F1241" s="7"/>
      <c r="G1241" s="1"/>
      <c r="H1241" s="1"/>
      <c r="I1241" s="1"/>
    </row>
    <row r="1242" spans="1:9" x14ac:dyDescent="0.25">
      <c r="A1242" s="7"/>
      <c r="B1242" s="1"/>
      <c r="C1242" s="1"/>
      <c r="D1242" s="1"/>
      <c r="F1242" s="7"/>
      <c r="G1242" s="1"/>
      <c r="H1242" s="1"/>
      <c r="I1242" s="1"/>
    </row>
    <row r="1243" spans="1:9" x14ac:dyDescent="0.25">
      <c r="A1243" s="7"/>
      <c r="B1243" s="1"/>
      <c r="C1243" s="1"/>
      <c r="D1243" s="1"/>
      <c r="F1243" s="7"/>
      <c r="G1243" s="1"/>
      <c r="H1243" s="1"/>
      <c r="I1243" s="1"/>
    </row>
    <row r="1244" spans="1:9" x14ac:dyDescent="0.25">
      <c r="A1244" s="7"/>
      <c r="B1244" s="1"/>
      <c r="C1244" s="1"/>
      <c r="D1244" s="1"/>
      <c r="F1244" s="7"/>
      <c r="G1244" s="1"/>
      <c r="H1244" s="1"/>
      <c r="I1244" s="1"/>
    </row>
    <row r="1245" spans="1:9" x14ac:dyDescent="0.25">
      <c r="A1245" s="7"/>
      <c r="B1245" s="1"/>
      <c r="C1245" s="1"/>
      <c r="D1245" s="1"/>
      <c r="F1245" s="7"/>
      <c r="G1245" s="1"/>
      <c r="H1245" s="1"/>
      <c r="I1245" s="1"/>
    </row>
    <row r="1246" spans="1:9" x14ac:dyDescent="0.25">
      <c r="A1246" s="7"/>
      <c r="B1246" s="1"/>
      <c r="C1246" s="1"/>
      <c r="D1246" s="1"/>
      <c r="F1246" s="7"/>
      <c r="G1246" s="1"/>
      <c r="H1246" s="1"/>
      <c r="I1246" s="1"/>
    </row>
    <row r="1247" spans="1:9" x14ac:dyDescent="0.25">
      <c r="A1247" s="7"/>
      <c r="B1247" s="1"/>
      <c r="C1247" s="1"/>
      <c r="D1247" s="1"/>
      <c r="F1247" s="7"/>
      <c r="G1247" s="1"/>
      <c r="H1247" s="1"/>
      <c r="I1247" s="1"/>
    </row>
    <row r="1248" spans="1:9" x14ac:dyDescent="0.25">
      <c r="A1248" s="7"/>
      <c r="B1248" s="1"/>
      <c r="C1248" s="1"/>
      <c r="D1248" s="1"/>
      <c r="F1248" s="7"/>
      <c r="G1248" s="1"/>
      <c r="H1248" s="1"/>
      <c r="I1248" s="1"/>
    </row>
    <row r="1249" spans="1:9" x14ac:dyDescent="0.25">
      <c r="A1249" s="7"/>
      <c r="B1249" s="1"/>
      <c r="C1249" s="1"/>
      <c r="D1249" s="1"/>
      <c r="F1249" s="7"/>
      <c r="G1249" s="1"/>
      <c r="H1249" s="1"/>
      <c r="I1249" s="1"/>
    </row>
    <row r="1250" spans="1:9" x14ac:dyDescent="0.25">
      <c r="A1250" s="7"/>
      <c r="B1250" s="1"/>
      <c r="C1250" s="1"/>
      <c r="D1250" s="1"/>
      <c r="F1250" s="7"/>
      <c r="G1250" s="1"/>
      <c r="H1250" s="1"/>
      <c r="I1250" s="1"/>
    </row>
    <row r="1251" spans="1:9" x14ac:dyDescent="0.25">
      <c r="A1251" s="7"/>
      <c r="B1251" s="1"/>
      <c r="C1251" s="1"/>
      <c r="D1251" s="1"/>
      <c r="F1251" s="7"/>
      <c r="G1251" s="1"/>
      <c r="H1251" s="1"/>
      <c r="I1251" s="1"/>
    </row>
    <row r="1252" spans="1:9" x14ac:dyDescent="0.25">
      <c r="A1252" s="7"/>
      <c r="B1252" s="1"/>
      <c r="C1252" s="1"/>
      <c r="D1252" s="1"/>
      <c r="F1252" s="7"/>
      <c r="G1252" s="1"/>
      <c r="H1252" s="1"/>
      <c r="I1252" s="1"/>
    </row>
    <row r="1253" spans="1:9" x14ac:dyDescent="0.25">
      <c r="A1253" s="7"/>
      <c r="B1253" s="1"/>
      <c r="C1253" s="1"/>
      <c r="D1253" s="1"/>
      <c r="F1253" s="7"/>
      <c r="G1253" s="1"/>
      <c r="H1253" s="1"/>
      <c r="I1253" s="1"/>
    </row>
    <row r="1254" spans="1:9" x14ac:dyDescent="0.25">
      <c r="A1254" s="7"/>
      <c r="B1254" s="1"/>
      <c r="C1254" s="1"/>
      <c r="D1254" s="1"/>
      <c r="F1254" s="7"/>
      <c r="G1254" s="1"/>
      <c r="H1254" s="1"/>
      <c r="I1254" s="1"/>
    </row>
    <row r="1255" spans="1:9" x14ac:dyDescent="0.25">
      <c r="A1255" s="7"/>
      <c r="B1255" s="1"/>
      <c r="C1255" s="1"/>
      <c r="D1255" s="1"/>
      <c r="F1255" s="7"/>
      <c r="G1255" s="1"/>
      <c r="H1255" s="1"/>
      <c r="I1255" s="1"/>
    </row>
    <row r="1256" spans="1:9" x14ac:dyDescent="0.25">
      <c r="A1256" s="7"/>
      <c r="B1256" s="1"/>
      <c r="C1256" s="1"/>
      <c r="D1256" s="1"/>
      <c r="F1256" s="7"/>
      <c r="G1256" s="1"/>
      <c r="H1256" s="1"/>
      <c r="I1256" s="1"/>
    </row>
    <row r="1257" spans="1:9" x14ac:dyDescent="0.25">
      <c r="A1257" s="7"/>
      <c r="B1257" s="1"/>
      <c r="C1257" s="1"/>
      <c r="D1257" s="1"/>
      <c r="F1257" s="7"/>
      <c r="G1257" s="1"/>
      <c r="H1257" s="1"/>
      <c r="I1257" s="1"/>
    </row>
    <row r="1258" spans="1:9" x14ac:dyDescent="0.25">
      <c r="A1258" s="7"/>
      <c r="B1258" s="1"/>
      <c r="C1258" s="1"/>
      <c r="D1258" s="1"/>
      <c r="F1258" s="7"/>
      <c r="G1258" s="1"/>
      <c r="H1258" s="1"/>
      <c r="I1258" s="1"/>
    </row>
    <row r="1259" spans="1:9" x14ac:dyDescent="0.25">
      <c r="A1259" s="7"/>
      <c r="B1259" s="1"/>
      <c r="C1259" s="1"/>
      <c r="D1259" s="1"/>
      <c r="F1259" s="7"/>
      <c r="G1259" s="1"/>
      <c r="H1259" s="1"/>
      <c r="I1259" s="1"/>
    </row>
    <row r="1260" spans="1:9" x14ac:dyDescent="0.25">
      <c r="A1260" s="7"/>
      <c r="B1260" s="1"/>
      <c r="C1260" s="1"/>
      <c r="D1260" s="1"/>
      <c r="F1260" s="7"/>
      <c r="G1260" s="1"/>
      <c r="H1260" s="1"/>
      <c r="I1260" s="1"/>
    </row>
    <row r="1261" spans="1:9" x14ac:dyDescent="0.25">
      <c r="A1261" s="7"/>
      <c r="B1261" s="1"/>
      <c r="C1261" s="1"/>
      <c r="D1261" s="1"/>
      <c r="F1261" s="7"/>
      <c r="G1261" s="1"/>
      <c r="H1261" s="1"/>
      <c r="I1261" s="1"/>
    </row>
    <row r="1262" spans="1:9" x14ac:dyDescent="0.25">
      <c r="A1262" s="7"/>
      <c r="B1262" s="1"/>
      <c r="C1262" s="1"/>
      <c r="D1262" s="1"/>
      <c r="F1262" s="7"/>
      <c r="G1262" s="1"/>
      <c r="H1262" s="1"/>
      <c r="I1262" s="1"/>
    </row>
    <row r="1263" spans="1:9" x14ac:dyDescent="0.25">
      <c r="A1263" s="7"/>
      <c r="B1263" s="1"/>
      <c r="C1263" s="1"/>
      <c r="D1263" s="1"/>
      <c r="F1263" s="7"/>
      <c r="G1263" s="1"/>
      <c r="H1263" s="1"/>
      <c r="I1263" s="1"/>
    </row>
    <row r="1264" spans="1:9" x14ac:dyDescent="0.25">
      <c r="A1264" s="7"/>
      <c r="B1264" s="1"/>
      <c r="C1264" s="1"/>
      <c r="D1264" s="1"/>
      <c r="F1264" s="7"/>
      <c r="G1264" s="1"/>
      <c r="H1264" s="1"/>
      <c r="I1264" s="1"/>
    </row>
    <row r="1265" spans="1:9" x14ac:dyDescent="0.25">
      <c r="A1265" s="7"/>
      <c r="B1265" s="1"/>
      <c r="C1265" s="1"/>
      <c r="D1265" s="1"/>
      <c r="F1265" s="7"/>
      <c r="G1265" s="1"/>
      <c r="H1265" s="1"/>
      <c r="I1265" s="1"/>
    </row>
    <row r="1266" spans="1:9" x14ac:dyDescent="0.25">
      <c r="A1266" s="7"/>
      <c r="B1266" s="1"/>
      <c r="C1266" s="1"/>
      <c r="D1266" s="1"/>
      <c r="F1266" s="7"/>
      <c r="G1266" s="1"/>
      <c r="H1266" s="1"/>
      <c r="I1266" s="1"/>
    </row>
    <row r="1267" spans="1:9" x14ac:dyDescent="0.25">
      <c r="A1267" s="7"/>
      <c r="B1267" s="1"/>
      <c r="C1267" s="1"/>
      <c r="D1267" s="1"/>
      <c r="F1267" s="7"/>
      <c r="G1267" s="1"/>
      <c r="H1267" s="1"/>
      <c r="I1267" s="1"/>
    </row>
    <row r="1268" spans="1:9" x14ac:dyDescent="0.25">
      <c r="A1268" s="7"/>
      <c r="B1268" s="1"/>
      <c r="C1268" s="1"/>
      <c r="D1268" s="1"/>
      <c r="F1268" s="7"/>
      <c r="G1268" s="1"/>
      <c r="H1268" s="1"/>
      <c r="I1268" s="1"/>
    </row>
    <row r="1269" spans="1:9" x14ac:dyDescent="0.25">
      <c r="A1269" s="7"/>
      <c r="B1269" s="1"/>
      <c r="C1269" s="1"/>
      <c r="D1269" s="1"/>
      <c r="F1269" s="7"/>
      <c r="G1269" s="1"/>
      <c r="H1269" s="1"/>
      <c r="I1269" s="1"/>
    </row>
    <row r="1270" spans="1:9" x14ac:dyDescent="0.25">
      <c r="A1270" s="7"/>
      <c r="B1270" s="1"/>
      <c r="C1270" s="1"/>
      <c r="D1270" s="1"/>
      <c r="F1270" s="7"/>
      <c r="G1270" s="1"/>
      <c r="H1270" s="1"/>
      <c r="I1270" s="1"/>
    </row>
    <row r="1271" spans="1:9" x14ac:dyDescent="0.25">
      <c r="A1271" s="7"/>
      <c r="B1271" s="1"/>
      <c r="C1271" s="1"/>
      <c r="D1271" s="1"/>
      <c r="F1271" s="7"/>
      <c r="G1271" s="1"/>
      <c r="H1271" s="1"/>
      <c r="I1271" s="1"/>
    </row>
    <row r="1272" spans="1:9" x14ac:dyDescent="0.25">
      <c r="A1272" s="7"/>
      <c r="B1272" s="1"/>
      <c r="C1272" s="1"/>
      <c r="D1272" s="1"/>
      <c r="F1272" s="7"/>
      <c r="G1272" s="1"/>
      <c r="H1272" s="1"/>
      <c r="I1272" s="1"/>
    </row>
    <row r="1273" spans="1:9" x14ac:dyDescent="0.25">
      <c r="A1273" s="7"/>
      <c r="B1273" s="1"/>
      <c r="C1273" s="1"/>
      <c r="D1273" s="1"/>
      <c r="F1273" s="7"/>
      <c r="G1273" s="1"/>
      <c r="H1273" s="1"/>
      <c r="I1273" s="1"/>
    </row>
    <row r="1274" spans="1:9" x14ac:dyDescent="0.25">
      <c r="A1274" s="7"/>
      <c r="B1274" s="1"/>
      <c r="C1274" s="1"/>
      <c r="D1274" s="1"/>
      <c r="F1274" s="7"/>
      <c r="G1274" s="1"/>
      <c r="H1274" s="1"/>
      <c r="I1274" s="1"/>
    </row>
    <row r="1275" spans="1:9" x14ac:dyDescent="0.25">
      <c r="A1275" s="7"/>
      <c r="B1275" s="1"/>
      <c r="C1275" s="1"/>
      <c r="D1275" s="1"/>
      <c r="F1275" s="7"/>
      <c r="G1275" s="1"/>
      <c r="H1275" s="1"/>
      <c r="I1275" s="1"/>
    </row>
    <row r="1276" spans="1:9" x14ac:dyDescent="0.25">
      <c r="A1276" s="7"/>
      <c r="B1276" s="1"/>
      <c r="C1276" s="1"/>
      <c r="D1276" s="1"/>
      <c r="F1276" s="7"/>
      <c r="G1276" s="1"/>
      <c r="H1276" s="1"/>
      <c r="I1276" s="1"/>
    </row>
    <row r="1277" spans="1:9" x14ac:dyDescent="0.25">
      <c r="A1277" s="7"/>
      <c r="B1277" s="1"/>
      <c r="C1277" s="1"/>
      <c r="D1277" s="1"/>
      <c r="F1277" s="7"/>
      <c r="G1277" s="1"/>
      <c r="H1277" s="1"/>
      <c r="I1277" s="1"/>
    </row>
    <row r="1278" spans="1:9" x14ac:dyDescent="0.25">
      <c r="A1278" s="7"/>
      <c r="B1278" s="1"/>
      <c r="C1278" s="1"/>
      <c r="D1278" s="1"/>
      <c r="F1278" s="7"/>
      <c r="G1278" s="1"/>
      <c r="H1278" s="1"/>
      <c r="I1278" s="1"/>
    </row>
    <row r="1279" spans="1:9" x14ac:dyDescent="0.25">
      <c r="A1279" s="7"/>
      <c r="B1279" s="1"/>
      <c r="C1279" s="1"/>
      <c r="D1279" s="1"/>
      <c r="F1279" s="7"/>
      <c r="G1279" s="1"/>
      <c r="H1279" s="1"/>
      <c r="I1279" s="1"/>
    </row>
    <row r="1280" spans="1:9" x14ac:dyDescent="0.25">
      <c r="A1280" s="7"/>
      <c r="B1280" s="1"/>
      <c r="C1280" s="1"/>
      <c r="D1280" s="1"/>
      <c r="F1280" s="7"/>
      <c r="G1280" s="1"/>
      <c r="H1280" s="1"/>
      <c r="I1280" s="1"/>
    </row>
    <row r="1281" spans="1:9" x14ac:dyDescent="0.25">
      <c r="A1281" s="7"/>
      <c r="B1281" s="1"/>
      <c r="C1281" s="1"/>
      <c r="D1281" s="1"/>
      <c r="F1281" s="7"/>
      <c r="G1281" s="1"/>
      <c r="H1281" s="1"/>
      <c r="I1281" s="1"/>
    </row>
    <row r="1282" spans="1:9" x14ac:dyDescent="0.25">
      <c r="A1282" s="7"/>
      <c r="B1282" s="1"/>
      <c r="C1282" s="1"/>
      <c r="D1282" s="1"/>
      <c r="F1282" s="7"/>
      <c r="G1282" s="1"/>
      <c r="H1282" s="1"/>
      <c r="I1282" s="1"/>
    </row>
    <row r="1283" spans="1:9" x14ac:dyDescent="0.25">
      <c r="A1283" s="7"/>
      <c r="B1283" s="1"/>
      <c r="C1283" s="1"/>
      <c r="D1283" s="1"/>
      <c r="F1283" s="7"/>
      <c r="G1283" s="1"/>
      <c r="H1283" s="1"/>
      <c r="I1283" s="1"/>
    </row>
    <row r="1284" spans="1:9" x14ac:dyDescent="0.25">
      <c r="A1284" s="7"/>
      <c r="B1284" s="1"/>
      <c r="C1284" s="1"/>
      <c r="D1284" s="1"/>
      <c r="F1284" s="7"/>
      <c r="G1284" s="1"/>
      <c r="H1284" s="1"/>
      <c r="I1284" s="1"/>
    </row>
    <row r="1285" spans="1:9" x14ac:dyDescent="0.25">
      <c r="A1285" s="7"/>
      <c r="B1285" s="1"/>
      <c r="C1285" s="1"/>
      <c r="D1285" s="1"/>
      <c r="F1285" s="7"/>
      <c r="G1285" s="1"/>
      <c r="H1285" s="1"/>
      <c r="I1285" s="1"/>
    </row>
    <row r="1286" spans="1:9" x14ac:dyDescent="0.25">
      <c r="A1286" s="7"/>
      <c r="B1286" s="1"/>
      <c r="C1286" s="1"/>
      <c r="D1286" s="1"/>
      <c r="F1286" s="7"/>
      <c r="G1286" s="1"/>
      <c r="H1286" s="1"/>
      <c r="I1286" s="1"/>
    </row>
    <row r="1287" spans="1:9" x14ac:dyDescent="0.25">
      <c r="A1287" s="7"/>
      <c r="B1287" s="1"/>
      <c r="C1287" s="1"/>
      <c r="D1287" s="1"/>
      <c r="F1287" s="7"/>
      <c r="G1287" s="1"/>
      <c r="H1287" s="1"/>
      <c r="I1287" s="1"/>
    </row>
    <row r="1288" spans="1:9" x14ac:dyDescent="0.25">
      <c r="A1288" s="7"/>
      <c r="B1288" s="1"/>
      <c r="C1288" s="1"/>
      <c r="D1288" s="1"/>
      <c r="F1288" s="7"/>
      <c r="G1288" s="1"/>
      <c r="H1288" s="1"/>
      <c r="I1288" s="1"/>
    </row>
    <row r="1289" spans="1:9" x14ac:dyDescent="0.25">
      <c r="A1289" s="7"/>
      <c r="B1289" s="1"/>
      <c r="C1289" s="1"/>
      <c r="D1289" s="1"/>
      <c r="F1289" s="7"/>
      <c r="G1289" s="1"/>
      <c r="H1289" s="1"/>
      <c r="I1289" s="1"/>
    </row>
    <row r="1290" spans="1:9" x14ac:dyDescent="0.25">
      <c r="A1290" s="7"/>
      <c r="B1290" s="1"/>
      <c r="C1290" s="1"/>
      <c r="D1290" s="1"/>
      <c r="F1290" s="7"/>
      <c r="G1290" s="1"/>
      <c r="H1290" s="1"/>
      <c r="I1290" s="1"/>
    </row>
    <row r="1291" spans="1:9" x14ac:dyDescent="0.25">
      <c r="A1291" s="7"/>
      <c r="B1291" s="1"/>
      <c r="C1291" s="1"/>
      <c r="D1291" s="1"/>
      <c r="F1291" s="7"/>
      <c r="G1291" s="1"/>
      <c r="H1291" s="1"/>
      <c r="I1291" s="1"/>
    </row>
    <row r="1292" spans="1:9" x14ac:dyDescent="0.25">
      <c r="A1292" s="7"/>
      <c r="B1292" s="1"/>
      <c r="C1292" s="1"/>
      <c r="D1292" s="1"/>
      <c r="F1292" s="7"/>
      <c r="G1292" s="1"/>
      <c r="H1292" s="1"/>
      <c r="I1292" s="1"/>
    </row>
    <row r="1293" spans="1:9" x14ac:dyDescent="0.25">
      <c r="A1293" s="7"/>
      <c r="B1293" s="1"/>
      <c r="C1293" s="1"/>
      <c r="D1293" s="1"/>
      <c r="F1293" s="7"/>
      <c r="G1293" s="1"/>
      <c r="H1293" s="1"/>
      <c r="I1293" s="1"/>
    </row>
    <row r="1294" spans="1:9" x14ac:dyDescent="0.25">
      <c r="A1294" s="7"/>
      <c r="B1294" s="1"/>
      <c r="C1294" s="1"/>
      <c r="D1294" s="1"/>
      <c r="F1294" s="7"/>
      <c r="G1294" s="1"/>
      <c r="H1294" s="1"/>
      <c r="I1294" s="1"/>
    </row>
    <row r="1295" spans="1:9" x14ac:dyDescent="0.25">
      <c r="A1295" s="7"/>
      <c r="B1295" s="1"/>
      <c r="C1295" s="1"/>
      <c r="D1295" s="1"/>
      <c r="F1295" s="7"/>
      <c r="G1295" s="1"/>
      <c r="H1295" s="1"/>
      <c r="I1295" s="1"/>
    </row>
    <row r="1296" spans="1:9" x14ac:dyDescent="0.25">
      <c r="A1296" s="7"/>
      <c r="B1296" s="1"/>
      <c r="C1296" s="1"/>
      <c r="D1296" s="1"/>
      <c r="F1296" s="7"/>
      <c r="G1296" s="1"/>
      <c r="H1296" s="1"/>
      <c r="I1296" s="1"/>
    </row>
    <row r="1297" spans="1:9" x14ac:dyDescent="0.25">
      <c r="A1297" s="7"/>
      <c r="B1297" s="1"/>
      <c r="C1297" s="1"/>
      <c r="D1297" s="1"/>
      <c r="F1297" s="7"/>
      <c r="G1297" s="1"/>
      <c r="H1297" s="1"/>
      <c r="I1297" s="1"/>
    </row>
    <row r="1298" spans="1:9" x14ac:dyDescent="0.25">
      <c r="A1298" s="7"/>
      <c r="B1298" s="1"/>
      <c r="C1298" s="1"/>
      <c r="D1298" s="1"/>
      <c r="F1298" s="7"/>
      <c r="G1298" s="1"/>
      <c r="H1298" s="1"/>
      <c r="I1298" s="1"/>
    </row>
    <row r="1299" spans="1:9" x14ac:dyDescent="0.25">
      <c r="A1299" s="7"/>
      <c r="B1299" s="1"/>
      <c r="C1299" s="1"/>
      <c r="D1299" s="1"/>
      <c r="F1299" s="7"/>
      <c r="G1299" s="1"/>
      <c r="H1299" s="1"/>
      <c r="I1299" s="1"/>
    </row>
    <row r="1300" spans="1:9" x14ac:dyDescent="0.25">
      <c r="A1300" s="7"/>
      <c r="B1300" s="1"/>
      <c r="C1300" s="1"/>
      <c r="D1300" s="1"/>
      <c r="F1300" s="7"/>
      <c r="G1300" s="1"/>
      <c r="H1300" s="1"/>
      <c r="I1300" s="1"/>
    </row>
    <row r="1301" spans="1:9" x14ac:dyDescent="0.25">
      <c r="A1301" s="7"/>
      <c r="B1301" s="1"/>
      <c r="C1301" s="1"/>
      <c r="D1301" s="1"/>
      <c r="F1301" s="7"/>
      <c r="G1301" s="1"/>
      <c r="H1301" s="1"/>
      <c r="I1301" s="1"/>
    </row>
    <row r="1302" spans="1:9" x14ac:dyDescent="0.25">
      <c r="A1302" s="7"/>
      <c r="B1302" s="1"/>
      <c r="C1302" s="1"/>
      <c r="D1302" s="1"/>
      <c r="F1302" s="7"/>
      <c r="G1302" s="1"/>
      <c r="H1302" s="1"/>
      <c r="I1302" s="1"/>
    </row>
    <row r="1303" spans="1:9" x14ac:dyDescent="0.25">
      <c r="A1303" s="7"/>
      <c r="B1303" s="1"/>
      <c r="C1303" s="1"/>
      <c r="D1303" s="1"/>
      <c r="F1303" s="7"/>
      <c r="G1303" s="1"/>
      <c r="H1303" s="1"/>
      <c r="I1303" s="1"/>
    </row>
    <row r="1304" spans="1:9" x14ac:dyDescent="0.25">
      <c r="A1304" s="7"/>
      <c r="B1304" s="1"/>
      <c r="C1304" s="1"/>
      <c r="D1304" s="1"/>
      <c r="F1304" s="7"/>
      <c r="G1304" s="1"/>
      <c r="H1304" s="1"/>
      <c r="I1304" s="1"/>
    </row>
    <row r="1305" spans="1:9" x14ac:dyDescent="0.25">
      <c r="A1305" s="7"/>
      <c r="B1305" s="1"/>
      <c r="C1305" s="1"/>
      <c r="D1305" s="1"/>
      <c r="F1305" s="7"/>
      <c r="G1305" s="1"/>
      <c r="H1305" s="1"/>
      <c r="I1305" s="1"/>
    </row>
    <row r="1306" spans="1:9" x14ac:dyDescent="0.25">
      <c r="A1306" s="7"/>
      <c r="B1306" s="1"/>
      <c r="C1306" s="1"/>
      <c r="D1306" s="1"/>
      <c r="F1306" s="7"/>
      <c r="G1306" s="1"/>
      <c r="H1306" s="1"/>
      <c r="I1306" s="1"/>
    </row>
    <row r="1307" spans="1:9" x14ac:dyDescent="0.25">
      <c r="A1307" s="7"/>
      <c r="B1307" s="1"/>
      <c r="C1307" s="1"/>
      <c r="D1307" s="1"/>
      <c r="F1307" s="7"/>
      <c r="G1307" s="1"/>
      <c r="H1307" s="1"/>
      <c r="I1307" s="1"/>
    </row>
    <row r="1308" spans="1:9" x14ac:dyDescent="0.25">
      <c r="A1308" s="7"/>
      <c r="B1308" s="1"/>
      <c r="C1308" s="1"/>
      <c r="D1308" s="1"/>
      <c r="F1308" s="7"/>
      <c r="G1308" s="1"/>
      <c r="H1308" s="1"/>
      <c r="I1308" s="1"/>
    </row>
    <row r="1309" spans="1:9" x14ac:dyDescent="0.25">
      <c r="A1309" s="7"/>
      <c r="B1309" s="1"/>
      <c r="C1309" s="1"/>
      <c r="D1309" s="1"/>
      <c r="F1309" s="7"/>
      <c r="G1309" s="1"/>
      <c r="H1309" s="1"/>
      <c r="I1309" s="1"/>
    </row>
    <row r="1310" spans="1:9" x14ac:dyDescent="0.25">
      <c r="A1310" s="7"/>
      <c r="B1310" s="1"/>
      <c r="C1310" s="1"/>
      <c r="D1310" s="1"/>
      <c r="F1310" s="7"/>
      <c r="G1310" s="1"/>
      <c r="H1310" s="1"/>
      <c r="I1310" s="1"/>
    </row>
    <row r="1311" spans="1:9" x14ac:dyDescent="0.25">
      <c r="A1311" s="7"/>
      <c r="B1311" s="1"/>
      <c r="C1311" s="1"/>
      <c r="D1311" s="1"/>
      <c r="F1311" s="7"/>
      <c r="G1311" s="1"/>
      <c r="H1311" s="1"/>
      <c r="I1311" s="1"/>
    </row>
    <row r="1312" spans="1:9" x14ac:dyDescent="0.25">
      <c r="A1312" s="7"/>
      <c r="B1312" s="1"/>
      <c r="C1312" s="1"/>
      <c r="D1312" s="1"/>
      <c r="F1312" s="7"/>
      <c r="G1312" s="1"/>
      <c r="H1312" s="1"/>
      <c r="I1312" s="1"/>
    </row>
    <row r="1313" spans="1:9" x14ac:dyDescent="0.25">
      <c r="A1313" s="7"/>
      <c r="B1313" s="1"/>
      <c r="C1313" s="1"/>
      <c r="D1313" s="1"/>
      <c r="F1313" s="7"/>
      <c r="G1313" s="1"/>
      <c r="H1313" s="1"/>
      <c r="I1313" s="1"/>
    </row>
    <row r="1314" spans="1:9" x14ac:dyDescent="0.25">
      <c r="A1314" s="7"/>
      <c r="B1314" s="1"/>
      <c r="C1314" s="1"/>
      <c r="D1314" s="1"/>
      <c r="F1314" s="7"/>
      <c r="G1314" s="1"/>
      <c r="H1314" s="1"/>
      <c r="I1314" s="1"/>
    </row>
    <row r="1315" spans="1:9" x14ac:dyDescent="0.25">
      <c r="A1315" s="7"/>
      <c r="B1315" s="1"/>
      <c r="C1315" s="1"/>
      <c r="D1315" s="1"/>
      <c r="F1315" s="7"/>
      <c r="G1315" s="1"/>
      <c r="H1315" s="1"/>
      <c r="I1315" s="1"/>
    </row>
    <row r="1316" spans="1:9" x14ac:dyDescent="0.25">
      <c r="A1316" s="7"/>
      <c r="B1316" s="1"/>
      <c r="C1316" s="1"/>
      <c r="D1316" s="1"/>
      <c r="F1316" s="7"/>
      <c r="G1316" s="1"/>
      <c r="H1316" s="1"/>
      <c r="I1316" s="1"/>
    </row>
    <row r="1317" spans="1:9" x14ac:dyDescent="0.25">
      <c r="A1317" s="7"/>
      <c r="B1317" s="1"/>
      <c r="C1317" s="1"/>
      <c r="D1317" s="1"/>
      <c r="F1317" s="7"/>
      <c r="G1317" s="1"/>
      <c r="H1317" s="1"/>
      <c r="I1317" s="1"/>
    </row>
    <row r="1318" spans="1:9" x14ac:dyDescent="0.25">
      <c r="A1318" s="7"/>
      <c r="B1318" s="1"/>
      <c r="C1318" s="1"/>
      <c r="D1318" s="1"/>
      <c r="F1318" s="7"/>
      <c r="G1318" s="1"/>
      <c r="H1318" s="1"/>
      <c r="I1318" s="1"/>
    </row>
    <row r="1319" spans="1:9" x14ac:dyDescent="0.25">
      <c r="A1319" s="7"/>
      <c r="B1319" s="1"/>
      <c r="C1319" s="1"/>
      <c r="D1319" s="1"/>
      <c r="F1319" s="7"/>
      <c r="G1319" s="1"/>
      <c r="H1319" s="1"/>
      <c r="I1319" s="1"/>
    </row>
    <row r="1320" spans="1:9" x14ac:dyDescent="0.25">
      <c r="A1320" s="7"/>
      <c r="B1320" s="1"/>
      <c r="C1320" s="1"/>
      <c r="D1320" s="1"/>
      <c r="F1320" s="7"/>
      <c r="G1320" s="1"/>
      <c r="H1320" s="1"/>
      <c r="I1320" s="1"/>
    </row>
    <row r="1321" spans="1:9" x14ac:dyDescent="0.25">
      <c r="A1321" s="7"/>
      <c r="B1321" s="1"/>
      <c r="C1321" s="1"/>
      <c r="D1321" s="1"/>
      <c r="F1321" s="7"/>
      <c r="G1321" s="1"/>
      <c r="H1321" s="1"/>
      <c r="I1321" s="1"/>
    </row>
    <row r="1322" spans="1:9" x14ac:dyDescent="0.25">
      <c r="A1322" s="7"/>
      <c r="B1322" s="1"/>
      <c r="C1322" s="1"/>
      <c r="D1322" s="1"/>
      <c r="F1322" s="7"/>
      <c r="G1322" s="1"/>
      <c r="H1322" s="1"/>
      <c r="I1322" s="1"/>
    </row>
    <row r="1323" spans="1:9" x14ac:dyDescent="0.25">
      <c r="A1323" s="7"/>
      <c r="B1323" s="1"/>
      <c r="C1323" s="1"/>
      <c r="D1323" s="1"/>
      <c r="F1323" s="7"/>
      <c r="G1323" s="1"/>
      <c r="H1323" s="1"/>
      <c r="I1323" s="1"/>
    </row>
    <row r="1324" spans="1:9" x14ac:dyDescent="0.25">
      <c r="A1324" s="7"/>
      <c r="B1324" s="1"/>
      <c r="C1324" s="1"/>
      <c r="D1324" s="1"/>
      <c r="F1324" s="7"/>
      <c r="G1324" s="1"/>
      <c r="H1324" s="1"/>
      <c r="I1324" s="1"/>
    </row>
    <row r="1325" spans="1:9" x14ac:dyDescent="0.25">
      <c r="A1325" s="7"/>
      <c r="B1325" s="1"/>
      <c r="C1325" s="1"/>
      <c r="D1325" s="1"/>
      <c r="F1325" s="7"/>
      <c r="G1325" s="1"/>
      <c r="H1325" s="1"/>
      <c r="I1325" s="1"/>
    </row>
    <row r="1326" spans="1:9" x14ac:dyDescent="0.25">
      <c r="A1326" s="7"/>
      <c r="B1326" s="1"/>
      <c r="C1326" s="1"/>
      <c r="D1326" s="1"/>
      <c r="F1326" s="7"/>
      <c r="G1326" s="1"/>
      <c r="H1326" s="1"/>
      <c r="I1326" s="1"/>
    </row>
    <row r="1327" spans="1:9" x14ac:dyDescent="0.25">
      <c r="A1327" s="7"/>
      <c r="B1327" s="1"/>
      <c r="C1327" s="1"/>
      <c r="D1327" s="1"/>
      <c r="F1327" s="7"/>
      <c r="G1327" s="1"/>
      <c r="H1327" s="1"/>
      <c r="I1327" s="1"/>
    </row>
    <row r="1328" spans="1:9" x14ac:dyDescent="0.25">
      <c r="A1328" s="7"/>
      <c r="B1328" s="1"/>
      <c r="C1328" s="1"/>
      <c r="D1328" s="1"/>
      <c r="F1328" s="7"/>
      <c r="G1328" s="1"/>
      <c r="H1328" s="1"/>
      <c r="I1328" s="1"/>
    </row>
    <row r="1329" spans="1:9" x14ac:dyDescent="0.25">
      <c r="A1329" s="7"/>
      <c r="B1329" s="1"/>
      <c r="C1329" s="1"/>
      <c r="D1329" s="1"/>
      <c r="F1329" s="7"/>
      <c r="G1329" s="1"/>
      <c r="H1329" s="1"/>
      <c r="I1329" s="1"/>
    </row>
    <row r="1330" spans="1:9" x14ac:dyDescent="0.25">
      <c r="A1330" s="7"/>
      <c r="B1330" s="1"/>
      <c r="C1330" s="1"/>
      <c r="D1330" s="1"/>
      <c r="F1330" s="7"/>
      <c r="G1330" s="1"/>
      <c r="H1330" s="1"/>
      <c r="I1330" s="1"/>
    </row>
    <row r="1331" spans="1:9" x14ac:dyDescent="0.25">
      <c r="A1331" s="7"/>
      <c r="B1331" s="1"/>
      <c r="C1331" s="1"/>
      <c r="D1331" s="1"/>
      <c r="F1331" s="7"/>
      <c r="G1331" s="1"/>
      <c r="H1331" s="1"/>
      <c r="I1331" s="1"/>
    </row>
    <row r="1332" spans="1:9" x14ac:dyDescent="0.25">
      <c r="A1332" s="7"/>
      <c r="B1332" s="1"/>
      <c r="C1332" s="1"/>
      <c r="D1332" s="1"/>
      <c r="F1332" s="7"/>
      <c r="G1332" s="1"/>
      <c r="H1332" s="1"/>
      <c r="I1332" s="1"/>
    </row>
    <row r="1333" spans="1:9" x14ac:dyDescent="0.25">
      <c r="A1333" s="7"/>
      <c r="B1333" s="1"/>
      <c r="C1333" s="1"/>
      <c r="D1333" s="1"/>
      <c r="F1333" s="7"/>
      <c r="G1333" s="1"/>
      <c r="H1333" s="1"/>
      <c r="I1333" s="1"/>
    </row>
    <row r="1334" spans="1:9" x14ac:dyDescent="0.25">
      <c r="A1334" s="7"/>
      <c r="B1334" s="1"/>
      <c r="C1334" s="1"/>
      <c r="D1334" s="1"/>
      <c r="F1334" s="7"/>
      <c r="G1334" s="1"/>
      <c r="H1334" s="1"/>
      <c r="I1334" s="1"/>
    </row>
    <row r="1335" spans="1:9" x14ac:dyDescent="0.25">
      <c r="A1335" s="7"/>
      <c r="B1335" s="1"/>
      <c r="C1335" s="1"/>
      <c r="D1335" s="1"/>
      <c r="F1335" s="7"/>
      <c r="G1335" s="1"/>
      <c r="H1335" s="1"/>
      <c r="I1335" s="1"/>
    </row>
    <row r="1336" spans="1:9" x14ac:dyDescent="0.25">
      <c r="A1336" s="7"/>
      <c r="B1336" s="1"/>
      <c r="C1336" s="1"/>
      <c r="D1336" s="1"/>
      <c r="F1336" s="7"/>
      <c r="G1336" s="1"/>
      <c r="H1336" s="1"/>
      <c r="I1336" s="1"/>
    </row>
    <row r="1337" spans="1:9" x14ac:dyDescent="0.25">
      <c r="A1337" s="7"/>
      <c r="B1337" s="1"/>
      <c r="C1337" s="1"/>
      <c r="D1337" s="1"/>
      <c r="F1337" s="7"/>
      <c r="G1337" s="1"/>
      <c r="H1337" s="1"/>
      <c r="I1337" s="1"/>
    </row>
    <row r="1338" spans="1:9" x14ac:dyDescent="0.25">
      <c r="A1338" s="7"/>
      <c r="B1338" s="1"/>
      <c r="C1338" s="1"/>
      <c r="D1338" s="1"/>
      <c r="F1338" s="7"/>
      <c r="G1338" s="1"/>
      <c r="H1338" s="1"/>
      <c r="I1338" s="1"/>
    </row>
    <row r="1339" spans="1:9" x14ac:dyDescent="0.25">
      <c r="A1339" s="7"/>
      <c r="B1339" s="1"/>
      <c r="C1339" s="1"/>
      <c r="D1339" s="1"/>
      <c r="F1339" s="7"/>
      <c r="G1339" s="1"/>
      <c r="H1339" s="1"/>
      <c r="I1339" s="1"/>
    </row>
    <row r="1340" spans="1:9" x14ac:dyDescent="0.25">
      <c r="A1340" s="7"/>
      <c r="B1340" s="1"/>
      <c r="C1340" s="1"/>
      <c r="D1340" s="1"/>
      <c r="F1340" s="7"/>
      <c r="G1340" s="1"/>
      <c r="H1340" s="1"/>
      <c r="I1340" s="1"/>
    </row>
    <row r="1341" spans="1:9" x14ac:dyDescent="0.25">
      <c r="A1341" s="7"/>
      <c r="B1341" s="1"/>
      <c r="C1341" s="1"/>
      <c r="D1341" s="1"/>
      <c r="F1341" s="7"/>
      <c r="G1341" s="1"/>
      <c r="H1341" s="1"/>
      <c r="I1341" s="1"/>
    </row>
    <row r="1342" spans="1:9" x14ac:dyDescent="0.25">
      <c r="A1342" s="7"/>
      <c r="B1342" s="1"/>
      <c r="C1342" s="1"/>
      <c r="D1342" s="1"/>
      <c r="F1342" s="7"/>
      <c r="G1342" s="1"/>
      <c r="H1342" s="1"/>
      <c r="I1342" s="1"/>
    </row>
    <row r="1343" spans="1:9" x14ac:dyDescent="0.25">
      <c r="A1343" s="7"/>
      <c r="B1343" s="1"/>
      <c r="C1343" s="1"/>
      <c r="D1343" s="1"/>
      <c r="F1343" s="7"/>
      <c r="G1343" s="1"/>
      <c r="H1343" s="1"/>
      <c r="I1343" s="1"/>
    </row>
    <row r="1344" spans="1:9" x14ac:dyDescent="0.25">
      <c r="A1344" s="7"/>
      <c r="B1344" s="1"/>
      <c r="C1344" s="1"/>
      <c r="D1344" s="1"/>
      <c r="F1344" s="7"/>
      <c r="G1344" s="1"/>
      <c r="H1344" s="1"/>
      <c r="I1344" s="1"/>
    </row>
    <row r="1345" spans="1:9" x14ac:dyDescent="0.25">
      <c r="A1345" s="7"/>
      <c r="B1345" s="1"/>
      <c r="C1345" s="1"/>
      <c r="D1345" s="1"/>
      <c r="F1345" s="7"/>
      <c r="G1345" s="1"/>
      <c r="H1345" s="1"/>
      <c r="I1345" s="1"/>
    </row>
    <row r="1346" spans="1:9" x14ac:dyDescent="0.25">
      <c r="A1346" s="7"/>
      <c r="B1346" s="1"/>
      <c r="C1346" s="1"/>
      <c r="D1346" s="1"/>
      <c r="F1346" s="7"/>
      <c r="G1346" s="1"/>
      <c r="H1346" s="1"/>
      <c r="I1346" s="1"/>
    </row>
    <row r="1347" spans="1:9" x14ac:dyDescent="0.25">
      <c r="A1347" s="7"/>
      <c r="B1347" s="1"/>
      <c r="C1347" s="1"/>
      <c r="D1347" s="1"/>
      <c r="F1347" s="7"/>
      <c r="G1347" s="1"/>
      <c r="H1347" s="1"/>
      <c r="I1347" s="1"/>
    </row>
    <row r="1348" spans="1:9" x14ac:dyDescent="0.25">
      <c r="A1348" s="7"/>
      <c r="B1348" s="1"/>
      <c r="C1348" s="1"/>
      <c r="D1348" s="1"/>
      <c r="F1348" s="7"/>
      <c r="G1348" s="1"/>
      <c r="H1348" s="1"/>
      <c r="I1348" s="1"/>
    </row>
    <row r="1349" spans="1:9" x14ac:dyDescent="0.25">
      <c r="A1349" s="7"/>
      <c r="B1349" s="1"/>
      <c r="C1349" s="1"/>
      <c r="D1349" s="1"/>
      <c r="F1349" s="7"/>
      <c r="G1349" s="1"/>
      <c r="H1349" s="1"/>
      <c r="I1349" s="1"/>
    </row>
    <row r="1350" spans="1:9" x14ac:dyDescent="0.25">
      <c r="A1350" s="7"/>
      <c r="B1350" s="1"/>
      <c r="C1350" s="1"/>
      <c r="D1350" s="1"/>
      <c r="F1350" s="7"/>
      <c r="G1350" s="1"/>
      <c r="H1350" s="1"/>
      <c r="I1350" s="1"/>
    </row>
    <row r="1351" spans="1:9" x14ac:dyDescent="0.25">
      <c r="A1351" s="7"/>
      <c r="B1351" s="1"/>
      <c r="C1351" s="1"/>
      <c r="D1351" s="1"/>
      <c r="F1351" s="7"/>
      <c r="G1351" s="1"/>
      <c r="H1351" s="1"/>
      <c r="I1351" s="1"/>
    </row>
    <row r="1352" spans="1:9" x14ac:dyDescent="0.25">
      <c r="A1352" s="7"/>
      <c r="B1352" s="1"/>
      <c r="C1352" s="1"/>
      <c r="D1352" s="1"/>
      <c r="F1352" s="7"/>
      <c r="G1352" s="1"/>
      <c r="H1352" s="1"/>
      <c r="I1352" s="1"/>
    </row>
    <row r="1353" spans="1:9" x14ac:dyDescent="0.25">
      <c r="A1353" s="7"/>
      <c r="B1353" s="1"/>
      <c r="C1353" s="1"/>
      <c r="D1353" s="1"/>
      <c r="F1353" s="7"/>
      <c r="G1353" s="1"/>
      <c r="H1353" s="1"/>
      <c r="I1353" s="1"/>
    </row>
    <row r="1354" spans="1:9" x14ac:dyDescent="0.25">
      <c r="A1354" s="7"/>
      <c r="B1354" s="1"/>
      <c r="C1354" s="1"/>
      <c r="D1354" s="1"/>
      <c r="F1354" s="7"/>
      <c r="G1354" s="1"/>
      <c r="H1354" s="1"/>
      <c r="I1354" s="1"/>
    </row>
    <row r="1355" spans="1:9" x14ac:dyDescent="0.25">
      <c r="A1355" s="7"/>
      <c r="B1355" s="1"/>
      <c r="C1355" s="1"/>
      <c r="D1355" s="1"/>
      <c r="F1355" s="7"/>
      <c r="G1355" s="1"/>
      <c r="H1355" s="1"/>
      <c r="I1355" s="1"/>
    </row>
    <row r="1356" spans="1:9" x14ac:dyDescent="0.25">
      <c r="A1356" s="7"/>
      <c r="B1356" s="1"/>
      <c r="C1356" s="1"/>
      <c r="D1356" s="1"/>
      <c r="F1356" s="7"/>
      <c r="G1356" s="1"/>
      <c r="H1356" s="1"/>
      <c r="I1356" s="1"/>
    </row>
    <row r="1357" spans="1:9" x14ac:dyDescent="0.25">
      <c r="A1357" s="7"/>
      <c r="B1357" s="1"/>
      <c r="C1357" s="1"/>
      <c r="D1357" s="1"/>
      <c r="F1357" s="7"/>
      <c r="G1357" s="1"/>
      <c r="H1357" s="1"/>
      <c r="I1357" s="1"/>
    </row>
    <row r="1358" spans="1:9" x14ac:dyDescent="0.25">
      <c r="A1358" s="7"/>
      <c r="B1358" s="1"/>
      <c r="C1358" s="1"/>
      <c r="D1358" s="1"/>
      <c r="F1358" s="7"/>
      <c r="G1358" s="1"/>
      <c r="H1358" s="1"/>
      <c r="I1358" s="1"/>
    </row>
    <row r="1359" spans="1:9" x14ac:dyDescent="0.25">
      <c r="A1359" s="7"/>
      <c r="B1359" s="1"/>
      <c r="C1359" s="1"/>
      <c r="D1359" s="1"/>
      <c r="F1359" s="7"/>
      <c r="G1359" s="1"/>
      <c r="H1359" s="1"/>
      <c r="I1359" s="1"/>
    </row>
    <row r="1360" spans="1:9" x14ac:dyDescent="0.25">
      <c r="A1360" s="7"/>
      <c r="B1360" s="1"/>
      <c r="C1360" s="1"/>
      <c r="D1360" s="1"/>
      <c r="F1360" s="7"/>
      <c r="G1360" s="1"/>
      <c r="H1360" s="1"/>
      <c r="I1360" s="1"/>
    </row>
    <row r="1361" spans="1:9" x14ac:dyDescent="0.25">
      <c r="A1361" s="7"/>
      <c r="B1361" s="1"/>
      <c r="C1361" s="1"/>
      <c r="D1361" s="1"/>
      <c r="F1361" s="7"/>
      <c r="G1361" s="1"/>
      <c r="H1361" s="1"/>
      <c r="I1361" s="1"/>
    </row>
    <row r="1362" spans="1:9" x14ac:dyDescent="0.25">
      <c r="A1362" s="7"/>
      <c r="B1362" s="1"/>
      <c r="C1362" s="1"/>
      <c r="D1362" s="1"/>
      <c r="F1362" s="7"/>
      <c r="G1362" s="1"/>
      <c r="H1362" s="1"/>
      <c r="I1362" s="1"/>
    </row>
    <row r="1363" spans="1:9" x14ac:dyDescent="0.25">
      <c r="A1363" s="7"/>
      <c r="B1363" s="1"/>
      <c r="C1363" s="1"/>
      <c r="D1363" s="1"/>
      <c r="F1363" s="7"/>
      <c r="G1363" s="1"/>
      <c r="H1363" s="1"/>
      <c r="I1363" s="1"/>
    </row>
    <row r="1364" spans="1:9" x14ac:dyDescent="0.25">
      <c r="A1364" s="7"/>
      <c r="B1364" s="1"/>
      <c r="C1364" s="1"/>
      <c r="D1364" s="1"/>
      <c r="F1364" s="7"/>
      <c r="G1364" s="1"/>
      <c r="H1364" s="1"/>
      <c r="I1364" s="1"/>
    </row>
    <row r="1365" spans="1:9" x14ac:dyDescent="0.25">
      <c r="A1365" s="7"/>
      <c r="B1365" s="1"/>
      <c r="C1365" s="1"/>
      <c r="D1365" s="1"/>
      <c r="F1365" s="7"/>
      <c r="G1365" s="1"/>
      <c r="H1365" s="1"/>
      <c r="I1365" s="1"/>
    </row>
    <row r="1366" spans="1:9" x14ac:dyDescent="0.25">
      <c r="A1366" s="7"/>
      <c r="B1366" s="1"/>
      <c r="C1366" s="1"/>
      <c r="D1366" s="1"/>
      <c r="F1366" s="7"/>
      <c r="G1366" s="1"/>
      <c r="H1366" s="1"/>
      <c r="I1366" s="1"/>
    </row>
    <row r="1367" spans="1:9" x14ac:dyDescent="0.25">
      <c r="A1367" s="7"/>
      <c r="B1367" s="1"/>
      <c r="C1367" s="1"/>
      <c r="D1367" s="1"/>
      <c r="F1367" s="7"/>
      <c r="G1367" s="1"/>
      <c r="H1367" s="1"/>
      <c r="I1367" s="1"/>
    </row>
    <row r="1368" spans="1:9" x14ac:dyDescent="0.25">
      <c r="A1368" s="7"/>
      <c r="B1368" s="1"/>
      <c r="C1368" s="1"/>
      <c r="D1368" s="1"/>
      <c r="F1368" s="7"/>
      <c r="G1368" s="1"/>
      <c r="H1368" s="1"/>
      <c r="I1368" s="1"/>
    </row>
    <row r="1369" spans="1:9" x14ac:dyDescent="0.25">
      <c r="A1369" s="7"/>
      <c r="B1369" s="1"/>
      <c r="C1369" s="1"/>
      <c r="D1369" s="1"/>
      <c r="F1369" s="7"/>
      <c r="G1369" s="1"/>
      <c r="H1369" s="1"/>
      <c r="I1369" s="1"/>
    </row>
    <row r="1370" spans="1:9" x14ac:dyDescent="0.25">
      <c r="A1370" s="7"/>
      <c r="B1370" s="1"/>
      <c r="C1370" s="1"/>
      <c r="D1370" s="1"/>
      <c r="F1370" s="7"/>
      <c r="G1370" s="1"/>
      <c r="H1370" s="1"/>
      <c r="I1370" s="1"/>
    </row>
    <row r="1371" spans="1:9" x14ac:dyDescent="0.25">
      <c r="A1371" s="7"/>
      <c r="B1371" s="1"/>
      <c r="C1371" s="1"/>
      <c r="D1371" s="1"/>
      <c r="F1371" s="7"/>
      <c r="G1371" s="1"/>
      <c r="H1371" s="1"/>
      <c r="I1371" s="1"/>
    </row>
    <row r="1372" spans="1:9" x14ac:dyDescent="0.25">
      <c r="A1372" s="7"/>
      <c r="B1372" s="1"/>
      <c r="C1372" s="1"/>
      <c r="D1372" s="1"/>
      <c r="F1372" s="7"/>
      <c r="G1372" s="1"/>
      <c r="H1372" s="1"/>
      <c r="I1372" s="1"/>
    </row>
    <row r="1373" spans="1:9" x14ac:dyDescent="0.25">
      <c r="A1373" s="7"/>
      <c r="B1373" s="1"/>
      <c r="C1373" s="1"/>
      <c r="D1373" s="1"/>
      <c r="F1373" s="7"/>
      <c r="G1373" s="1"/>
      <c r="H1373" s="1"/>
      <c r="I1373" s="1"/>
    </row>
    <row r="1374" spans="1:9" x14ac:dyDescent="0.25">
      <c r="A1374" s="7"/>
      <c r="B1374" s="1"/>
      <c r="C1374" s="1"/>
      <c r="D1374" s="1"/>
      <c r="F1374" s="7"/>
      <c r="G1374" s="1"/>
      <c r="H1374" s="1"/>
      <c r="I1374" s="1"/>
    </row>
    <row r="1375" spans="1:9" x14ac:dyDescent="0.25">
      <c r="A1375" s="7"/>
      <c r="B1375" s="1"/>
      <c r="C1375" s="1"/>
      <c r="D1375" s="1"/>
      <c r="F1375" s="7"/>
      <c r="G1375" s="1"/>
      <c r="H1375" s="1"/>
      <c r="I1375" s="1"/>
    </row>
    <row r="1376" spans="1:9" x14ac:dyDescent="0.25">
      <c r="A1376" s="7"/>
      <c r="B1376" s="1"/>
      <c r="C1376" s="1"/>
      <c r="D1376" s="1"/>
      <c r="F1376" s="7"/>
      <c r="G1376" s="1"/>
      <c r="H1376" s="1"/>
      <c r="I1376" s="1"/>
    </row>
    <row r="1377" spans="1:9" x14ac:dyDescent="0.25">
      <c r="A1377" s="7"/>
      <c r="B1377" s="1"/>
      <c r="C1377" s="1"/>
      <c r="D1377" s="1"/>
      <c r="F1377" s="7"/>
      <c r="G1377" s="1"/>
      <c r="H1377" s="1"/>
      <c r="I1377" s="1"/>
    </row>
    <row r="1378" spans="1:9" x14ac:dyDescent="0.25">
      <c r="A1378" s="7"/>
      <c r="B1378" s="1"/>
      <c r="C1378" s="1"/>
      <c r="D1378" s="1"/>
      <c r="F1378" s="7"/>
      <c r="G1378" s="1"/>
      <c r="H1378" s="1"/>
      <c r="I1378" s="1"/>
    </row>
    <row r="1379" spans="1:9" x14ac:dyDescent="0.25">
      <c r="A1379" s="7"/>
      <c r="B1379" s="1"/>
      <c r="C1379" s="1"/>
      <c r="D1379" s="1"/>
      <c r="F1379" s="7"/>
      <c r="G1379" s="1"/>
      <c r="H1379" s="1"/>
      <c r="I1379" s="1"/>
    </row>
    <row r="1380" spans="1:9" x14ac:dyDescent="0.25">
      <c r="A1380" s="7"/>
      <c r="B1380" s="1"/>
      <c r="C1380" s="1"/>
      <c r="D1380" s="1"/>
      <c r="F1380" s="7"/>
      <c r="G1380" s="1"/>
      <c r="H1380" s="1"/>
      <c r="I1380" s="1"/>
    </row>
    <row r="1381" spans="1:9" x14ac:dyDescent="0.25">
      <c r="A1381" s="7"/>
      <c r="B1381" s="1"/>
      <c r="C1381" s="1"/>
      <c r="D1381" s="1"/>
      <c r="F1381" s="7"/>
      <c r="G1381" s="1"/>
      <c r="H1381" s="1"/>
      <c r="I1381" s="1"/>
    </row>
    <row r="1382" spans="1:9" x14ac:dyDescent="0.25">
      <c r="A1382" s="7"/>
      <c r="B1382" s="1"/>
      <c r="C1382" s="1"/>
      <c r="D1382" s="1"/>
      <c r="F1382" s="7"/>
      <c r="G1382" s="1"/>
      <c r="H1382" s="1"/>
      <c r="I1382" s="1"/>
    </row>
    <row r="1383" spans="1:9" x14ac:dyDescent="0.25">
      <c r="A1383" s="7"/>
      <c r="B1383" s="1"/>
      <c r="C1383" s="1"/>
      <c r="D1383" s="1"/>
      <c r="F1383" s="7"/>
      <c r="G1383" s="1"/>
      <c r="H1383" s="1"/>
      <c r="I1383" s="1"/>
    </row>
    <row r="1384" spans="1:9" x14ac:dyDescent="0.25">
      <c r="A1384" s="7"/>
      <c r="B1384" s="1"/>
      <c r="C1384" s="1"/>
      <c r="D1384" s="1"/>
      <c r="F1384" s="7"/>
      <c r="G1384" s="1"/>
      <c r="H1384" s="1"/>
      <c r="I1384" s="1"/>
    </row>
    <row r="1385" spans="1:9" x14ac:dyDescent="0.25">
      <c r="A1385" s="7"/>
      <c r="B1385" s="1"/>
      <c r="C1385" s="1"/>
      <c r="D1385" s="1"/>
      <c r="F1385" s="7"/>
      <c r="G1385" s="1"/>
      <c r="H1385" s="1"/>
      <c r="I1385" s="1"/>
    </row>
    <row r="1386" spans="1:9" x14ac:dyDescent="0.25">
      <c r="A1386" s="7"/>
      <c r="B1386" s="1"/>
      <c r="C1386" s="1"/>
      <c r="D1386" s="1"/>
      <c r="F1386" s="7"/>
      <c r="G1386" s="1"/>
      <c r="H1386" s="1"/>
      <c r="I1386" s="1"/>
    </row>
    <row r="1387" spans="1:9" x14ac:dyDescent="0.25">
      <c r="A1387" s="7"/>
      <c r="B1387" s="1"/>
      <c r="C1387" s="1"/>
      <c r="D1387" s="1"/>
      <c r="F1387" s="7"/>
      <c r="G1387" s="1"/>
      <c r="H1387" s="1"/>
      <c r="I1387" s="1"/>
    </row>
    <row r="1388" spans="1:9" x14ac:dyDescent="0.25">
      <c r="A1388" s="7"/>
      <c r="B1388" s="1"/>
      <c r="C1388" s="1"/>
      <c r="D1388" s="1"/>
      <c r="F1388" s="7"/>
      <c r="G1388" s="1"/>
      <c r="H1388" s="1"/>
      <c r="I1388" s="1"/>
    </row>
    <row r="1389" spans="1:9" x14ac:dyDescent="0.25">
      <c r="A1389" s="7"/>
      <c r="B1389" s="1"/>
      <c r="C1389" s="1"/>
      <c r="D1389" s="1"/>
      <c r="F1389" s="7"/>
      <c r="G1389" s="1"/>
      <c r="H1389" s="1"/>
      <c r="I1389" s="1"/>
    </row>
    <row r="1390" spans="1:9" x14ac:dyDescent="0.25">
      <c r="A1390" s="7"/>
      <c r="B1390" s="1"/>
      <c r="C1390" s="1"/>
      <c r="D1390" s="1"/>
      <c r="F1390" s="7"/>
      <c r="G1390" s="1"/>
      <c r="H1390" s="1"/>
      <c r="I1390" s="1"/>
    </row>
    <row r="1391" spans="1:9" x14ac:dyDescent="0.25">
      <c r="A1391" s="7"/>
      <c r="B1391" s="1"/>
      <c r="C1391" s="1"/>
      <c r="D1391" s="1"/>
      <c r="F1391" s="7"/>
      <c r="G1391" s="1"/>
      <c r="H1391" s="1"/>
      <c r="I1391" s="1"/>
    </row>
    <row r="1392" spans="1:9" x14ac:dyDescent="0.25">
      <c r="A1392" s="7"/>
      <c r="B1392" s="1"/>
      <c r="C1392" s="1"/>
      <c r="D1392" s="1"/>
      <c r="F1392" s="7"/>
      <c r="G1392" s="1"/>
      <c r="H1392" s="1"/>
      <c r="I1392" s="1"/>
    </row>
    <row r="1393" spans="1:9" x14ac:dyDescent="0.25">
      <c r="A1393" s="7"/>
      <c r="B1393" s="1"/>
      <c r="C1393" s="1"/>
      <c r="D1393" s="1"/>
      <c r="F1393" s="7"/>
      <c r="G1393" s="1"/>
      <c r="H1393" s="1"/>
      <c r="I1393" s="1"/>
    </row>
    <row r="1394" spans="1:9" x14ac:dyDescent="0.25">
      <c r="A1394" s="7"/>
      <c r="B1394" s="1"/>
      <c r="C1394" s="1"/>
      <c r="D1394" s="1"/>
      <c r="F1394" s="7"/>
      <c r="G1394" s="1"/>
      <c r="H1394" s="1"/>
      <c r="I1394" s="1"/>
    </row>
    <row r="1395" spans="1:9" x14ac:dyDescent="0.25">
      <c r="A1395" s="7"/>
      <c r="B1395" s="1"/>
      <c r="C1395" s="1"/>
      <c r="D1395" s="1"/>
      <c r="F1395" s="7"/>
      <c r="G1395" s="1"/>
      <c r="H1395" s="1"/>
      <c r="I1395" s="1"/>
    </row>
    <row r="1396" spans="1:9" x14ac:dyDescent="0.25">
      <c r="A1396" s="7"/>
      <c r="B1396" s="1"/>
      <c r="C1396" s="1"/>
      <c r="D1396" s="1"/>
      <c r="F1396" s="7"/>
      <c r="G1396" s="1"/>
      <c r="H1396" s="1"/>
      <c r="I1396" s="1"/>
    </row>
    <row r="1397" spans="1:9" x14ac:dyDescent="0.25">
      <c r="A1397" s="7"/>
      <c r="B1397" s="1"/>
      <c r="C1397" s="1"/>
      <c r="D1397" s="1"/>
      <c r="F1397" s="7"/>
      <c r="G1397" s="1"/>
      <c r="H1397" s="1"/>
      <c r="I1397" s="1"/>
    </row>
    <row r="1398" spans="1:9" x14ac:dyDescent="0.25">
      <c r="A1398" s="7"/>
      <c r="B1398" s="1"/>
      <c r="C1398" s="1"/>
      <c r="D1398" s="1"/>
      <c r="F1398" s="7"/>
      <c r="G1398" s="1"/>
      <c r="H1398" s="1"/>
      <c r="I1398" s="1"/>
    </row>
    <row r="1399" spans="1:9" x14ac:dyDescent="0.25">
      <c r="A1399" s="7"/>
      <c r="B1399" s="1"/>
      <c r="C1399" s="1"/>
      <c r="D1399" s="1"/>
      <c r="F1399" s="7"/>
      <c r="G1399" s="1"/>
      <c r="H1399" s="1"/>
      <c r="I1399" s="1"/>
    </row>
    <row r="1400" spans="1:9" x14ac:dyDescent="0.25">
      <c r="A1400" s="7"/>
      <c r="B1400" s="1"/>
      <c r="C1400" s="1"/>
      <c r="D1400" s="1"/>
      <c r="F1400" s="7"/>
      <c r="G1400" s="1"/>
      <c r="H1400" s="1"/>
      <c r="I1400" s="1"/>
    </row>
    <row r="1401" spans="1:9" x14ac:dyDescent="0.25">
      <c r="A1401" s="7"/>
      <c r="B1401" s="1"/>
      <c r="C1401" s="1"/>
      <c r="D1401" s="1"/>
      <c r="F1401" s="7"/>
      <c r="G1401" s="1"/>
      <c r="H1401" s="1"/>
      <c r="I1401" s="1"/>
    </row>
    <row r="1402" spans="1:9" x14ac:dyDescent="0.25">
      <c r="A1402" s="7"/>
      <c r="B1402" s="1"/>
      <c r="C1402" s="1"/>
      <c r="D1402" s="1"/>
      <c r="F1402" s="7"/>
      <c r="G1402" s="1"/>
      <c r="H1402" s="1"/>
      <c r="I1402" s="1"/>
    </row>
    <row r="1403" spans="1:9" x14ac:dyDescent="0.25">
      <c r="A1403" s="7"/>
      <c r="B1403" s="1"/>
      <c r="C1403" s="1"/>
      <c r="D1403" s="1"/>
      <c r="F1403" s="7"/>
      <c r="G1403" s="1"/>
      <c r="H1403" s="1"/>
      <c r="I1403" s="1"/>
    </row>
    <row r="1404" spans="1:9" x14ac:dyDescent="0.25">
      <c r="A1404" s="7"/>
      <c r="B1404" s="1"/>
      <c r="C1404" s="1"/>
      <c r="D1404" s="1"/>
      <c r="F1404" s="7"/>
      <c r="G1404" s="1"/>
      <c r="H1404" s="1"/>
      <c r="I1404" s="1"/>
    </row>
    <row r="1405" spans="1:9" x14ac:dyDescent="0.25">
      <c r="A1405" s="7"/>
      <c r="B1405" s="1"/>
      <c r="C1405" s="1"/>
      <c r="D1405" s="1"/>
      <c r="F1405" s="7"/>
      <c r="G1405" s="1"/>
      <c r="H1405" s="1"/>
      <c r="I1405" s="1"/>
    </row>
    <row r="1406" spans="1:9" x14ac:dyDescent="0.25">
      <c r="A1406" s="7"/>
      <c r="B1406" s="1"/>
      <c r="C1406" s="1"/>
      <c r="D1406" s="1"/>
      <c r="F1406" s="7"/>
      <c r="G1406" s="1"/>
      <c r="H1406" s="1"/>
      <c r="I1406" s="1"/>
    </row>
    <row r="1407" spans="1:9" x14ac:dyDescent="0.25">
      <c r="A1407" s="7"/>
      <c r="B1407" s="1"/>
      <c r="C1407" s="1"/>
      <c r="D1407" s="1"/>
      <c r="F1407" s="7"/>
      <c r="G1407" s="1"/>
      <c r="H1407" s="1"/>
      <c r="I1407" s="1"/>
    </row>
    <row r="1408" spans="1:9" x14ac:dyDescent="0.25">
      <c r="A1408" s="7"/>
      <c r="B1408" s="1"/>
      <c r="C1408" s="1"/>
      <c r="D1408" s="1"/>
      <c r="F1408" s="7"/>
      <c r="G1408" s="1"/>
      <c r="H1408" s="1"/>
      <c r="I1408" s="1"/>
    </row>
    <row r="1409" spans="1:9" x14ac:dyDescent="0.25">
      <c r="A1409" s="7"/>
      <c r="B1409" s="1"/>
      <c r="C1409" s="1"/>
      <c r="D1409" s="1"/>
      <c r="F1409" s="7"/>
      <c r="G1409" s="1"/>
      <c r="H1409" s="1"/>
      <c r="I1409" s="1"/>
    </row>
    <row r="1410" spans="1:9" x14ac:dyDescent="0.25">
      <c r="A1410" s="7"/>
      <c r="B1410" s="1"/>
      <c r="C1410" s="1"/>
      <c r="D1410" s="1"/>
      <c r="F1410" s="7"/>
      <c r="G1410" s="1"/>
      <c r="H1410" s="1"/>
      <c r="I1410" s="1"/>
    </row>
    <row r="1411" spans="1:9" x14ac:dyDescent="0.25">
      <c r="A1411" s="7"/>
      <c r="B1411" s="1"/>
      <c r="C1411" s="1"/>
      <c r="D1411" s="1"/>
      <c r="F1411" s="7"/>
      <c r="G1411" s="1"/>
      <c r="H1411" s="1"/>
      <c r="I1411" s="1"/>
    </row>
    <row r="1412" spans="1:9" x14ac:dyDescent="0.25">
      <c r="A1412" s="7"/>
      <c r="B1412" s="1"/>
      <c r="C1412" s="1"/>
      <c r="D1412" s="1"/>
      <c r="F1412" s="7"/>
      <c r="G1412" s="1"/>
      <c r="H1412" s="1"/>
      <c r="I1412" s="1"/>
    </row>
    <row r="1413" spans="1:9" x14ac:dyDescent="0.25">
      <c r="A1413" s="7"/>
      <c r="B1413" s="1"/>
      <c r="C1413" s="1"/>
      <c r="D1413" s="1"/>
      <c r="F1413" s="7"/>
      <c r="G1413" s="1"/>
      <c r="H1413" s="1"/>
      <c r="I1413" s="1"/>
    </row>
    <row r="1414" spans="1:9" x14ac:dyDescent="0.25">
      <c r="A1414" s="7"/>
      <c r="B1414" s="1"/>
      <c r="C1414" s="1"/>
      <c r="D1414" s="1"/>
      <c r="F1414" s="7"/>
      <c r="G1414" s="1"/>
      <c r="H1414" s="1"/>
      <c r="I1414" s="1"/>
    </row>
    <row r="1415" spans="1:9" x14ac:dyDescent="0.25">
      <c r="A1415" s="7"/>
      <c r="B1415" s="1"/>
      <c r="C1415" s="1"/>
      <c r="D1415" s="1"/>
      <c r="F1415" s="7"/>
      <c r="G1415" s="1"/>
      <c r="H1415" s="1"/>
      <c r="I1415" s="1"/>
    </row>
    <row r="1416" spans="1:9" x14ac:dyDescent="0.25">
      <c r="A1416" s="7"/>
      <c r="B1416" s="1"/>
      <c r="C1416" s="1"/>
      <c r="D1416" s="1"/>
      <c r="F1416" s="7"/>
      <c r="G1416" s="1"/>
      <c r="H1416" s="1"/>
      <c r="I1416" s="1"/>
    </row>
    <row r="1417" spans="1:9" x14ac:dyDescent="0.25">
      <c r="A1417" s="7"/>
      <c r="B1417" s="1"/>
      <c r="C1417" s="1"/>
      <c r="D1417" s="1"/>
      <c r="F1417" s="7"/>
      <c r="G1417" s="1"/>
      <c r="H1417" s="1"/>
      <c r="I1417" s="1"/>
    </row>
    <row r="1418" spans="1:9" x14ac:dyDescent="0.25">
      <c r="A1418" s="7"/>
      <c r="B1418" s="1"/>
      <c r="C1418" s="1"/>
      <c r="D1418" s="1"/>
      <c r="F1418" s="7"/>
      <c r="G1418" s="1"/>
      <c r="H1418" s="1"/>
      <c r="I1418" s="1"/>
    </row>
    <row r="1419" spans="1:9" x14ac:dyDescent="0.25">
      <c r="A1419" s="7"/>
      <c r="B1419" s="1"/>
      <c r="C1419" s="1"/>
      <c r="D1419" s="1"/>
      <c r="F1419" s="7"/>
      <c r="G1419" s="1"/>
      <c r="H1419" s="1"/>
      <c r="I1419" s="1"/>
    </row>
    <row r="1420" spans="1:9" x14ac:dyDescent="0.25">
      <c r="A1420" s="7"/>
      <c r="B1420" s="1"/>
      <c r="C1420" s="1"/>
      <c r="D1420" s="1"/>
      <c r="F1420" s="7"/>
      <c r="G1420" s="1"/>
      <c r="H1420" s="1"/>
      <c r="I1420" s="1"/>
    </row>
    <row r="1421" spans="1:9" x14ac:dyDescent="0.25">
      <c r="A1421" s="7"/>
      <c r="B1421" s="1"/>
      <c r="C1421" s="1"/>
      <c r="D1421" s="1"/>
      <c r="F1421" s="7"/>
      <c r="G1421" s="1"/>
      <c r="H1421" s="1"/>
      <c r="I1421" s="1"/>
    </row>
    <row r="1422" spans="1:9" x14ac:dyDescent="0.25">
      <c r="A1422" s="7"/>
      <c r="B1422" s="1"/>
      <c r="C1422" s="1"/>
      <c r="D1422" s="1"/>
      <c r="F1422" s="7"/>
      <c r="G1422" s="1"/>
      <c r="H1422" s="1"/>
      <c r="I1422" s="1"/>
    </row>
    <row r="1423" spans="1:9" x14ac:dyDescent="0.25">
      <c r="A1423" s="7"/>
      <c r="B1423" s="1"/>
      <c r="C1423" s="1"/>
      <c r="D1423" s="1"/>
      <c r="F1423" s="7"/>
      <c r="G1423" s="1"/>
      <c r="H1423" s="1"/>
      <c r="I1423" s="1"/>
    </row>
    <row r="1424" spans="1:9" x14ac:dyDescent="0.25">
      <c r="A1424" s="7"/>
      <c r="B1424" s="1"/>
      <c r="C1424" s="1"/>
      <c r="D1424" s="1"/>
      <c r="F1424" s="7"/>
      <c r="G1424" s="1"/>
      <c r="H1424" s="1"/>
      <c r="I1424" s="1"/>
    </row>
    <row r="1425" spans="1:9" x14ac:dyDescent="0.25">
      <c r="A1425" s="7"/>
      <c r="B1425" s="1"/>
      <c r="C1425" s="1"/>
      <c r="D1425" s="1"/>
      <c r="F1425" s="7"/>
      <c r="G1425" s="1"/>
      <c r="H1425" s="1"/>
      <c r="I1425" s="1"/>
    </row>
    <row r="1426" spans="1:9" x14ac:dyDescent="0.25">
      <c r="A1426" s="7"/>
      <c r="B1426" s="1"/>
      <c r="C1426" s="1"/>
      <c r="D1426" s="1"/>
      <c r="F1426" s="7"/>
      <c r="G1426" s="1"/>
      <c r="H1426" s="1"/>
      <c r="I1426" s="1"/>
    </row>
    <row r="1427" spans="1:9" x14ac:dyDescent="0.25">
      <c r="A1427" s="7"/>
      <c r="B1427" s="1"/>
      <c r="C1427" s="1"/>
      <c r="D1427" s="1"/>
      <c r="F1427" s="7"/>
      <c r="G1427" s="1"/>
      <c r="H1427" s="1"/>
      <c r="I1427" s="1"/>
    </row>
    <row r="1428" spans="1:9" x14ac:dyDescent="0.25">
      <c r="A1428" s="7"/>
      <c r="B1428" s="1"/>
      <c r="C1428" s="1"/>
      <c r="D1428" s="1"/>
      <c r="F1428" s="7"/>
      <c r="G1428" s="1"/>
      <c r="H1428" s="1"/>
      <c r="I1428" s="1"/>
    </row>
    <row r="1429" spans="1:9" x14ac:dyDescent="0.25">
      <c r="A1429" s="7"/>
      <c r="B1429" s="1"/>
      <c r="C1429" s="1"/>
      <c r="D1429" s="1"/>
      <c r="F1429" s="7"/>
      <c r="G1429" s="1"/>
      <c r="H1429" s="1"/>
      <c r="I1429" s="1"/>
    </row>
    <row r="1430" spans="1:9" x14ac:dyDescent="0.25">
      <c r="A1430" s="7"/>
      <c r="B1430" s="1"/>
      <c r="C1430" s="1"/>
      <c r="D1430" s="1"/>
      <c r="F1430" s="7"/>
      <c r="G1430" s="1"/>
      <c r="H1430" s="1"/>
      <c r="I1430" s="1"/>
    </row>
    <row r="1431" spans="1:9" x14ac:dyDescent="0.25">
      <c r="A1431" s="7"/>
      <c r="B1431" s="1"/>
      <c r="C1431" s="1"/>
      <c r="D1431" s="1"/>
      <c r="F1431" s="7"/>
      <c r="G1431" s="1"/>
      <c r="H1431" s="1"/>
      <c r="I1431" s="1"/>
    </row>
    <row r="1432" spans="1:9" x14ac:dyDescent="0.25">
      <c r="A1432" s="7"/>
      <c r="B1432" s="1"/>
      <c r="C1432" s="1"/>
      <c r="D1432" s="1"/>
      <c r="F1432" s="7"/>
      <c r="G1432" s="1"/>
      <c r="H1432" s="1"/>
      <c r="I1432" s="1"/>
    </row>
    <row r="1433" spans="1:9" x14ac:dyDescent="0.25">
      <c r="A1433" s="7"/>
      <c r="B1433" s="1"/>
      <c r="C1433" s="1"/>
      <c r="D1433" s="1"/>
      <c r="F1433" s="7"/>
      <c r="G1433" s="1"/>
      <c r="H1433" s="1"/>
      <c r="I1433" s="1"/>
    </row>
    <row r="1434" spans="1:9" x14ac:dyDescent="0.25">
      <c r="A1434" s="7"/>
      <c r="B1434" s="1"/>
      <c r="C1434" s="1"/>
      <c r="D1434" s="1"/>
      <c r="F1434" s="7"/>
      <c r="G1434" s="1"/>
      <c r="H1434" s="1"/>
      <c r="I1434" s="1"/>
    </row>
    <row r="1435" spans="1:9" x14ac:dyDescent="0.25">
      <c r="A1435" s="7"/>
      <c r="B1435" s="1"/>
      <c r="C1435" s="1"/>
      <c r="D1435" s="1"/>
      <c r="F1435" s="7"/>
      <c r="G1435" s="1"/>
      <c r="H1435" s="1"/>
      <c r="I1435" s="1"/>
    </row>
    <row r="1436" spans="1:9" x14ac:dyDescent="0.25">
      <c r="A1436" s="7"/>
      <c r="B1436" s="1"/>
      <c r="C1436" s="1"/>
      <c r="D1436" s="1"/>
      <c r="F1436" s="7"/>
      <c r="G1436" s="1"/>
      <c r="H1436" s="1"/>
      <c r="I1436" s="1"/>
    </row>
    <row r="1437" spans="1:9" x14ac:dyDescent="0.25">
      <c r="A1437" s="7"/>
      <c r="B1437" s="1"/>
      <c r="C1437" s="1"/>
      <c r="D1437" s="1"/>
      <c r="F1437" s="7"/>
      <c r="G1437" s="1"/>
      <c r="H1437" s="1"/>
      <c r="I1437" s="1"/>
    </row>
    <row r="1438" spans="1:9" x14ac:dyDescent="0.25">
      <c r="A1438" s="7"/>
      <c r="B1438" s="1"/>
      <c r="C1438" s="1"/>
      <c r="D1438" s="1"/>
      <c r="F1438" s="7"/>
      <c r="G1438" s="1"/>
      <c r="H1438" s="1"/>
      <c r="I1438" s="1"/>
    </row>
    <row r="1439" spans="1:9" x14ac:dyDescent="0.25">
      <c r="A1439" s="7"/>
      <c r="B1439" s="1"/>
      <c r="C1439" s="1"/>
      <c r="D1439" s="1"/>
      <c r="F1439" s="7"/>
      <c r="G1439" s="1"/>
      <c r="H1439" s="1"/>
      <c r="I1439" s="1"/>
    </row>
    <row r="1440" spans="1:9" x14ac:dyDescent="0.25">
      <c r="A1440" s="7"/>
      <c r="B1440" s="1"/>
      <c r="C1440" s="1"/>
      <c r="D1440" s="1"/>
      <c r="F1440" s="7"/>
      <c r="G1440" s="1"/>
      <c r="H1440" s="1"/>
      <c r="I1440" s="1"/>
    </row>
    <row r="1441" spans="1:9" x14ac:dyDescent="0.25">
      <c r="A1441" s="7"/>
      <c r="B1441" s="1"/>
      <c r="C1441" s="1"/>
      <c r="D1441" s="1"/>
      <c r="F1441" s="7"/>
      <c r="G1441" s="1"/>
      <c r="H1441" s="1"/>
      <c r="I1441" s="1"/>
    </row>
    <row r="1442" spans="1:9" x14ac:dyDescent="0.25">
      <c r="A1442" s="7"/>
      <c r="B1442" s="1"/>
      <c r="C1442" s="1"/>
      <c r="D1442" s="1"/>
      <c r="F1442" s="7"/>
      <c r="G1442" s="1"/>
      <c r="H1442" s="1"/>
      <c r="I1442" s="1"/>
    </row>
    <row r="1443" spans="1:9" x14ac:dyDescent="0.25">
      <c r="A1443" s="7"/>
      <c r="B1443" s="1"/>
      <c r="C1443" s="1"/>
      <c r="D1443" s="1"/>
      <c r="F1443" s="7"/>
      <c r="G1443" s="1"/>
      <c r="H1443" s="1"/>
      <c r="I1443" s="1"/>
    </row>
    <row r="1444" spans="1:9" x14ac:dyDescent="0.25">
      <c r="A1444" s="7"/>
      <c r="B1444" s="1"/>
      <c r="C1444" s="1"/>
      <c r="D1444" s="1"/>
      <c r="F1444" s="7"/>
      <c r="G1444" s="1"/>
      <c r="H1444" s="1"/>
      <c r="I1444" s="1"/>
    </row>
    <row r="1445" spans="1:9" x14ac:dyDescent="0.25">
      <c r="A1445" s="7"/>
      <c r="B1445" s="1"/>
      <c r="C1445" s="1"/>
      <c r="D1445" s="1"/>
      <c r="F1445" s="7"/>
      <c r="G1445" s="1"/>
      <c r="H1445" s="1"/>
      <c r="I1445" s="1"/>
    </row>
    <row r="1446" spans="1:9" x14ac:dyDescent="0.25">
      <c r="A1446" s="7"/>
      <c r="B1446" s="1"/>
      <c r="C1446" s="1"/>
      <c r="D1446" s="1"/>
      <c r="F1446" s="7"/>
      <c r="G1446" s="1"/>
      <c r="H1446" s="1"/>
      <c r="I1446" s="1"/>
    </row>
    <row r="1447" spans="1:9" x14ac:dyDescent="0.25">
      <c r="A1447" s="7"/>
      <c r="B1447" s="1"/>
      <c r="C1447" s="1"/>
      <c r="D1447" s="1"/>
      <c r="F1447" s="7"/>
      <c r="G1447" s="1"/>
      <c r="H1447" s="1"/>
      <c r="I1447" s="1"/>
    </row>
    <row r="1448" spans="1:9" x14ac:dyDescent="0.25">
      <c r="A1448" s="7"/>
      <c r="B1448" s="1"/>
      <c r="C1448" s="1"/>
      <c r="D1448" s="1"/>
      <c r="F1448" s="7"/>
      <c r="G1448" s="1"/>
      <c r="H1448" s="1"/>
      <c r="I1448" s="1"/>
    </row>
    <row r="1449" spans="1:9" x14ac:dyDescent="0.25">
      <c r="A1449" s="7"/>
      <c r="B1449" s="1"/>
      <c r="C1449" s="1"/>
      <c r="D1449" s="1"/>
      <c r="F1449" s="7"/>
      <c r="G1449" s="1"/>
      <c r="H1449" s="1"/>
      <c r="I1449" s="1"/>
    </row>
    <row r="1450" spans="1:9" x14ac:dyDescent="0.25">
      <c r="A1450" s="7"/>
      <c r="B1450" s="1"/>
      <c r="C1450" s="1"/>
      <c r="D1450" s="1"/>
      <c r="F1450" s="7"/>
      <c r="G1450" s="1"/>
      <c r="H1450" s="1"/>
      <c r="I1450" s="1"/>
    </row>
    <row r="1451" spans="1:9" x14ac:dyDescent="0.25">
      <c r="A1451" s="7"/>
      <c r="B1451" s="1"/>
      <c r="C1451" s="1"/>
      <c r="D1451" s="1"/>
      <c r="F1451" s="7"/>
      <c r="G1451" s="1"/>
      <c r="H1451" s="1"/>
      <c r="I1451" s="1"/>
    </row>
    <row r="1452" spans="1:9" x14ac:dyDescent="0.25">
      <c r="A1452" s="7"/>
      <c r="B1452" s="1"/>
      <c r="C1452" s="1"/>
      <c r="D1452" s="1"/>
      <c r="F1452" s="7"/>
      <c r="G1452" s="1"/>
      <c r="H1452" s="1"/>
      <c r="I1452" s="1"/>
    </row>
    <row r="1453" spans="1:9" x14ac:dyDescent="0.25">
      <c r="A1453" s="7"/>
      <c r="B1453" s="1"/>
      <c r="C1453" s="1"/>
      <c r="D1453" s="1"/>
      <c r="F1453" s="7"/>
      <c r="G1453" s="1"/>
      <c r="H1453" s="1"/>
      <c r="I1453" s="1"/>
    </row>
    <row r="1454" spans="1:9" x14ac:dyDescent="0.25">
      <c r="A1454" s="7"/>
      <c r="B1454" s="1"/>
      <c r="C1454" s="1"/>
      <c r="D1454" s="1"/>
      <c r="F1454" s="7"/>
      <c r="G1454" s="1"/>
      <c r="H1454" s="1"/>
      <c r="I1454" s="1"/>
    </row>
    <row r="1455" spans="1:9" x14ac:dyDescent="0.25">
      <c r="A1455" s="7"/>
      <c r="B1455" s="1"/>
      <c r="C1455" s="1"/>
      <c r="D1455" s="1"/>
      <c r="F1455" s="7"/>
      <c r="G1455" s="1"/>
      <c r="H1455" s="1"/>
      <c r="I1455" s="1"/>
    </row>
    <row r="1456" spans="1:9" x14ac:dyDescent="0.25">
      <c r="A1456" s="7"/>
      <c r="B1456" s="1"/>
      <c r="C1456" s="1"/>
      <c r="D1456" s="1"/>
      <c r="F1456" s="7"/>
      <c r="G1456" s="1"/>
      <c r="H1456" s="1"/>
      <c r="I1456" s="1"/>
    </row>
    <row r="1457" spans="1:9" x14ac:dyDescent="0.25">
      <c r="A1457" s="7"/>
      <c r="B1457" s="1"/>
      <c r="C1457" s="1"/>
      <c r="D1457" s="1"/>
      <c r="F1457" s="7"/>
      <c r="G1457" s="1"/>
      <c r="H1457" s="1"/>
      <c r="I1457" s="1"/>
    </row>
    <row r="1458" spans="1:9" x14ac:dyDescent="0.25">
      <c r="A1458" s="7"/>
      <c r="B1458" s="1"/>
      <c r="C1458" s="1"/>
      <c r="D1458" s="1"/>
      <c r="F1458" s="7"/>
      <c r="G1458" s="1"/>
      <c r="H1458" s="1"/>
      <c r="I1458" s="1"/>
    </row>
    <row r="1459" spans="1:9" x14ac:dyDescent="0.25">
      <c r="A1459" s="7"/>
      <c r="B1459" s="1"/>
      <c r="C1459" s="1"/>
      <c r="D1459" s="1"/>
      <c r="F1459" s="7"/>
      <c r="G1459" s="1"/>
      <c r="H1459" s="1"/>
      <c r="I1459" s="1"/>
    </row>
    <row r="1460" spans="1:9" x14ac:dyDescent="0.25">
      <c r="A1460" s="7"/>
      <c r="B1460" s="1"/>
      <c r="C1460" s="1"/>
      <c r="D1460" s="1"/>
      <c r="F1460" s="7"/>
      <c r="G1460" s="1"/>
      <c r="H1460" s="1"/>
      <c r="I1460" s="1"/>
    </row>
    <row r="1461" spans="1:9" x14ac:dyDescent="0.25">
      <c r="A1461" s="7"/>
      <c r="B1461" s="1"/>
      <c r="C1461" s="1"/>
      <c r="D1461" s="1"/>
      <c r="F1461" s="7"/>
      <c r="G1461" s="1"/>
      <c r="H1461" s="1"/>
      <c r="I1461" s="1"/>
    </row>
    <row r="1462" spans="1:9" x14ac:dyDescent="0.25">
      <c r="A1462" s="7"/>
      <c r="B1462" s="1"/>
      <c r="C1462" s="1"/>
      <c r="D1462" s="1"/>
      <c r="F1462" s="7"/>
      <c r="G1462" s="1"/>
      <c r="H1462" s="1"/>
      <c r="I1462" s="1"/>
    </row>
    <row r="1463" spans="1:9" x14ac:dyDescent="0.25">
      <c r="A1463" s="7"/>
      <c r="B1463" s="1"/>
      <c r="C1463" s="1"/>
      <c r="D1463" s="1"/>
      <c r="F1463" s="7"/>
      <c r="G1463" s="1"/>
      <c r="H1463" s="1"/>
      <c r="I1463" s="1"/>
    </row>
    <row r="1464" spans="1:9" x14ac:dyDescent="0.25">
      <c r="A1464" s="7"/>
      <c r="B1464" s="1"/>
      <c r="C1464" s="1"/>
      <c r="D1464" s="1"/>
      <c r="F1464" s="7"/>
      <c r="G1464" s="1"/>
      <c r="H1464" s="1"/>
      <c r="I1464" s="1"/>
    </row>
    <row r="1465" spans="1:9" x14ac:dyDescent="0.25">
      <c r="A1465" s="7"/>
      <c r="B1465" s="1"/>
      <c r="C1465" s="1"/>
      <c r="D1465" s="1"/>
      <c r="F1465" s="7"/>
      <c r="G1465" s="1"/>
      <c r="H1465" s="1"/>
      <c r="I1465" s="1"/>
    </row>
    <row r="1466" spans="1:9" x14ac:dyDescent="0.25">
      <c r="A1466" s="7"/>
      <c r="B1466" s="1"/>
      <c r="C1466" s="1"/>
      <c r="D1466" s="1"/>
      <c r="F1466" s="7"/>
      <c r="G1466" s="1"/>
      <c r="H1466" s="1"/>
      <c r="I1466" s="1"/>
    </row>
    <row r="1467" spans="1:9" x14ac:dyDescent="0.25">
      <c r="A1467" s="7"/>
      <c r="B1467" s="1"/>
      <c r="C1467" s="1"/>
      <c r="D1467" s="1"/>
      <c r="F1467" s="7"/>
      <c r="G1467" s="1"/>
      <c r="H1467" s="1"/>
      <c r="I1467" s="1"/>
    </row>
    <row r="1468" spans="1:9" x14ac:dyDescent="0.25">
      <c r="A1468" s="7"/>
      <c r="B1468" s="1"/>
      <c r="C1468" s="1"/>
      <c r="D1468" s="1"/>
      <c r="F1468" s="7"/>
      <c r="G1468" s="1"/>
      <c r="H1468" s="1"/>
      <c r="I1468" s="1"/>
    </row>
    <row r="1469" spans="1:9" x14ac:dyDescent="0.25">
      <c r="A1469" s="7"/>
      <c r="B1469" s="1"/>
      <c r="C1469" s="1"/>
      <c r="D1469" s="1"/>
      <c r="F1469" s="7"/>
      <c r="G1469" s="1"/>
      <c r="H1469" s="1"/>
      <c r="I1469" s="1"/>
    </row>
    <row r="1470" spans="1:9" x14ac:dyDescent="0.25">
      <c r="A1470" s="7"/>
      <c r="B1470" s="1"/>
      <c r="C1470" s="1"/>
      <c r="D1470" s="1"/>
      <c r="F1470" s="7"/>
      <c r="G1470" s="1"/>
      <c r="H1470" s="1"/>
      <c r="I1470" s="1"/>
    </row>
    <row r="1471" spans="1:9" x14ac:dyDescent="0.25">
      <c r="A1471" s="7"/>
      <c r="B1471" s="1"/>
      <c r="C1471" s="1"/>
      <c r="D1471" s="1"/>
      <c r="F1471" s="7"/>
      <c r="G1471" s="1"/>
      <c r="H1471" s="1"/>
      <c r="I1471" s="1"/>
    </row>
    <row r="1472" spans="1:9" x14ac:dyDescent="0.25">
      <c r="A1472" s="7"/>
      <c r="B1472" s="1"/>
      <c r="C1472" s="1"/>
      <c r="D1472" s="1"/>
      <c r="F1472" s="7"/>
      <c r="G1472" s="1"/>
      <c r="H1472" s="1"/>
      <c r="I1472" s="1"/>
    </row>
    <row r="1473" spans="1:9" x14ac:dyDescent="0.25">
      <c r="A1473" s="7"/>
      <c r="B1473" s="1"/>
      <c r="C1473" s="1"/>
      <c r="D1473" s="1"/>
      <c r="F1473" s="7"/>
      <c r="G1473" s="1"/>
      <c r="H1473" s="1"/>
      <c r="I1473" s="1"/>
    </row>
    <row r="1474" spans="1:9" x14ac:dyDescent="0.25">
      <c r="A1474" s="7"/>
      <c r="B1474" s="1"/>
      <c r="C1474" s="1"/>
      <c r="D1474" s="1"/>
      <c r="F1474" s="7"/>
      <c r="G1474" s="1"/>
      <c r="H1474" s="1"/>
      <c r="I1474" s="1"/>
    </row>
    <row r="1475" spans="1:9" x14ac:dyDescent="0.25">
      <c r="A1475" s="7"/>
      <c r="B1475" s="1"/>
      <c r="C1475" s="1"/>
      <c r="D1475" s="1"/>
      <c r="F1475" s="7"/>
      <c r="G1475" s="1"/>
      <c r="H1475" s="1"/>
      <c r="I1475" s="1"/>
    </row>
    <row r="1476" spans="1:9" x14ac:dyDescent="0.25">
      <c r="A1476" s="7"/>
      <c r="B1476" s="1"/>
      <c r="C1476" s="1"/>
      <c r="D1476" s="1"/>
      <c r="F1476" s="7"/>
      <c r="G1476" s="1"/>
      <c r="H1476" s="1"/>
      <c r="I1476" s="1"/>
    </row>
    <row r="1477" spans="1:9" x14ac:dyDescent="0.25">
      <c r="A1477" s="7"/>
      <c r="B1477" s="1"/>
      <c r="C1477" s="1"/>
      <c r="D1477" s="1"/>
      <c r="F1477" s="7"/>
      <c r="G1477" s="1"/>
      <c r="H1477" s="1"/>
      <c r="I1477" s="1"/>
    </row>
    <row r="1478" spans="1:9" x14ac:dyDescent="0.25">
      <c r="A1478" s="7"/>
      <c r="B1478" s="1"/>
      <c r="C1478" s="1"/>
      <c r="D1478" s="1"/>
      <c r="F1478" s="7"/>
      <c r="G1478" s="1"/>
      <c r="H1478" s="1"/>
      <c r="I1478" s="1"/>
    </row>
    <row r="1479" spans="1:9" x14ac:dyDescent="0.25">
      <c r="A1479" s="7"/>
      <c r="B1479" s="1"/>
      <c r="C1479" s="1"/>
      <c r="D1479" s="1"/>
      <c r="F1479" s="7"/>
      <c r="G1479" s="1"/>
      <c r="H1479" s="1"/>
      <c r="I1479" s="1"/>
    </row>
    <row r="1480" spans="1:9" x14ac:dyDescent="0.25">
      <c r="A1480" s="7"/>
      <c r="B1480" s="1"/>
      <c r="C1480" s="1"/>
      <c r="D1480" s="1"/>
      <c r="F1480" s="7"/>
      <c r="G1480" s="1"/>
      <c r="H1480" s="1"/>
      <c r="I1480" s="1"/>
    </row>
    <row r="1481" spans="1:9" x14ac:dyDescent="0.25">
      <c r="A1481" s="7"/>
      <c r="B1481" s="1"/>
      <c r="C1481" s="1"/>
      <c r="D1481" s="1"/>
      <c r="F1481" s="7"/>
      <c r="G1481" s="1"/>
      <c r="H1481" s="1"/>
      <c r="I1481" s="1"/>
    </row>
    <row r="1482" spans="1:9" x14ac:dyDescent="0.25">
      <c r="A1482" s="7"/>
      <c r="B1482" s="1"/>
      <c r="C1482" s="1"/>
      <c r="D1482" s="1"/>
      <c r="F1482" s="7"/>
      <c r="G1482" s="1"/>
      <c r="H1482" s="1"/>
      <c r="I1482" s="1"/>
    </row>
    <row r="1483" spans="1:9" x14ac:dyDescent="0.25">
      <c r="A1483" s="7"/>
      <c r="B1483" s="1"/>
      <c r="C1483" s="1"/>
      <c r="D1483" s="1"/>
      <c r="F1483" s="7"/>
      <c r="G1483" s="1"/>
      <c r="H1483" s="1"/>
      <c r="I1483" s="1"/>
    </row>
    <row r="1484" spans="1:9" x14ac:dyDescent="0.25">
      <c r="A1484" s="7"/>
      <c r="B1484" s="1"/>
      <c r="C1484" s="1"/>
      <c r="D1484" s="1"/>
      <c r="F1484" s="7"/>
      <c r="G1484" s="1"/>
      <c r="H1484" s="1"/>
      <c r="I1484" s="1"/>
    </row>
    <row r="1485" spans="1:9" x14ac:dyDescent="0.25">
      <c r="A1485" s="7"/>
      <c r="B1485" s="1"/>
      <c r="C1485" s="1"/>
      <c r="D1485" s="1"/>
      <c r="F1485" s="7"/>
      <c r="G1485" s="1"/>
      <c r="H1485" s="1"/>
      <c r="I1485" s="1"/>
    </row>
    <row r="1486" spans="1:9" x14ac:dyDescent="0.25">
      <c r="A1486" s="7"/>
      <c r="B1486" s="1"/>
      <c r="C1486" s="1"/>
      <c r="D1486" s="1"/>
      <c r="F1486" s="7"/>
      <c r="G1486" s="1"/>
      <c r="H1486" s="1"/>
      <c r="I1486" s="1"/>
    </row>
    <row r="1487" spans="1:9" x14ac:dyDescent="0.25">
      <c r="A1487" s="7"/>
      <c r="B1487" s="1"/>
      <c r="C1487" s="1"/>
      <c r="D1487" s="1"/>
      <c r="F1487" s="7"/>
      <c r="G1487" s="1"/>
      <c r="H1487" s="1"/>
      <c r="I1487" s="1"/>
    </row>
    <row r="1488" spans="1:9" x14ac:dyDescent="0.25">
      <c r="A1488" s="7"/>
      <c r="B1488" s="1"/>
      <c r="C1488" s="1"/>
      <c r="D1488" s="1"/>
      <c r="F1488" s="7"/>
      <c r="G1488" s="1"/>
      <c r="H1488" s="1"/>
      <c r="I1488" s="1"/>
    </row>
    <row r="1489" spans="1:9" x14ac:dyDescent="0.25">
      <c r="A1489" s="7"/>
      <c r="B1489" s="1"/>
      <c r="C1489" s="1"/>
      <c r="D1489" s="1"/>
      <c r="F1489" s="7"/>
      <c r="G1489" s="1"/>
      <c r="H1489" s="1"/>
      <c r="I1489" s="1"/>
    </row>
    <row r="1490" spans="1:9" x14ac:dyDescent="0.25">
      <c r="A1490" s="7"/>
      <c r="B1490" s="1"/>
      <c r="C1490" s="1"/>
      <c r="D1490" s="1"/>
      <c r="F1490" s="7"/>
      <c r="G1490" s="1"/>
      <c r="H1490" s="1"/>
      <c r="I1490" s="1"/>
    </row>
    <row r="1491" spans="1:9" x14ac:dyDescent="0.25">
      <c r="A1491" s="7"/>
      <c r="B1491" s="1"/>
      <c r="C1491" s="1"/>
      <c r="D1491" s="1"/>
      <c r="F1491" s="7"/>
      <c r="G1491" s="1"/>
      <c r="H1491" s="1"/>
      <c r="I1491" s="1"/>
    </row>
    <row r="1492" spans="1:9" x14ac:dyDescent="0.25">
      <c r="A1492" s="7"/>
      <c r="B1492" s="1"/>
      <c r="C1492" s="1"/>
      <c r="D1492" s="1"/>
      <c r="F1492" s="7"/>
      <c r="G1492" s="1"/>
      <c r="H1492" s="1"/>
      <c r="I1492" s="1"/>
    </row>
    <row r="1493" spans="1:9" x14ac:dyDescent="0.25">
      <c r="A1493" s="7"/>
      <c r="B1493" s="1"/>
      <c r="C1493" s="1"/>
      <c r="D1493" s="1"/>
      <c r="F1493" s="7"/>
      <c r="G1493" s="1"/>
      <c r="H1493" s="1"/>
      <c r="I1493" s="1"/>
    </row>
    <row r="1494" spans="1:9" x14ac:dyDescent="0.25">
      <c r="A1494" s="7"/>
      <c r="B1494" s="1"/>
      <c r="C1494" s="1"/>
      <c r="D1494" s="1"/>
      <c r="F1494" s="7"/>
      <c r="G1494" s="1"/>
      <c r="H1494" s="1"/>
      <c r="I1494" s="1"/>
    </row>
    <row r="1495" spans="1:9" x14ac:dyDescent="0.25">
      <c r="A1495" s="7"/>
      <c r="B1495" s="1"/>
      <c r="C1495" s="1"/>
      <c r="D1495" s="1"/>
      <c r="F1495" s="7"/>
      <c r="G1495" s="1"/>
      <c r="H1495" s="1"/>
      <c r="I1495" s="1"/>
    </row>
    <row r="1496" spans="1:9" x14ac:dyDescent="0.25">
      <c r="A1496" s="7"/>
      <c r="B1496" s="1"/>
      <c r="C1496" s="1"/>
      <c r="D1496" s="1"/>
      <c r="F1496" s="7"/>
      <c r="G1496" s="1"/>
      <c r="H1496" s="1"/>
      <c r="I1496" s="1"/>
    </row>
    <row r="1497" spans="1:9" x14ac:dyDescent="0.25">
      <c r="A1497" s="7"/>
      <c r="B1497" s="1"/>
      <c r="C1497" s="1"/>
      <c r="D1497" s="1"/>
      <c r="F1497" s="7"/>
      <c r="G1497" s="1"/>
      <c r="H1497" s="1"/>
      <c r="I1497" s="1"/>
    </row>
    <row r="1498" spans="1:9" x14ac:dyDescent="0.25">
      <c r="A1498" s="7"/>
      <c r="B1498" s="1"/>
      <c r="C1498" s="1"/>
      <c r="D1498" s="1"/>
      <c r="F1498" s="7"/>
      <c r="G1498" s="1"/>
      <c r="H1498" s="1"/>
      <c r="I1498" s="1"/>
    </row>
    <row r="1499" spans="1:9" x14ac:dyDescent="0.25">
      <c r="A1499" s="7"/>
      <c r="B1499" s="1"/>
      <c r="C1499" s="1"/>
      <c r="D1499" s="1"/>
      <c r="F1499" s="7"/>
      <c r="G1499" s="1"/>
      <c r="H1499" s="1"/>
      <c r="I1499" s="1"/>
    </row>
    <row r="1500" spans="1:9" x14ac:dyDescent="0.25">
      <c r="A1500" s="7"/>
      <c r="B1500" s="1"/>
      <c r="C1500" s="1"/>
      <c r="D1500" s="1"/>
      <c r="F1500" s="7"/>
      <c r="G1500" s="1"/>
      <c r="H1500" s="1"/>
      <c r="I1500" s="1"/>
    </row>
    <row r="1501" spans="1:9" x14ac:dyDescent="0.25">
      <c r="A1501" s="7"/>
      <c r="B1501" s="1"/>
      <c r="C1501" s="1"/>
      <c r="D1501" s="1"/>
      <c r="F1501" s="7"/>
      <c r="G1501" s="1"/>
      <c r="H1501" s="1"/>
      <c r="I1501" s="1"/>
    </row>
    <row r="1502" spans="1:9" x14ac:dyDescent="0.25">
      <c r="A1502" s="7"/>
      <c r="B1502" s="1"/>
      <c r="C1502" s="1"/>
      <c r="D1502" s="1"/>
      <c r="F1502" s="7"/>
      <c r="G1502" s="1"/>
      <c r="H1502" s="1"/>
      <c r="I1502" s="1"/>
    </row>
    <row r="1503" spans="1:9" x14ac:dyDescent="0.25">
      <c r="A1503" s="7"/>
      <c r="B1503" s="1"/>
      <c r="C1503" s="1"/>
      <c r="D1503" s="1"/>
      <c r="F1503" s="7"/>
      <c r="G1503" s="1"/>
      <c r="H1503" s="1"/>
      <c r="I1503" s="1"/>
    </row>
    <row r="1504" spans="1:9" x14ac:dyDescent="0.25">
      <c r="A1504" s="7"/>
      <c r="B1504" s="1"/>
      <c r="C1504" s="1"/>
      <c r="D1504" s="1"/>
      <c r="F1504" s="7"/>
      <c r="G1504" s="1"/>
      <c r="H1504" s="1"/>
      <c r="I1504" s="1"/>
    </row>
    <row r="1505" spans="1:9" x14ac:dyDescent="0.25">
      <c r="A1505" s="7"/>
      <c r="B1505" s="1"/>
      <c r="C1505" s="1"/>
      <c r="D1505" s="1"/>
      <c r="F1505" s="7"/>
      <c r="G1505" s="1"/>
      <c r="H1505" s="1"/>
      <c r="I1505" s="1"/>
    </row>
    <row r="1506" spans="1:9" x14ac:dyDescent="0.25">
      <c r="A1506" s="7"/>
      <c r="B1506" s="1"/>
      <c r="C1506" s="1"/>
      <c r="D1506" s="1"/>
      <c r="F1506" s="7"/>
      <c r="G1506" s="1"/>
      <c r="H1506" s="1"/>
      <c r="I1506" s="1"/>
    </row>
    <row r="1507" spans="1:9" x14ac:dyDescent="0.25">
      <c r="A1507" s="7"/>
      <c r="B1507" s="1"/>
      <c r="C1507" s="1"/>
      <c r="D1507" s="1"/>
      <c r="F1507" s="7"/>
      <c r="G1507" s="1"/>
      <c r="H1507" s="1"/>
      <c r="I1507" s="1"/>
    </row>
    <row r="1508" spans="1:9" x14ac:dyDescent="0.25">
      <c r="A1508" s="7"/>
      <c r="B1508" s="1"/>
      <c r="C1508" s="1"/>
      <c r="D1508" s="1"/>
      <c r="F1508" s="7"/>
      <c r="G1508" s="1"/>
      <c r="H1508" s="1"/>
      <c r="I1508" s="1"/>
    </row>
    <row r="1509" spans="1:9" x14ac:dyDescent="0.25">
      <c r="A1509" s="7"/>
      <c r="B1509" s="1"/>
      <c r="C1509" s="1"/>
      <c r="D1509" s="1"/>
      <c r="F1509" s="7"/>
      <c r="G1509" s="1"/>
      <c r="H1509" s="1"/>
      <c r="I1509" s="1"/>
    </row>
    <row r="1510" spans="1:9" x14ac:dyDescent="0.25">
      <c r="A1510" s="7"/>
      <c r="B1510" s="1"/>
      <c r="C1510" s="1"/>
      <c r="D1510" s="1"/>
      <c r="F1510" s="7"/>
      <c r="G1510" s="1"/>
      <c r="H1510" s="1"/>
      <c r="I1510" s="1"/>
    </row>
    <row r="1511" spans="1:9" x14ac:dyDescent="0.25">
      <c r="A1511" s="7"/>
      <c r="B1511" s="1"/>
      <c r="C1511" s="1"/>
      <c r="D1511" s="1"/>
      <c r="F1511" s="7"/>
      <c r="G1511" s="1"/>
      <c r="H1511" s="1"/>
      <c r="I1511" s="1"/>
    </row>
    <row r="1512" spans="1:9" x14ac:dyDescent="0.25">
      <c r="A1512" s="7"/>
      <c r="B1512" s="1"/>
      <c r="C1512" s="1"/>
      <c r="D1512" s="1"/>
      <c r="F1512" s="7"/>
      <c r="G1512" s="1"/>
      <c r="H1512" s="1"/>
      <c r="I1512" s="1"/>
    </row>
    <row r="1513" spans="1:9" x14ac:dyDescent="0.25">
      <c r="A1513" s="7"/>
      <c r="B1513" s="1"/>
      <c r="C1513" s="1"/>
      <c r="D1513" s="1"/>
      <c r="F1513" s="7"/>
      <c r="G1513" s="1"/>
      <c r="H1513" s="1"/>
      <c r="I1513" s="1"/>
    </row>
    <row r="1514" spans="1:9" x14ac:dyDescent="0.25">
      <c r="A1514" s="7"/>
      <c r="B1514" s="1"/>
      <c r="C1514" s="1"/>
      <c r="D1514" s="1"/>
      <c r="F1514" s="7"/>
      <c r="G1514" s="1"/>
      <c r="H1514" s="1"/>
      <c r="I1514" s="1"/>
    </row>
    <row r="1515" spans="1:9" x14ac:dyDescent="0.25">
      <c r="A1515" s="7"/>
      <c r="B1515" s="1"/>
      <c r="C1515" s="1"/>
      <c r="D1515" s="1"/>
      <c r="F1515" s="7"/>
      <c r="G1515" s="1"/>
      <c r="H1515" s="1"/>
      <c r="I1515" s="1"/>
    </row>
    <row r="1516" spans="1:9" x14ac:dyDescent="0.25">
      <c r="A1516" s="7"/>
      <c r="B1516" s="1"/>
      <c r="C1516" s="1"/>
      <c r="D1516" s="1"/>
      <c r="F1516" s="7"/>
      <c r="G1516" s="1"/>
      <c r="H1516" s="1"/>
      <c r="I1516" s="1"/>
    </row>
    <row r="1517" spans="1:9" x14ac:dyDescent="0.25">
      <c r="A1517" s="7"/>
      <c r="B1517" s="1"/>
      <c r="C1517" s="1"/>
      <c r="D1517" s="1"/>
      <c r="F1517" s="7"/>
      <c r="G1517" s="1"/>
      <c r="H1517" s="1"/>
      <c r="I1517" s="1"/>
    </row>
    <row r="1518" spans="1:9" x14ac:dyDescent="0.25">
      <c r="A1518" s="7"/>
      <c r="B1518" s="1"/>
      <c r="C1518" s="1"/>
      <c r="D1518" s="1"/>
      <c r="F1518" s="7"/>
      <c r="G1518" s="1"/>
      <c r="H1518" s="1"/>
      <c r="I1518" s="1"/>
    </row>
    <row r="1519" spans="1:9" x14ac:dyDescent="0.25">
      <c r="A1519" s="7"/>
      <c r="B1519" s="1"/>
      <c r="C1519" s="1"/>
      <c r="D1519" s="1"/>
      <c r="F1519" s="7"/>
      <c r="G1519" s="1"/>
      <c r="H1519" s="1"/>
      <c r="I1519" s="1"/>
    </row>
    <row r="1520" spans="1:9" x14ac:dyDescent="0.25">
      <c r="A1520" s="7"/>
      <c r="B1520" s="1"/>
      <c r="C1520" s="1"/>
      <c r="D1520" s="1"/>
      <c r="F1520" s="7"/>
      <c r="G1520" s="1"/>
      <c r="H1520" s="1"/>
      <c r="I1520" s="1"/>
    </row>
    <row r="1521" spans="1:9" x14ac:dyDescent="0.25">
      <c r="A1521" s="7"/>
      <c r="B1521" s="1"/>
      <c r="C1521" s="1"/>
      <c r="D1521" s="1"/>
      <c r="F1521" s="7"/>
      <c r="G1521" s="1"/>
      <c r="H1521" s="1"/>
      <c r="I1521" s="1"/>
    </row>
    <row r="1522" spans="1:9" x14ac:dyDescent="0.25">
      <c r="A1522" s="7"/>
      <c r="B1522" s="1"/>
      <c r="C1522" s="1"/>
      <c r="D1522" s="1"/>
      <c r="F1522" s="7"/>
      <c r="G1522" s="1"/>
      <c r="H1522" s="1"/>
      <c r="I1522" s="1"/>
    </row>
    <row r="1523" spans="1:9" x14ac:dyDescent="0.25">
      <c r="A1523" s="7"/>
      <c r="B1523" s="1"/>
      <c r="C1523" s="1"/>
      <c r="D1523" s="1"/>
      <c r="F1523" s="7"/>
      <c r="G1523" s="1"/>
      <c r="H1523" s="1"/>
      <c r="I1523" s="1"/>
    </row>
    <row r="1524" spans="1:9" x14ac:dyDescent="0.25">
      <c r="A1524" s="7"/>
      <c r="B1524" s="1"/>
      <c r="C1524" s="1"/>
      <c r="D1524" s="1"/>
      <c r="F1524" s="7"/>
      <c r="G1524" s="1"/>
      <c r="H1524" s="1"/>
      <c r="I1524" s="1"/>
    </row>
    <row r="1525" spans="1:9" x14ac:dyDescent="0.25">
      <c r="A1525" s="7"/>
      <c r="B1525" s="1"/>
      <c r="C1525" s="1"/>
      <c r="D1525" s="1"/>
      <c r="F1525" s="7"/>
      <c r="G1525" s="1"/>
      <c r="H1525" s="1"/>
      <c r="I1525" s="1"/>
    </row>
    <row r="1526" spans="1:9" x14ac:dyDescent="0.25">
      <c r="A1526" s="7"/>
      <c r="B1526" s="1"/>
      <c r="C1526" s="1"/>
      <c r="D1526" s="1"/>
      <c r="F1526" s="7"/>
      <c r="G1526" s="1"/>
      <c r="H1526" s="1"/>
      <c r="I1526" s="1"/>
    </row>
    <row r="1527" spans="1:9" x14ac:dyDescent="0.25">
      <c r="A1527" s="7"/>
      <c r="B1527" s="1"/>
      <c r="C1527" s="1"/>
      <c r="D1527" s="1"/>
      <c r="F1527" s="7"/>
      <c r="G1527" s="1"/>
      <c r="H1527" s="1"/>
      <c r="I1527" s="1"/>
    </row>
    <row r="1528" spans="1:9" x14ac:dyDescent="0.25">
      <c r="A1528" s="7"/>
      <c r="B1528" s="1"/>
      <c r="C1528" s="1"/>
      <c r="D1528" s="1"/>
      <c r="F1528" s="7"/>
      <c r="G1528" s="1"/>
      <c r="H1528" s="1"/>
      <c r="I1528" s="1"/>
    </row>
    <row r="1529" spans="1:9" x14ac:dyDescent="0.25">
      <c r="A1529" s="7"/>
      <c r="B1529" s="1"/>
      <c r="C1529" s="1"/>
      <c r="D1529" s="1"/>
      <c r="F1529" s="7"/>
      <c r="G1529" s="1"/>
      <c r="H1529" s="1"/>
      <c r="I1529" s="1"/>
    </row>
    <row r="1530" spans="1:9" x14ac:dyDescent="0.25">
      <c r="A1530" s="7"/>
      <c r="B1530" s="1"/>
      <c r="C1530" s="1"/>
      <c r="D1530" s="1"/>
      <c r="F1530" s="7"/>
      <c r="G1530" s="1"/>
      <c r="H1530" s="1"/>
      <c r="I1530" s="1"/>
    </row>
    <row r="1531" spans="1:9" x14ac:dyDescent="0.25">
      <c r="A1531" s="7"/>
      <c r="B1531" s="1"/>
      <c r="C1531" s="1"/>
      <c r="D1531" s="1"/>
      <c r="F1531" s="7"/>
      <c r="G1531" s="1"/>
      <c r="H1531" s="1"/>
      <c r="I1531" s="1"/>
    </row>
    <row r="1532" spans="1:9" x14ac:dyDescent="0.25">
      <c r="A1532" s="7"/>
      <c r="B1532" s="1"/>
      <c r="C1532" s="1"/>
      <c r="D1532" s="1"/>
      <c r="F1532" s="7"/>
      <c r="G1532" s="1"/>
      <c r="H1532" s="1"/>
      <c r="I1532" s="1"/>
    </row>
    <row r="1533" spans="1:9" x14ac:dyDescent="0.25">
      <c r="A1533" s="7"/>
      <c r="B1533" s="1"/>
      <c r="C1533" s="1"/>
      <c r="D1533" s="1"/>
      <c r="F1533" s="7"/>
      <c r="G1533" s="1"/>
      <c r="H1533" s="1"/>
      <c r="I1533" s="1"/>
    </row>
    <row r="1534" spans="1:9" x14ac:dyDescent="0.25">
      <c r="A1534" s="7"/>
      <c r="B1534" s="1"/>
      <c r="C1534" s="1"/>
      <c r="D1534" s="1"/>
      <c r="F1534" s="7"/>
      <c r="G1534" s="1"/>
      <c r="H1534" s="1"/>
      <c r="I1534" s="1"/>
    </row>
    <row r="1535" spans="1:9" x14ac:dyDescent="0.25">
      <c r="A1535" s="7"/>
      <c r="B1535" s="1"/>
      <c r="C1535" s="1"/>
      <c r="D1535" s="1"/>
      <c r="F1535" s="7"/>
      <c r="G1535" s="1"/>
      <c r="H1535" s="1"/>
      <c r="I1535" s="1"/>
    </row>
    <row r="1536" spans="1:9" x14ac:dyDescent="0.25">
      <c r="A1536" s="7"/>
      <c r="B1536" s="1"/>
      <c r="C1536" s="1"/>
      <c r="D1536" s="1"/>
      <c r="F1536" s="7"/>
      <c r="G1536" s="1"/>
      <c r="H1536" s="1"/>
      <c r="I1536" s="1"/>
    </row>
    <row r="1537" spans="1:9" x14ac:dyDescent="0.25">
      <c r="A1537" s="7"/>
      <c r="B1537" s="1"/>
      <c r="C1537" s="1"/>
      <c r="D1537" s="1"/>
      <c r="F1537" s="7"/>
      <c r="G1537" s="1"/>
      <c r="H1537" s="1"/>
      <c r="I1537" s="1"/>
    </row>
    <row r="1538" spans="1:9" x14ac:dyDescent="0.25">
      <c r="A1538" s="7"/>
      <c r="B1538" s="1"/>
      <c r="C1538" s="1"/>
      <c r="D1538" s="1"/>
      <c r="F1538" s="7"/>
      <c r="G1538" s="1"/>
      <c r="H1538" s="1"/>
      <c r="I1538" s="1"/>
    </row>
    <row r="1539" spans="1:9" x14ac:dyDescent="0.25">
      <c r="A1539" s="7"/>
      <c r="B1539" s="1"/>
      <c r="C1539" s="1"/>
      <c r="D1539" s="1"/>
      <c r="F1539" s="7"/>
      <c r="G1539" s="1"/>
      <c r="H1539" s="1"/>
      <c r="I1539" s="1"/>
    </row>
    <row r="1540" spans="1:9" x14ac:dyDescent="0.25">
      <c r="A1540" s="7"/>
      <c r="B1540" s="1"/>
      <c r="C1540" s="1"/>
      <c r="D1540" s="1"/>
      <c r="F1540" s="7"/>
      <c r="G1540" s="1"/>
      <c r="H1540" s="1"/>
      <c r="I1540" s="1"/>
    </row>
    <row r="1541" spans="1:9" x14ac:dyDescent="0.25">
      <c r="A1541" s="7"/>
      <c r="B1541" s="1"/>
      <c r="C1541" s="1"/>
      <c r="D1541" s="1"/>
      <c r="F1541" s="7"/>
      <c r="G1541" s="1"/>
      <c r="H1541" s="1"/>
      <c r="I1541" s="1"/>
    </row>
    <row r="1542" spans="1:9" x14ac:dyDescent="0.25">
      <c r="A1542" s="7"/>
      <c r="B1542" s="1"/>
      <c r="C1542" s="1"/>
      <c r="D1542" s="1"/>
      <c r="F1542" s="7"/>
      <c r="G1542" s="1"/>
      <c r="H1542" s="1"/>
      <c r="I1542" s="1"/>
    </row>
    <row r="1543" spans="1:9" x14ac:dyDescent="0.25">
      <c r="A1543" s="7"/>
      <c r="B1543" s="1"/>
      <c r="C1543" s="1"/>
      <c r="D1543" s="1"/>
      <c r="F1543" s="7"/>
      <c r="G1543" s="1"/>
      <c r="H1543" s="1"/>
      <c r="I1543" s="1"/>
    </row>
    <row r="1544" spans="1:9" x14ac:dyDescent="0.25">
      <c r="A1544" s="7"/>
      <c r="B1544" s="1"/>
      <c r="C1544" s="1"/>
      <c r="D1544" s="1"/>
      <c r="F1544" s="7"/>
      <c r="G1544" s="1"/>
      <c r="H1544" s="1"/>
      <c r="I1544" s="1"/>
    </row>
    <row r="1545" spans="1:9" x14ac:dyDescent="0.25">
      <c r="A1545" s="7"/>
      <c r="B1545" s="1"/>
      <c r="C1545" s="1"/>
      <c r="D1545" s="1"/>
      <c r="F1545" s="7"/>
      <c r="G1545" s="1"/>
      <c r="H1545" s="1"/>
      <c r="I1545" s="1"/>
    </row>
    <row r="1546" spans="1:9" x14ac:dyDescent="0.25">
      <c r="A1546" s="7"/>
      <c r="B1546" s="1"/>
      <c r="C1546" s="1"/>
      <c r="D1546" s="1"/>
      <c r="F1546" s="7"/>
      <c r="G1546" s="1"/>
      <c r="H1546" s="1"/>
      <c r="I1546" s="1"/>
    </row>
    <row r="1547" spans="1:9" x14ac:dyDescent="0.25">
      <c r="A1547" s="7"/>
      <c r="B1547" s="1"/>
      <c r="C1547" s="1"/>
      <c r="D1547" s="1"/>
      <c r="F1547" s="7"/>
      <c r="G1547" s="1"/>
      <c r="H1547" s="1"/>
      <c r="I1547" s="1"/>
    </row>
    <row r="1548" spans="1:9" x14ac:dyDescent="0.25">
      <c r="A1548" s="7"/>
      <c r="B1548" s="1"/>
      <c r="C1548" s="1"/>
      <c r="D1548" s="1"/>
      <c r="F1548" s="7"/>
      <c r="G1548" s="1"/>
      <c r="H1548" s="1"/>
      <c r="I1548" s="1"/>
    </row>
    <row r="1549" spans="1:9" x14ac:dyDescent="0.25">
      <c r="A1549" s="7"/>
      <c r="B1549" s="1"/>
      <c r="C1549" s="1"/>
      <c r="D1549" s="1"/>
      <c r="F1549" s="7"/>
      <c r="G1549" s="1"/>
      <c r="H1549" s="1"/>
      <c r="I1549" s="1"/>
    </row>
    <row r="1550" spans="1:9" x14ac:dyDescent="0.25">
      <c r="A1550" s="7"/>
      <c r="B1550" s="1"/>
      <c r="C1550" s="1"/>
      <c r="D1550" s="1"/>
      <c r="F1550" s="7"/>
      <c r="G1550" s="1"/>
      <c r="H1550" s="1"/>
      <c r="I1550" s="1"/>
    </row>
    <row r="1551" spans="1:9" x14ac:dyDescent="0.25">
      <c r="A1551" s="7"/>
      <c r="B1551" s="1"/>
      <c r="C1551" s="1"/>
      <c r="D1551" s="1"/>
      <c r="F1551" s="7"/>
      <c r="G1551" s="1"/>
      <c r="H1551" s="1"/>
      <c r="I1551" s="1"/>
    </row>
    <row r="1552" spans="1:9" x14ac:dyDescent="0.25">
      <c r="A1552" s="7"/>
      <c r="B1552" s="1"/>
      <c r="C1552" s="1"/>
      <c r="D1552" s="1"/>
      <c r="F1552" s="7"/>
      <c r="G1552" s="1"/>
      <c r="H1552" s="1"/>
      <c r="I1552" s="1"/>
    </row>
    <row r="1553" spans="1:9" x14ac:dyDescent="0.25">
      <c r="A1553" s="7"/>
      <c r="B1553" s="1"/>
      <c r="C1553" s="1"/>
      <c r="D1553" s="1"/>
      <c r="F1553" s="7"/>
      <c r="G1553" s="1"/>
      <c r="H1553" s="1"/>
      <c r="I1553" s="1"/>
    </row>
    <row r="1554" spans="1:9" x14ac:dyDescent="0.25">
      <c r="A1554" s="7"/>
      <c r="B1554" s="1"/>
      <c r="C1554" s="1"/>
      <c r="D1554" s="1"/>
      <c r="F1554" s="7"/>
      <c r="G1554" s="1"/>
      <c r="H1554" s="1"/>
      <c r="I1554" s="1"/>
    </row>
    <row r="1555" spans="1:9" x14ac:dyDescent="0.25">
      <c r="A1555" s="7"/>
      <c r="B1555" s="1"/>
      <c r="C1555" s="1"/>
      <c r="D1555" s="1"/>
      <c r="F1555" s="7"/>
      <c r="G1555" s="1"/>
      <c r="H1555" s="1"/>
      <c r="I1555" s="1"/>
    </row>
    <row r="1556" spans="1:9" x14ac:dyDescent="0.25">
      <c r="A1556" s="7"/>
      <c r="B1556" s="1"/>
      <c r="C1556" s="1"/>
      <c r="D1556" s="1"/>
      <c r="F1556" s="7"/>
      <c r="G1556" s="1"/>
      <c r="H1556" s="1"/>
      <c r="I1556" s="1"/>
    </row>
    <row r="1557" spans="1:9" x14ac:dyDescent="0.25">
      <c r="A1557" s="7"/>
      <c r="B1557" s="1"/>
      <c r="C1557" s="1"/>
      <c r="D1557" s="1"/>
      <c r="F1557" s="7"/>
      <c r="G1557" s="1"/>
      <c r="H1557" s="1"/>
      <c r="I1557" s="1"/>
    </row>
    <row r="1558" spans="1:9" x14ac:dyDescent="0.25">
      <c r="A1558" s="7"/>
      <c r="B1558" s="1"/>
      <c r="C1558" s="1"/>
      <c r="D1558" s="1"/>
      <c r="F1558" s="7"/>
      <c r="G1558" s="1"/>
      <c r="H1558" s="1"/>
      <c r="I1558" s="1"/>
    </row>
    <row r="1559" spans="1:9" x14ac:dyDescent="0.25">
      <c r="A1559" s="7"/>
      <c r="B1559" s="1"/>
      <c r="C1559" s="1"/>
      <c r="D1559" s="1"/>
      <c r="F1559" s="7"/>
      <c r="G1559" s="1"/>
      <c r="H1559" s="1"/>
      <c r="I1559" s="1"/>
    </row>
    <row r="1560" spans="1:9" x14ac:dyDescent="0.25">
      <c r="A1560" s="7"/>
      <c r="B1560" s="1"/>
      <c r="C1560" s="1"/>
      <c r="D1560" s="1"/>
      <c r="F1560" s="7"/>
      <c r="G1560" s="1"/>
      <c r="H1560" s="1"/>
      <c r="I1560" s="1"/>
    </row>
    <row r="1561" spans="1:9" x14ac:dyDescent="0.25">
      <c r="A1561" s="7"/>
      <c r="B1561" s="1"/>
      <c r="C1561" s="1"/>
      <c r="D1561" s="1"/>
      <c r="F1561" s="7"/>
      <c r="G1561" s="1"/>
      <c r="H1561" s="1"/>
      <c r="I1561" s="1"/>
    </row>
    <row r="1562" spans="1:9" x14ac:dyDescent="0.25">
      <c r="A1562" s="7"/>
      <c r="B1562" s="1"/>
      <c r="C1562" s="1"/>
      <c r="D1562" s="1"/>
      <c r="F1562" s="7"/>
      <c r="G1562" s="1"/>
      <c r="H1562" s="1"/>
      <c r="I1562" s="1"/>
    </row>
    <row r="1563" spans="1:9" x14ac:dyDescent="0.25">
      <c r="A1563" s="7"/>
      <c r="B1563" s="1"/>
      <c r="C1563" s="1"/>
      <c r="D1563" s="1"/>
      <c r="F1563" s="7"/>
      <c r="G1563" s="1"/>
      <c r="H1563" s="1"/>
      <c r="I1563" s="1"/>
    </row>
    <row r="1564" spans="1:9" x14ac:dyDescent="0.25">
      <c r="A1564" s="7"/>
      <c r="B1564" s="1"/>
      <c r="C1564" s="1"/>
      <c r="D1564" s="1"/>
      <c r="F1564" s="7"/>
      <c r="G1564" s="1"/>
      <c r="H1564" s="1"/>
      <c r="I1564" s="1"/>
    </row>
    <row r="1565" spans="1:9" x14ac:dyDescent="0.25">
      <c r="A1565" s="7"/>
      <c r="B1565" s="1"/>
      <c r="C1565" s="1"/>
      <c r="D1565" s="1"/>
      <c r="F1565" s="7"/>
      <c r="G1565" s="1"/>
      <c r="H1565" s="1"/>
      <c r="I1565" s="1"/>
    </row>
    <row r="1566" spans="1:9" x14ac:dyDescent="0.25">
      <c r="A1566" s="7"/>
      <c r="B1566" s="1"/>
      <c r="C1566" s="1"/>
      <c r="D1566" s="1"/>
      <c r="F1566" s="7"/>
      <c r="G1566" s="1"/>
      <c r="H1566" s="1"/>
      <c r="I1566" s="1"/>
    </row>
    <row r="1567" spans="1:9" x14ac:dyDescent="0.25">
      <c r="A1567" s="7"/>
      <c r="B1567" s="1"/>
      <c r="C1567" s="1"/>
      <c r="D1567" s="1"/>
      <c r="F1567" s="7"/>
      <c r="G1567" s="1"/>
      <c r="H1567" s="1"/>
      <c r="I1567" s="1"/>
    </row>
    <row r="1568" spans="1:9" x14ac:dyDescent="0.25">
      <c r="A1568" s="7"/>
      <c r="B1568" s="1"/>
      <c r="C1568" s="1"/>
      <c r="D1568" s="1"/>
      <c r="F1568" s="7"/>
      <c r="G1568" s="1"/>
      <c r="H1568" s="1"/>
      <c r="I1568" s="1"/>
    </row>
    <row r="1569" spans="1:9" x14ac:dyDescent="0.25">
      <c r="A1569" s="7"/>
      <c r="B1569" s="1"/>
      <c r="C1569" s="1"/>
      <c r="D1569" s="1"/>
      <c r="F1569" s="7"/>
      <c r="G1569" s="1"/>
      <c r="H1569" s="1"/>
      <c r="I1569" s="1"/>
    </row>
    <row r="1570" spans="1:9" x14ac:dyDescent="0.25">
      <c r="A1570" s="7"/>
      <c r="B1570" s="1"/>
      <c r="C1570" s="1"/>
      <c r="D1570" s="1"/>
      <c r="F1570" s="7"/>
      <c r="G1570" s="1"/>
      <c r="H1570" s="1"/>
      <c r="I1570" s="1"/>
    </row>
    <row r="1571" spans="1:9" x14ac:dyDescent="0.25">
      <c r="A1571" s="7"/>
      <c r="B1571" s="1"/>
      <c r="C1571" s="1"/>
      <c r="D1571" s="1"/>
      <c r="F1571" s="7"/>
      <c r="G1571" s="1"/>
      <c r="H1571" s="1"/>
      <c r="I1571" s="1"/>
    </row>
    <row r="1572" spans="1:9" x14ac:dyDescent="0.25">
      <c r="A1572" s="7"/>
      <c r="B1572" s="1"/>
      <c r="C1572" s="1"/>
      <c r="D1572" s="1"/>
      <c r="F1572" s="7"/>
      <c r="G1572" s="1"/>
      <c r="H1572" s="1"/>
      <c r="I1572" s="1"/>
    </row>
    <row r="1573" spans="1:9" x14ac:dyDescent="0.25">
      <c r="A1573" s="7"/>
      <c r="B1573" s="1"/>
      <c r="C1573" s="1"/>
      <c r="D1573" s="1"/>
      <c r="F1573" s="7"/>
      <c r="G1573" s="1"/>
      <c r="H1573" s="1"/>
      <c r="I1573" s="1"/>
    </row>
    <row r="1574" spans="1:9" x14ac:dyDescent="0.25">
      <c r="A1574" s="7"/>
      <c r="B1574" s="1"/>
      <c r="C1574" s="1"/>
      <c r="D1574" s="1"/>
      <c r="F1574" s="7"/>
      <c r="G1574" s="1"/>
      <c r="H1574" s="1"/>
      <c r="I1574" s="1"/>
    </row>
    <row r="1575" spans="1:9" x14ac:dyDescent="0.25">
      <c r="A1575" s="7"/>
      <c r="B1575" s="1"/>
      <c r="C1575" s="1"/>
      <c r="D1575" s="1"/>
      <c r="F1575" s="7"/>
      <c r="G1575" s="1"/>
      <c r="H1575" s="1"/>
      <c r="I1575" s="1"/>
    </row>
    <row r="1576" spans="1:9" x14ac:dyDescent="0.25">
      <c r="A1576" s="7"/>
      <c r="B1576" s="1"/>
      <c r="C1576" s="1"/>
      <c r="D1576" s="1"/>
      <c r="F1576" s="7"/>
      <c r="G1576" s="1"/>
      <c r="H1576" s="1"/>
      <c r="I1576" s="1"/>
    </row>
    <row r="1577" spans="1:9" x14ac:dyDescent="0.25">
      <c r="A1577" s="7"/>
      <c r="B1577" s="1"/>
      <c r="C1577" s="1"/>
      <c r="D1577" s="1"/>
      <c r="F1577" s="7"/>
      <c r="G1577" s="1"/>
      <c r="H1577" s="1"/>
      <c r="I1577" s="1"/>
    </row>
    <row r="1578" spans="1:9" x14ac:dyDescent="0.25">
      <c r="A1578" s="7"/>
      <c r="B1578" s="1"/>
      <c r="C1578" s="1"/>
      <c r="D1578" s="1"/>
      <c r="F1578" s="7"/>
      <c r="G1578" s="1"/>
      <c r="H1578" s="1"/>
      <c r="I1578" s="1"/>
    </row>
    <row r="1579" spans="1:9" x14ac:dyDescent="0.25">
      <c r="A1579" s="7"/>
      <c r="B1579" s="1"/>
      <c r="C1579" s="1"/>
      <c r="D1579" s="1"/>
      <c r="F1579" s="7"/>
      <c r="G1579" s="1"/>
      <c r="H1579" s="1"/>
      <c r="I1579" s="1"/>
    </row>
    <row r="1580" spans="1:9" x14ac:dyDescent="0.25">
      <c r="A1580" s="7"/>
      <c r="B1580" s="1"/>
      <c r="C1580" s="1"/>
      <c r="D1580" s="1"/>
      <c r="F1580" s="7"/>
      <c r="G1580" s="1"/>
      <c r="H1580" s="1"/>
      <c r="I1580" s="1"/>
    </row>
    <row r="1581" spans="1:9" x14ac:dyDescent="0.25">
      <c r="A1581" s="7"/>
      <c r="B1581" s="1"/>
      <c r="C1581" s="1"/>
      <c r="D1581" s="1"/>
      <c r="F1581" s="7"/>
      <c r="G1581" s="1"/>
      <c r="H1581" s="1"/>
      <c r="I1581" s="1"/>
    </row>
    <row r="1582" spans="1:9" x14ac:dyDescent="0.25">
      <c r="A1582" s="7"/>
      <c r="B1582" s="1"/>
      <c r="C1582" s="1"/>
      <c r="D1582" s="1"/>
      <c r="F1582" s="7"/>
      <c r="G1582" s="1"/>
      <c r="H1582" s="1"/>
      <c r="I1582" s="1"/>
    </row>
    <row r="1583" spans="1:9" x14ac:dyDescent="0.25">
      <c r="A1583" s="7"/>
      <c r="B1583" s="1"/>
      <c r="C1583" s="1"/>
      <c r="D1583" s="1"/>
      <c r="F1583" s="7"/>
      <c r="G1583" s="1"/>
      <c r="H1583" s="1"/>
      <c r="I1583" s="1"/>
    </row>
    <row r="1584" spans="1:9" x14ac:dyDescent="0.25">
      <c r="A1584" s="7"/>
      <c r="B1584" s="1"/>
      <c r="C1584" s="1"/>
      <c r="D1584" s="1"/>
      <c r="F1584" s="7"/>
      <c r="G1584" s="1"/>
      <c r="H1584" s="1"/>
      <c r="I1584" s="1"/>
    </row>
    <row r="1585" spans="1:9" x14ac:dyDescent="0.25">
      <c r="A1585" s="7"/>
      <c r="B1585" s="1"/>
      <c r="C1585" s="1"/>
      <c r="D1585" s="1"/>
      <c r="F1585" s="7"/>
      <c r="G1585" s="1"/>
      <c r="H1585" s="1"/>
      <c r="I1585" s="1"/>
    </row>
    <row r="1586" spans="1:9" x14ac:dyDescent="0.25">
      <c r="A1586" s="7"/>
      <c r="B1586" s="1"/>
      <c r="C1586" s="1"/>
      <c r="D1586" s="1"/>
      <c r="F1586" s="7"/>
      <c r="G1586" s="1"/>
      <c r="H1586" s="1"/>
      <c r="I1586" s="1"/>
    </row>
    <row r="1587" spans="1:9" x14ac:dyDescent="0.25">
      <c r="A1587" s="7"/>
      <c r="B1587" s="1"/>
      <c r="C1587" s="1"/>
      <c r="D1587" s="1"/>
      <c r="F1587" s="7"/>
      <c r="G1587" s="1"/>
      <c r="H1587" s="1"/>
      <c r="I1587" s="1"/>
    </row>
    <row r="1588" spans="1:9" x14ac:dyDescent="0.25">
      <c r="A1588" s="7"/>
      <c r="B1588" s="1"/>
      <c r="C1588" s="1"/>
      <c r="D1588" s="1"/>
      <c r="F1588" s="7"/>
      <c r="G1588" s="1"/>
      <c r="H1588" s="1"/>
      <c r="I1588" s="1"/>
    </row>
    <row r="1589" spans="1:9" x14ac:dyDescent="0.25">
      <c r="A1589" s="7"/>
      <c r="B1589" s="1"/>
      <c r="C1589" s="1"/>
      <c r="D1589" s="1"/>
      <c r="F1589" s="7"/>
      <c r="G1589" s="1"/>
      <c r="H1589" s="1"/>
      <c r="I1589" s="1"/>
    </row>
    <row r="1590" spans="1:9" x14ac:dyDescent="0.25">
      <c r="A1590" s="7"/>
      <c r="B1590" s="1"/>
      <c r="C1590" s="1"/>
      <c r="D1590" s="1"/>
      <c r="F1590" s="7"/>
      <c r="G1590" s="1"/>
      <c r="H1590" s="1"/>
      <c r="I1590" s="1"/>
    </row>
    <row r="1591" spans="1:9" x14ac:dyDescent="0.25">
      <c r="A1591" s="7"/>
      <c r="B1591" s="1"/>
      <c r="C1591" s="1"/>
      <c r="D1591" s="1"/>
      <c r="F1591" s="7"/>
      <c r="G1591" s="1"/>
      <c r="H1591" s="1"/>
      <c r="I1591" s="1"/>
    </row>
    <row r="1592" spans="1:9" x14ac:dyDescent="0.25">
      <c r="A1592" s="7"/>
      <c r="B1592" s="1"/>
      <c r="C1592" s="1"/>
      <c r="D1592" s="1"/>
      <c r="F1592" s="7"/>
      <c r="G1592" s="1"/>
      <c r="H1592" s="1"/>
      <c r="I1592" s="1"/>
    </row>
    <row r="1593" spans="1:9" x14ac:dyDescent="0.25">
      <c r="A1593" s="7"/>
      <c r="B1593" s="1"/>
      <c r="C1593" s="1"/>
      <c r="D1593" s="1"/>
      <c r="F1593" s="7"/>
      <c r="G1593" s="1"/>
      <c r="H1593" s="1"/>
      <c r="I1593" s="1"/>
    </row>
    <row r="1594" spans="1:9" x14ac:dyDescent="0.25">
      <c r="A1594" s="7"/>
      <c r="B1594" s="1"/>
      <c r="C1594" s="1"/>
      <c r="D1594" s="1"/>
      <c r="F1594" s="7"/>
      <c r="G1594" s="1"/>
      <c r="H1594" s="1"/>
      <c r="I1594" s="1"/>
    </row>
    <row r="1595" spans="1:9" x14ac:dyDescent="0.25">
      <c r="A1595" s="7"/>
      <c r="B1595" s="1"/>
      <c r="C1595" s="1"/>
      <c r="D1595" s="1"/>
      <c r="F1595" s="7"/>
      <c r="G1595" s="1"/>
      <c r="H1595" s="1"/>
      <c r="I1595" s="1"/>
    </row>
    <row r="1596" spans="1:9" x14ac:dyDescent="0.25">
      <c r="A1596" s="7"/>
      <c r="B1596" s="1"/>
      <c r="C1596" s="1"/>
      <c r="D1596" s="1"/>
      <c r="F1596" s="7"/>
      <c r="G1596" s="1"/>
      <c r="H1596" s="1"/>
      <c r="I1596" s="1"/>
    </row>
    <row r="1597" spans="1:9" x14ac:dyDescent="0.25">
      <c r="A1597" s="7"/>
      <c r="B1597" s="1"/>
      <c r="C1597" s="1"/>
      <c r="D1597" s="1"/>
      <c r="F1597" s="7"/>
      <c r="G1597" s="1"/>
      <c r="H1597" s="1"/>
      <c r="I1597" s="1"/>
    </row>
    <row r="1598" spans="1:9" x14ac:dyDescent="0.25">
      <c r="A1598" s="7"/>
      <c r="B1598" s="1"/>
      <c r="C1598" s="1"/>
      <c r="D1598" s="1"/>
      <c r="F1598" s="7"/>
      <c r="G1598" s="1"/>
      <c r="H1598" s="1"/>
      <c r="I1598" s="1"/>
    </row>
    <row r="1599" spans="1:9" x14ac:dyDescent="0.25">
      <c r="A1599" s="7"/>
      <c r="B1599" s="1"/>
      <c r="C1599" s="1"/>
      <c r="D1599" s="1"/>
      <c r="F1599" s="7"/>
      <c r="G1599" s="1"/>
      <c r="H1599" s="1"/>
      <c r="I1599" s="1"/>
    </row>
    <row r="1600" spans="1:9" x14ac:dyDescent="0.25">
      <c r="A1600" s="7"/>
      <c r="B1600" s="1"/>
      <c r="C1600" s="1"/>
      <c r="D1600" s="1"/>
      <c r="F1600" s="7"/>
      <c r="G1600" s="1"/>
      <c r="H1600" s="1"/>
      <c r="I1600" s="1"/>
    </row>
    <row r="1601" spans="1:9" x14ac:dyDescent="0.25">
      <c r="A1601" s="7"/>
      <c r="B1601" s="1"/>
      <c r="C1601" s="1"/>
      <c r="D1601" s="1"/>
      <c r="F1601" s="7"/>
      <c r="G1601" s="1"/>
      <c r="H1601" s="1"/>
      <c r="I1601" s="1"/>
    </row>
    <row r="1602" spans="1:9" x14ac:dyDescent="0.25">
      <c r="A1602" s="7"/>
      <c r="B1602" s="1"/>
      <c r="C1602" s="1"/>
      <c r="D1602" s="1"/>
      <c r="F1602" s="7"/>
      <c r="G1602" s="1"/>
      <c r="H1602" s="1"/>
      <c r="I1602" s="1"/>
    </row>
    <row r="1603" spans="1:9" x14ac:dyDescent="0.25">
      <c r="A1603" s="7"/>
      <c r="B1603" s="1"/>
      <c r="C1603" s="1"/>
      <c r="D1603" s="1"/>
      <c r="F1603" s="7"/>
      <c r="G1603" s="1"/>
      <c r="H1603" s="1"/>
      <c r="I1603" s="1"/>
    </row>
    <row r="1604" spans="1:9" x14ac:dyDescent="0.25">
      <c r="A1604" s="7"/>
      <c r="B1604" s="1"/>
      <c r="C1604" s="1"/>
      <c r="D1604" s="1"/>
      <c r="F1604" s="7"/>
      <c r="G1604" s="1"/>
      <c r="H1604" s="1"/>
      <c r="I1604" s="1"/>
    </row>
    <row r="1605" spans="1:9" x14ac:dyDescent="0.25">
      <c r="A1605" s="7"/>
      <c r="B1605" s="1"/>
      <c r="C1605" s="1"/>
      <c r="D1605" s="1"/>
      <c r="F1605" s="7"/>
      <c r="G1605" s="1"/>
      <c r="H1605" s="1"/>
      <c r="I1605" s="1"/>
    </row>
    <row r="1606" spans="1:9" x14ac:dyDescent="0.25">
      <c r="A1606" s="7"/>
      <c r="B1606" s="1"/>
      <c r="C1606" s="1"/>
      <c r="D1606" s="1"/>
      <c r="F1606" s="7"/>
      <c r="G1606" s="1"/>
      <c r="H1606" s="1"/>
      <c r="I1606" s="1"/>
    </row>
    <row r="1607" spans="1:9" x14ac:dyDescent="0.25">
      <c r="A1607" s="7"/>
      <c r="B1607" s="1"/>
      <c r="C1607" s="1"/>
      <c r="D1607" s="1"/>
      <c r="F1607" s="7"/>
      <c r="G1607" s="1"/>
      <c r="H1607" s="1"/>
      <c r="I1607" s="1"/>
    </row>
    <row r="1608" spans="1:9" x14ac:dyDescent="0.25">
      <c r="A1608" s="7"/>
      <c r="B1608" s="1"/>
      <c r="C1608" s="1"/>
      <c r="D1608" s="1"/>
      <c r="F1608" s="7"/>
      <c r="G1608" s="1"/>
      <c r="H1608" s="1"/>
      <c r="I1608" s="1"/>
    </row>
    <row r="1609" spans="1:9" x14ac:dyDescent="0.25">
      <c r="A1609" s="7"/>
      <c r="B1609" s="1"/>
      <c r="C1609" s="1"/>
      <c r="D1609" s="1"/>
      <c r="F1609" s="7"/>
      <c r="G1609" s="1"/>
      <c r="H1609" s="1"/>
      <c r="I1609" s="1"/>
    </row>
    <row r="1610" spans="1:9" x14ac:dyDescent="0.25">
      <c r="A1610" s="7"/>
      <c r="B1610" s="1"/>
      <c r="C1610" s="1"/>
      <c r="D1610" s="1"/>
      <c r="F1610" s="7"/>
      <c r="G1610" s="1"/>
      <c r="H1610" s="1"/>
      <c r="I1610" s="1"/>
    </row>
    <row r="1611" spans="1:9" x14ac:dyDescent="0.25">
      <c r="A1611" s="7"/>
      <c r="B1611" s="1"/>
      <c r="C1611" s="1"/>
      <c r="D1611" s="1"/>
      <c r="F1611" s="7"/>
      <c r="G1611" s="1"/>
      <c r="H1611" s="1"/>
      <c r="I1611" s="1"/>
    </row>
    <row r="1612" spans="1:9" x14ac:dyDescent="0.25">
      <c r="A1612" s="7"/>
      <c r="B1612" s="1"/>
      <c r="C1612" s="1"/>
      <c r="D1612" s="1"/>
      <c r="F1612" s="7"/>
      <c r="G1612" s="1"/>
      <c r="H1612" s="1"/>
      <c r="I1612" s="1"/>
    </row>
    <row r="1613" spans="1:9" x14ac:dyDescent="0.25">
      <c r="A1613" s="7"/>
      <c r="B1613" s="1"/>
      <c r="C1613" s="1"/>
      <c r="D1613" s="1"/>
      <c r="F1613" s="7"/>
      <c r="G1613" s="1"/>
      <c r="H1613" s="1"/>
      <c r="I1613" s="1"/>
    </row>
    <row r="1614" spans="1:9" x14ac:dyDescent="0.25">
      <c r="A1614" s="7"/>
      <c r="B1614" s="1"/>
      <c r="C1614" s="1"/>
      <c r="D1614" s="1"/>
      <c r="F1614" s="7"/>
      <c r="G1614" s="1"/>
      <c r="H1614" s="1"/>
      <c r="I1614" s="1"/>
    </row>
    <row r="1615" spans="1:9" x14ac:dyDescent="0.25">
      <c r="A1615" s="7"/>
      <c r="B1615" s="1"/>
      <c r="C1615" s="1"/>
      <c r="D1615" s="1"/>
      <c r="F1615" s="7"/>
      <c r="G1615" s="1"/>
      <c r="H1615" s="1"/>
      <c r="I1615" s="1"/>
    </row>
    <row r="1616" spans="1:9" x14ac:dyDescent="0.25">
      <c r="A1616" s="7"/>
      <c r="B1616" s="1"/>
      <c r="C1616" s="1"/>
      <c r="D1616" s="1"/>
      <c r="F1616" s="7"/>
      <c r="G1616" s="1"/>
      <c r="H1616" s="1"/>
      <c r="I1616" s="1"/>
    </row>
    <row r="1617" spans="1:9" x14ac:dyDescent="0.25">
      <c r="A1617" s="7"/>
      <c r="B1617" s="1"/>
      <c r="C1617" s="1"/>
      <c r="D1617" s="1"/>
      <c r="F1617" s="7"/>
      <c r="G1617" s="1"/>
      <c r="H1617" s="1"/>
      <c r="I1617" s="1"/>
    </row>
    <row r="1618" spans="1:9" x14ac:dyDescent="0.25">
      <c r="A1618" s="7"/>
      <c r="B1618" s="1"/>
      <c r="C1618" s="1"/>
      <c r="D1618" s="1"/>
      <c r="F1618" s="7"/>
      <c r="G1618" s="1"/>
      <c r="H1618" s="1"/>
      <c r="I1618" s="1"/>
    </row>
    <row r="1619" spans="1:9" x14ac:dyDescent="0.25">
      <c r="A1619" s="7"/>
      <c r="B1619" s="1"/>
      <c r="C1619" s="1"/>
      <c r="D1619" s="1"/>
      <c r="F1619" s="7"/>
      <c r="G1619" s="1"/>
      <c r="H1619" s="1"/>
      <c r="I1619" s="1"/>
    </row>
    <row r="1620" spans="1:9" x14ac:dyDescent="0.25">
      <c r="A1620" s="7"/>
      <c r="B1620" s="1"/>
      <c r="C1620" s="1"/>
      <c r="D1620" s="1"/>
      <c r="F1620" s="7"/>
      <c r="G1620" s="1"/>
      <c r="H1620" s="1"/>
      <c r="I1620" s="1"/>
    </row>
    <row r="1621" spans="1:9" x14ac:dyDescent="0.25">
      <c r="A1621" s="7"/>
      <c r="B1621" s="1"/>
      <c r="C1621" s="1"/>
      <c r="D1621" s="1"/>
      <c r="F1621" s="7"/>
      <c r="G1621" s="1"/>
      <c r="H1621" s="1"/>
      <c r="I1621" s="1"/>
    </row>
    <row r="1622" spans="1:9" x14ac:dyDescent="0.25">
      <c r="A1622" s="7"/>
      <c r="B1622" s="1"/>
      <c r="C1622" s="1"/>
      <c r="D1622" s="1"/>
      <c r="F1622" s="7"/>
      <c r="G1622" s="1"/>
      <c r="H1622" s="1"/>
      <c r="I1622" s="1"/>
    </row>
    <row r="1623" spans="1:9" x14ac:dyDescent="0.25">
      <c r="A1623" s="7"/>
      <c r="B1623" s="1"/>
      <c r="C1623" s="1"/>
      <c r="D1623" s="1"/>
      <c r="F1623" s="7"/>
      <c r="G1623" s="1"/>
      <c r="H1623" s="1"/>
      <c r="I1623" s="1"/>
    </row>
    <row r="1624" spans="1:9" x14ac:dyDescent="0.25">
      <c r="A1624" s="7"/>
      <c r="B1624" s="1"/>
      <c r="C1624" s="1"/>
      <c r="D1624" s="1"/>
      <c r="F1624" s="7"/>
      <c r="G1624" s="1"/>
      <c r="H1624" s="1"/>
      <c r="I1624" s="1"/>
    </row>
    <row r="1625" spans="1:9" x14ac:dyDescent="0.25">
      <c r="A1625" s="7"/>
      <c r="B1625" s="1"/>
      <c r="C1625" s="1"/>
      <c r="D1625" s="1"/>
      <c r="F1625" s="7"/>
      <c r="G1625" s="1"/>
      <c r="H1625" s="1"/>
      <c r="I1625" s="1"/>
    </row>
    <row r="1626" spans="1:9" x14ac:dyDescent="0.25">
      <c r="A1626" s="7"/>
      <c r="B1626" s="1"/>
      <c r="C1626" s="1"/>
      <c r="D1626" s="1"/>
      <c r="F1626" s="7"/>
      <c r="G1626" s="1"/>
      <c r="H1626" s="1"/>
      <c r="I1626" s="1"/>
    </row>
    <row r="1627" spans="1:9" x14ac:dyDescent="0.25">
      <c r="A1627" s="7"/>
      <c r="B1627" s="1"/>
      <c r="C1627" s="1"/>
      <c r="D1627" s="1"/>
      <c r="F1627" s="7"/>
      <c r="G1627" s="1"/>
      <c r="H1627" s="1"/>
      <c r="I1627" s="1"/>
    </row>
    <row r="1628" spans="1:9" x14ac:dyDescent="0.25">
      <c r="A1628" s="7"/>
      <c r="B1628" s="1"/>
      <c r="C1628" s="1"/>
      <c r="D1628" s="1"/>
      <c r="F1628" s="7"/>
      <c r="G1628" s="1"/>
      <c r="H1628" s="1"/>
      <c r="I1628" s="1"/>
    </row>
    <row r="1629" spans="1:9" x14ac:dyDescent="0.25">
      <c r="A1629" s="7"/>
      <c r="B1629" s="1"/>
      <c r="C1629" s="1"/>
      <c r="D1629" s="1"/>
      <c r="F1629" s="7"/>
      <c r="G1629" s="1"/>
      <c r="H1629" s="1"/>
      <c r="I1629" s="1"/>
    </row>
    <row r="1630" spans="1:9" x14ac:dyDescent="0.25">
      <c r="A1630" s="7"/>
      <c r="B1630" s="1"/>
      <c r="C1630" s="1"/>
      <c r="D1630" s="1"/>
      <c r="F1630" s="7"/>
      <c r="G1630" s="1"/>
      <c r="H1630" s="1"/>
      <c r="I1630" s="1"/>
    </row>
    <row r="1631" spans="1:9" x14ac:dyDescent="0.25">
      <c r="A1631" s="7"/>
      <c r="B1631" s="1"/>
      <c r="C1631" s="1"/>
      <c r="D1631" s="1"/>
      <c r="F1631" s="7"/>
      <c r="G1631" s="1"/>
      <c r="H1631" s="1"/>
      <c r="I1631" s="1"/>
    </row>
    <row r="1632" spans="1:9" x14ac:dyDescent="0.25">
      <c r="A1632" s="7"/>
      <c r="B1632" s="1"/>
      <c r="C1632" s="1"/>
      <c r="D1632" s="1"/>
      <c r="F1632" s="7"/>
      <c r="G1632" s="1"/>
      <c r="H1632" s="1"/>
      <c r="I1632" s="1"/>
    </row>
    <row r="1633" spans="1:9" x14ac:dyDescent="0.25">
      <c r="A1633" s="7"/>
      <c r="B1633" s="1"/>
      <c r="C1633" s="1"/>
      <c r="D1633" s="1"/>
      <c r="F1633" s="7"/>
      <c r="G1633" s="1"/>
      <c r="H1633" s="1"/>
      <c r="I1633" s="1"/>
    </row>
    <row r="1634" spans="1:9" x14ac:dyDescent="0.25">
      <c r="A1634" s="7"/>
      <c r="B1634" s="1"/>
      <c r="C1634" s="1"/>
      <c r="D1634" s="1"/>
      <c r="F1634" s="7"/>
      <c r="G1634" s="1"/>
      <c r="H1634" s="1"/>
      <c r="I1634" s="1"/>
    </row>
    <row r="1635" spans="1:9" x14ac:dyDescent="0.25">
      <c r="A1635" s="7"/>
      <c r="B1635" s="1"/>
      <c r="C1635" s="1"/>
      <c r="D1635" s="1"/>
      <c r="F1635" s="7"/>
      <c r="G1635" s="1"/>
      <c r="H1635" s="1"/>
      <c r="I1635" s="1"/>
    </row>
    <row r="1636" spans="1:9" x14ac:dyDescent="0.25">
      <c r="A1636" s="7"/>
      <c r="B1636" s="1"/>
      <c r="C1636" s="1"/>
      <c r="D1636" s="1"/>
      <c r="F1636" s="7"/>
      <c r="G1636" s="1"/>
      <c r="H1636" s="1"/>
      <c r="I1636" s="1"/>
    </row>
    <row r="1637" spans="1:9" x14ac:dyDescent="0.25">
      <c r="A1637" s="7"/>
      <c r="B1637" s="1"/>
      <c r="C1637" s="1"/>
      <c r="D1637" s="1"/>
      <c r="F1637" s="7"/>
      <c r="G1637" s="1"/>
      <c r="H1637" s="1"/>
      <c r="I1637" s="1"/>
    </row>
    <row r="1638" spans="1:9" x14ac:dyDescent="0.25">
      <c r="A1638" s="7"/>
      <c r="B1638" s="1"/>
      <c r="C1638" s="1"/>
      <c r="D1638" s="1"/>
      <c r="F1638" s="7"/>
      <c r="G1638" s="1"/>
      <c r="H1638" s="1"/>
      <c r="I1638" s="1"/>
    </row>
    <row r="1639" spans="1:9" x14ac:dyDescent="0.25">
      <c r="A1639" s="7"/>
      <c r="B1639" s="1"/>
      <c r="C1639" s="1"/>
      <c r="D1639" s="1"/>
      <c r="F1639" s="7"/>
      <c r="G1639" s="1"/>
      <c r="H1639" s="1"/>
      <c r="I1639" s="1"/>
    </row>
    <row r="1640" spans="1:9" x14ac:dyDescent="0.25">
      <c r="A1640" s="7"/>
      <c r="B1640" s="1"/>
      <c r="C1640" s="1"/>
      <c r="D1640" s="1"/>
      <c r="F1640" s="7"/>
      <c r="G1640" s="1"/>
      <c r="H1640" s="1"/>
      <c r="I1640" s="1"/>
    </row>
    <row r="1641" spans="1:9" x14ac:dyDescent="0.25">
      <c r="A1641" s="7"/>
      <c r="B1641" s="1"/>
      <c r="C1641" s="1"/>
      <c r="D1641" s="1"/>
      <c r="F1641" s="7"/>
      <c r="G1641" s="1"/>
      <c r="H1641" s="1"/>
      <c r="I1641" s="1"/>
    </row>
    <row r="1642" spans="1:9" x14ac:dyDescent="0.25">
      <c r="A1642" s="7"/>
      <c r="B1642" s="1"/>
      <c r="C1642" s="1"/>
      <c r="D1642" s="1"/>
      <c r="F1642" s="7"/>
      <c r="G1642" s="1"/>
      <c r="H1642" s="1"/>
      <c r="I1642" s="1"/>
    </row>
    <row r="1643" spans="1:9" x14ac:dyDescent="0.25">
      <c r="A1643" s="7"/>
      <c r="B1643" s="1"/>
      <c r="C1643" s="1"/>
      <c r="D1643" s="1"/>
      <c r="F1643" s="7"/>
      <c r="G1643" s="1"/>
      <c r="H1643" s="1"/>
      <c r="I1643" s="1"/>
    </row>
    <row r="1644" spans="1:9" x14ac:dyDescent="0.25">
      <c r="A1644" s="7"/>
      <c r="B1644" s="1"/>
      <c r="C1644" s="1"/>
      <c r="D1644" s="1"/>
      <c r="F1644" s="7"/>
      <c r="G1644" s="1"/>
      <c r="H1644" s="1"/>
      <c r="I1644" s="1"/>
    </row>
    <row r="1645" spans="1:9" x14ac:dyDescent="0.25">
      <c r="A1645" s="7"/>
      <c r="B1645" s="1"/>
      <c r="C1645" s="1"/>
      <c r="D1645" s="1"/>
      <c r="F1645" s="7"/>
      <c r="G1645" s="1"/>
      <c r="H1645" s="1"/>
      <c r="I1645" s="1"/>
    </row>
    <row r="1646" spans="1:9" x14ac:dyDescent="0.25">
      <c r="A1646" s="7"/>
      <c r="B1646" s="1"/>
      <c r="C1646" s="1"/>
      <c r="D1646" s="1"/>
      <c r="F1646" s="7"/>
      <c r="G1646" s="1"/>
      <c r="H1646" s="1"/>
      <c r="I1646" s="1"/>
    </row>
    <row r="1647" spans="1:9" x14ac:dyDescent="0.25">
      <c r="A1647" s="7"/>
      <c r="B1647" s="1"/>
      <c r="C1647" s="1"/>
      <c r="D1647" s="1"/>
      <c r="F1647" s="7"/>
      <c r="G1647" s="1"/>
      <c r="H1647" s="1"/>
      <c r="I1647" s="1"/>
    </row>
    <row r="1648" spans="1:9" x14ac:dyDescent="0.25">
      <c r="A1648" s="7"/>
      <c r="B1648" s="1"/>
      <c r="C1648" s="1"/>
      <c r="D1648" s="1"/>
      <c r="F1648" s="7"/>
      <c r="G1648" s="1"/>
      <c r="H1648" s="1"/>
      <c r="I1648" s="1"/>
    </row>
    <row r="1649" spans="1:9" x14ac:dyDescent="0.25">
      <c r="A1649" s="7"/>
      <c r="B1649" s="1"/>
      <c r="C1649" s="1"/>
      <c r="D1649" s="1"/>
      <c r="F1649" s="7"/>
      <c r="G1649" s="1"/>
      <c r="H1649" s="1"/>
      <c r="I1649" s="1"/>
    </row>
    <row r="1650" spans="1:9" x14ac:dyDescent="0.25">
      <c r="A1650" s="7"/>
      <c r="B1650" s="1"/>
      <c r="C1650" s="1"/>
      <c r="D1650" s="1"/>
      <c r="F1650" s="7"/>
      <c r="G1650" s="1"/>
      <c r="H1650" s="1"/>
      <c r="I1650" s="1"/>
    </row>
    <row r="1651" spans="1:9" x14ac:dyDescent="0.25">
      <c r="A1651" s="7"/>
      <c r="B1651" s="1"/>
      <c r="C1651" s="1"/>
      <c r="D1651" s="1"/>
      <c r="F1651" s="7"/>
      <c r="G1651" s="1"/>
      <c r="H1651" s="1"/>
      <c r="I1651" s="1"/>
    </row>
    <row r="1652" spans="1:9" x14ac:dyDescent="0.25">
      <c r="A1652" s="7"/>
      <c r="B1652" s="1"/>
      <c r="C1652" s="1"/>
      <c r="D1652" s="1"/>
      <c r="F1652" s="7"/>
      <c r="G1652" s="1"/>
      <c r="H1652" s="1"/>
      <c r="I1652" s="1"/>
    </row>
    <row r="1653" spans="1:9" x14ac:dyDescent="0.25">
      <c r="A1653" s="7"/>
      <c r="B1653" s="1"/>
      <c r="C1653" s="1"/>
      <c r="D1653" s="1"/>
      <c r="F1653" s="7"/>
      <c r="G1653" s="1"/>
      <c r="H1653" s="1"/>
      <c r="I1653" s="1"/>
    </row>
    <row r="1654" spans="1:9" x14ac:dyDescent="0.25">
      <c r="A1654" s="7"/>
      <c r="B1654" s="1"/>
      <c r="C1654" s="1"/>
      <c r="D1654" s="1"/>
      <c r="F1654" s="7"/>
      <c r="G1654" s="1"/>
      <c r="H1654" s="1"/>
      <c r="I1654" s="1"/>
    </row>
    <row r="1655" spans="1:9" x14ac:dyDescent="0.25">
      <c r="A1655" s="7"/>
      <c r="B1655" s="1"/>
      <c r="C1655" s="1"/>
      <c r="D1655" s="1"/>
      <c r="F1655" s="7"/>
      <c r="G1655" s="1"/>
      <c r="H1655" s="1"/>
      <c r="I1655" s="1"/>
    </row>
    <row r="1656" spans="1:9" x14ac:dyDescent="0.25">
      <c r="A1656" s="7"/>
      <c r="B1656" s="1"/>
      <c r="C1656" s="1"/>
      <c r="D1656" s="1"/>
      <c r="F1656" s="7"/>
      <c r="G1656" s="1"/>
      <c r="H1656" s="1"/>
      <c r="I1656" s="1"/>
    </row>
    <row r="1657" spans="1:9" x14ac:dyDescent="0.25">
      <c r="A1657" s="7"/>
      <c r="B1657" s="1"/>
      <c r="C1657" s="1"/>
      <c r="D1657" s="1"/>
      <c r="F1657" s="7"/>
      <c r="G1657" s="1"/>
      <c r="H1657" s="1"/>
      <c r="I1657" s="1"/>
    </row>
    <row r="1658" spans="1:9" x14ac:dyDescent="0.25">
      <c r="A1658" s="7"/>
      <c r="B1658" s="1"/>
      <c r="C1658" s="1"/>
      <c r="D1658" s="1"/>
      <c r="F1658" s="7"/>
      <c r="G1658" s="1"/>
      <c r="H1658" s="1"/>
      <c r="I1658" s="1"/>
    </row>
    <row r="1659" spans="1:9" x14ac:dyDescent="0.25">
      <c r="A1659" s="7"/>
      <c r="B1659" s="1"/>
      <c r="C1659" s="1"/>
      <c r="D1659" s="1"/>
      <c r="F1659" s="7"/>
      <c r="G1659" s="1"/>
      <c r="H1659" s="1"/>
      <c r="I1659" s="1"/>
    </row>
    <row r="1660" spans="1:9" x14ac:dyDescent="0.25">
      <c r="A1660" s="7"/>
      <c r="B1660" s="1"/>
      <c r="C1660" s="1"/>
      <c r="D1660" s="1"/>
      <c r="F1660" s="7"/>
      <c r="G1660" s="1"/>
      <c r="H1660" s="1"/>
      <c r="I1660" s="1"/>
    </row>
    <row r="1661" spans="1:9" x14ac:dyDescent="0.25">
      <c r="A1661" s="7"/>
      <c r="B1661" s="1"/>
      <c r="C1661" s="1"/>
      <c r="D1661" s="1"/>
      <c r="F1661" s="7"/>
      <c r="G1661" s="1"/>
      <c r="H1661" s="1"/>
      <c r="I1661" s="1"/>
    </row>
    <row r="1662" spans="1:9" x14ac:dyDescent="0.25">
      <c r="A1662" s="7"/>
      <c r="B1662" s="1"/>
      <c r="C1662" s="1"/>
      <c r="D1662" s="1"/>
      <c r="F1662" s="7"/>
      <c r="G1662" s="1"/>
      <c r="H1662" s="1"/>
      <c r="I1662" s="1"/>
    </row>
    <row r="1663" spans="1:9" x14ac:dyDescent="0.25">
      <c r="A1663" s="7"/>
      <c r="B1663" s="1"/>
      <c r="C1663" s="1"/>
      <c r="D1663" s="1"/>
      <c r="F1663" s="7"/>
      <c r="G1663" s="1"/>
      <c r="H1663" s="1"/>
      <c r="I1663" s="1"/>
    </row>
    <row r="1664" spans="1:9" x14ac:dyDescent="0.25">
      <c r="A1664" s="7"/>
      <c r="B1664" s="1"/>
      <c r="C1664" s="1"/>
      <c r="D1664" s="1"/>
      <c r="F1664" s="7"/>
      <c r="G1664" s="1"/>
      <c r="H1664" s="1"/>
      <c r="I1664" s="1"/>
    </row>
    <row r="1665" spans="1:9" x14ac:dyDescent="0.25">
      <c r="A1665" s="7"/>
      <c r="B1665" s="1"/>
      <c r="C1665" s="1"/>
      <c r="D1665" s="1"/>
      <c r="F1665" s="7"/>
      <c r="G1665" s="1"/>
      <c r="H1665" s="1"/>
      <c r="I1665" s="1"/>
    </row>
    <row r="1666" spans="1:9" x14ac:dyDescent="0.25">
      <c r="A1666" s="7"/>
      <c r="B1666" s="1"/>
      <c r="C1666" s="1"/>
      <c r="D1666" s="1"/>
      <c r="F1666" s="7"/>
      <c r="G1666" s="1"/>
      <c r="H1666" s="1"/>
      <c r="I1666" s="1"/>
    </row>
    <row r="1667" spans="1:9" x14ac:dyDescent="0.25">
      <c r="A1667" s="7"/>
      <c r="B1667" s="1"/>
      <c r="C1667" s="1"/>
      <c r="D1667" s="1"/>
      <c r="F1667" s="7"/>
      <c r="G1667" s="1"/>
      <c r="H1667" s="1"/>
      <c r="I1667" s="1"/>
    </row>
    <row r="1668" spans="1:9" x14ac:dyDescent="0.25">
      <c r="A1668" s="7"/>
      <c r="B1668" s="1"/>
      <c r="C1668" s="1"/>
      <c r="D1668" s="1"/>
      <c r="F1668" s="7"/>
      <c r="G1668" s="1"/>
      <c r="H1668" s="1"/>
      <c r="I1668" s="1"/>
    </row>
    <row r="1669" spans="1:9" x14ac:dyDescent="0.25">
      <c r="A1669" s="7"/>
      <c r="B1669" s="1"/>
      <c r="C1669" s="1"/>
      <c r="D1669" s="1"/>
      <c r="F1669" s="7"/>
      <c r="G1669" s="1"/>
      <c r="H1669" s="1"/>
      <c r="I1669" s="1"/>
    </row>
    <row r="1670" spans="1:9" x14ac:dyDescent="0.25">
      <c r="A1670" s="7"/>
      <c r="B1670" s="1"/>
      <c r="C1670" s="1"/>
      <c r="D1670" s="1"/>
      <c r="F1670" s="7"/>
      <c r="G1670" s="1"/>
      <c r="H1670" s="1"/>
      <c r="I1670" s="1"/>
    </row>
    <row r="1671" spans="1:9" x14ac:dyDescent="0.25">
      <c r="A1671" s="7"/>
      <c r="B1671" s="1"/>
      <c r="C1671" s="1"/>
      <c r="D1671" s="1"/>
      <c r="F1671" s="7"/>
      <c r="G1671" s="1"/>
      <c r="H1671" s="1"/>
      <c r="I1671" s="1"/>
    </row>
    <row r="1672" spans="1:9" x14ac:dyDescent="0.25">
      <c r="A1672" s="7"/>
      <c r="B1672" s="1"/>
      <c r="C1672" s="1"/>
      <c r="D1672" s="1"/>
      <c r="F1672" s="7"/>
      <c r="G1672" s="1"/>
      <c r="H1672" s="1"/>
      <c r="I1672" s="1"/>
    </row>
    <row r="1673" spans="1:9" x14ac:dyDescent="0.25">
      <c r="A1673" s="7"/>
      <c r="B1673" s="1"/>
      <c r="C1673" s="1"/>
      <c r="D1673" s="1"/>
      <c r="F1673" s="7"/>
      <c r="G1673" s="1"/>
      <c r="H1673" s="1"/>
      <c r="I1673" s="1"/>
    </row>
    <row r="1674" spans="1:9" x14ac:dyDescent="0.25">
      <c r="A1674" s="7"/>
      <c r="B1674" s="1"/>
      <c r="C1674" s="1"/>
      <c r="D1674" s="1"/>
      <c r="F1674" s="7"/>
      <c r="G1674" s="1"/>
      <c r="H1674" s="1"/>
      <c r="I1674" s="1"/>
    </row>
    <row r="1675" spans="1:9" x14ac:dyDescent="0.25">
      <c r="A1675" s="7"/>
      <c r="B1675" s="1"/>
      <c r="C1675" s="1"/>
      <c r="D1675" s="1"/>
      <c r="F1675" s="7"/>
      <c r="G1675" s="1"/>
      <c r="H1675" s="1"/>
      <c r="I1675" s="1"/>
    </row>
    <row r="1676" spans="1:9" x14ac:dyDescent="0.25">
      <c r="A1676" s="7"/>
      <c r="B1676" s="1"/>
      <c r="C1676" s="1"/>
      <c r="D1676" s="1"/>
      <c r="F1676" s="7"/>
      <c r="G1676" s="1"/>
      <c r="H1676" s="1"/>
      <c r="I1676" s="1"/>
    </row>
    <row r="1677" spans="1:9" x14ac:dyDescent="0.25">
      <c r="A1677" s="7"/>
      <c r="B1677" s="1"/>
      <c r="C1677" s="1"/>
      <c r="D1677" s="1"/>
      <c r="F1677" s="7"/>
      <c r="G1677" s="1"/>
      <c r="H1677" s="1"/>
      <c r="I1677" s="1"/>
    </row>
    <row r="1678" spans="1:9" x14ac:dyDescent="0.25">
      <c r="A1678" s="7"/>
      <c r="B1678" s="1"/>
      <c r="C1678" s="1"/>
      <c r="D1678" s="1"/>
      <c r="F1678" s="7"/>
      <c r="G1678" s="1"/>
      <c r="H1678" s="1"/>
      <c r="I1678" s="1"/>
    </row>
    <row r="1679" spans="1:9" x14ac:dyDescent="0.25">
      <c r="A1679" s="7"/>
      <c r="B1679" s="1"/>
      <c r="C1679" s="1"/>
      <c r="D1679" s="1"/>
      <c r="F1679" s="7"/>
      <c r="G1679" s="1"/>
      <c r="H1679" s="1"/>
      <c r="I1679" s="1"/>
    </row>
    <row r="1680" spans="1:9" x14ac:dyDescent="0.25">
      <c r="A1680" s="7"/>
      <c r="B1680" s="1"/>
      <c r="C1680" s="1"/>
      <c r="D1680" s="1"/>
      <c r="F1680" s="7"/>
      <c r="G1680" s="1"/>
      <c r="H1680" s="1"/>
      <c r="I1680" s="1"/>
    </row>
    <row r="1681" spans="1:9" x14ac:dyDescent="0.25">
      <c r="A1681" s="7"/>
      <c r="B1681" s="1"/>
      <c r="C1681" s="1"/>
      <c r="D1681" s="1"/>
      <c r="F1681" s="7"/>
      <c r="G1681" s="1"/>
      <c r="H1681" s="1"/>
      <c r="I1681" s="1"/>
    </row>
    <row r="1682" spans="1:9" x14ac:dyDescent="0.25">
      <c r="A1682" s="7"/>
      <c r="B1682" s="1"/>
      <c r="C1682" s="1"/>
      <c r="D1682" s="1"/>
      <c r="F1682" s="7"/>
      <c r="G1682" s="1"/>
      <c r="H1682" s="1"/>
      <c r="I1682" s="1"/>
    </row>
    <row r="1683" spans="1:9" x14ac:dyDescent="0.25">
      <c r="A1683" s="7"/>
      <c r="B1683" s="1"/>
      <c r="C1683" s="1"/>
      <c r="D1683" s="1"/>
      <c r="F1683" s="7"/>
      <c r="G1683" s="1"/>
      <c r="H1683" s="1"/>
      <c r="I1683" s="1"/>
    </row>
    <row r="1684" spans="1:9" x14ac:dyDescent="0.25">
      <c r="A1684" s="7"/>
      <c r="B1684" s="1"/>
      <c r="C1684" s="1"/>
      <c r="D1684" s="1"/>
      <c r="F1684" s="7"/>
      <c r="G1684" s="1"/>
      <c r="H1684" s="1"/>
      <c r="I1684" s="1"/>
    </row>
    <row r="1685" spans="1:9" x14ac:dyDescent="0.25">
      <c r="A1685" s="7"/>
      <c r="B1685" s="1"/>
      <c r="C1685" s="1"/>
      <c r="D1685" s="1"/>
      <c r="F1685" s="7"/>
      <c r="G1685" s="1"/>
      <c r="H1685" s="1"/>
      <c r="I1685" s="1"/>
    </row>
    <row r="1686" spans="1:9" x14ac:dyDescent="0.25">
      <c r="A1686" s="7"/>
      <c r="B1686" s="1"/>
      <c r="C1686" s="1"/>
      <c r="D1686" s="1"/>
      <c r="F1686" s="7"/>
      <c r="G1686" s="1"/>
      <c r="H1686" s="1"/>
      <c r="I1686" s="1"/>
    </row>
    <row r="1687" spans="1:9" x14ac:dyDescent="0.25">
      <c r="A1687" s="7"/>
      <c r="B1687" s="1"/>
      <c r="C1687" s="1"/>
      <c r="D1687" s="1"/>
      <c r="F1687" s="7"/>
      <c r="G1687" s="1"/>
      <c r="H1687" s="1"/>
      <c r="I1687" s="1"/>
    </row>
    <row r="1688" spans="1:9" x14ac:dyDescent="0.25">
      <c r="A1688" s="7"/>
      <c r="B1688" s="1"/>
      <c r="C1688" s="1"/>
      <c r="D1688" s="1"/>
      <c r="F1688" s="7"/>
      <c r="G1688" s="1"/>
      <c r="H1688" s="1"/>
      <c r="I1688" s="1"/>
    </row>
    <row r="1689" spans="1:9" x14ac:dyDescent="0.25">
      <c r="A1689" s="7"/>
      <c r="B1689" s="1"/>
      <c r="C1689" s="1"/>
      <c r="D1689" s="1"/>
      <c r="F1689" s="7"/>
      <c r="G1689" s="1"/>
      <c r="H1689" s="1"/>
      <c r="I1689" s="1"/>
    </row>
    <row r="1690" spans="1:9" x14ac:dyDescent="0.25">
      <c r="A1690" s="7"/>
      <c r="B1690" s="1"/>
      <c r="C1690" s="1"/>
      <c r="D1690" s="1"/>
      <c r="F1690" s="7"/>
      <c r="G1690" s="1"/>
      <c r="H1690" s="1"/>
      <c r="I1690" s="1"/>
    </row>
    <row r="1691" spans="1:9" x14ac:dyDescent="0.25">
      <c r="A1691" s="7"/>
      <c r="B1691" s="1"/>
      <c r="C1691" s="1"/>
      <c r="D1691" s="1"/>
      <c r="F1691" s="7"/>
      <c r="G1691" s="1"/>
      <c r="H1691" s="1"/>
      <c r="I1691" s="1"/>
    </row>
    <row r="1692" spans="1:9" x14ac:dyDescent="0.25">
      <c r="A1692" s="7"/>
      <c r="B1692" s="1"/>
      <c r="C1692" s="1"/>
      <c r="D1692" s="1"/>
      <c r="F1692" s="7"/>
      <c r="G1692" s="1"/>
      <c r="H1692" s="1"/>
      <c r="I1692" s="1"/>
    </row>
    <row r="1693" spans="1:9" x14ac:dyDescent="0.25">
      <c r="A1693" s="7"/>
      <c r="B1693" s="1"/>
      <c r="C1693" s="1"/>
      <c r="D1693" s="1"/>
      <c r="F1693" s="7"/>
      <c r="G1693" s="1"/>
      <c r="H1693" s="1"/>
      <c r="I1693" s="1"/>
    </row>
    <row r="1694" spans="1:9" x14ac:dyDescent="0.25">
      <c r="A1694" s="7"/>
      <c r="B1694" s="1"/>
      <c r="C1694" s="1"/>
      <c r="D1694" s="1"/>
      <c r="F1694" s="7"/>
      <c r="G1694" s="1"/>
      <c r="H1694" s="1"/>
      <c r="I1694" s="1"/>
    </row>
    <row r="1695" spans="1:9" x14ac:dyDescent="0.25">
      <c r="A1695" s="7"/>
      <c r="B1695" s="1"/>
      <c r="C1695" s="1"/>
      <c r="D1695" s="1"/>
      <c r="F1695" s="7"/>
      <c r="G1695" s="1"/>
      <c r="H1695" s="1"/>
      <c r="I1695" s="1"/>
    </row>
    <row r="1696" spans="1:9" x14ac:dyDescent="0.25">
      <c r="A1696" s="7"/>
      <c r="B1696" s="1"/>
      <c r="C1696" s="1"/>
      <c r="D1696" s="1"/>
      <c r="F1696" s="7"/>
      <c r="G1696" s="1"/>
      <c r="H1696" s="1"/>
      <c r="I1696" s="1"/>
    </row>
    <row r="1697" spans="1:9" x14ac:dyDescent="0.25">
      <c r="A1697" s="7"/>
      <c r="B1697" s="1"/>
      <c r="C1697" s="1"/>
      <c r="D1697" s="1"/>
      <c r="F1697" s="7"/>
      <c r="G1697" s="1"/>
      <c r="H1697" s="1"/>
      <c r="I1697" s="1"/>
    </row>
    <row r="1698" spans="1:9" x14ac:dyDescent="0.25">
      <c r="A1698" s="7"/>
      <c r="B1698" s="1"/>
      <c r="C1698" s="1"/>
      <c r="D1698" s="1"/>
      <c r="F1698" s="7"/>
      <c r="G1698" s="1"/>
      <c r="H1698" s="1"/>
      <c r="I1698" s="1"/>
    </row>
    <row r="1699" spans="1:9" x14ac:dyDescent="0.25">
      <c r="A1699" s="7"/>
      <c r="B1699" s="1"/>
      <c r="C1699" s="1"/>
      <c r="D1699" s="1"/>
      <c r="F1699" s="7"/>
      <c r="G1699" s="1"/>
      <c r="H1699" s="1"/>
      <c r="I1699" s="1"/>
    </row>
    <row r="1700" spans="1:9" x14ac:dyDescent="0.25">
      <c r="A1700" s="7"/>
      <c r="B1700" s="1"/>
      <c r="C1700" s="1"/>
      <c r="D1700" s="1"/>
      <c r="F1700" s="7"/>
      <c r="G1700" s="1"/>
      <c r="H1700" s="1"/>
      <c r="I1700" s="1"/>
    </row>
    <row r="1701" spans="1:9" x14ac:dyDescent="0.25">
      <c r="A1701" s="7"/>
      <c r="B1701" s="1"/>
      <c r="C1701" s="1"/>
      <c r="D1701" s="1"/>
      <c r="F1701" s="7"/>
      <c r="G1701" s="1"/>
      <c r="H1701" s="1"/>
      <c r="I1701" s="1"/>
    </row>
    <row r="1702" spans="1:9" x14ac:dyDescent="0.25">
      <c r="A1702" s="7"/>
      <c r="B1702" s="1"/>
      <c r="C1702" s="1"/>
      <c r="D1702" s="1"/>
      <c r="F1702" s="7"/>
      <c r="G1702" s="1"/>
      <c r="H1702" s="1"/>
      <c r="I1702" s="1"/>
    </row>
    <row r="1703" spans="1:9" x14ac:dyDescent="0.25">
      <c r="A1703" s="7"/>
      <c r="B1703" s="1"/>
      <c r="C1703" s="1"/>
      <c r="D1703" s="1"/>
      <c r="F1703" s="7"/>
      <c r="G1703" s="1"/>
      <c r="H1703" s="1"/>
      <c r="I1703" s="1"/>
    </row>
    <row r="1704" spans="1:9" x14ac:dyDescent="0.25">
      <c r="A1704" s="7"/>
      <c r="B1704" s="1"/>
      <c r="C1704" s="1"/>
      <c r="D1704" s="1"/>
      <c r="F1704" s="7"/>
      <c r="G1704" s="1"/>
      <c r="H1704" s="1"/>
      <c r="I1704" s="1"/>
    </row>
    <row r="1705" spans="1:9" x14ac:dyDescent="0.25">
      <c r="A1705" s="7"/>
      <c r="B1705" s="1"/>
      <c r="C1705" s="1"/>
      <c r="D1705" s="1"/>
      <c r="F1705" s="7"/>
      <c r="G1705" s="1"/>
      <c r="H1705" s="1"/>
      <c r="I1705" s="1"/>
    </row>
    <row r="1706" spans="1:9" x14ac:dyDescent="0.25">
      <c r="A1706" s="7"/>
      <c r="B1706" s="1"/>
      <c r="C1706" s="1"/>
      <c r="D1706" s="1"/>
      <c r="F1706" s="7"/>
      <c r="G1706" s="1"/>
      <c r="H1706" s="1"/>
      <c r="I1706" s="1"/>
    </row>
    <row r="1707" spans="1:9" x14ac:dyDescent="0.25">
      <c r="A1707" s="7"/>
      <c r="B1707" s="1"/>
      <c r="C1707" s="1"/>
      <c r="D1707" s="1"/>
      <c r="F1707" s="7"/>
      <c r="G1707" s="1"/>
      <c r="H1707" s="1"/>
      <c r="I1707" s="1"/>
    </row>
    <row r="1708" spans="1:9" x14ac:dyDescent="0.25">
      <c r="A1708" s="7"/>
      <c r="B1708" s="1"/>
      <c r="C1708" s="1"/>
      <c r="D1708" s="1"/>
      <c r="F1708" s="7"/>
      <c r="G1708" s="1"/>
      <c r="H1708" s="1"/>
      <c r="I1708" s="1"/>
    </row>
    <row r="1709" spans="1:9" x14ac:dyDescent="0.25">
      <c r="A1709" s="7"/>
      <c r="B1709" s="1"/>
      <c r="C1709" s="1"/>
      <c r="D1709" s="1"/>
      <c r="F1709" s="7"/>
      <c r="G1709" s="1"/>
      <c r="H1709" s="1"/>
      <c r="I1709" s="1"/>
    </row>
    <row r="1710" spans="1:9" x14ac:dyDescent="0.25">
      <c r="A1710" s="7"/>
      <c r="B1710" s="1"/>
      <c r="C1710" s="1"/>
      <c r="D1710" s="1"/>
      <c r="F1710" s="7"/>
      <c r="G1710" s="1"/>
      <c r="H1710" s="1"/>
      <c r="I1710" s="1"/>
    </row>
    <row r="1711" spans="1:9" x14ac:dyDescent="0.25">
      <c r="A1711" s="7"/>
      <c r="B1711" s="1"/>
      <c r="C1711" s="1"/>
      <c r="D1711" s="1"/>
      <c r="F1711" s="7"/>
      <c r="G1711" s="1"/>
      <c r="H1711" s="1"/>
      <c r="I1711" s="1"/>
    </row>
    <row r="1712" spans="1:9" x14ac:dyDescent="0.25">
      <c r="A1712" s="7"/>
      <c r="B1712" s="1"/>
      <c r="C1712" s="1"/>
      <c r="D1712" s="1"/>
      <c r="F1712" s="7"/>
      <c r="G1712" s="1"/>
      <c r="H1712" s="1"/>
      <c r="I1712" s="1"/>
    </row>
    <row r="1713" spans="1:9" x14ac:dyDescent="0.25">
      <c r="A1713" s="7"/>
      <c r="B1713" s="1"/>
      <c r="C1713" s="1"/>
      <c r="D1713" s="1"/>
      <c r="F1713" s="7"/>
      <c r="G1713" s="1"/>
      <c r="H1713" s="1"/>
      <c r="I1713" s="1"/>
    </row>
    <row r="1714" spans="1:9" x14ac:dyDescent="0.25">
      <c r="A1714" s="7"/>
      <c r="B1714" s="1"/>
      <c r="C1714" s="1"/>
      <c r="D1714" s="1"/>
      <c r="F1714" s="7"/>
      <c r="G1714" s="1"/>
      <c r="H1714" s="1"/>
      <c r="I1714" s="1"/>
    </row>
    <row r="1715" spans="1:9" x14ac:dyDescent="0.25">
      <c r="A1715" s="7"/>
      <c r="B1715" s="1"/>
      <c r="C1715" s="1"/>
      <c r="D1715" s="1"/>
      <c r="F1715" s="7"/>
      <c r="G1715" s="1"/>
      <c r="H1715" s="1"/>
      <c r="I1715" s="1"/>
    </row>
    <row r="1716" spans="1:9" x14ac:dyDescent="0.25">
      <c r="A1716" s="7"/>
      <c r="B1716" s="1"/>
      <c r="C1716" s="1"/>
      <c r="D1716" s="1"/>
      <c r="F1716" s="7"/>
      <c r="G1716" s="1"/>
      <c r="H1716" s="1"/>
      <c r="I1716" s="1"/>
    </row>
    <row r="1717" spans="1:9" x14ac:dyDescent="0.25">
      <c r="A1717" s="7"/>
      <c r="B1717" s="1"/>
      <c r="C1717" s="1"/>
      <c r="D1717" s="1"/>
      <c r="F1717" s="7"/>
      <c r="G1717" s="1"/>
      <c r="H1717" s="1"/>
      <c r="I1717" s="1"/>
    </row>
    <row r="1718" spans="1:9" x14ac:dyDescent="0.25">
      <c r="A1718" s="7"/>
      <c r="B1718" s="1"/>
      <c r="C1718" s="1"/>
      <c r="D1718" s="1"/>
      <c r="F1718" s="7"/>
      <c r="G1718" s="1"/>
      <c r="H1718" s="1"/>
      <c r="I1718" s="1"/>
    </row>
    <row r="1719" spans="1:9" x14ac:dyDescent="0.25">
      <c r="A1719" s="7"/>
      <c r="B1719" s="1"/>
      <c r="C1719" s="1"/>
      <c r="D1719" s="1"/>
      <c r="F1719" s="7"/>
      <c r="G1719" s="1"/>
      <c r="H1719" s="1"/>
      <c r="I1719" s="1"/>
    </row>
    <row r="1720" spans="1:9" x14ac:dyDescent="0.25">
      <c r="A1720" s="7"/>
      <c r="B1720" s="1"/>
      <c r="C1720" s="1"/>
      <c r="D1720" s="1"/>
      <c r="F1720" s="7"/>
      <c r="G1720" s="1"/>
      <c r="H1720" s="1"/>
      <c r="I1720" s="1"/>
    </row>
    <row r="1721" spans="1:9" x14ac:dyDescent="0.25">
      <c r="A1721" s="7"/>
      <c r="B1721" s="1"/>
      <c r="C1721" s="1"/>
      <c r="D1721" s="1"/>
      <c r="F1721" s="7"/>
      <c r="G1721" s="1"/>
      <c r="H1721" s="1"/>
      <c r="I1721" s="1"/>
    </row>
    <row r="1722" spans="1:9" x14ac:dyDescent="0.25">
      <c r="A1722" s="7"/>
      <c r="B1722" s="1"/>
      <c r="C1722" s="1"/>
      <c r="D1722" s="1"/>
      <c r="F1722" s="7"/>
      <c r="G1722" s="1"/>
      <c r="H1722" s="1"/>
      <c r="I1722" s="1"/>
    </row>
    <row r="1723" spans="1:9" x14ac:dyDescent="0.25">
      <c r="A1723" s="7"/>
      <c r="B1723" s="1"/>
      <c r="C1723" s="1"/>
      <c r="D1723" s="1"/>
      <c r="F1723" s="7"/>
      <c r="G1723" s="1"/>
      <c r="H1723" s="1"/>
      <c r="I1723" s="1"/>
    </row>
    <row r="1724" spans="1:9" x14ac:dyDescent="0.25">
      <c r="A1724" s="7"/>
      <c r="B1724" s="1"/>
      <c r="C1724" s="1"/>
      <c r="D1724" s="1"/>
      <c r="F1724" s="7"/>
      <c r="G1724" s="1"/>
      <c r="H1724" s="1"/>
      <c r="I1724" s="1"/>
    </row>
    <row r="1725" spans="1:9" x14ac:dyDescent="0.25">
      <c r="A1725" s="7"/>
      <c r="B1725" s="1"/>
      <c r="C1725" s="1"/>
      <c r="D1725" s="1"/>
      <c r="F1725" s="7"/>
      <c r="G1725" s="1"/>
      <c r="H1725" s="1"/>
      <c r="I1725" s="1"/>
    </row>
    <row r="1726" spans="1:9" x14ac:dyDescent="0.25">
      <c r="A1726" s="7"/>
      <c r="B1726" s="1"/>
      <c r="C1726" s="1"/>
      <c r="D1726" s="1"/>
      <c r="F1726" s="7"/>
      <c r="G1726" s="1"/>
      <c r="H1726" s="1"/>
      <c r="I1726" s="1"/>
    </row>
    <row r="1727" spans="1:9" x14ac:dyDescent="0.25">
      <c r="A1727" s="7"/>
      <c r="B1727" s="1"/>
      <c r="C1727" s="1"/>
      <c r="D1727" s="1"/>
      <c r="F1727" s="7"/>
      <c r="G1727" s="1"/>
      <c r="H1727" s="1"/>
      <c r="I1727" s="1"/>
    </row>
    <row r="1728" spans="1:9" x14ac:dyDescent="0.25">
      <c r="A1728" s="7"/>
      <c r="B1728" s="1"/>
      <c r="C1728" s="1"/>
      <c r="D1728" s="1"/>
      <c r="F1728" s="7"/>
      <c r="G1728" s="1"/>
      <c r="H1728" s="1"/>
      <c r="I1728" s="1"/>
    </row>
    <row r="1729" spans="1:9" x14ac:dyDescent="0.25">
      <c r="A1729" s="7"/>
      <c r="B1729" s="1"/>
      <c r="C1729" s="1"/>
      <c r="D1729" s="1"/>
      <c r="F1729" s="7"/>
      <c r="G1729" s="1"/>
      <c r="H1729" s="1"/>
      <c r="I1729" s="1"/>
    </row>
    <row r="1730" spans="1:9" x14ac:dyDescent="0.25">
      <c r="A1730" s="7"/>
      <c r="B1730" s="1"/>
      <c r="C1730" s="1"/>
      <c r="D1730" s="1"/>
      <c r="F1730" s="7"/>
      <c r="G1730" s="1"/>
      <c r="H1730" s="1"/>
      <c r="I1730" s="1"/>
    </row>
    <row r="1731" spans="1:9" x14ac:dyDescent="0.25">
      <c r="A1731" s="7"/>
      <c r="B1731" s="1"/>
      <c r="C1731" s="1"/>
      <c r="D1731" s="1"/>
      <c r="F1731" s="7"/>
      <c r="G1731" s="1"/>
      <c r="H1731" s="1"/>
      <c r="I1731" s="1"/>
    </row>
    <row r="1732" spans="1:9" x14ac:dyDescent="0.25">
      <c r="A1732" s="7"/>
      <c r="B1732" s="1"/>
      <c r="C1732" s="1"/>
      <c r="D1732" s="1"/>
      <c r="F1732" s="7"/>
      <c r="G1732" s="1"/>
      <c r="H1732" s="1"/>
      <c r="I1732" s="1"/>
    </row>
    <row r="1733" spans="1:9" x14ac:dyDescent="0.25">
      <c r="A1733" s="7"/>
      <c r="B1733" s="1"/>
      <c r="C1733" s="1"/>
      <c r="D1733" s="1"/>
      <c r="F1733" s="7"/>
      <c r="G1733" s="1"/>
      <c r="H1733" s="1"/>
      <c r="I1733" s="1"/>
    </row>
    <row r="1734" spans="1:9" x14ac:dyDescent="0.25">
      <c r="A1734" s="7"/>
      <c r="B1734" s="1"/>
      <c r="C1734" s="1"/>
      <c r="D1734" s="1"/>
      <c r="F1734" s="7"/>
      <c r="G1734" s="1"/>
      <c r="H1734" s="1"/>
      <c r="I1734" s="1"/>
    </row>
    <row r="1735" spans="1:9" x14ac:dyDescent="0.25">
      <c r="A1735" s="7"/>
      <c r="B1735" s="1"/>
      <c r="C1735" s="1"/>
      <c r="D1735" s="1"/>
      <c r="F1735" s="7"/>
      <c r="G1735" s="1"/>
      <c r="H1735" s="1"/>
      <c r="I1735" s="1"/>
    </row>
    <row r="1736" spans="1:9" x14ac:dyDescent="0.25">
      <c r="A1736" s="7"/>
      <c r="B1736" s="1"/>
      <c r="C1736" s="1"/>
      <c r="D1736" s="1"/>
      <c r="F1736" s="7"/>
      <c r="G1736" s="1"/>
      <c r="H1736" s="1"/>
      <c r="I1736" s="1"/>
    </row>
    <row r="1737" spans="1:9" x14ac:dyDescent="0.25">
      <c r="A1737" s="7"/>
      <c r="B1737" s="1"/>
      <c r="C1737" s="1"/>
      <c r="D1737" s="1"/>
      <c r="F1737" s="7"/>
      <c r="G1737" s="1"/>
      <c r="H1737" s="1"/>
      <c r="I1737" s="1"/>
    </row>
    <row r="1738" spans="1:9" x14ac:dyDescent="0.25">
      <c r="A1738" s="7"/>
      <c r="B1738" s="1"/>
      <c r="C1738" s="1"/>
      <c r="D1738" s="1"/>
      <c r="F1738" s="7"/>
      <c r="G1738" s="1"/>
      <c r="H1738" s="1"/>
      <c r="I1738" s="1"/>
    </row>
    <row r="1739" spans="1:9" x14ac:dyDescent="0.25">
      <c r="A1739" s="7"/>
      <c r="B1739" s="1"/>
      <c r="C1739" s="1"/>
      <c r="D1739" s="1"/>
      <c r="F1739" s="7"/>
      <c r="G1739" s="1"/>
      <c r="H1739" s="1"/>
      <c r="I1739" s="1"/>
    </row>
    <row r="1740" spans="1:9" x14ac:dyDescent="0.25">
      <c r="A1740" s="7"/>
      <c r="B1740" s="1"/>
      <c r="C1740" s="1"/>
      <c r="D1740" s="1"/>
      <c r="F1740" s="7"/>
      <c r="G1740" s="1"/>
      <c r="H1740" s="1"/>
      <c r="I1740" s="1"/>
    </row>
    <row r="1741" spans="1:9" x14ac:dyDescent="0.25">
      <c r="A1741" s="7"/>
      <c r="B1741" s="1"/>
      <c r="C1741" s="1"/>
      <c r="D1741" s="1"/>
      <c r="F1741" s="7"/>
      <c r="G1741" s="1"/>
      <c r="H1741" s="1"/>
      <c r="I1741" s="1"/>
    </row>
    <row r="1742" spans="1:9" x14ac:dyDescent="0.25">
      <c r="A1742" s="7"/>
      <c r="B1742" s="1"/>
      <c r="C1742" s="1"/>
      <c r="D1742" s="1"/>
      <c r="F1742" s="7"/>
      <c r="G1742" s="1"/>
      <c r="H1742" s="1"/>
      <c r="I1742" s="1"/>
    </row>
    <row r="1743" spans="1:9" x14ac:dyDescent="0.25">
      <c r="A1743" s="7"/>
      <c r="B1743" s="1"/>
      <c r="C1743" s="1"/>
      <c r="D1743" s="1"/>
      <c r="F1743" s="7"/>
      <c r="G1743" s="1"/>
      <c r="H1743" s="1"/>
      <c r="I1743" s="1"/>
    </row>
    <row r="1744" spans="1:9" x14ac:dyDescent="0.25">
      <c r="A1744" s="7"/>
      <c r="B1744" s="1"/>
      <c r="C1744" s="1"/>
      <c r="D1744" s="1"/>
      <c r="F1744" s="7"/>
      <c r="G1744" s="1"/>
      <c r="H1744" s="1"/>
      <c r="I1744" s="1"/>
    </row>
    <row r="1745" spans="1:9" x14ac:dyDescent="0.25">
      <c r="A1745" s="7"/>
      <c r="B1745" s="1"/>
      <c r="C1745" s="1"/>
      <c r="D1745" s="1"/>
      <c r="F1745" s="7"/>
      <c r="G1745" s="1"/>
      <c r="H1745" s="1"/>
      <c r="I1745" s="1"/>
    </row>
    <row r="1746" spans="1:9" x14ac:dyDescent="0.25">
      <c r="A1746" s="7"/>
      <c r="B1746" s="1"/>
      <c r="C1746" s="1"/>
      <c r="D1746" s="1"/>
      <c r="F1746" s="7"/>
      <c r="G1746" s="1"/>
      <c r="H1746" s="1"/>
      <c r="I1746" s="1"/>
    </row>
    <row r="1747" spans="1:9" x14ac:dyDescent="0.25">
      <c r="A1747" s="7"/>
      <c r="B1747" s="1"/>
      <c r="C1747" s="1"/>
      <c r="D1747" s="1"/>
      <c r="F1747" s="7"/>
      <c r="G1747" s="1"/>
      <c r="H1747" s="1"/>
      <c r="I1747" s="1"/>
    </row>
    <row r="1748" spans="1:9" x14ac:dyDescent="0.25">
      <c r="A1748" s="7"/>
      <c r="B1748" s="1"/>
      <c r="C1748" s="1"/>
      <c r="D1748" s="1"/>
      <c r="F1748" s="7"/>
      <c r="G1748" s="1"/>
      <c r="H1748" s="1"/>
      <c r="I1748" s="1"/>
    </row>
    <row r="1749" spans="1:9" x14ac:dyDescent="0.25">
      <c r="A1749" s="7"/>
      <c r="B1749" s="1"/>
      <c r="C1749" s="1"/>
      <c r="D1749" s="1"/>
      <c r="F1749" s="7"/>
      <c r="G1749" s="1"/>
      <c r="H1749" s="1"/>
      <c r="I1749" s="1"/>
    </row>
    <row r="1750" spans="1:9" x14ac:dyDescent="0.25">
      <c r="A1750" s="7"/>
      <c r="B1750" s="1"/>
      <c r="C1750" s="1"/>
      <c r="D1750" s="1"/>
      <c r="F1750" s="7"/>
      <c r="G1750" s="1"/>
      <c r="H1750" s="1"/>
      <c r="I1750" s="1"/>
    </row>
    <row r="1751" spans="1:9" x14ac:dyDescent="0.25">
      <c r="A1751" s="7"/>
      <c r="B1751" s="1"/>
      <c r="C1751" s="1"/>
      <c r="D1751" s="1"/>
      <c r="F1751" s="7"/>
      <c r="G1751" s="1"/>
      <c r="H1751" s="1"/>
      <c r="I1751" s="1"/>
    </row>
    <row r="1752" spans="1:9" x14ac:dyDescent="0.25">
      <c r="A1752" s="7"/>
      <c r="B1752" s="1"/>
      <c r="C1752" s="1"/>
      <c r="D1752" s="1"/>
      <c r="F1752" s="7"/>
      <c r="G1752" s="1"/>
      <c r="H1752" s="1"/>
      <c r="I1752" s="1"/>
    </row>
    <row r="1753" spans="1:9" x14ac:dyDescent="0.25">
      <c r="A1753" s="7"/>
      <c r="B1753" s="1"/>
      <c r="C1753" s="1"/>
      <c r="D1753" s="1"/>
      <c r="F1753" s="7"/>
      <c r="G1753" s="1"/>
      <c r="H1753" s="1"/>
      <c r="I1753" s="1"/>
    </row>
    <row r="1754" spans="1:9" x14ac:dyDescent="0.25">
      <c r="A1754" s="7"/>
      <c r="B1754" s="1"/>
      <c r="C1754" s="1"/>
      <c r="D1754" s="1"/>
      <c r="F1754" s="7"/>
      <c r="G1754" s="1"/>
      <c r="H1754" s="1"/>
      <c r="I1754" s="1"/>
    </row>
    <row r="1755" spans="1:9" x14ac:dyDescent="0.25">
      <c r="A1755" s="7"/>
      <c r="B1755" s="1"/>
      <c r="C1755" s="1"/>
      <c r="D1755" s="1"/>
      <c r="F1755" s="7"/>
      <c r="G1755" s="1"/>
      <c r="H1755" s="1"/>
      <c r="I1755" s="1"/>
    </row>
    <row r="1756" spans="1:9" x14ac:dyDescent="0.25">
      <c r="A1756" s="7"/>
      <c r="B1756" s="1"/>
      <c r="C1756" s="1"/>
      <c r="D1756" s="1"/>
      <c r="F1756" s="7"/>
      <c r="G1756" s="1"/>
      <c r="H1756" s="1"/>
      <c r="I1756" s="1"/>
    </row>
    <row r="1757" spans="1:9" x14ac:dyDescent="0.25">
      <c r="A1757" s="7"/>
      <c r="B1757" s="1"/>
      <c r="C1757" s="1"/>
      <c r="D1757" s="1"/>
      <c r="F1757" s="7"/>
      <c r="G1757" s="1"/>
      <c r="H1757" s="1"/>
      <c r="I1757" s="1"/>
    </row>
    <row r="1758" spans="1:9" x14ac:dyDescent="0.25">
      <c r="A1758" s="7"/>
      <c r="B1758" s="1"/>
      <c r="C1758" s="1"/>
      <c r="D1758" s="1"/>
      <c r="F1758" s="7"/>
      <c r="G1758" s="1"/>
      <c r="H1758" s="1"/>
      <c r="I1758" s="1"/>
    </row>
    <row r="1759" spans="1:9" x14ac:dyDescent="0.25">
      <c r="A1759" s="7"/>
      <c r="B1759" s="1"/>
      <c r="C1759" s="1"/>
      <c r="D1759" s="1"/>
      <c r="F1759" s="7"/>
      <c r="G1759" s="1"/>
      <c r="H1759" s="1"/>
      <c r="I1759" s="1"/>
    </row>
    <row r="1760" spans="1:9" x14ac:dyDescent="0.25">
      <c r="A1760" s="7"/>
      <c r="B1760" s="1"/>
      <c r="C1760" s="1"/>
      <c r="D1760" s="1"/>
      <c r="F1760" s="7"/>
      <c r="G1760" s="1"/>
      <c r="H1760" s="1"/>
      <c r="I1760" s="1"/>
    </row>
    <row r="1761" spans="1:9" x14ac:dyDescent="0.25">
      <c r="A1761" s="7"/>
      <c r="B1761" s="1"/>
      <c r="C1761" s="1"/>
      <c r="D1761" s="1"/>
      <c r="F1761" s="7"/>
      <c r="G1761" s="1"/>
      <c r="H1761" s="1"/>
      <c r="I1761" s="1"/>
    </row>
    <row r="1762" spans="1:9" x14ac:dyDescent="0.25">
      <c r="A1762" s="7"/>
      <c r="B1762" s="1"/>
      <c r="C1762" s="1"/>
      <c r="D1762" s="1"/>
      <c r="F1762" s="7"/>
      <c r="G1762" s="1"/>
      <c r="H1762" s="1"/>
      <c r="I1762" s="1"/>
    </row>
    <row r="1763" spans="1:9" x14ac:dyDescent="0.25">
      <c r="A1763" s="7"/>
      <c r="B1763" s="1"/>
      <c r="C1763" s="1"/>
      <c r="D1763" s="1"/>
      <c r="F1763" s="7"/>
      <c r="G1763" s="1"/>
      <c r="H1763" s="1"/>
      <c r="I1763" s="1"/>
    </row>
    <row r="1764" spans="1:9" x14ac:dyDescent="0.25">
      <c r="A1764" s="7"/>
      <c r="B1764" s="1"/>
      <c r="C1764" s="1"/>
      <c r="D1764" s="1"/>
      <c r="F1764" s="7"/>
      <c r="G1764" s="1"/>
      <c r="H1764" s="1"/>
      <c r="I1764" s="1"/>
    </row>
    <row r="1765" spans="1:9" x14ac:dyDescent="0.25">
      <c r="A1765" s="7"/>
      <c r="B1765" s="1"/>
      <c r="C1765" s="1"/>
      <c r="D1765" s="1"/>
      <c r="F1765" s="7"/>
      <c r="G1765" s="1"/>
      <c r="H1765" s="1"/>
      <c r="I1765" s="1"/>
    </row>
    <row r="1766" spans="1:9" x14ac:dyDescent="0.25">
      <c r="A1766" s="7"/>
      <c r="B1766" s="1"/>
      <c r="C1766" s="1"/>
      <c r="D1766" s="1"/>
      <c r="F1766" s="7"/>
      <c r="G1766" s="1"/>
      <c r="H1766" s="1"/>
      <c r="I1766" s="1"/>
    </row>
    <row r="1767" spans="1:9" x14ac:dyDescent="0.25">
      <c r="A1767" s="7"/>
      <c r="B1767" s="1"/>
      <c r="C1767" s="1"/>
      <c r="D1767" s="1"/>
      <c r="F1767" s="7"/>
      <c r="G1767" s="1"/>
      <c r="H1767" s="1"/>
      <c r="I1767" s="1"/>
    </row>
    <row r="1768" spans="1:9" x14ac:dyDescent="0.25">
      <c r="A1768" s="7"/>
      <c r="B1768" s="1"/>
      <c r="C1768" s="1"/>
      <c r="D1768" s="1"/>
      <c r="F1768" s="7"/>
      <c r="G1768" s="1"/>
      <c r="H1768" s="1"/>
      <c r="I1768" s="1"/>
    </row>
    <row r="1769" spans="1:9" x14ac:dyDescent="0.25">
      <c r="A1769" s="7"/>
      <c r="B1769" s="1"/>
      <c r="C1769" s="1"/>
      <c r="D1769" s="1"/>
      <c r="F1769" s="7"/>
      <c r="G1769" s="1"/>
      <c r="H1769" s="1"/>
      <c r="I1769" s="1"/>
    </row>
    <row r="1770" spans="1:9" x14ac:dyDescent="0.25">
      <c r="A1770" s="7"/>
      <c r="B1770" s="1"/>
      <c r="C1770" s="1"/>
      <c r="D1770" s="1"/>
      <c r="F1770" s="7"/>
      <c r="G1770" s="1"/>
      <c r="H1770" s="1"/>
      <c r="I1770" s="1"/>
    </row>
    <row r="1771" spans="1:9" x14ac:dyDescent="0.25">
      <c r="A1771" s="7"/>
      <c r="B1771" s="1"/>
      <c r="C1771" s="1"/>
      <c r="D1771" s="1"/>
      <c r="F1771" s="7"/>
      <c r="G1771" s="1"/>
      <c r="H1771" s="1"/>
      <c r="I1771" s="1"/>
    </row>
    <row r="1772" spans="1:9" x14ac:dyDescent="0.25">
      <c r="A1772" s="7"/>
      <c r="B1772" s="1"/>
      <c r="C1772" s="1"/>
      <c r="D1772" s="1"/>
      <c r="F1772" s="7"/>
      <c r="G1772" s="1"/>
      <c r="H1772" s="1"/>
      <c r="I1772" s="1"/>
    </row>
    <row r="1773" spans="1:9" x14ac:dyDescent="0.25">
      <c r="A1773" s="7"/>
      <c r="B1773" s="1"/>
      <c r="C1773" s="1"/>
      <c r="D1773" s="1"/>
      <c r="F1773" s="7"/>
      <c r="G1773" s="1"/>
      <c r="H1773" s="1"/>
      <c r="I1773" s="1"/>
    </row>
    <row r="1774" spans="1:9" x14ac:dyDescent="0.25">
      <c r="A1774" s="7"/>
      <c r="B1774" s="1"/>
      <c r="C1774" s="1"/>
      <c r="D1774" s="1"/>
      <c r="F1774" s="7"/>
      <c r="G1774" s="1"/>
      <c r="H1774" s="1"/>
      <c r="I1774" s="1"/>
    </row>
    <row r="1775" spans="1:9" x14ac:dyDescent="0.25">
      <c r="A1775" s="7"/>
      <c r="B1775" s="1"/>
      <c r="C1775" s="1"/>
      <c r="D1775" s="1"/>
      <c r="F1775" s="7"/>
      <c r="G1775" s="1"/>
      <c r="H1775" s="1"/>
      <c r="I1775" s="1"/>
    </row>
    <row r="1776" spans="1:9" x14ac:dyDescent="0.25">
      <c r="A1776" s="7"/>
      <c r="B1776" s="1"/>
      <c r="C1776" s="1"/>
      <c r="D1776" s="1"/>
      <c r="F1776" s="7"/>
      <c r="G1776" s="1"/>
      <c r="H1776" s="1"/>
      <c r="I1776" s="1"/>
    </row>
    <row r="1777" spans="1:9" x14ac:dyDescent="0.25">
      <c r="A1777" s="7"/>
      <c r="B1777" s="1"/>
      <c r="C1777" s="1"/>
      <c r="D1777" s="1"/>
      <c r="F1777" s="7"/>
      <c r="G1777" s="1"/>
      <c r="H1777" s="1"/>
      <c r="I1777" s="1"/>
    </row>
    <row r="1778" spans="1:9" x14ac:dyDescent="0.25">
      <c r="A1778" s="7"/>
      <c r="B1778" s="1"/>
      <c r="C1778" s="1"/>
      <c r="D1778" s="1"/>
      <c r="F1778" s="7"/>
      <c r="G1778" s="1"/>
      <c r="H1778" s="1"/>
      <c r="I1778" s="1"/>
    </row>
    <row r="1779" spans="1:9" x14ac:dyDescent="0.25">
      <c r="A1779" s="7"/>
      <c r="B1779" s="1"/>
      <c r="C1779" s="1"/>
      <c r="D1779" s="1"/>
      <c r="F1779" s="7"/>
      <c r="G1779" s="1"/>
      <c r="H1779" s="1"/>
      <c r="I1779" s="1"/>
    </row>
    <row r="1780" spans="1:9" x14ac:dyDescent="0.25">
      <c r="A1780" s="7"/>
      <c r="B1780" s="1"/>
      <c r="C1780" s="1"/>
      <c r="D1780" s="1"/>
      <c r="F1780" s="7"/>
      <c r="G1780" s="1"/>
      <c r="H1780" s="1"/>
      <c r="I1780" s="1"/>
    </row>
    <row r="1781" spans="1:9" x14ac:dyDescent="0.25">
      <c r="A1781" s="7"/>
      <c r="B1781" s="1"/>
      <c r="C1781" s="1"/>
      <c r="D1781" s="1"/>
      <c r="F1781" s="7"/>
      <c r="G1781" s="1"/>
      <c r="H1781" s="1"/>
      <c r="I1781" s="1"/>
    </row>
    <row r="1782" spans="1:9" x14ac:dyDescent="0.25">
      <c r="A1782" s="7"/>
      <c r="B1782" s="1"/>
      <c r="C1782" s="1"/>
      <c r="D1782" s="1"/>
      <c r="F1782" s="7"/>
      <c r="G1782" s="1"/>
      <c r="H1782" s="1"/>
      <c r="I1782" s="1"/>
    </row>
    <row r="1783" spans="1:9" x14ac:dyDescent="0.25">
      <c r="A1783" s="7"/>
      <c r="B1783" s="1"/>
      <c r="C1783" s="1"/>
      <c r="D1783" s="1"/>
      <c r="F1783" s="7"/>
      <c r="G1783" s="1"/>
      <c r="H1783" s="1"/>
      <c r="I1783" s="1"/>
    </row>
    <row r="1784" spans="1:9" x14ac:dyDescent="0.25">
      <c r="A1784" s="7"/>
      <c r="B1784" s="1"/>
      <c r="C1784" s="1"/>
      <c r="D1784" s="1"/>
      <c r="F1784" s="7"/>
      <c r="G1784" s="1"/>
      <c r="H1784" s="1"/>
      <c r="I1784" s="1"/>
    </row>
    <row r="1785" spans="1:9" x14ac:dyDescent="0.25">
      <c r="A1785" s="7"/>
      <c r="B1785" s="1"/>
      <c r="C1785" s="1"/>
      <c r="D1785" s="1"/>
      <c r="F1785" s="7"/>
      <c r="G1785" s="1"/>
      <c r="H1785" s="1"/>
      <c r="I1785" s="1"/>
    </row>
    <row r="1786" spans="1:9" x14ac:dyDescent="0.25">
      <c r="A1786" s="7"/>
      <c r="B1786" s="1"/>
      <c r="C1786" s="1"/>
      <c r="D1786" s="1"/>
      <c r="F1786" s="7"/>
      <c r="G1786" s="1"/>
      <c r="H1786" s="1"/>
      <c r="I1786" s="1"/>
    </row>
    <row r="1787" spans="1:9" x14ac:dyDescent="0.25">
      <c r="A1787" s="7"/>
      <c r="B1787" s="1"/>
      <c r="C1787" s="1"/>
      <c r="D1787" s="1"/>
      <c r="F1787" s="7"/>
      <c r="G1787" s="1"/>
      <c r="H1787" s="1"/>
      <c r="I1787" s="1"/>
    </row>
    <row r="1788" spans="1:9" x14ac:dyDescent="0.25">
      <c r="A1788" s="7"/>
      <c r="B1788" s="1"/>
      <c r="C1788" s="1"/>
      <c r="D1788" s="1"/>
      <c r="F1788" s="7"/>
      <c r="G1788" s="1"/>
      <c r="H1788" s="1"/>
      <c r="I1788" s="1"/>
    </row>
    <row r="1789" spans="1:9" x14ac:dyDescent="0.25">
      <c r="A1789" s="7"/>
      <c r="B1789" s="1"/>
      <c r="C1789" s="1"/>
      <c r="D1789" s="1"/>
      <c r="F1789" s="7"/>
      <c r="G1789" s="1"/>
      <c r="H1789" s="1"/>
      <c r="I1789" s="1"/>
    </row>
    <row r="1790" spans="1:9" x14ac:dyDescent="0.25">
      <c r="A1790" s="7"/>
      <c r="B1790" s="1"/>
      <c r="C1790" s="1"/>
      <c r="D1790" s="1"/>
      <c r="F1790" s="7"/>
      <c r="G1790" s="1"/>
      <c r="H1790" s="1"/>
      <c r="I1790" s="1"/>
    </row>
    <row r="1791" spans="1:9" x14ac:dyDescent="0.25">
      <c r="A1791" s="7"/>
      <c r="B1791" s="1"/>
      <c r="C1791" s="1"/>
      <c r="D1791" s="1"/>
      <c r="F1791" s="7"/>
      <c r="G1791" s="1"/>
      <c r="H1791" s="1"/>
      <c r="I1791" s="1"/>
    </row>
    <row r="1792" spans="1:9" x14ac:dyDescent="0.25">
      <c r="A1792" s="7"/>
      <c r="B1792" s="1"/>
      <c r="C1792" s="1"/>
      <c r="D1792" s="1"/>
      <c r="F1792" s="7"/>
      <c r="G1792" s="1"/>
      <c r="H1792" s="1"/>
      <c r="I1792" s="1"/>
    </row>
    <row r="1793" spans="1:9" x14ac:dyDescent="0.25">
      <c r="A1793" s="7"/>
      <c r="B1793" s="1"/>
      <c r="C1793" s="1"/>
      <c r="D1793" s="1"/>
      <c r="F1793" s="7"/>
      <c r="G1793" s="1"/>
      <c r="H1793" s="1"/>
      <c r="I1793" s="1"/>
    </row>
    <row r="1794" spans="1:9" x14ac:dyDescent="0.25">
      <c r="A1794" s="7"/>
      <c r="B1794" s="1"/>
      <c r="C1794" s="1"/>
      <c r="D1794" s="1"/>
      <c r="F1794" s="7"/>
      <c r="G1794" s="1"/>
      <c r="H1794" s="1"/>
      <c r="I1794" s="1"/>
    </row>
    <row r="1795" spans="1:9" x14ac:dyDescent="0.25">
      <c r="A1795" s="7"/>
      <c r="B1795" s="1"/>
      <c r="C1795" s="1"/>
      <c r="D1795" s="1"/>
      <c r="F1795" s="7"/>
      <c r="G1795" s="1"/>
      <c r="H1795" s="1"/>
      <c r="I1795" s="1"/>
    </row>
    <row r="1796" spans="1:9" x14ac:dyDescent="0.25">
      <c r="A1796" s="7"/>
      <c r="B1796" s="1"/>
      <c r="C1796" s="1"/>
      <c r="D1796" s="1"/>
      <c r="F1796" s="7"/>
      <c r="G1796" s="1"/>
      <c r="H1796" s="1"/>
      <c r="I1796" s="1"/>
    </row>
    <row r="1797" spans="1:9" x14ac:dyDescent="0.25">
      <c r="A1797" s="7"/>
      <c r="B1797" s="1"/>
      <c r="C1797" s="1"/>
      <c r="D1797" s="1"/>
      <c r="F1797" s="7"/>
      <c r="G1797" s="1"/>
      <c r="H1797" s="1"/>
      <c r="I1797" s="1"/>
    </row>
    <row r="1798" spans="1:9" x14ac:dyDescent="0.25">
      <c r="A1798" s="7"/>
      <c r="B1798" s="1"/>
      <c r="C1798" s="1"/>
      <c r="D1798" s="1"/>
      <c r="F1798" s="7"/>
      <c r="G1798" s="1"/>
      <c r="H1798" s="1"/>
      <c r="I1798" s="1"/>
    </row>
    <row r="1799" spans="1:9" x14ac:dyDescent="0.25">
      <c r="A1799" s="7"/>
      <c r="B1799" s="1"/>
      <c r="C1799" s="1"/>
      <c r="D1799" s="1"/>
      <c r="F1799" s="7"/>
      <c r="G1799" s="1"/>
      <c r="H1799" s="1"/>
      <c r="I1799" s="1"/>
    </row>
    <row r="1800" spans="1:9" x14ac:dyDescent="0.25">
      <c r="A1800" s="7"/>
      <c r="B1800" s="1"/>
      <c r="C1800" s="1"/>
      <c r="D1800" s="1"/>
      <c r="F1800" s="7"/>
      <c r="G1800" s="1"/>
      <c r="H1800" s="1"/>
      <c r="I1800" s="1"/>
    </row>
    <row r="1801" spans="1:9" x14ac:dyDescent="0.25">
      <c r="A1801" s="7"/>
      <c r="B1801" s="1"/>
      <c r="C1801" s="1"/>
      <c r="D1801" s="1"/>
      <c r="F1801" s="7"/>
      <c r="G1801" s="1"/>
      <c r="H1801" s="1"/>
      <c r="I1801" s="1"/>
    </row>
    <row r="1802" spans="1:9" x14ac:dyDescent="0.25">
      <c r="A1802" s="7"/>
      <c r="B1802" s="1"/>
      <c r="C1802" s="1"/>
      <c r="D1802" s="1"/>
      <c r="F1802" s="7"/>
      <c r="G1802" s="1"/>
      <c r="H1802" s="1"/>
      <c r="I1802" s="1"/>
    </row>
    <row r="1803" spans="1:9" x14ac:dyDescent="0.25">
      <c r="A1803" s="7"/>
      <c r="B1803" s="1"/>
      <c r="C1803" s="1"/>
      <c r="D1803" s="1"/>
      <c r="F1803" s="7"/>
      <c r="G1803" s="1"/>
      <c r="H1803" s="1"/>
      <c r="I1803" s="1"/>
    </row>
    <row r="1804" spans="1:9" x14ac:dyDescent="0.25">
      <c r="A1804" s="7"/>
      <c r="B1804" s="1"/>
      <c r="C1804" s="1"/>
      <c r="D1804" s="1"/>
      <c r="F1804" s="7"/>
      <c r="G1804" s="1"/>
      <c r="H1804" s="1"/>
      <c r="I1804" s="1"/>
    </row>
    <row r="1805" spans="1:9" x14ac:dyDescent="0.25">
      <c r="A1805" s="7"/>
      <c r="B1805" s="1"/>
      <c r="C1805" s="1"/>
      <c r="D1805" s="1"/>
      <c r="F1805" s="7"/>
      <c r="G1805" s="1"/>
      <c r="H1805" s="1"/>
      <c r="I1805" s="1"/>
    </row>
    <row r="1806" spans="1:9" x14ac:dyDescent="0.25">
      <c r="A1806" s="7"/>
      <c r="B1806" s="1"/>
      <c r="C1806" s="1"/>
      <c r="D1806" s="1"/>
      <c r="F1806" s="7"/>
      <c r="G1806" s="1"/>
      <c r="H1806" s="1"/>
      <c r="I1806" s="1"/>
    </row>
    <row r="1807" spans="1:9" x14ac:dyDescent="0.25">
      <c r="A1807" s="7"/>
      <c r="B1807" s="1"/>
      <c r="C1807" s="1"/>
      <c r="D1807" s="1"/>
      <c r="F1807" s="7"/>
      <c r="G1807" s="1"/>
      <c r="H1807" s="1"/>
      <c r="I1807" s="1"/>
    </row>
    <row r="1808" spans="1:9" x14ac:dyDescent="0.25">
      <c r="A1808" s="7"/>
      <c r="B1808" s="1"/>
      <c r="C1808" s="1"/>
      <c r="D1808" s="1"/>
      <c r="F1808" s="7"/>
      <c r="G1808" s="1"/>
      <c r="H1808" s="1"/>
      <c r="I1808" s="1"/>
    </row>
    <row r="1809" spans="1:9" x14ac:dyDescent="0.25">
      <c r="A1809" s="7"/>
      <c r="B1809" s="1"/>
      <c r="C1809" s="1"/>
      <c r="D1809" s="1"/>
      <c r="F1809" s="7"/>
      <c r="G1809" s="1"/>
      <c r="H1809" s="1"/>
      <c r="I1809" s="1"/>
    </row>
    <row r="1810" spans="1:9" x14ac:dyDescent="0.25">
      <c r="A1810" s="7"/>
      <c r="B1810" s="1"/>
      <c r="C1810" s="1"/>
      <c r="D1810" s="1"/>
      <c r="F1810" s="7"/>
      <c r="G1810" s="1"/>
      <c r="H1810" s="1"/>
      <c r="I1810" s="1"/>
    </row>
    <row r="1811" spans="1:9" x14ac:dyDescent="0.25">
      <c r="A1811" s="7"/>
      <c r="B1811" s="1"/>
      <c r="C1811" s="1"/>
      <c r="D1811" s="1"/>
      <c r="F1811" s="7"/>
      <c r="G1811" s="1"/>
      <c r="H1811" s="1"/>
      <c r="I1811" s="1"/>
    </row>
    <row r="1812" spans="1:9" x14ac:dyDescent="0.25">
      <c r="A1812" s="7"/>
      <c r="B1812" s="1"/>
      <c r="C1812" s="1"/>
      <c r="D1812" s="1"/>
      <c r="F1812" s="7"/>
      <c r="G1812" s="1"/>
      <c r="H1812" s="1"/>
      <c r="I1812" s="1"/>
    </row>
    <row r="1813" spans="1:9" x14ac:dyDescent="0.25">
      <c r="A1813" s="7"/>
      <c r="B1813" s="1"/>
      <c r="C1813" s="1"/>
      <c r="D1813" s="1"/>
      <c r="F1813" s="7"/>
      <c r="G1813" s="1"/>
      <c r="H1813" s="1"/>
      <c r="I1813" s="1"/>
    </row>
    <row r="1814" spans="1:9" x14ac:dyDescent="0.25">
      <c r="A1814" s="7"/>
      <c r="B1814" s="1"/>
      <c r="C1814" s="1"/>
      <c r="D1814" s="1"/>
      <c r="F1814" s="7"/>
      <c r="G1814" s="1"/>
      <c r="H1814" s="1"/>
      <c r="I1814" s="1"/>
    </row>
    <row r="1815" spans="1:9" x14ac:dyDescent="0.25">
      <c r="A1815" s="7"/>
      <c r="B1815" s="1"/>
      <c r="C1815" s="1"/>
      <c r="D1815" s="1"/>
      <c r="F1815" s="7"/>
      <c r="G1815" s="1"/>
      <c r="H1815" s="1"/>
      <c r="I1815" s="1"/>
    </row>
    <row r="1816" spans="1:9" x14ac:dyDescent="0.25">
      <c r="A1816" s="7"/>
      <c r="B1816" s="1"/>
      <c r="C1816" s="1"/>
      <c r="D1816" s="1"/>
      <c r="F1816" s="7"/>
      <c r="G1816" s="1"/>
      <c r="H1816" s="1"/>
      <c r="I1816" s="1"/>
    </row>
    <row r="1817" spans="1:9" x14ac:dyDescent="0.25">
      <c r="A1817" s="7"/>
      <c r="B1817" s="1"/>
      <c r="C1817" s="1"/>
      <c r="D1817" s="1"/>
      <c r="F1817" s="7"/>
      <c r="G1817" s="1"/>
      <c r="H1817" s="1"/>
      <c r="I1817" s="1"/>
    </row>
    <row r="1818" spans="1:9" x14ac:dyDescent="0.25">
      <c r="A1818" s="7"/>
      <c r="B1818" s="1"/>
      <c r="C1818" s="1"/>
      <c r="D1818" s="1"/>
      <c r="F1818" s="7"/>
      <c r="G1818" s="1"/>
      <c r="H1818" s="1"/>
      <c r="I1818" s="1"/>
    </row>
    <row r="1819" spans="1:9" x14ac:dyDescent="0.25">
      <c r="A1819" s="7"/>
      <c r="B1819" s="1"/>
      <c r="C1819" s="1"/>
      <c r="D1819" s="1"/>
      <c r="F1819" s="7"/>
      <c r="G1819" s="1"/>
      <c r="H1819" s="1"/>
      <c r="I1819" s="1"/>
    </row>
    <row r="1820" spans="1:9" x14ac:dyDescent="0.25">
      <c r="A1820" s="7"/>
      <c r="B1820" s="1"/>
      <c r="C1820" s="1"/>
      <c r="D1820" s="1"/>
      <c r="F1820" s="7"/>
      <c r="G1820" s="1"/>
      <c r="H1820" s="1"/>
      <c r="I1820" s="1"/>
    </row>
    <row r="1821" spans="1:9" x14ac:dyDescent="0.25">
      <c r="A1821" s="7"/>
      <c r="B1821" s="1"/>
      <c r="C1821" s="1"/>
      <c r="D1821" s="1"/>
      <c r="F1821" s="7"/>
      <c r="G1821" s="1"/>
      <c r="H1821" s="1"/>
      <c r="I1821" s="1"/>
    </row>
    <row r="1822" spans="1:9" x14ac:dyDescent="0.25">
      <c r="A1822" s="7"/>
      <c r="B1822" s="1"/>
      <c r="C1822" s="1"/>
      <c r="D1822" s="1"/>
      <c r="F1822" s="7"/>
      <c r="G1822" s="1"/>
      <c r="H1822" s="1"/>
      <c r="I1822" s="1"/>
    </row>
    <row r="1823" spans="1:9" x14ac:dyDescent="0.25">
      <c r="A1823" s="7"/>
      <c r="B1823" s="1"/>
      <c r="C1823" s="1"/>
      <c r="D1823" s="1"/>
      <c r="F1823" s="7"/>
      <c r="G1823" s="1"/>
      <c r="H1823" s="1"/>
      <c r="I1823" s="1"/>
    </row>
    <row r="1824" spans="1:9" x14ac:dyDescent="0.25">
      <c r="A1824" s="7"/>
      <c r="B1824" s="1"/>
      <c r="C1824" s="1"/>
      <c r="D1824" s="1"/>
      <c r="F1824" s="7"/>
      <c r="G1824" s="1"/>
      <c r="H1824" s="1"/>
      <c r="I1824" s="1"/>
    </row>
    <row r="1825" spans="1:9" x14ac:dyDescent="0.25">
      <c r="A1825" s="7"/>
      <c r="B1825" s="1"/>
      <c r="C1825" s="1"/>
      <c r="D1825" s="1"/>
      <c r="F1825" s="7"/>
      <c r="G1825" s="1"/>
      <c r="H1825" s="1"/>
      <c r="I1825" s="1"/>
    </row>
    <row r="1826" spans="1:9" x14ac:dyDescent="0.25">
      <c r="A1826" s="7"/>
      <c r="B1826" s="1"/>
      <c r="C1826" s="1"/>
      <c r="D1826" s="1"/>
      <c r="F1826" s="7"/>
      <c r="G1826" s="1"/>
      <c r="H1826" s="1"/>
      <c r="I1826" s="1"/>
    </row>
    <row r="1827" spans="1:9" x14ac:dyDescent="0.25">
      <c r="A1827" s="7"/>
      <c r="B1827" s="1"/>
      <c r="C1827" s="1"/>
      <c r="D1827" s="1"/>
      <c r="F1827" s="7"/>
      <c r="G1827" s="1"/>
      <c r="H1827" s="1"/>
      <c r="I1827" s="1"/>
    </row>
    <row r="1828" spans="1:9" x14ac:dyDescent="0.25">
      <c r="A1828" s="7"/>
      <c r="B1828" s="1"/>
      <c r="C1828" s="1"/>
      <c r="D1828" s="1"/>
      <c r="F1828" s="7"/>
      <c r="G1828" s="1"/>
      <c r="H1828" s="1"/>
      <c r="I1828" s="1"/>
    </row>
    <row r="1829" spans="1:9" x14ac:dyDescent="0.25">
      <c r="A1829" s="7"/>
      <c r="B1829" s="1"/>
      <c r="C1829" s="1"/>
      <c r="D1829" s="1"/>
      <c r="F1829" s="7"/>
      <c r="G1829" s="1"/>
      <c r="H1829" s="1"/>
      <c r="I1829" s="1"/>
    </row>
    <row r="1830" spans="1:9" x14ac:dyDescent="0.25">
      <c r="A1830" s="7"/>
      <c r="B1830" s="1"/>
      <c r="C1830" s="1"/>
      <c r="D1830" s="1"/>
      <c r="F1830" s="7"/>
      <c r="G1830" s="1"/>
      <c r="H1830" s="1"/>
      <c r="I1830" s="1"/>
    </row>
    <row r="1831" spans="1:9" x14ac:dyDescent="0.25">
      <c r="A1831" s="7"/>
      <c r="B1831" s="1"/>
      <c r="C1831" s="1"/>
      <c r="D1831" s="1"/>
      <c r="F1831" s="7"/>
      <c r="G1831" s="1"/>
      <c r="H1831" s="1"/>
      <c r="I1831" s="1"/>
    </row>
    <row r="1832" spans="1:9" x14ac:dyDescent="0.25">
      <c r="A1832" s="7"/>
      <c r="B1832" s="1"/>
      <c r="C1832" s="1"/>
      <c r="D1832" s="1"/>
      <c r="F1832" s="7"/>
      <c r="G1832" s="1"/>
      <c r="H1832" s="1"/>
      <c r="I1832" s="1"/>
    </row>
    <row r="1833" spans="1:9" x14ac:dyDescent="0.25">
      <c r="A1833" s="7"/>
      <c r="B1833" s="1"/>
      <c r="C1833" s="1"/>
      <c r="D1833" s="1"/>
      <c r="F1833" s="7"/>
      <c r="G1833" s="1"/>
      <c r="H1833" s="1"/>
      <c r="I1833" s="1"/>
    </row>
    <row r="1834" spans="1:9" x14ac:dyDescent="0.25">
      <c r="A1834" s="7"/>
      <c r="B1834" s="1"/>
      <c r="C1834" s="1"/>
      <c r="D1834" s="1"/>
      <c r="F1834" s="7"/>
      <c r="G1834" s="1"/>
      <c r="H1834" s="1"/>
      <c r="I1834" s="1"/>
    </row>
    <row r="1835" spans="1:9" x14ac:dyDescent="0.25">
      <c r="A1835" s="7"/>
      <c r="B1835" s="1"/>
      <c r="C1835" s="1"/>
      <c r="D1835" s="1"/>
      <c r="F1835" s="7"/>
      <c r="G1835" s="1"/>
      <c r="H1835" s="1"/>
      <c r="I1835" s="1"/>
    </row>
    <row r="1836" spans="1:9" x14ac:dyDescent="0.25">
      <c r="A1836" s="7"/>
      <c r="B1836" s="1"/>
      <c r="C1836" s="1"/>
      <c r="D1836" s="1"/>
      <c r="F1836" s="7"/>
      <c r="G1836" s="1"/>
      <c r="H1836" s="1"/>
      <c r="I1836" s="1"/>
    </row>
    <row r="1837" spans="1:9" x14ac:dyDescent="0.25">
      <c r="A1837" s="7"/>
      <c r="B1837" s="1"/>
      <c r="C1837" s="1"/>
      <c r="D1837" s="1"/>
      <c r="F1837" s="7"/>
      <c r="G1837" s="1"/>
      <c r="H1837" s="1"/>
      <c r="I1837" s="1"/>
    </row>
    <row r="1838" spans="1:9" x14ac:dyDescent="0.25">
      <c r="A1838" s="7"/>
      <c r="B1838" s="1"/>
      <c r="C1838" s="1"/>
      <c r="D1838" s="1"/>
      <c r="F1838" s="7"/>
      <c r="G1838" s="1"/>
      <c r="H1838" s="1"/>
      <c r="I1838" s="1"/>
    </row>
    <row r="1839" spans="1:9" x14ac:dyDescent="0.25">
      <c r="A1839" s="7"/>
      <c r="B1839" s="1"/>
      <c r="C1839" s="1"/>
      <c r="D1839" s="1"/>
      <c r="F1839" s="7"/>
      <c r="G1839" s="1"/>
      <c r="H1839" s="1"/>
      <c r="I1839" s="1"/>
    </row>
    <row r="1840" spans="1:9" x14ac:dyDescent="0.25">
      <c r="A1840" s="7"/>
      <c r="B1840" s="1"/>
      <c r="C1840" s="1"/>
      <c r="D1840" s="1"/>
      <c r="F1840" s="7"/>
      <c r="G1840" s="1"/>
      <c r="H1840" s="1"/>
      <c r="I1840" s="1"/>
    </row>
    <row r="1841" spans="1:9" x14ac:dyDescent="0.25">
      <c r="A1841" s="7"/>
      <c r="B1841" s="1"/>
      <c r="C1841" s="1"/>
      <c r="D1841" s="1"/>
      <c r="F1841" s="7"/>
      <c r="G1841" s="1"/>
      <c r="H1841" s="1"/>
      <c r="I1841" s="1"/>
    </row>
    <row r="1842" spans="1:9" x14ac:dyDescent="0.25">
      <c r="A1842" s="7"/>
      <c r="B1842" s="1"/>
      <c r="C1842" s="1"/>
      <c r="D1842" s="1"/>
      <c r="F1842" s="7"/>
      <c r="G1842" s="1"/>
      <c r="H1842" s="1"/>
      <c r="I1842" s="1"/>
    </row>
    <row r="1843" spans="1:9" x14ac:dyDescent="0.25">
      <c r="A1843" s="7"/>
      <c r="B1843" s="1"/>
      <c r="C1843" s="1"/>
      <c r="D1843" s="1"/>
      <c r="F1843" s="7"/>
      <c r="G1843" s="1"/>
      <c r="H1843" s="1"/>
      <c r="I1843" s="1"/>
    </row>
    <row r="1844" spans="1:9" x14ac:dyDescent="0.25">
      <c r="A1844" s="7"/>
      <c r="B1844" s="1"/>
      <c r="C1844" s="1"/>
      <c r="D1844" s="1"/>
      <c r="F1844" s="7"/>
      <c r="G1844" s="1"/>
      <c r="H1844" s="1"/>
      <c r="I1844" s="1"/>
    </row>
    <row r="1845" spans="1:9" x14ac:dyDescent="0.25">
      <c r="A1845" s="7"/>
      <c r="B1845" s="1"/>
      <c r="C1845" s="1"/>
      <c r="D1845" s="1"/>
      <c r="F1845" s="7"/>
      <c r="G1845" s="1"/>
      <c r="H1845" s="1"/>
      <c r="I1845" s="1"/>
    </row>
    <row r="1846" spans="1:9" x14ac:dyDescent="0.25">
      <c r="A1846" s="7"/>
      <c r="B1846" s="1"/>
      <c r="C1846" s="1"/>
      <c r="D1846" s="1"/>
      <c r="F1846" s="7"/>
      <c r="G1846" s="1"/>
      <c r="H1846" s="1"/>
      <c r="I1846" s="1"/>
    </row>
    <row r="1847" spans="1:9" x14ac:dyDescent="0.25">
      <c r="A1847" s="7"/>
      <c r="B1847" s="1"/>
      <c r="C1847" s="1"/>
      <c r="D1847" s="1"/>
      <c r="F1847" s="7"/>
      <c r="G1847" s="1"/>
      <c r="H1847" s="1"/>
      <c r="I1847" s="1"/>
    </row>
    <row r="1848" spans="1:9" x14ac:dyDescent="0.25">
      <c r="A1848" s="7"/>
      <c r="B1848" s="1"/>
      <c r="C1848" s="1"/>
      <c r="D1848" s="1"/>
      <c r="F1848" s="7"/>
      <c r="G1848" s="1"/>
      <c r="H1848" s="1"/>
      <c r="I1848" s="1"/>
    </row>
    <row r="1849" spans="1:9" x14ac:dyDescent="0.25">
      <c r="A1849" s="7"/>
      <c r="B1849" s="1"/>
      <c r="C1849" s="1"/>
      <c r="D1849" s="1"/>
      <c r="F1849" s="7"/>
      <c r="G1849" s="1"/>
      <c r="H1849" s="1"/>
      <c r="I1849" s="1"/>
    </row>
    <row r="1850" spans="1:9" x14ac:dyDescent="0.25">
      <c r="A1850" s="7"/>
      <c r="B1850" s="1"/>
      <c r="C1850" s="1"/>
      <c r="D1850" s="1"/>
      <c r="F1850" s="7"/>
      <c r="G1850" s="1"/>
      <c r="H1850" s="1"/>
      <c r="I1850" s="1"/>
    </row>
    <row r="1851" spans="1:9" x14ac:dyDescent="0.25">
      <c r="A1851" s="7"/>
      <c r="B1851" s="1"/>
      <c r="C1851" s="1"/>
      <c r="D1851" s="1"/>
      <c r="F1851" s="7"/>
      <c r="G1851" s="1"/>
      <c r="H1851" s="1"/>
      <c r="I1851" s="1"/>
    </row>
    <row r="1852" spans="1:9" x14ac:dyDescent="0.25">
      <c r="A1852" s="7"/>
      <c r="B1852" s="1"/>
      <c r="C1852" s="1"/>
      <c r="D1852" s="1"/>
      <c r="F1852" s="7"/>
      <c r="G1852" s="1"/>
      <c r="H1852" s="1"/>
      <c r="I1852" s="1"/>
    </row>
    <row r="1853" spans="1:9" x14ac:dyDescent="0.25">
      <c r="A1853" s="7"/>
      <c r="B1853" s="1"/>
      <c r="C1853" s="1"/>
      <c r="D1853" s="1"/>
      <c r="F1853" s="7"/>
      <c r="G1853" s="1"/>
      <c r="H1853" s="1"/>
      <c r="I1853" s="1"/>
    </row>
    <row r="1854" spans="1:9" x14ac:dyDescent="0.25">
      <c r="A1854" s="7"/>
      <c r="B1854" s="1"/>
      <c r="C1854" s="1"/>
      <c r="D1854" s="1"/>
      <c r="F1854" s="7"/>
      <c r="G1854" s="1"/>
      <c r="H1854" s="1"/>
      <c r="I1854" s="1"/>
    </row>
    <row r="1855" spans="1:9" x14ac:dyDescent="0.25">
      <c r="A1855" s="7"/>
      <c r="B1855" s="1"/>
      <c r="C1855" s="1"/>
      <c r="D1855" s="1"/>
      <c r="F1855" s="7"/>
      <c r="G1855" s="1"/>
      <c r="H1855" s="1"/>
      <c r="I1855" s="1"/>
    </row>
    <row r="1856" spans="1:9" x14ac:dyDescent="0.25">
      <c r="A1856" s="7"/>
      <c r="B1856" s="1"/>
      <c r="C1856" s="1"/>
      <c r="D1856" s="1"/>
      <c r="F1856" s="7"/>
      <c r="G1856" s="1"/>
      <c r="H1856" s="1"/>
      <c r="I1856" s="1"/>
    </row>
    <row r="1857" spans="1:9" x14ac:dyDescent="0.25">
      <c r="A1857" s="7"/>
      <c r="B1857" s="1"/>
      <c r="C1857" s="1"/>
      <c r="D1857" s="1"/>
      <c r="F1857" s="7"/>
      <c r="G1857" s="1"/>
      <c r="H1857" s="1"/>
      <c r="I1857" s="1"/>
    </row>
    <row r="1858" spans="1:9" x14ac:dyDescent="0.25">
      <c r="A1858" s="7"/>
      <c r="B1858" s="1"/>
      <c r="C1858" s="1"/>
      <c r="D1858" s="1"/>
      <c r="F1858" s="7"/>
      <c r="G1858" s="1"/>
      <c r="H1858" s="1"/>
      <c r="I1858" s="1"/>
    </row>
    <row r="1859" spans="1:9" x14ac:dyDescent="0.25">
      <c r="A1859" s="7"/>
      <c r="B1859" s="1"/>
      <c r="C1859" s="1"/>
      <c r="D1859" s="1"/>
      <c r="F1859" s="7"/>
      <c r="G1859" s="1"/>
      <c r="H1859" s="1"/>
      <c r="I1859" s="1"/>
    </row>
    <row r="1860" spans="1:9" x14ac:dyDescent="0.25">
      <c r="A1860" s="7"/>
      <c r="B1860" s="1"/>
      <c r="C1860" s="1"/>
      <c r="D1860" s="1"/>
      <c r="F1860" s="7"/>
      <c r="G1860" s="1"/>
      <c r="H1860" s="1"/>
      <c r="I1860" s="1"/>
    </row>
    <row r="1861" spans="1:9" x14ac:dyDescent="0.25">
      <c r="A1861" s="7"/>
      <c r="B1861" s="1"/>
      <c r="C1861" s="1"/>
      <c r="D1861" s="1"/>
      <c r="F1861" s="7"/>
      <c r="G1861" s="1"/>
      <c r="H1861" s="1"/>
      <c r="I1861" s="1"/>
    </row>
    <row r="1862" spans="1:9" x14ac:dyDescent="0.25">
      <c r="A1862" s="7"/>
      <c r="B1862" s="1"/>
      <c r="C1862" s="1"/>
      <c r="D1862" s="1"/>
      <c r="F1862" s="7"/>
      <c r="G1862" s="1"/>
      <c r="H1862" s="1"/>
      <c r="I1862" s="1"/>
    </row>
    <row r="1863" spans="1:9" x14ac:dyDescent="0.25">
      <c r="A1863" s="7"/>
      <c r="B1863" s="1"/>
      <c r="C1863" s="1"/>
      <c r="D1863" s="1"/>
      <c r="F1863" s="7"/>
      <c r="G1863" s="1"/>
      <c r="H1863" s="1"/>
      <c r="I1863" s="1"/>
    </row>
    <row r="1864" spans="1:9" x14ac:dyDescent="0.25">
      <c r="A1864" s="7"/>
      <c r="B1864" s="1"/>
      <c r="C1864" s="1"/>
      <c r="D1864" s="1"/>
      <c r="F1864" s="7"/>
      <c r="G1864" s="1"/>
      <c r="H1864" s="1"/>
      <c r="I1864" s="1"/>
    </row>
    <row r="1865" spans="1:9" x14ac:dyDescent="0.25">
      <c r="A1865" s="7"/>
      <c r="B1865" s="1"/>
      <c r="C1865" s="1"/>
      <c r="D1865" s="1"/>
      <c r="F1865" s="7"/>
      <c r="G1865" s="1"/>
      <c r="H1865" s="1"/>
      <c r="I1865" s="1"/>
    </row>
    <row r="1866" spans="1:9" x14ac:dyDescent="0.25">
      <c r="A1866" s="7"/>
      <c r="B1866" s="1"/>
      <c r="C1866" s="1"/>
      <c r="D1866" s="1"/>
      <c r="F1866" s="7"/>
      <c r="G1866" s="1"/>
      <c r="H1866" s="1"/>
      <c r="I1866" s="1"/>
    </row>
    <row r="1867" spans="1:9" x14ac:dyDescent="0.25">
      <c r="A1867" s="7"/>
      <c r="B1867" s="1"/>
      <c r="C1867" s="1"/>
      <c r="D1867" s="1"/>
      <c r="F1867" s="7"/>
      <c r="G1867" s="1"/>
      <c r="H1867" s="1"/>
      <c r="I1867" s="1"/>
    </row>
    <row r="1868" spans="1:9" x14ac:dyDescent="0.25">
      <c r="A1868" s="7"/>
      <c r="B1868" s="1"/>
      <c r="C1868" s="1"/>
      <c r="D1868" s="1"/>
      <c r="F1868" s="7"/>
      <c r="G1868" s="1"/>
      <c r="H1868" s="1"/>
      <c r="I1868" s="1"/>
    </row>
    <row r="1869" spans="1:9" x14ac:dyDescent="0.25">
      <c r="A1869" s="7"/>
      <c r="B1869" s="1"/>
      <c r="C1869" s="1"/>
      <c r="D1869" s="1"/>
      <c r="F1869" s="7"/>
      <c r="G1869" s="1"/>
      <c r="H1869" s="1"/>
      <c r="I1869" s="1"/>
    </row>
    <row r="1870" spans="1:9" x14ac:dyDescent="0.25">
      <c r="A1870" s="7"/>
      <c r="B1870" s="1"/>
      <c r="C1870" s="1"/>
      <c r="D1870" s="1"/>
      <c r="F1870" s="7"/>
      <c r="G1870" s="1"/>
      <c r="H1870" s="1"/>
      <c r="I1870" s="1"/>
    </row>
    <row r="1871" spans="1:9" x14ac:dyDescent="0.25">
      <c r="A1871" s="7"/>
      <c r="B1871" s="1"/>
      <c r="C1871" s="1"/>
      <c r="D1871" s="1"/>
      <c r="F1871" s="7"/>
      <c r="G1871" s="1"/>
      <c r="H1871" s="1"/>
      <c r="I1871" s="1"/>
    </row>
    <row r="1872" spans="1:9" x14ac:dyDescent="0.25">
      <c r="A1872" s="7"/>
      <c r="B1872" s="1"/>
      <c r="C1872" s="1"/>
      <c r="D1872" s="1"/>
      <c r="F1872" s="7"/>
      <c r="G1872" s="1"/>
      <c r="H1872" s="1"/>
      <c r="I1872" s="1"/>
    </row>
    <row r="1873" spans="1:9" x14ac:dyDescent="0.25">
      <c r="A1873" s="7"/>
      <c r="B1873" s="1"/>
      <c r="C1873" s="1"/>
      <c r="D1873" s="1"/>
      <c r="F1873" s="7"/>
      <c r="G1873" s="1"/>
      <c r="H1873" s="1"/>
      <c r="I1873" s="1"/>
    </row>
    <row r="1874" spans="1:9" x14ac:dyDescent="0.25">
      <c r="A1874" s="7"/>
      <c r="B1874" s="1"/>
      <c r="C1874" s="1"/>
      <c r="D1874" s="1"/>
      <c r="F1874" s="7"/>
      <c r="G1874" s="1"/>
      <c r="H1874" s="1"/>
      <c r="I1874" s="1"/>
    </row>
    <row r="1875" spans="1:9" x14ac:dyDescent="0.25">
      <c r="A1875" s="7"/>
      <c r="B1875" s="1"/>
      <c r="C1875" s="1"/>
      <c r="D1875" s="1"/>
      <c r="F1875" s="7"/>
      <c r="G1875" s="1"/>
      <c r="H1875" s="1"/>
      <c r="I1875" s="1"/>
    </row>
    <row r="1876" spans="1:9" x14ac:dyDescent="0.25">
      <c r="A1876" s="7"/>
      <c r="B1876" s="1"/>
      <c r="C1876" s="1"/>
      <c r="D1876" s="1"/>
      <c r="F1876" s="7"/>
      <c r="G1876" s="1"/>
      <c r="H1876" s="1"/>
      <c r="I1876" s="1"/>
    </row>
    <row r="1877" spans="1:9" x14ac:dyDescent="0.25">
      <c r="A1877" s="7"/>
      <c r="B1877" s="1"/>
      <c r="C1877" s="1"/>
      <c r="D1877" s="1"/>
      <c r="F1877" s="7"/>
      <c r="G1877" s="1"/>
      <c r="H1877" s="1"/>
      <c r="I1877" s="1"/>
    </row>
    <row r="1878" spans="1:9" x14ac:dyDescent="0.25">
      <c r="A1878" s="7"/>
      <c r="B1878" s="1"/>
      <c r="C1878" s="1"/>
      <c r="D1878" s="1"/>
      <c r="F1878" s="7"/>
      <c r="G1878" s="1"/>
      <c r="H1878" s="1"/>
      <c r="I1878" s="1"/>
    </row>
    <row r="1879" spans="1:9" x14ac:dyDescent="0.25">
      <c r="A1879" s="7"/>
      <c r="B1879" s="1"/>
      <c r="C1879" s="1"/>
      <c r="D1879" s="1"/>
      <c r="F1879" s="7"/>
      <c r="G1879" s="1"/>
      <c r="H1879" s="1"/>
      <c r="I1879" s="1"/>
    </row>
    <row r="1880" spans="1:9" x14ac:dyDescent="0.25">
      <c r="A1880" s="7"/>
      <c r="B1880" s="1"/>
      <c r="C1880" s="1"/>
      <c r="D1880" s="1"/>
      <c r="F1880" s="7"/>
      <c r="G1880" s="1"/>
      <c r="H1880" s="1"/>
      <c r="I1880" s="1"/>
    </row>
    <row r="1881" spans="1:9" x14ac:dyDescent="0.25">
      <c r="A1881" s="7"/>
      <c r="B1881" s="1"/>
      <c r="C1881" s="1"/>
      <c r="D1881" s="1"/>
      <c r="F1881" s="7"/>
      <c r="G1881" s="1"/>
      <c r="H1881" s="1"/>
      <c r="I1881" s="1"/>
    </row>
    <row r="1882" spans="1:9" x14ac:dyDescent="0.25">
      <c r="A1882" s="7"/>
      <c r="B1882" s="1"/>
      <c r="C1882" s="1"/>
      <c r="D1882" s="1"/>
      <c r="F1882" s="7"/>
      <c r="G1882" s="1"/>
      <c r="H1882" s="1"/>
      <c r="I1882" s="1"/>
    </row>
    <row r="1883" spans="1:9" x14ac:dyDescent="0.25">
      <c r="A1883" s="7"/>
      <c r="B1883" s="1"/>
      <c r="C1883" s="1"/>
      <c r="D1883" s="1"/>
      <c r="F1883" s="7"/>
      <c r="G1883" s="1"/>
      <c r="H1883" s="1"/>
      <c r="I1883" s="1"/>
    </row>
    <row r="1884" spans="1:9" x14ac:dyDescent="0.25">
      <c r="A1884" s="7"/>
      <c r="B1884" s="1"/>
      <c r="C1884" s="1"/>
      <c r="D1884" s="1"/>
      <c r="F1884" s="7"/>
      <c r="G1884" s="1"/>
      <c r="H1884" s="1"/>
      <c r="I1884" s="1"/>
    </row>
    <row r="1885" spans="1:9" x14ac:dyDescent="0.25">
      <c r="A1885" s="7"/>
      <c r="B1885" s="1"/>
      <c r="C1885" s="1"/>
      <c r="D1885" s="1"/>
      <c r="F1885" s="7"/>
      <c r="G1885" s="1"/>
      <c r="H1885" s="1"/>
      <c r="I1885" s="1"/>
    </row>
    <row r="1886" spans="1:9" x14ac:dyDescent="0.25">
      <c r="A1886" s="7"/>
      <c r="B1886" s="1"/>
      <c r="C1886" s="1"/>
      <c r="D1886" s="1"/>
      <c r="F1886" s="7"/>
      <c r="G1886" s="1"/>
      <c r="H1886" s="1"/>
      <c r="I1886" s="1"/>
    </row>
    <row r="1887" spans="1:9" x14ac:dyDescent="0.25">
      <c r="A1887" s="7"/>
      <c r="B1887" s="1"/>
      <c r="C1887" s="1"/>
      <c r="D1887" s="1"/>
      <c r="F1887" s="7"/>
      <c r="G1887" s="1"/>
      <c r="H1887" s="1"/>
      <c r="I1887" s="1"/>
    </row>
    <row r="1888" spans="1:9" x14ac:dyDescent="0.25">
      <c r="A1888" s="7"/>
      <c r="B1888" s="1"/>
      <c r="C1888" s="1"/>
      <c r="D1888" s="1"/>
      <c r="F1888" s="7"/>
      <c r="G1888" s="1"/>
      <c r="H1888" s="1"/>
      <c r="I1888" s="1"/>
    </row>
    <row r="1889" spans="1:9" x14ac:dyDescent="0.25">
      <c r="A1889" s="7"/>
      <c r="B1889" s="1"/>
      <c r="C1889" s="1"/>
      <c r="D1889" s="1"/>
      <c r="F1889" s="7"/>
      <c r="G1889" s="1"/>
      <c r="H1889" s="1"/>
      <c r="I1889" s="1"/>
    </row>
    <row r="1890" spans="1:9" x14ac:dyDescent="0.25">
      <c r="A1890" s="7"/>
      <c r="B1890" s="1"/>
      <c r="C1890" s="1"/>
      <c r="D1890" s="1"/>
      <c r="F1890" s="7"/>
      <c r="G1890" s="1"/>
      <c r="H1890" s="1"/>
      <c r="I1890" s="1"/>
    </row>
    <row r="1891" spans="1:9" x14ac:dyDescent="0.25">
      <c r="A1891" s="7"/>
      <c r="B1891" s="1"/>
      <c r="C1891" s="1"/>
      <c r="D1891" s="1"/>
      <c r="F1891" s="7"/>
      <c r="G1891" s="1"/>
      <c r="H1891" s="1"/>
      <c r="I1891" s="1"/>
    </row>
    <row r="1892" spans="1:9" x14ac:dyDescent="0.25">
      <c r="A1892" s="7"/>
      <c r="B1892" s="1"/>
      <c r="C1892" s="1"/>
      <c r="D1892" s="1"/>
      <c r="F1892" s="7"/>
      <c r="G1892" s="1"/>
      <c r="H1892" s="1"/>
      <c r="I1892" s="1"/>
    </row>
    <row r="1893" spans="1:9" x14ac:dyDescent="0.25">
      <c r="A1893" s="7"/>
      <c r="B1893" s="1"/>
      <c r="C1893" s="1"/>
      <c r="D1893" s="1"/>
      <c r="F1893" s="7"/>
      <c r="G1893" s="1"/>
      <c r="H1893" s="1"/>
      <c r="I1893" s="1"/>
    </row>
    <row r="1894" spans="1:9" x14ac:dyDescent="0.25">
      <c r="A1894" s="7"/>
      <c r="B1894" s="1"/>
      <c r="C1894" s="1"/>
      <c r="D1894" s="1"/>
      <c r="F1894" s="7"/>
      <c r="G1894" s="1"/>
      <c r="H1894" s="1"/>
      <c r="I1894" s="1"/>
    </row>
    <row r="1895" spans="1:9" x14ac:dyDescent="0.25">
      <c r="A1895" s="7"/>
      <c r="B1895" s="1"/>
      <c r="C1895" s="1"/>
      <c r="D1895" s="1"/>
      <c r="F1895" s="7"/>
      <c r="G1895" s="1"/>
      <c r="H1895" s="1"/>
      <c r="I1895" s="1"/>
    </row>
    <row r="1896" spans="1:9" x14ac:dyDescent="0.25">
      <c r="A1896" s="7"/>
      <c r="B1896" s="1"/>
      <c r="C1896" s="1"/>
      <c r="D1896" s="1"/>
      <c r="F1896" s="7"/>
      <c r="G1896" s="1"/>
      <c r="H1896" s="1"/>
      <c r="I1896" s="1"/>
    </row>
    <row r="1897" spans="1:9" x14ac:dyDescent="0.25">
      <c r="A1897" s="7"/>
      <c r="B1897" s="1"/>
      <c r="C1897" s="1"/>
      <c r="D1897" s="1"/>
      <c r="F1897" s="7"/>
      <c r="G1897" s="1"/>
      <c r="H1897" s="1"/>
      <c r="I1897" s="1"/>
    </row>
    <row r="1898" spans="1:9" x14ac:dyDescent="0.25">
      <c r="A1898" s="7"/>
      <c r="B1898" s="1"/>
      <c r="C1898" s="1"/>
      <c r="D1898" s="1"/>
      <c r="F1898" s="7"/>
      <c r="G1898" s="1"/>
      <c r="H1898" s="1"/>
      <c r="I1898" s="1"/>
    </row>
    <row r="1899" spans="1:9" x14ac:dyDescent="0.25">
      <c r="A1899" s="7"/>
      <c r="B1899" s="1"/>
      <c r="C1899" s="1"/>
      <c r="D1899" s="1"/>
      <c r="F1899" s="7"/>
      <c r="G1899" s="1"/>
      <c r="H1899" s="1"/>
      <c r="I1899" s="1"/>
    </row>
    <row r="1900" spans="1:9" x14ac:dyDescent="0.25">
      <c r="A1900" s="7"/>
      <c r="B1900" s="1"/>
      <c r="C1900" s="1"/>
      <c r="D1900" s="1"/>
      <c r="F1900" s="7"/>
      <c r="G1900" s="1"/>
      <c r="H1900" s="1"/>
      <c r="I1900" s="1"/>
    </row>
    <row r="1901" spans="1:9" x14ac:dyDescent="0.25">
      <c r="A1901" s="7"/>
      <c r="B1901" s="1"/>
      <c r="C1901" s="1"/>
      <c r="D1901" s="1"/>
      <c r="F1901" s="7"/>
      <c r="G1901" s="1"/>
      <c r="H1901" s="1"/>
      <c r="I1901" s="1"/>
    </row>
    <row r="1902" spans="1:9" x14ac:dyDescent="0.25">
      <c r="A1902" s="7"/>
      <c r="B1902" s="1"/>
      <c r="C1902" s="1"/>
      <c r="D1902" s="1"/>
      <c r="F1902" s="7"/>
      <c r="G1902" s="1"/>
      <c r="H1902" s="1"/>
      <c r="I1902" s="1"/>
    </row>
    <row r="1903" spans="1:9" x14ac:dyDescent="0.25">
      <c r="A1903" s="7"/>
      <c r="B1903" s="1"/>
      <c r="C1903" s="1"/>
      <c r="D1903" s="1"/>
      <c r="F1903" s="7"/>
      <c r="G1903" s="1"/>
      <c r="H1903" s="1"/>
      <c r="I1903" s="1"/>
    </row>
    <row r="1904" spans="1:9" x14ac:dyDescent="0.25">
      <c r="A1904" s="7"/>
      <c r="B1904" s="1"/>
      <c r="C1904" s="1"/>
      <c r="D1904" s="1"/>
      <c r="F1904" s="7"/>
      <c r="G1904" s="1"/>
      <c r="H1904" s="1"/>
      <c r="I1904" s="1"/>
    </row>
    <row r="1905" spans="1:9" x14ac:dyDescent="0.25">
      <c r="A1905" s="7"/>
      <c r="B1905" s="1"/>
      <c r="C1905" s="1"/>
      <c r="D1905" s="1"/>
      <c r="F1905" s="7"/>
      <c r="G1905" s="1"/>
      <c r="H1905" s="1"/>
      <c r="I1905" s="1"/>
    </row>
    <row r="1906" spans="1:9" x14ac:dyDescent="0.25">
      <c r="A1906" s="7"/>
      <c r="B1906" s="1"/>
      <c r="C1906" s="1"/>
      <c r="D1906" s="1"/>
      <c r="F1906" s="7"/>
      <c r="G1906" s="1"/>
      <c r="H1906" s="1"/>
      <c r="I1906" s="1"/>
    </row>
    <row r="1907" spans="1:9" x14ac:dyDescent="0.25">
      <c r="A1907" s="7"/>
      <c r="B1907" s="1"/>
      <c r="C1907" s="1"/>
      <c r="D1907" s="1"/>
      <c r="F1907" s="7"/>
      <c r="G1907" s="1"/>
      <c r="H1907" s="1"/>
      <c r="I1907" s="1"/>
    </row>
    <row r="1908" spans="1:9" x14ac:dyDescent="0.25">
      <c r="A1908" s="7"/>
      <c r="B1908" s="1"/>
      <c r="C1908" s="1"/>
      <c r="D1908" s="1"/>
      <c r="F1908" s="7"/>
      <c r="G1908" s="1"/>
      <c r="H1908" s="1"/>
      <c r="I1908" s="1"/>
    </row>
    <row r="1909" spans="1:9" x14ac:dyDescent="0.25">
      <c r="A1909" s="7"/>
      <c r="B1909" s="1"/>
      <c r="C1909" s="1"/>
      <c r="D1909" s="1"/>
      <c r="F1909" s="7"/>
      <c r="G1909" s="1"/>
      <c r="H1909" s="1"/>
      <c r="I1909" s="1"/>
    </row>
    <row r="1910" spans="1:9" x14ac:dyDescent="0.25">
      <c r="A1910" s="7"/>
      <c r="B1910" s="1"/>
      <c r="C1910" s="1"/>
      <c r="D1910" s="1"/>
      <c r="F1910" s="7"/>
      <c r="G1910" s="1"/>
      <c r="H1910" s="1"/>
      <c r="I1910" s="1"/>
    </row>
    <row r="1911" spans="1:9" x14ac:dyDescent="0.25">
      <c r="A1911" s="7"/>
      <c r="B1911" s="1"/>
      <c r="C1911" s="1"/>
      <c r="D1911" s="1"/>
      <c r="F1911" s="7"/>
      <c r="G1911" s="1"/>
      <c r="H1911" s="1"/>
      <c r="I1911" s="1"/>
    </row>
    <row r="1912" spans="1:9" x14ac:dyDescent="0.25">
      <c r="A1912" s="7"/>
      <c r="B1912" s="1"/>
      <c r="C1912" s="1"/>
      <c r="D1912" s="1"/>
      <c r="F1912" s="7"/>
      <c r="G1912" s="1"/>
      <c r="H1912" s="1"/>
      <c r="I1912" s="1"/>
    </row>
    <row r="1913" spans="1:9" x14ac:dyDescent="0.25">
      <c r="A1913" s="7"/>
      <c r="B1913" s="1"/>
      <c r="C1913" s="1"/>
      <c r="D1913" s="1"/>
      <c r="F1913" s="7"/>
      <c r="G1913" s="1"/>
      <c r="H1913" s="1"/>
      <c r="I1913" s="1"/>
    </row>
    <row r="1914" spans="1:9" x14ac:dyDescent="0.25">
      <c r="A1914" s="7"/>
      <c r="B1914" s="1"/>
      <c r="C1914" s="1"/>
      <c r="D1914" s="1"/>
      <c r="F1914" s="7"/>
      <c r="G1914" s="1"/>
      <c r="H1914" s="1"/>
      <c r="I1914" s="1"/>
    </row>
    <row r="1915" spans="1:9" x14ac:dyDescent="0.25">
      <c r="A1915" s="7"/>
      <c r="B1915" s="1"/>
      <c r="C1915" s="1"/>
      <c r="D1915" s="1"/>
      <c r="F1915" s="7"/>
      <c r="G1915" s="1"/>
      <c r="H1915" s="1"/>
      <c r="I1915" s="1"/>
    </row>
    <row r="1916" spans="1:9" x14ac:dyDescent="0.25">
      <c r="A1916" s="7"/>
      <c r="B1916" s="1"/>
      <c r="C1916" s="1"/>
      <c r="D1916" s="1"/>
      <c r="F1916" s="7"/>
      <c r="G1916" s="1"/>
      <c r="H1916" s="1"/>
      <c r="I1916" s="1"/>
    </row>
    <row r="1917" spans="1:9" x14ac:dyDescent="0.25">
      <c r="A1917" s="7"/>
      <c r="B1917" s="1"/>
      <c r="C1917" s="1"/>
      <c r="D1917" s="1"/>
      <c r="F1917" s="7"/>
      <c r="G1917" s="1"/>
      <c r="H1917" s="1"/>
      <c r="I1917" s="1"/>
    </row>
    <row r="1918" spans="1:9" x14ac:dyDescent="0.25">
      <c r="A1918" s="7"/>
      <c r="B1918" s="1"/>
      <c r="C1918" s="1"/>
      <c r="D1918" s="1"/>
      <c r="F1918" s="7"/>
      <c r="G1918" s="1"/>
      <c r="H1918" s="1"/>
      <c r="I1918" s="1"/>
    </row>
    <row r="1919" spans="1:9" x14ac:dyDescent="0.25">
      <c r="A1919" s="7"/>
      <c r="B1919" s="1"/>
      <c r="C1919" s="1"/>
      <c r="D1919" s="1"/>
      <c r="F1919" s="7"/>
      <c r="G1919" s="1"/>
      <c r="H1919" s="1"/>
      <c r="I1919" s="1"/>
    </row>
    <row r="1920" spans="1:9" x14ac:dyDescent="0.25">
      <c r="A1920" s="7"/>
      <c r="B1920" s="1"/>
      <c r="C1920" s="1"/>
      <c r="D1920" s="1"/>
      <c r="F1920" s="7"/>
      <c r="G1920" s="1"/>
      <c r="H1920" s="1"/>
      <c r="I1920" s="1"/>
    </row>
    <row r="1921" spans="1:9" x14ac:dyDescent="0.25">
      <c r="A1921" s="7"/>
      <c r="B1921" s="1"/>
      <c r="C1921" s="1"/>
      <c r="D1921" s="1"/>
      <c r="F1921" s="7"/>
      <c r="G1921" s="1"/>
      <c r="H1921" s="1"/>
      <c r="I1921" s="1"/>
    </row>
    <row r="1922" spans="1:9" x14ac:dyDescent="0.25">
      <c r="A1922" s="7"/>
      <c r="B1922" s="1"/>
      <c r="C1922" s="1"/>
      <c r="D1922" s="1"/>
      <c r="F1922" s="7"/>
      <c r="G1922" s="1"/>
      <c r="H1922" s="1"/>
      <c r="I1922" s="1"/>
    </row>
    <row r="1923" spans="1:9" x14ac:dyDescent="0.25">
      <c r="A1923" s="7"/>
      <c r="B1923" s="1"/>
      <c r="C1923" s="1"/>
      <c r="D1923" s="1"/>
      <c r="F1923" s="7"/>
      <c r="G1923" s="1"/>
      <c r="H1923" s="1"/>
      <c r="I1923" s="1"/>
    </row>
    <row r="1924" spans="1:9" x14ac:dyDescent="0.25">
      <c r="A1924" s="7"/>
      <c r="B1924" s="1"/>
      <c r="C1924" s="1"/>
      <c r="D1924" s="1"/>
      <c r="F1924" s="7"/>
      <c r="G1924" s="1"/>
      <c r="H1924" s="1"/>
      <c r="I1924" s="1"/>
    </row>
    <row r="1925" spans="1:9" x14ac:dyDescent="0.25">
      <c r="A1925" s="7"/>
      <c r="B1925" s="1"/>
      <c r="C1925" s="1"/>
      <c r="D1925" s="1"/>
      <c r="F1925" s="7"/>
      <c r="G1925" s="1"/>
      <c r="H1925" s="1"/>
      <c r="I1925" s="1"/>
    </row>
    <row r="1926" spans="1:9" x14ac:dyDescent="0.25">
      <c r="A1926" s="7"/>
      <c r="B1926" s="1"/>
      <c r="C1926" s="1"/>
      <c r="D1926" s="1"/>
      <c r="F1926" s="7"/>
      <c r="G1926" s="1"/>
      <c r="H1926" s="1"/>
      <c r="I1926" s="1"/>
    </row>
    <row r="1927" spans="1:9" x14ac:dyDescent="0.25">
      <c r="A1927" s="7"/>
      <c r="B1927" s="1"/>
      <c r="C1927" s="1"/>
      <c r="D1927" s="1"/>
      <c r="F1927" s="7"/>
      <c r="G1927" s="1"/>
      <c r="H1927" s="1"/>
      <c r="I1927" s="1"/>
    </row>
    <row r="1928" spans="1:9" x14ac:dyDescent="0.25">
      <c r="A1928" s="7"/>
      <c r="B1928" s="1"/>
      <c r="C1928" s="1"/>
      <c r="D1928" s="1"/>
      <c r="F1928" s="7"/>
      <c r="G1928" s="1"/>
      <c r="H1928" s="1"/>
      <c r="I1928" s="1"/>
    </row>
    <row r="1929" spans="1:9" x14ac:dyDescent="0.25">
      <c r="A1929" s="7"/>
      <c r="B1929" s="1"/>
      <c r="C1929" s="1"/>
      <c r="D1929" s="1"/>
      <c r="F1929" s="7"/>
      <c r="G1929" s="1"/>
      <c r="H1929" s="1"/>
      <c r="I1929" s="1"/>
    </row>
    <row r="1930" spans="1:9" x14ac:dyDescent="0.25">
      <c r="A1930" s="7"/>
      <c r="B1930" s="1"/>
      <c r="C1930" s="1"/>
      <c r="D1930" s="1"/>
      <c r="F1930" s="7"/>
      <c r="G1930" s="1"/>
      <c r="H1930" s="1"/>
      <c r="I1930" s="1"/>
    </row>
    <row r="1931" spans="1:9" x14ac:dyDescent="0.25">
      <c r="A1931" s="7"/>
      <c r="B1931" s="1"/>
      <c r="C1931" s="1"/>
      <c r="D1931" s="1"/>
      <c r="F1931" s="7"/>
      <c r="G1931" s="1"/>
      <c r="H1931" s="1"/>
      <c r="I1931" s="1"/>
    </row>
    <row r="1932" spans="1:9" x14ac:dyDescent="0.25">
      <c r="A1932" s="7"/>
      <c r="B1932" s="1"/>
      <c r="C1932" s="1"/>
      <c r="D1932" s="1"/>
      <c r="F1932" s="7"/>
      <c r="G1932" s="1"/>
      <c r="H1932" s="1"/>
      <c r="I1932" s="1"/>
    </row>
    <row r="1933" spans="1:9" x14ac:dyDescent="0.25">
      <c r="A1933" s="7"/>
      <c r="B1933" s="1"/>
      <c r="C1933" s="1"/>
      <c r="D1933" s="1"/>
      <c r="F1933" s="7"/>
      <c r="G1933" s="1"/>
      <c r="H1933" s="1"/>
      <c r="I1933" s="1"/>
    </row>
    <row r="1934" spans="1:9" x14ac:dyDescent="0.25">
      <c r="A1934" s="7"/>
      <c r="B1934" s="1"/>
      <c r="C1934" s="1"/>
      <c r="D1934" s="1"/>
      <c r="F1934" s="7"/>
      <c r="G1934" s="1"/>
      <c r="H1934" s="1"/>
      <c r="I1934" s="1"/>
    </row>
    <row r="1935" spans="1:9" x14ac:dyDescent="0.25">
      <c r="A1935" s="7"/>
      <c r="B1935" s="1"/>
      <c r="C1935" s="1"/>
      <c r="D1935" s="1"/>
      <c r="F1935" s="7"/>
      <c r="G1935" s="1"/>
      <c r="H1935" s="1"/>
      <c r="I1935" s="1"/>
    </row>
    <row r="1936" spans="1:9" x14ac:dyDescent="0.25">
      <c r="A1936" s="7"/>
      <c r="B1936" s="1"/>
      <c r="C1936" s="1"/>
      <c r="D1936" s="1"/>
      <c r="F1936" s="7"/>
      <c r="G1936" s="1"/>
      <c r="H1936" s="1"/>
      <c r="I1936" s="1"/>
    </row>
    <row r="1937" spans="1:9" x14ac:dyDescent="0.25">
      <c r="A1937" s="7"/>
      <c r="B1937" s="1"/>
      <c r="C1937" s="1"/>
      <c r="D1937" s="1"/>
      <c r="F1937" s="7"/>
      <c r="G1937" s="1"/>
      <c r="H1937" s="1"/>
      <c r="I1937" s="1"/>
    </row>
    <row r="1938" spans="1:9" x14ac:dyDescent="0.25">
      <c r="A1938" s="7"/>
      <c r="B1938" s="1"/>
      <c r="C1938" s="1"/>
      <c r="D1938" s="1"/>
      <c r="F1938" s="7"/>
      <c r="G1938" s="1"/>
      <c r="H1938" s="1"/>
      <c r="I1938" s="1"/>
    </row>
    <row r="1939" spans="1:9" x14ac:dyDescent="0.25">
      <c r="A1939" s="7"/>
      <c r="B1939" s="1"/>
      <c r="C1939" s="1"/>
      <c r="D1939" s="1"/>
      <c r="F1939" s="7"/>
      <c r="G1939" s="1"/>
      <c r="H1939" s="1"/>
      <c r="I1939" s="1"/>
    </row>
    <row r="1940" spans="1:9" x14ac:dyDescent="0.25">
      <c r="A1940" s="7"/>
      <c r="B1940" s="1"/>
      <c r="C1940" s="1"/>
      <c r="D1940" s="1"/>
      <c r="F1940" s="7"/>
      <c r="G1940" s="1"/>
      <c r="H1940" s="1"/>
      <c r="I1940" s="1"/>
    </row>
    <row r="1941" spans="1:9" x14ac:dyDescent="0.25">
      <c r="A1941" s="7"/>
      <c r="B1941" s="1"/>
      <c r="C1941" s="1"/>
      <c r="D1941" s="1"/>
      <c r="F1941" s="7"/>
      <c r="G1941" s="1"/>
      <c r="H1941" s="1"/>
      <c r="I1941" s="1"/>
    </row>
    <row r="1942" spans="1:9" x14ac:dyDescent="0.25">
      <c r="A1942" s="7"/>
      <c r="B1942" s="1"/>
      <c r="C1942" s="1"/>
      <c r="D1942" s="1"/>
      <c r="F1942" s="7"/>
      <c r="G1942" s="1"/>
      <c r="H1942" s="1"/>
      <c r="I1942" s="1"/>
    </row>
    <row r="1943" spans="1:9" x14ac:dyDescent="0.25">
      <c r="A1943" s="7"/>
      <c r="B1943" s="1"/>
      <c r="C1943" s="1"/>
      <c r="D1943" s="1"/>
      <c r="F1943" s="7"/>
      <c r="G1943" s="1"/>
      <c r="H1943" s="1"/>
      <c r="I1943" s="1"/>
    </row>
    <row r="1944" spans="1:9" x14ac:dyDescent="0.25">
      <c r="A1944" s="7"/>
      <c r="B1944" s="1"/>
      <c r="C1944" s="1"/>
      <c r="D1944" s="1"/>
      <c r="F1944" s="7"/>
      <c r="G1944" s="1"/>
      <c r="H1944" s="1"/>
      <c r="I1944" s="1"/>
    </row>
    <row r="1945" spans="1:9" x14ac:dyDescent="0.25">
      <c r="A1945" s="7"/>
      <c r="B1945" s="1"/>
      <c r="C1945" s="1"/>
      <c r="D1945" s="1"/>
      <c r="F1945" s="7"/>
      <c r="G1945" s="1"/>
      <c r="H1945" s="1"/>
      <c r="I1945" s="1"/>
    </row>
    <row r="1946" spans="1:9" x14ac:dyDescent="0.25">
      <c r="A1946" s="7"/>
      <c r="B1946" s="1"/>
      <c r="C1946" s="1"/>
      <c r="D1946" s="1"/>
      <c r="F1946" s="7"/>
      <c r="G1946" s="1"/>
      <c r="H1946" s="1"/>
      <c r="I1946" s="1"/>
    </row>
    <row r="1947" spans="1:9" x14ac:dyDescent="0.25">
      <c r="A1947" s="7"/>
      <c r="B1947" s="1"/>
      <c r="C1947" s="1"/>
      <c r="D1947" s="1"/>
      <c r="F1947" s="7"/>
      <c r="G1947" s="1"/>
      <c r="H1947" s="1"/>
      <c r="I1947" s="1"/>
    </row>
    <row r="1948" spans="1:9" x14ac:dyDescent="0.25">
      <c r="A1948" s="7"/>
      <c r="B1948" s="1"/>
      <c r="C1948" s="1"/>
      <c r="D1948" s="1"/>
      <c r="F1948" s="7"/>
      <c r="G1948" s="1"/>
      <c r="H1948" s="1"/>
      <c r="I1948" s="1"/>
    </row>
    <row r="1949" spans="1:9" x14ac:dyDescent="0.25">
      <c r="A1949" s="7"/>
      <c r="B1949" s="1"/>
      <c r="C1949" s="1"/>
      <c r="D1949" s="1"/>
      <c r="F1949" s="7"/>
      <c r="G1949" s="1"/>
      <c r="H1949" s="1"/>
      <c r="I1949" s="1"/>
    </row>
    <row r="1950" spans="1:9" x14ac:dyDescent="0.25">
      <c r="A1950" s="7"/>
      <c r="B1950" s="1"/>
      <c r="C1950" s="1"/>
      <c r="D1950" s="1"/>
      <c r="F1950" s="7"/>
      <c r="G1950" s="1"/>
      <c r="H1950" s="1"/>
      <c r="I1950" s="1"/>
    </row>
    <row r="1951" spans="1:9" x14ac:dyDescent="0.25">
      <c r="A1951" s="7"/>
      <c r="B1951" s="1"/>
      <c r="C1951" s="1"/>
      <c r="D1951" s="1"/>
      <c r="F1951" s="7"/>
      <c r="G1951" s="1"/>
      <c r="H1951" s="1"/>
      <c r="I1951" s="1"/>
    </row>
    <row r="1952" spans="1:9" x14ac:dyDescent="0.25">
      <c r="A1952" s="7"/>
      <c r="B1952" s="1"/>
      <c r="C1952" s="1"/>
      <c r="D1952" s="1"/>
      <c r="F1952" s="7"/>
      <c r="G1952" s="1"/>
      <c r="H1952" s="1"/>
      <c r="I1952" s="1"/>
    </row>
    <row r="1953" spans="1:9" x14ac:dyDescent="0.25">
      <c r="A1953" s="7"/>
      <c r="B1953" s="1"/>
      <c r="C1953" s="1"/>
      <c r="D1953" s="1"/>
      <c r="F1953" s="7"/>
      <c r="G1953" s="1"/>
      <c r="H1953" s="1"/>
      <c r="I1953" s="1"/>
    </row>
    <row r="1954" spans="1:9" x14ac:dyDescent="0.25">
      <c r="A1954" s="7"/>
      <c r="B1954" s="1"/>
      <c r="C1954" s="1"/>
      <c r="D1954" s="1"/>
      <c r="F1954" s="7"/>
      <c r="G1954" s="1"/>
      <c r="H1954" s="1"/>
      <c r="I1954" s="1"/>
    </row>
    <row r="1955" spans="1:9" x14ac:dyDescent="0.25">
      <c r="A1955" s="7"/>
      <c r="B1955" s="1"/>
      <c r="C1955" s="1"/>
      <c r="D1955" s="1"/>
      <c r="F1955" s="7"/>
      <c r="G1955" s="1"/>
      <c r="H1955" s="1"/>
      <c r="I1955" s="1"/>
    </row>
    <row r="1956" spans="1:9" x14ac:dyDescent="0.25">
      <c r="A1956" s="7"/>
      <c r="B1956" s="1"/>
      <c r="C1956" s="1"/>
      <c r="D1956" s="1"/>
      <c r="F1956" s="7"/>
      <c r="G1956" s="1"/>
      <c r="H1956" s="1"/>
      <c r="I1956" s="1"/>
    </row>
    <row r="1957" spans="1:9" x14ac:dyDescent="0.25">
      <c r="A1957" s="7"/>
      <c r="B1957" s="1"/>
      <c r="C1957" s="1"/>
      <c r="D1957" s="1"/>
      <c r="F1957" s="7"/>
      <c r="G1957" s="1"/>
      <c r="H1957" s="1"/>
      <c r="I1957" s="1"/>
    </row>
    <row r="1958" spans="1:9" x14ac:dyDescent="0.25">
      <c r="A1958" s="7"/>
      <c r="B1958" s="1"/>
      <c r="C1958" s="1"/>
      <c r="D1958" s="1"/>
      <c r="F1958" s="7"/>
      <c r="G1958" s="1"/>
      <c r="H1958" s="1"/>
      <c r="I1958" s="1"/>
    </row>
    <row r="1959" spans="1:9" x14ac:dyDescent="0.25">
      <c r="A1959" s="7"/>
      <c r="B1959" s="1"/>
      <c r="C1959" s="1"/>
      <c r="D1959" s="1"/>
      <c r="F1959" s="7"/>
      <c r="G1959" s="1"/>
      <c r="H1959" s="1"/>
      <c r="I1959" s="1"/>
    </row>
    <row r="1960" spans="1:9" x14ac:dyDescent="0.25">
      <c r="A1960" s="7"/>
      <c r="B1960" s="1"/>
      <c r="C1960" s="1"/>
      <c r="D1960" s="1"/>
      <c r="F1960" s="7"/>
      <c r="G1960" s="1"/>
      <c r="H1960" s="1"/>
      <c r="I1960" s="1"/>
    </row>
    <row r="1961" spans="1:9" x14ac:dyDescent="0.25">
      <c r="A1961" s="7"/>
      <c r="B1961" s="1"/>
      <c r="C1961" s="1"/>
      <c r="D1961" s="1"/>
      <c r="F1961" s="7"/>
      <c r="G1961" s="1"/>
      <c r="H1961" s="1"/>
      <c r="I1961" s="1"/>
    </row>
    <row r="1962" spans="1:9" x14ac:dyDescent="0.25">
      <c r="A1962" s="7"/>
      <c r="B1962" s="1"/>
      <c r="C1962" s="1"/>
      <c r="D1962" s="1"/>
      <c r="F1962" s="7"/>
      <c r="G1962" s="1"/>
      <c r="H1962" s="1"/>
      <c r="I1962" s="1"/>
    </row>
    <row r="1963" spans="1:9" x14ac:dyDescent="0.25">
      <c r="A1963" s="7"/>
      <c r="B1963" s="1"/>
      <c r="C1963" s="1"/>
      <c r="D1963" s="1"/>
      <c r="F1963" s="7"/>
      <c r="G1963" s="1"/>
      <c r="H1963" s="1"/>
      <c r="I1963" s="1"/>
    </row>
    <row r="1964" spans="1:9" x14ac:dyDescent="0.25">
      <c r="A1964" s="7"/>
      <c r="B1964" s="1"/>
      <c r="C1964" s="1"/>
      <c r="D1964" s="1"/>
      <c r="F1964" s="7"/>
      <c r="G1964" s="1"/>
      <c r="H1964" s="1"/>
      <c r="I1964" s="1"/>
    </row>
    <row r="1965" spans="1:9" x14ac:dyDescent="0.25">
      <c r="A1965" s="7"/>
      <c r="B1965" s="1"/>
      <c r="C1965" s="1"/>
      <c r="D1965" s="1"/>
      <c r="F1965" s="7"/>
      <c r="G1965" s="1"/>
      <c r="H1965" s="1"/>
      <c r="I1965" s="1"/>
    </row>
    <row r="1966" spans="1:9" x14ac:dyDescent="0.25">
      <c r="A1966" s="7"/>
      <c r="B1966" s="1"/>
      <c r="C1966" s="1"/>
      <c r="D1966" s="1"/>
      <c r="F1966" s="7"/>
      <c r="G1966" s="1"/>
      <c r="H1966" s="1"/>
      <c r="I1966" s="1"/>
    </row>
    <row r="1967" spans="1:9" x14ac:dyDescent="0.25">
      <c r="A1967" s="7"/>
      <c r="B1967" s="1"/>
      <c r="C1967" s="1"/>
      <c r="D1967" s="1"/>
      <c r="F1967" s="7"/>
      <c r="G1967" s="1"/>
      <c r="H1967" s="1"/>
      <c r="I1967" s="1"/>
    </row>
    <row r="1968" spans="1:9" x14ac:dyDescent="0.25">
      <c r="A1968" s="7"/>
      <c r="B1968" s="1"/>
      <c r="C1968" s="1"/>
      <c r="D1968" s="1"/>
      <c r="F1968" s="7"/>
      <c r="G1968" s="1"/>
      <c r="H1968" s="1"/>
      <c r="I1968" s="1"/>
    </row>
    <row r="1969" spans="1:9" x14ac:dyDescent="0.25">
      <c r="A1969" s="7"/>
      <c r="B1969" s="1"/>
      <c r="C1969" s="1"/>
      <c r="D1969" s="1"/>
      <c r="F1969" s="7"/>
      <c r="G1969" s="1"/>
      <c r="H1969" s="1"/>
      <c r="I1969" s="1"/>
    </row>
    <row r="1970" spans="1:9" x14ac:dyDescent="0.25">
      <c r="A1970" s="7"/>
      <c r="B1970" s="1"/>
      <c r="C1970" s="1"/>
      <c r="D1970" s="1"/>
      <c r="F1970" s="7"/>
      <c r="G1970" s="1"/>
      <c r="H1970" s="1"/>
      <c r="I1970" s="1"/>
    </row>
    <row r="1971" spans="1:9" x14ac:dyDescent="0.25">
      <c r="A1971" s="7"/>
      <c r="B1971" s="1"/>
      <c r="C1971" s="1"/>
      <c r="D1971" s="1"/>
      <c r="F1971" s="7"/>
      <c r="G1971" s="1"/>
      <c r="H1971" s="1"/>
      <c r="I1971" s="1"/>
    </row>
    <row r="1972" spans="1:9" x14ac:dyDescent="0.25">
      <c r="A1972" s="7"/>
      <c r="B1972" s="1"/>
      <c r="C1972" s="1"/>
      <c r="D1972" s="1"/>
      <c r="F1972" s="7"/>
      <c r="G1972" s="1"/>
      <c r="H1972" s="1"/>
      <c r="I1972" s="1"/>
    </row>
    <row r="1973" spans="1:9" x14ac:dyDescent="0.25">
      <c r="A1973" s="7"/>
      <c r="B1973" s="1"/>
      <c r="C1973" s="1"/>
      <c r="D1973" s="1"/>
      <c r="F1973" s="7"/>
      <c r="G1973" s="1"/>
      <c r="H1973" s="1"/>
      <c r="I1973" s="1"/>
    </row>
    <row r="1974" spans="1:9" x14ac:dyDescent="0.25">
      <c r="A1974" s="7"/>
      <c r="B1974" s="1"/>
      <c r="C1974" s="1"/>
      <c r="D1974" s="1"/>
      <c r="F1974" s="7"/>
      <c r="G1974" s="1"/>
      <c r="H1974" s="1"/>
      <c r="I1974" s="1"/>
    </row>
    <row r="1975" spans="1:9" x14ac:dyDescent="0.25">
      <c r="A1975" s="7"/>
      <c r="B1975" s="1"/>
      <c r="C1975" s="1"/>
      <c r="D1975" s="1"/>
      <c r="F1975" s="7"/>
      <c r="G1975" s="1"/>
      <c r="H1975" s="1"/>
      <c r="I1975" s="1"/>
    </row>
    <row r="1976" spans="1:9" x14ac:dyDescent="0.25">
      <c r="A1976" s="7"/>
      <c r="B1976" s="1"/>
      <c r="C1976" s="1"/>
      <c r="D1976" s="1"/>
      <c r="F1976" s="7"/>
      <c r="G1976" s="1"/>
      <c r="H1976" s="1"/>
      <c r="I1976" s="1"/>
    </row>
    <row r="1977" spans="1:9" x14ac:dyDescent="0.25">
      <c r="A1977" s="7"/>
      <c r="B1977" s="1"/>
      <c r="C1977" s="1"/>
      <c r="D1977" s="1"/>
      <c r="F1977" s="7"/>
      <c r="G1977" s="1"/>
      <c r="H1977" s="1"/>
      <c r="I1977" s="1"/>
    </row>
    <row r="1978" spans="1:9" x14ac:dyDescent="0.25">
      <c r="A1978" s="7"/>
      <c r="B1978" s="1"/>
      <c r="C1978" s="1"/>
      <c r="D1978" s="1"/>
      <c r="F1978" s="7"/>
      <c r="G1978" s="1"/>
      <c r="H1978" s="1"/>
      <c r="I1978" s="1"/>
    </row>
    <row r="1979" spans="1:9" x14ac:dyDescent="0.25">
      <c r="A1979" s="7"/>
      <c r="B1979" s="1"/>
      <c r="C1979" s="1"/>
      <c r="D1979" s="1"/>
      <c r="F1979" s="7"/>
      <c r="G1979" s="1"/>
      <c r="H1979" s="1"/>
      <c r="I1979" s="1"/>
    </row>
    <row r="1980" spans="1:9" x14ac:dyDescent="0.25">
      <c r="A1980" s="7"/>
      <c r="B1980" s="1"/>
      <c r="C1980" s="1"/>
      <c r="D1980" s="1"/>
      <c r="F1980" s="7"/>
      <c r="G1980" s="1"/>
      <c r="H1980" s="1"/>
      <c r="I1980" s="1"/>
    </row>
    <row r="1981" spans="1:9" x14ac:dyDescent="0.25">
      <c r="A1981" s="7"/>
      <c r="B1981" s="1"/>
      <c r="C1981" s="1"/>
      <c r="D1981" s="1"/>
      <c r="F1981" s="7"/>
      <c r="G1981" s="1"/>
      <c r="H1981" s="1"/>
      <c r="I1981" s="1"/>
    </row>
    <row r="1982" spans="1:9" x14ac:dyDescent="0.25">
      <c r="A1982" s="7"/>
      <c r="B1982" s="1"/>
      <c r="C1982" s="1"/>
      <c r="D1982" s="1"/>
      <c r="F1982" s="7"/>
      <c r="G1982" s="1"/>
      <c r="H1982" s="1"/>
      <c r="I1982" s="1"/>
    </row>
    <row r="1983" spans="1:9" x14ac:dyDescent="0.25">
      <c r="A1983" s="7"/>
      <c r="B1983" s="1"/>
      <c r="C1983" s="1"/>
      <c r="D1983" s="1"/>
      <c r="F1983" s="7"/>
      <c r="G1983" s="1"/>
      <c r="H1983" s="1"/>
      <c r="I1983" s="1"/>
    </row>
    <row r="1984" spans="1:9" x14ac:dyDescent="0.25">
      <c r="A1984" s="7"/>
      <c r="B1984" s="1"/>
      <c r="C1984" s="1"/>
      <c r="D1984" s="1"/>
      <c r="F1984" s="7"/>
      <c r="G1984" s="1"/>
      <c r="H1984" s="1"/>
      <c r="I1984" s="1"/>
    </row>
    <row r="1985" spans="1:9" x14ac:dyDescent="0.25">
      <c r="A1985" s="7"/>
      <c r="B1985" s="1"/>
      <c r="C1985" s="1"/>
      <c r="D1985" s="1"/>
      <c r="F1985" s="7"/>
      <c r="G1985" s="1"/>
      <c r="H1985" s="1"/>
      <c r="I1985" s="1"/>
    </row>
    <row r="1986" spans="1:9" x14ac:dyDescent="0.25">
      <c r="A1986" s="7"/>
      <c r="B1986" s="1"/>
      <c r="C1986" s="1"/>
      <c r="D1986" s="1"/>
      <c r="F1986" s="7"/>
      <c r="G1986" s="1"/>
      <c r="H1986" s="1"/>
      <c r="I1986" s="1"/>
    </row>
    <row r="1987" spans="1:9" x14ac:dyDescent="0.25">
      <c r="A1987" s="7"/>
      <c r="B1987" s="1"/>
      <c r="C1987" s="1"/>
      <c r="D1987" s="1"/>
      <c r="F1987" s="7"/>
      <c r="G1987" s="1"/>
      <c r="H1987" s="1"/>
      <c r="I1987" s="1"/>
    </row>
    <row r="1988" spans="1:9" x14ac:dyDescent="0.25">
      <c r="A1988" s="7"/>
      <c r="B1988" s="1"/>
      <c r="C1988" s="1"/>
      <c r="D1988" s="1"/>
      <c r="F1988" s="7"/>
      <c r="G1988" s="1"/>
      <c r="H1988" s="1"/>
      <c r="I1988" s="1"/>
    </row>
    <row r="1989" spans="1:9" x14ac:dyDescent="0.25">
      <c r="A1989" s="7"/>
      <c r="B1989" s="1"/>
      <c r="C1989" s="1"/>
      <c r="D1989" s="1"/>
      <c r="F1989" s="7"/>
      <c r="G1989" s="1"/>
      <c r="H1989" s="1"/>
      <c r="I1989" s="1"/>
    </row>
    <row r="1990" spans="1:9" x14ac:dyDescent="0.25">
      <c r="A1990" s="7"/>
      <c r="B1990" s="1"/>
      <c r="C1990" s="1"/>
      <c r="D1990" s="1"/>
      <c r="F1990" s="7"/>
      <c r="G1990" s="1"/>
      <c r="H1990" s="1"/>
      <c r="I1990" s="1"/>
    </row>
    <row r="1991" spans="1:9" x14ac:dyDescent="0.25">
      <c r="A1991" s="7"/>
      <c r="B1991" s="1"/>
      <c r="C1991" s="1"/>
      <c r="D1991" s="1"/>
      <c r="F1991" s="7"/>
      <c r="G1991" s="1"/>
      <c r="H1991" s="1"/>
      <c r="I1991" s="1"/>
    </row>
    <row r="1992" spans="1:9" x14ac:dyDescent="0.25">
      <c r="A1992" s="7"/>
      <c r="B1992" s="1"/>
      <c r="C1992" s="1"/>
      <c r="D1992" s="1"/>
      <c r="F1992" s="7"/>
      <c r="G1992" s="1"/>
      <c r="H1992" s="1"/>
      <c r="I1992" s="1"/>
    </row>
    <row r="1993" spans="1:9" x14ac:dyDescent="0.25">
      <c r="A1993" s="7"/>
      <c r="B1993" s="1"/>
      <c r="C1993" s="1"/>
      <c r="D1993" s="1"/>
      <c r="F1993" s="7"/>
      <c r="G1993" s="1"/>
      <c r="H1993" s="1"/>
      <c r="I1993" s="1"/>
    </row>
    <row r="1994" spans="1:9" x14ac:dyDescent="0.25">
      <c r="A1994" s="7"/>
      <c r="B1994" s="1"/>
      <c r="C1994" s="1"/>
      <c r="D1994" s="1"/>
      <c r="F1994" s="7"/>
      <c r="G1994" s="1"/>
      <c r="H1994" s="1"/>
      <c r="I1994" s="1"/>
    </row>
    <row r="1995" spans="1:9" x14ac:dyDescent="0.25">
      <c r="A1995" s="7"/>
      <c r="B1995" s="1"/>
      <c r="C1995" s="1"/>
      <c r="D1995" s="1"/>
      <c r="F1995" s="7"/>
      <c r="G1995" s="1"/>
      <c r="H1995" s="1"/>
      <c r="I1995" s="1"/>
    </row>
    <row r="1996" spans="1:9" x14ac:dyDescent="0.25">
      <c r="A1996" s="7"/>
      <c r="B1996" s="1"/>
      <c r="C1996" s="1"/>
      <c r="D1996" s="1"/>
      <c r="F1996" s="7"/>
      <c r="G1996" s="1"/>
      <c r="H1996" s="1"/>
      <c r="I1996" s="1"/>
    </row>
    <row r="1997" spans="1:9" x14ac:dyDescent="0.25">
      <c r="A1997" s="7"/>
      <c r="B1997" s="1"/>
      <c r="C1997" s="1"/>
      <c r="D1997" s="1"/>
      <c r="F1997" s="7"/>
      <c r="G1997" s="1"/>
      <c r="H1997" s="1"/>
      <c r="I1997" s="1"/>
    </row>
    <row r="1998" spans="1:9" x14ac:dyDescent="0.25">
      <c r="A1998" s="7"/>
      <c r="B1998" s="1"/>
      <c r="C1998" s="1"/>
      <c r="D1998" s="1"/>
      <c r="F1998" s="7"/>
      <c r="G1998" s="1"/>
      <c r="H1998" s="1"/>
      <c r="I1998" s="1"/>
    </row>
    <row r="1999" spans="1:9" x14ac:dyDescent="0.25">
      <c r="A1999" s="7"/>
      <c r="B1999" s="1"/>
      <c r="C1999" s="1"/>
      <c r="D1999" s="1"/>
      <c r="F1999" s="7"/>
      <c r="G1999" s="1"/>
      <c r="H1999" s="1"/>
      <c r="I1999" s="1"/>
    </row>
    <row r="2000" spans="1:9" x14ac:dyDescent="0.25">
      <c r="A2000" s="7"/>
      <c r="B2000" s="1"/>
      <c r="C2000" s="1"/>
      <c r="D2000" s="1"/>
      <c r="F2000" s="7"/>
      <c r="G2000" s="1"/>
      <c r="H2000" s="1"/>
      <c r="I2000" s="1"/>
    </row>
    <row r="2001" spans="1:9" x14ac:dyDescent="0.25">
      <c r="A2001" s="7"/>
      <c r="B2001" s="1"/>
      <c r="C2001" s="1"/>
      <c r="D2001" s="1"/>
      <c r="F2001" s="7"/>
      <c r="G2001" s="1"/>
      <c r="H2001" s="1"/>
      <c r="I2001" s="1"/>
    </row>
    <row r="2002" spans="1:9" x14ac:dyDescent="0.25">
      <c r="A2002" s="7"/>
      <c r="B2002" s="1"/>
      <c r="C2002" s="1"/>
      <c r="D2002" s="1"/>
      <c r="F2002" s="7"/>
      <c r="G2002" s="1"/>
      <c r="H2002" s="1"/>
      <c r="I2002" s="1"/>
    </row>
    <row r="2003" spans="1:9" x14ac:dyDescent="0.25">
      <c r="A2003" s="7"/>
      <c r="B2003" s="1"/>
      <c r="C2003" s="1"/>
      <c r="D2003" s="1"/>
      <c r="F2003" s="7"/>
      <c r="G2003" s="1"/>
      <c r="H2003" s="1"/>
      <c r="I2003" s="1"/>
    </row>
    <row r="2004" spans="1:9" x14ac:dyDescent="0.25">
      <c r="A2004" s="7"/>
      <c r="B2004" s="1"/>
      <c r="C2004" s="1"/>
      <c r="D2004" s="1"/>
      <c r="F2004" s="7"/>
      <c r="G2004" s="1"/>
      <c r="H2004" s="1"/>
      <c r="I2004" s="1"/>
    </row>
    <row r="2005" spans="1:9" x14ac:dyDescent="0.25">
      <c r="A2005" s="7"/>
      <c r="B2005" s="1"/>
      <c r="C2005" s="1"/>
      <c r="D2005" s="1"/>
      <c r="F2005" s="7"/>
      <c r="G2005" s="1"/>
      <c r="H2005" s="1"/>
      <c r="I2005" s="1"/>
    </row>
    <row r="2006" spans="1:9" x14ac:dyDescent="0.25">
      <c r="A2006" s="7"/>
      <c r="B2006" s="1"/>
      <c r="C2006" s="1"/>
      <c r="D2006" s="1"/>
      <c r="F2006" s="7"/>
      <c r="G2006" s="1"/>
      <c r="H2006" s="1"/>
      <c r="I2006" s="1"/>
    </row>
    <row r="2007" spans="1:9" x14ac:dyDescent="0.25">
      <c r="A2007" s="7"/>
      <c r="B2007" s="1"/>
      <c r="C2007" s="1"/>
      <c r="D2007" s="1"/>
      <c r="F2007" s="7"/>
      <c r="G2007" s="1"/>
      <c r="H2007" s="1"/>
      <c r="I2007" s="1"/>
    </row>
    <row r="2008" spans="1:9" x14ac:dyDescent="0.25">
      <c r="A2008" s="7"/>
      <c r="B2008" s="1"/>
      <c r="C2008" s="1"/>
      <c r="D2008" s="1"/>
      <c r="F2008" s="7"/>
      <c r="G2008" s="1"/>
      <c r="H2008" s="1"/>
      <c r="I2008" s="1"/>
    </row>
    <row r="2009" spans="1:9" x14ac:dyDescent="0.25">
      <c r="A2009" s="7"/>
      <c r="B2009" s="1"/>
      <c r="C2009" s="1"/>
      <c r="D2009" s="1"/>
      <c r="F2009" s="7"/>
      <c r="G2009" s="1"/>
      <c r="H2009" s="1"/>
      <c r="I2009" s="1"/>
    </row>
    <row r="2010" spans="1:9" x14ac:dyDescent="0.25">
      <c r="A2010" s="7"/>
      <c r="B2010" s="1"/>
      <c r="C2010" s="1"/>
      <c r="D2010" s="1"/>
      <c r="F2010" s="7"/>
      <c r="G2010" s="1"/>
      <c r="H2010" s="1"/>
      <c r="I2010" s="1"/>
    </row>
    <row r="2011" spans="1:9" x14ac:dyDescent="0.25">
      <c r="A2011" s="7"/>
      <c r="B2011" s="1"/>
      <c r="C2011" s="1"/>
      <c r="D2011" s="1"/>
      <c r="F2011" s="7"/>
      <c r="G2011" s="1"/>
      <c r="H2011" s="1"/>
      <c r="I2011" s="1"/>
    </row>
    <row r="2012" spans="1:9" x14ac:dyDescent="0.25">
      <c r="A2012" s="7"/>
      <c r="B2012" s="1"/>
      <c r="C2012" s="1"/>
      <c r="D2012" s="1"/>
      <c r="F2012" s="7"/>
      <c r="G2012" s="1"/>
      <c r="H2012" s="1"/>
      <c r="I2012" s="1"/>
    </row>
    <row r="2013" spans="1:9" x14ac:dyDescent="0.25">
      <c r="A2013" s="7"/>
      <c r="B2013" s="1"/>
      <c r="C2013" s="1"/>
      <c r="D2013" s="1"/>
      <c r="F2013" s="7"/>
      <c r="G2013" s="1"/>
      <c r="H2013" s="1"/>
      <c r="I2013" s="1"/>
    </row>
    <row r="2014" spans="1:9" x14ac:dyDescent="0.25">
      <c r="A2014" s="7"/>
      <c r="B2014" s="1"/>
      <c r="C2014" s="1"/>
      <c r="D2014" s="1"/>
      <c r="F2014" s="7"/>
      <c r="G2014" s="1"/>
      <c r="H2014" s="1"/>
      <c r="I2014" s="1"/>
    </row>
    <row r="2015" spans="1:9" x14ac:dyDescent="0.25">
      <c r="A2015" s="7"/>
      <c r="B2015" s="1"/>
      <c r="C2015" s="1"/>
      <c r="D2015" s="1"/>
      <c r="F2015" s="7"/>
      <c r="G2015" s="1"/>
      <c r="H2015" s="1"/>
      <c r="I2015" s="1"/>
    </row>
    <row r="2016" spans="1:9" x14ac:dyDescent="0.25">
      <c r="A2016" s="7"/>
      <c r="B2016" s="1"/>
      <c r="C2016" s="1"/>
      <c r="D2016" s="1"/>
      <c r="F2016" s="7"/>
      <c r="G2016" s="1"/>
      <c r="H2016" s="1"/>
      <c r="I2016" s="1"/>
    </row>
    <row r="2017" spans="1:9" x14ac:dyDescent="0.25">
      <c r="A2017" s="7"/>
      <c r="B2017" s="1"/>
      <c r="C2017" s="1"/>
      <c r="D2017" s="1"/>
      <c r="F2017" s="7"/>
      <c r="G2017" s="1"/>
      <c r="H2017" s="1"/>
      <c r="I2017" s="1"/>
    </row>
    <row r="2018" spans="1:9" x14ac:dyDescent="0.25">
      <c r="A2018" s="7"/>
      <c r="B2018" s="1"/>
      <c r="C2018" s="1"/>
      <c r="D2018" s="1"/>
      <c r="F2018" s="7"/>
      <c r="G2018" s="1"/>
      <c r="H2018" s="1"/>
      <c r="I2018" s="1"/>
    </row>
    <row r="2019" spans="1:9" x14ac:dyDescent="0.25">
      <c r="A2019" s="7"/>
      <c r="B2019" s="1"/>
      <c r="C2019" s="1"/>
      <c r="D2019" s="1"/>
      <c r="F2019" s="7"/>
      <c r="G2019" s="1"/>
      <c r="H2019" s="1"/>
      <c r="I2019" s="1"/>
    </row>
    <row r="2020" spans="1:9" x14ac:dyDescent="0.25">
      <c r="A2020" s="7"/>
      <c r="B2020" s="1"/>
      <c r="C2020" s="1"/>
      <c r="D2020" s="1"/>
      <c r="F2020" s="7"/>
      <c r="G2020" s="1"/>
      <c r="H2020" s="1"/>
      <c r="I2020" s="1"/>
    </row>
    <row r="2021" spans="1:9" x14ac:dyDescent="0.25">
      <c r="A2021" s="7"/>
      <c r="B2021" s="1"/>
      <c r="C2021" s="1"/>
      <c r="D2021" s="1"/>
      <c r="F2021" s="7"/>
      <c r="G2021" s="1"/>
      <c r="H2021" s="1"/>
      <c r="I2021" s="1"/>
    </row>
    <row r="2022" spans="1:9" x14ac:dyDescent="0.25">
      <c r="A2022" s="7"/>
      <c r="B2022" s="1"/>
      <c r="C2022" s="1"/>
      <c r="D2022" s="1"/>
      <c r="F2022" s="7"/>
      <c r="G2022" s="1"/>
      <c r="H2022" s="1"/>
      <c r="I2022" s="1"/>
    </row>
    <row r="2023" spans="1:9" x14ac:dyDescent="0.25">
      <c r="A2023" s="7"/>
      <c r="B2023" s="1"/>
      <c r="C2023" s="1"/>
      <c r="D2023" s="1"/>
      <c r="F2023" s="7"/>
      <c r="G2023" s="1"/>
      <c r="H2023" s="1"/>
      <c r="I2023" s="1"/>
    </row>
    <row r="2024" spans="1:9" x14ac:dyDescent="0.25">
      <c r="A2024" s="7"/>
      <c r="B2024" s="1"/>
      <c r="C2024" s="1"/>
      <c r="D2024" s="1"/>
      <c r="F2024" s="7"/>
      <c r="G2024" s="1"/>
      <c r="H2024" s="1"/>
      <c r="I2024" s="1"/>
    </row>
    <row r="2025" spans="1:9" x14ac:dyDescent="0.25">
      <c r="A2025" s="7"/>
      <c r="B2025" s="1"/>
      <c r="C2025" s="1"/>
      <c r="D2025" s="1"/>
      <c r="F2025" s="7"/>
      <c r="G2025" s="1"/>
      <c r="H2025" s="1"/>
      <c r="I2025" s="1"/>
    </row>
    <row r="2026" spans="1:9" x14ac:dyDescent="0.25">
      <c r="A2026" s="7"/>
      <c r="B2026" s="1"/>
      <c r="C2026" s="1"/>
      <c r="D2026" s="1"/>
      <c r="F2026" s="7"/>
      <c r="G2026" s="1"/>
      <c r="H2026" s="1"/>
      <c r="I2026" s="1"/>
    </row>
    <row r="2027" spans="1:9" x14ac:dyDescent="0.25">
      <c r="A2027" s="7"/>
      <c r="B2027" s="1"/>
      <c r="C2027" s="1"/>
      <c r="D2027" s="1"/>
      <c r="F2027" s="7"/>
      <c r="G2027" s="1"/>
      <c r="H2027" s="1"/>
      <c r="I2027" s="1"/>
    </row>
    <row r="2028" spans="1:9" x14ac:dyDescent="0.25">
      <c r="A2028" s="7"/>
      <c r="B2028" s="1"/>
      <c r="C2028" s="1"/>
      <c r="D2028" s="1"/>
      <c r="F2028" s="7"/>
      <c r="G2028" s="1"/>
      <c r="H2028" s="1"/>
      <c r="I2028" s="1"/>
    </row>
    <row r="2029" spans="1:9" x14ac:dyDescent="0.25">
      <c r="A2029" s="7"/>
      <c r="B2029" s="1"/>
      <c r="C2029" s="1"/>
      <c r="D2029" s="1"/>
      <c r="F2029" s="7"/>
      <c r="G2029" s="1"/>
      <c r="H2029" s="1"/>
      <c r="I2029" s="1"/>
    </row>
    <row r="2030" spans="1:9" x14ac:dyDescent="0.25">
      <c r="A2030" s="7"/>
      <c r="B2030" s="1"/>
      <c r="C2030" s="1"/>
      <c r="D2030" s="1"/>
      <c r="F2030" s="7"/>
      <c r="G2030" s="1"/>
      <c r="H2030" s="1"/>
      <c r="I2030" s="1"/>
    </row>
    <row r="2031" spans="1:9" x14ac:dyDescent="0.25">
      <c r="A2031" s="7"/>
      <c r="B2031" s="1"/>
      <c r="C2031" s="1"/>
      <c r="D2031" s="1"/>
      <c r="F2031" s="7"/>
      <c r="G2031" s="1"/>
      <c r="H2031" s="1"/>
      <c r="I2031" s="1"/>
    </row>
    <row r="2032" spans="1:9" x14ac:dyDescent="0.25">
      <c r="A2032" s="7"/>
      <c r="B2032" s="1"/>
      <c r="C2032" s="1"/>
      <c r="D2032" s="1"/>
      <c r="F2032" s="7"/>
      <c r="G2032" s="1"/>
      <c r="H2032" s="1"/>
      <c r="I2032" s="1"/>
    </row>
    <row r="2033" spans="1:9" x14ac:dyDescent="0.25">
      <c r="A2033" s="7"/>
      <c r="B2033" s="1"/>
      <c r="C2033" s="1"/>
      <c r="D2033" s="1"/>
      <c r="F2033" s="7"/>
      <c r="G2033" s="1"/>
      <c r="H2033" s="1"/>
      <c r="I2033" s="1"/>
    </row>
    <row r="2034" spans="1:9" x14ac:dyDescent="0.25">
      <c r="A2034" s="7"/>
      <c r="B2034" s="1"/>
      <c r="C2034" s="1"/>
      <c r="D2034" s="1"/>
      <c r="F2034" s="7"/>
      <c r="G2034" s="1"/>
      <c r="H2034" s="1"/>
      <c r="I2034" s="1"/>
    </row>
    <row r="2035" spans="1:9" x14ac:dyDescent="0.25">
      <c r="A2035" s="7"/>
      <c r="B2035" s="1"/>
      <c r="C2035" s="1"/>
      <c r="D2035" s="1"/>
      <c r="F2035" s="7"/>
      <c r="G2035" s="1"/>
      <c r="H2035" s="1"/>
      <c r="I2035" s="1"/>
    </row>
    <row r="2036" spans="1:9" x14ac:dyDescent="0.25">
      <c r="A2036" s="7"/>
      <c r="B2036" s="1"/>
      <c r="C2036" s="1"/>
      <c r="D2036" s="1"/>
      <c r="F2036" s="7"/>
      <c r="G2036" s="1"/>
      <c r="H2036" s="1"/>
      <c r="I2036" s="1"/>
    </row>
    <row r="2037" spans="1:9" x14ac:dyDescent="0.25">
      <c r="A2037" s="7"/>
      <c r="B2037" s="1"/>
      <c r="C2037" s="1"/>
      <c r="D2037" s="1"/>
      <c r="F2037" s="7"/>
      <c r="G2037" s="1"/>
      <c r="H2037" s="1"/>
      <c r="I2037" s="1"/>
    </row>
    <row r="2038" spans="1:9" x14ac:dyDescent="0.25">
      <c r="A2038" s="7"/>
      <c r="B2038" s="1"/>
      <c r="C2038" s="1"/>
      <c r="D2038" s="1"/>
      <c r="F2038" s="7"/>
      <c r="G2038" s="1"/>
      <c r="H2038" s="1"/>
      <c r="I2038" s="1"/>
    </row>
    <row r="2039" spans="1:9" x14ac:dyDescent="0.25">
      <c r="A2039" s="7"/>
      <c r="B2039" s="1"/>
      <c r="C2039" s="1"/>
      <c r="D2039" s="1"/>
      <c r="F2039" s="7"/>
      <c r="G2039" s="1"/>
      <c r="H2039" s="1"/>
      <c r="I2039" s="1"/>
    </row>
    <row r="2040" spans="1:9" x14ac:dyDescent="0.25">
      <c r="A2040" s="7"/>
      <c r="B2040" s="1"/>
      <c r="C2040" s="1"/>
      <c r="D2040" s="1"/>
      <c r="F2040" s="7"/>
      <c r="G2040" s="1"/>
      <c r="H2040" s="1"/>
      <c r="I2040" s="1"/>
    </row>
    <row r="2041" spans="1:9" x14ac:dyDescent="0.25">
      <c r="A2041" s="7"/>
      <c r="B2041" s="1"/>
      <c r="C2041" s="1"/>
      <c r="D2041" s="1"/>
      <c r="F2041" s="7"/>
      <c r="G2041" s="1"/>
      <c r="H2041" s="1"/>
      <c r="I2041" s="1"/>
    </row>
    <row r="2042" spans="1:9" x14ac:dyDescent="0.25">
      <c r="A2042" s="7"/>
      <c r="B2042" s="1"/>
      <c r="C2042" s="1"/>
      <c r="D2042" s="1"/>
      <c r="F2042" s="7"/>
      <c r="G2042" s="1"/>
      <c r="H2042" s="1"/>
      <c r="I2042" s="1"/>
    </row>
    <row r="2043" spans="1:9" x14ac:dyDescent="0.25">
      <c r="A2043" s="7"/>
      <c r="B2043" s="1"/>
      <c r="C2043" s="1"/>
      <c r="D2043" s="1"/>
      <c r="F2043" s="7"/>
      <c r="G2043" s="1"/>
      <c r="H2043" s="1"/>
      <c r="I2043" s="1"/>
    </row>
    <row r="2044" spans="1:9" x14ac:dyDescent="0.25">
      <c r="A2044" s="7"/>
      <c r="B2044" s="1"/>
      <c r="C2044" s="1"/>
      <c r="D2044" s="1"/>
      <c r="F2044" s="7"/>
      <c r="G2044" s="1"/>
      <c r="H2044" s="1"/>
      <c r="I2044" s="1"/>
    </row>
    <row r="2045" spans="1:9" x14ac:dyDescent="0.25">
      <c r="A2045" s="7"/>
      <c r="B2045" s="1"/>
      <c r="C2045" s="1"/>
      <c r="D2045" s="1"/>
      <c r="F2045" s="7"/>
      <c r="G2045" s="1"/>
      <c r="H2045" s="1"/>
      <c r="I2045" s="1"/>
    </row>
    <row r="2046" spans="1:9" x14ac:dyDescent="0.25">
      <c r="A2046" s="7"/>
      <c r="B2046" s="1"/>
      <c r="C2046" s="1"/>
      <c r="D2046" s="1"/>
      <c r="F2046" s="7"/>
      <c r="G2046" s="1"/>
      <c r="H2046" s="1"/>
      <c r="I2046" s="1"/>
    </row>
    <row r="2047" spans="1:9" x14ac:dyDescent="0.25">
      <c r="A2047" s="7"/>
      <c r="B2047" s="1"/>
      <c r="C2047" s="1"/>
      <c r="D2047" s="1"/>
      <c r="F2047" s="7"/>
      <c r="G2047" s="1"/>
      <c r="H2047" s="1"/>
      <c r="I2047" s="1"/>
    </row>
    <row r="2048" spans="1:9" x14ac:dyDescent="0.25">
      <c r="A2048" s="7"/>
      <c r="B2048" s="1"/>
      <c r="C2048" s="1"/>
      <c r="D2048" s="1"/>
      <c r="F2048" s="7"/>
      <c r="G2048" s="1"/>
      <c r="H2048" s="1"/>
      <c r="I2048" s="1"/>
    </row>
    <row r="2049" spans="1:9" x14ac:dyDescent="0.25">
      <c r="A2049" s="7"/>
      <c r="B2049" s="1"/>
      <c r="C2049" s="1"/>
      <c r="D2049" s="1"/>
      <c r="F2049" s="7"/>
      <c r="G2049" s="1"/>
      <c r="H2049" s="1"/>
      <c r="I2049" s="1"/>
    </row>
    <row r="2050" spans="1:9" x14ac:dyDescent="0.25">
      <c r="A2050" s="7"/>
      <c r="B2050" s="1"/>
      <c r="C2050" s="1"/>
      <c r="D2050" s="1"/>
      <c r="F2050" s="7"/>
      <c r="G2050" s="1"/>
      <c r="H2050" s="1"/>
      <c r="I2050" s="1"/>
    </row>
    <row r="2051" spans="1:9" x14ac:dyDescent="0.25">
      <c r="A2051" s="7"/>
      <c r="B2051" s="1"/>
      <c r="C2051" s="1"/>
      <c r="D2051" s="1"/>
      <c r="F2051" s="7"/>
      <c r="G2051" s="1"/>
      <c r="H2051" s="1"/>
      <c r="I2051" s="1"/>
    </row>
    <row r="2052" spans="1:9" x14ac:dyDescent="0.25">
      <c r="A2052" s="7"/>
      <c r="B2052" s="1"/>
      <c r="C2052" s="1"/>
      <c r="D2052" s="1"/>
      <c r="F2052" s="7"/>
      <c r="G2052" s="1"/>
      <c r="H2052" s="1"/>
      <c r="I2052" s="1"/>
    </row>
    <row r="2053" spans="1:9" x14ac:dyDescent="0.25">
      <c r="A2053" s="7"/>
      <c r="B2053" s="1"/>
      <c r="C2053" s="1"/>
      <c r="D2053" s="1"/>
      <c r="F2053" s="7"/>
      <c r="G2053" s="1"/>
      <c r="H2053" s="1"/>
      <c r="I2053" s="1"/>
    </row>
    <row r="2054" spans="1:9" x14ac:dyDescent="0.25">
      <c r="A2054" s="7"/>
      <c r="B2054" s="1"/>
      <c r="C2054" s="1"/>
      <c r="D2054" s="1"/>
      <c r="F2054" s="7"/>
      <c r="G2054" s="1"/>
      <c r="H2054" s="1"/>
      <c r="I2054" s="1"/>
    </row>
    <row r="2055" spans="1:9" x14ac:dyDescent="0.25">
      <c r="A2055" s="7"/>
      <c r="B2055" s="1"/>
      <c r="C2055" s="1"/>
      <c r="D2055" s="1"/>
      <c r="F2055" s="7"/>
      <c r="G2055" s="1"/>
      <c r="H2055" s="1"/>
      <c r="I2055" s="1"/>
    </row>
    <row r="2056" spans="1:9" x14ac:dyDescent="0.25">
      <c r="A2056" s="7"/>
      <c r="B2056" s="1"/>
      <c r="C2056" s="1"/>
      <c r="D2056" s="1"/>
      <c r="F2056" s="7"/>
      <c r="G2056" s="1"/>
      <c r="H2056" s="1"/>
      <c r="I2056" s="1"/>
    </row>
    <row r="2057" spans="1:9" x14ac:dyDescent="0.25">
      <c r="A2057" s="7"/>
      <c r="B2057" s="1"/>
      <c r="C2057" s="1"/>
      <c r="D2057" s="1"/>
      <c r="F2057" s="7"/>
      <c r="G2057" s="1"/>
      <c r="H2057" s="1"/>
      <c r="I2057" s="1"/>
    </row>
    <row r="2058" spans="1:9" x14ac:dyDescent="0.25">
      <c r="A2058" s="7"/>
      <c r="B2058" s="1"/>
      <c r="C2058" s="1"/>
      <c r="D2058" s="1"/>
      <c r="F2058" s="7"/>
      <c r="G2058" s="1"/>
      <c r="H2058" s="1"/>
      <c r="I2058" s="1"/>
    </row>
    <row r="2059" spans="1:9" x14ac:dyDescent="0.25">
      <c r="A2059" s="7"/>
      <c r="B2059" s="1"/>
      <c r="C2059" s="1"/>
      <c r="D2059" s="1"/>
      <c r="F2059" s="7"/>
      <c r="G2059" s="1"/>
      <c r="H2059" s="1"/>
      <c r="I2059" s="1"/>
    </row>
    <row r="2060" spans="1:9" x14ac:dyDescent="0.25">
      <c r="A2060" s="7"/>
      <c r="B2060" s="1"/>
      <c r="C2060" s="1"/>
      <c r="D2060" s="1"/>
      <c r="F2060" s="7"/>
      <c r="G2060" s="1"/>
      <c r="H2060" s="1"/>
      <c r="I2060" s="1"/>
    </row>
    <row r="2061" spans="1:9" x14ac:dyDescent="0.25">
      <c r="A2061" s="7"/>
      <c r="B2061" s="1"/>
      <c r="C2061" s="1"/>
      <c r="D2061" s="1"/>
      <c r="F2061" s="7"/>
      <c r="G2061" s="1"/>
      <c r="H2061" s="1"/>
      <c r="I2061" s="1"/>
    </row>
    <row r="2062" spans="1:9" x14ac:dyDescent="0.25">
      <c r="A2062" s="7"/>
      <c r="B2062" s="1"/>
      <c r="C2062" s="1"/>
      <c r="D2062" s="1"/>
      <c r="F2062" s="7"/>
      <c r="G2062" s="1"/>
      <c r="H2062" s="1"/>
      <c r="I2062" s="1"/>
    </row>
    <row r="2063" spans="1:9" x14ac:dyDescent="0.25">
      <c r="A2063" s="7"/>
      <c r="B2063" s="1"/>
      <c r="C2063" s="1"/>
      <c r="D2063" s="1"/>
      <c r="F2063" s="7"/>
      <c r="G2063" s="1"/>
      <c r="H2063" s="1"/>
      <c r="I2063" s="1"/>
    </row>
    <row r="2064" spans="1:9" x14ac:dyDescent="0.25">
      <c r="A2064" s="7"/>
      <c r="B2064" s="1"/>
      <c r="C2064" s="1"/>
      <c r="D2064" s="1"/>
      <c r="F2064" s="7"/>
      <c r="G2064" s="1"/>
      <c r="H2064" s="1"/>
      <c r="I2064" s="1"/>
    </row>
    <row r="2065" spans="1:9" x14ac:dyDescent="0.25">
      <c r="A2065" s="7"/>
      <c r="B2065" s="1"/>
      <c r="C2065" s="1"/>
      <c r="D2065" s="1"/>
      <c r="F2065" s="7"/>
      <c r="G2065" s="1"/>
      <c r="H2065" s="1"/>
      <c r="I2065" s="1"/>
    </row>
    <row r="2066" spans="1:9" x14ac:dyDescent="0.25">
      <c r="A2066" s="7"/>
      <c r="B2066" s="1"/>
      <c r="C2066" s="1"/>
      <c r="D2066" s="1"/>
      <c r="F2066" s="7"/>
      <c r="G2066" s="1"/>
      <c r="H2066" s="1"/>
      <c r="I2066" s="1"/>
    </row>
    <row r="2067" spans="1:9" x14ac:dyDescent="0.25">
      <c r="A2067" s="7"/>
      <c r="B2067" s="1"/>
      <c r="C2067" s="1"/>
      <c r="D2067" s="1"/>
      <c r="F2067" s="7"/>
      <c r="G2067" s="1"/>
      <c r="H2067" s="1"/>
      <c r="I2067" s="1"/>
    </row>
    <row r="2068" spans="1:9" x14ac:dyDescent="0.25">
      <c r="A2068" s="7"/>
      <c r="B2068" s="1"/>
      <c r="C2068" s="1"/>
      <c r="D2068" s="1"/>
      <c r="F2068" s="7"/>
      <c r="G2068" s="1"/>
      <c r="H2068" s="1"/>
      <c r="I2068" s="1"/>
    </row>
    <row r="2069" spans="1:9" x14ac:dyDescent="0.25">
      <c r="A2069" s="7"/>
      <c r="B2069" s="1"/>
      <c r="C2069" s="1"/>
      <c r="D2069" s="1"/>
      <c r="F2069" s="7"/>
      <c r="G2069" s="1"/>
      <c r="H2069" s="1"/>
      <c r="I2069" s="1"/>
    </row>
    <row r="2070" spans="1:9" x14ac:dyDescent="0.25">
      <c r="A2070" s="7"/>
      <c r="B2070" s="1"/>
      <c r="C2070" s="1"/>
      <c r="D2070" s="1"/>
      <c r="F2070" s="7"/>
      <c r="G2070" s="1"/>
      <c r="H2070" s="1"/>
      <c r="I2070" s="1"/>
    </row>
    <row r="2071" spans="1:9" x14ac:dyDescent="0.25">
      <c r="A2071" s="7"/>
      <c r="B2071" s="1"/>
      <c r="C2071" s="1"/>
      <c r="D2071" s="1"/>
      <c r="F2071" s="7"/>
      <c r="G2071" s="1"/>
      <c r="H2071" s="1"/>
      <c r="I2071" s="1"/>
    </row>
    <row r="2072" spans="1:9" x14ac:dyDescent="0.25">
      <c r="A2072" s="7"/>
      <c r="B2072" s="1"/>
      <c r="C2072" s="1"/>
      <c r="D2072" s="1"/>
      <c r="F2072" s="7"/>
      <c r="G2072" s="1"/>
      <c r="H2072" s="1"/>
      <c r="I2072" s="1"/>
    </row>
    <row r="2073" spans="1:9" x14ac:dyDescent="0.25">
      <c r="A2073" s="7"/>
      <c r="B2073" s="1"/>
      <c r="C2073" s="1"/>
      <c r="D2073" s="1"/>
      <c r="F2073" s="7"/>
      <c r="G2073" s="1"/>
      <c r="H2073" s="1"/>
      <c r="I2073" s="1"/>
    </row>
    <row r="2074" spans="1:9" x14ac:dyDescent="0.25">
      <c r="A2074" s="7"/>
      <c r="B2074" s="1"/>
      <c r="C2074" s="1"/>
      <c r="D2074" s="1"/>
      <c r="F2074" s="7"/>
      <c r="G2074" s="1"/>
      <c r="H2074" s="1"/>
      <c r="I2074" s="1"/>
    </row>
    <row r="2075" spans="1:9" x14ac:dyDescent="0.25">
      <c r="A2075" s="7"/>
      <c r="B2075" s="1"/>
      <c r="C2075" s="1"/>
      <c r="D2075" s="1"/>
      <c r="F2075" s="7"/>
      <c r="G2075" s="1"/>
      <c r="H2075" s="1"/>
      <c r="I2075" s="1"/>
    </row>
    <row r="2076" spans="1:9" x14ac:dyDescent="0.25">
      <c r="A2076" s="7"/>
      <c r="B2076" s="1"/>
      <c r="C2076" s="1"/>
      <c r="D2076" s="1"/>
      <c r="F2076" s="7"/>
      <c r="G2076" s="1"/>
      <c r="H2076" s="1"/>
      <c r="I2076" s="1"/>
    </row>
    <row r="2077" spans="1:9" x14ac:dyDescent="0.25">
      <c r="A2077" s="7"/>
      <c r="B2077" s="1"/>
      <c r="C2077" s="1"/>
      <c r="D2077" s="1"/>
      <c r="F2077" s="7"/>
      <c r="G2077" s="1"/>
      <c r="H2077" s="1"/>
      <c r="I2077" s="1"/>
    </row>
    <row r="2078" spans="1:9" x14ac:dyDescent="0.25">
      <c r="A2078" s="7"/>
      <c r="B2078" s="1"/>
      <c r="C2078" s="1"/>
      <c r="D2078" s="1"/>
      <c r="F2078" s="7"/>
      <c r="G2078" s="1"/>
      <c r="H2078" s="1"/>
      <c r="I2078" s="1"/>
    </row>
    <row r="2079" spans="1:9" x14ac:dyDescent="0.25">
      <c r="A2079" s="7"/>
      <c r="B2079" s="1"/>
      <c r="C2079" s="1"/>
      <c r="D2079" s="1"/>
      <c r="F2079" s="7"/>
      <c r="G2079" s="1"/>
      <c r="H2079" s="1"/>
      <c r="I2079" s="1"/>
    </row>
    <row r="2080" spans="1:9" x14ac:dyDescent="0.25">
      <c r="A2080" s="7"/>
      <c r="B2080" s="1"/>
      <c r="C2080" s="1"/>
      <c r="D2080" s="1"/>
      <c r="F2080" s="7"/>
      <c r="G2080" s="1"/>
      <c r="H2080" s="1"/>
      <c r="I2080" s="1"/>
    </row>
    <row r="2081" spans="1:9" x14ac:dyDescent="0.25">
      <c r="A2081" s="7"/>
      <c r="B2081" s="1"/>
      <c r="C2081" s="1"/>
      <c r="D2081" s="1"/>
      <c r="F2081" s="7"/>
      <c r="G2081" s="1"/>
      <c r="H2081" s="1"/>
      <c r="I2081" s="1"/>
    </row>
    <row r="2082" spans="1:9" x14ac:dyDescent="0.25">
      <c r="A2082" s="7"/>
      <c r="B2082" s="1"/>
      <c r="C2082" s="1"/>
      <c r="D2082" s="1"/>
      <c r="F2082" s="7"/>
      <c r="G2082" s="1"/>
      <c r="H2082" s="1"/>
      <c r="I2082" s="1"/>
    </row>
    <row r="2083" spans="1:9" x14ac:dyDescent="0.25">
      <c r="A2083" s="7"/>
      <c r="B2083" s="1"/>
      <c r="C2083" s="1"/>
      <c r="D2083" s="1"/>
      <c r="F2083" s="7"/>
      <c r="G2083" s="1"/>
      <c r="H2083" s="1"/>
      <c r="I2083" s="1"/>
    </row>
    <row r="2084" spans="1:9" x14ac:dyDescent="0.25">
      <c r="A2084" s="7"/>
      <c r="B2084" s="1"/>
      <c r="C2084" s="1"/>
      <c r="D2084" s="1"/>
      <c r="F2084" s="7"/>
      <c r="G2084" s="1"/>
      <c r="H2084" s="1"/>
      <c r="I2084" s="1"/>
    </row>
    <row r="2085" spans="1:9" x14ac:dyDescent="0.25">
      <c r="A2085" s="7"/>
      <c r="B2085" s="1"/>
      <c r="C2085" s="1"/>
      <c r="D2085" s="1"/>
      <c r="F2085" s="7"/>
      <c r="G2085" s="1"/>
      <c r="H2085" s="1"/>
      <c r="I2085" s="1"/>
    </row>
    <row r="2086" spans="1:9" x14ac:dyDescent="0.25">
      <c r="A2086" s="7"/>
      <c r="B2086" s="1"/>
      <c r="C2086" s="1"/>
      <c r="D2086" s="1"/>
      <c r="F2086" s="7"/>
      <c r="G2086" s="1"/>
      <c r="H2086" s="1"/>
      <c r="I2086" s="1"/>
    </row>
    <row r="2087" spans="1:9" x14ac:dyDescent="0.25">
      <c r="A2087" s="7"/>
      <c r="B2087" s="1"/>
      <c r="C2087" s="1"/>
      <c r="D2087" s="1"/>
      <c r="F2087" s="7"/>
      <c r="G2087" s="1"/>
      <c r="H2087" s="1"/>
      <c r="I2087" s="1"/>
    </row>
    <row r="2088" spans="1:9" x14ac:dyDescent="0.25">
      <c r="A2088" s="7"/>
      <c r="B2088" s="1"/>
      <c r="C2088" s="1"/>
      <c r="D2088" s="1"/>
      <c r="F2088" s="7"/>
      <c r="G2088" s="1"/>
      <c r="H2088" s="1"/>
      <c r="I2088" s="1"/>
    </row>
    <row r="2089" spans="1:9" x14ac:dyDescent="0.25">
      <c r="A2089" s="7"/>
      <c r="B2089" s="1"/>
      <c r="C2089" s="1"/>
      <c r="D2089" s="1"/>
      <c r="F2089" s="7"/>
      <c r="G2089" s="1"/>
      <c r="H2089" s="1"/>
      <c r="I2089" s="1"/>
    </row>
    <row r="2090" spans="1:9" x14ac:dyDescent="0.25">
      <c r="A2090" s="7"/>
      <c r="B2090" s="1"/>
      <c r="C2090" s="1"/>
      <c r="D2090" s="1"/>
      <c r="F2090" s="7"/>
      <c r="G2090" s="1"/>
      <c r="H2090" s="1"/>
      <c r="I2090" s="1"/>
    </row>
    <row r="2091" spans="1:9" x14ac:dyDescent="0.25">
      <c r="A2091" s="7"/>
      <c r="B2091" s="1"/>
      <c r="C2091" s="1"/>
      <c r="D2091" s="1"/>
      <c r="F2091" s="7"/>
      <c r="G2091" s="1"/>
      <c r="H2091" s="1"/>
      <c r="I2091" s="1"/>
    </row>
    <row r="2092" spans="1:9" x14ac:dyDescent="0.25">
      <c r="A2092" s="7"/>
      <c r="B2092" s="1"/>
      <c r="C2092" s="1"/>
      <c r="D2092" s="1"/>
      <c r="F2092" s="7"/>
      <c r="G2092" s="1"/>
      <c r="H2092" s="1"/>
      <c r="I2092" s="1"/>
    </row>
    <row r="2093" spans="1:9" x14ac:dyDescent="0.25">
      <c r="A2093" s="7"/>
      <c r="B2093" s="1"/>
      <c r="C2093" s="1"/>
      <c r="D2093" s="1"/>
      <c r="F2093" s="7"/>
      <c r="G2093" s="1"/>
      <c r="H2093" s="1"/>
      <c r="I2093" s="1"/>
    </row>
    <row r="2094" spans="1:9" x14ac:dyDescent="0.25">
      <c r="A2094" s="7"/>
      <c r="B2094" s="1"/>
      <c r="C2094" s="1"/>
      <c r="D2094" s="1"/>
      <c r="F2094" s="7"/>
      <c r="G2094" s="1"/>
      <c r="H2094" s="1"/>
      <c r="I2094" s="1"/>
    </row>
    <row r="2095" spans="1:9" x14ac:dyDescent="0.25">
      <c r="A2095" s="7"/>
      <c r="B2095" s="1"/>
      <c r="C2095" s="1"/>
      <c r="D2095" s="1"/>
      <c r="F2095" s="7"/>
      <c r="G2095" s="1"/>
      <c r="H2095" s="1"/>
      <c r="I2095" s="1"/>
    </row>
    <row r="2096" spans="1:9" x14ac:dyDescent="0.25">
      <c r="A2096" s="7"/>
      <c r="B2096" s="1"/>
      <c r="C2096" s="1"/>
      <c r="D2096" s="1"/>
      <c r="F2096" s="7"/>
      <c r="G2096" s="1"/>
      <c r="H2096" s="1"/>
      <c r="I2096" s="1"/>
    </row>
    <row r="2097" spans="1:9" x14ac:dyDescent="0.25">
      <c r="A2097" s="7"/>
      <c r="B2097" s="1"/>
      <c r="C2097" s="1"/>
      <c r="D2097" s="1"/>
      <c r="F2097" s="7"/>
      <c r="G2097" s="1"/>
      <c r="H2097" s="1"/>
      <c r="I2097" s="1"/>
    </row>
    <row r="2098" spans="1:9" x14ac:dyDescent="0.25">
      <c r="A2098" s="7"/>
      <c r="B2098" s="1"/>
      <c r="C2098" s="1"/>
      <c r="D2098" s="1"/>
      <c r="F2098" s="7"/>
      <c r="G2098" s="1"/>
      <c r="H2098" s="1"/>
      <c r="I2098" s="1"/>
    </row>
    <row r="2099" spans="1:9" x14ac:dyDescent="0.25">
      <c r="A2099" s="7"/>
      <c r="B2099" s="1"/>
      <c r="C2099" s="1"/>
      <c r="D2099" s="1"/>
      <c r="F2099" s="7"/>
      <c r="G2099" s="1"/>
      <c r="H2099" s="1"/>
      <c r="I2099" s="1"/>
    </row>
    <row r="2100" spans="1:9" x14ac:dyDescent="0.25">
      <c r="A2100" s="7"/>
      <c r="B2100" s="1"/>
      <c r="C2100" s="1"/>
      <c r="D2100" s="1"/>
      <c r="F2100" s="7"/>
      <c r="G2100" s="1"/>
      <c r="H2100" s="1"/>
      <c r="I2100" s="1"/>
    </row>
    <row r="2101" spans="1:9" x14ac:dyDescent="0.25">
      <c r="A2101" s="7"/>
      <c r="B2101" s="1"/>
      <c r="C2101" s="1"/>
      <c r="D2101" s="1"/>
      <c r="F2101" s="7"/>
      <c r="G2101" s="1"/>
      <c r="H2101" s="1"/>
      <c r="I2101" s="1"/>
    </row>
    <row r="2102" spans="1:9" x14ac:dyDescent="0.25">
      <c r="A2102" s="7"/>
      <c r="B2102" s="1"/>
      <c r="C2102" s="1"/>
      <c r="D2102" s="1"/>
      <c r="F2102" s="7"/>
      <c r="G2102" s="1"/>
      <c r="H2102" s="1"/>
      <c r="I2102" s="1"/>
    </row>
    <row r="2103" spans="1:9" x14ac:dyDescent="0.25">
      <c r="A2103" s="7"/>
      <c r="B2103" s="1"/>
      <c r="C2103" s="1"/>
      <c r="D2103" s="1"/>
      <c r="F2103" s="7"/>
      <c r="G2103" s="1"/>
      <c r="H2103" s="1"/>
      <c r="I2103" s="1"/>
    </row>
    <row r="2104" spans="1:9" x14ac:dyDescent="0.25">
      <c r="A2104" s="7"/>
      <c r="B2104" s="1"/>
      <c r="C2104" s="1"/>
      <c r="D2104" s="1"/>
      <c r="F2104" s="7"/>
      <c r="G2104" s="1"/>
      <c r="H2104" s="1"/>
      <c r="I2104" s="1"/>
    </row>
    <row r="2105" spans="1:9" x14ac:dyDescent="0.25">
      <c r="A2105" s="7"/>
      <c r="B2105" s="1"/>
      <c r="C2105" s="1"/>
      <c r="D2105" s="1"/>
      <c r="F2105" s="7"/>
      <c r="G2105" s="1"/>
      <c r="H2105" s="1"/>
      <c r="I2105" s="1"/>
    </row>
    <row r="2106" spans="1:9" x14ac:dyDescent="0.25">
      <c r="A2106" s="7"/>
      <c r="B2106" s="1"/>
      <c r="C2106" s="1"/>
      <c r="D2106" s="1"/>
      <c r="F2106" s="7"/>
      <c r="G2106" s="1"/>
      <c r="H2106" s="1"/>
      <c r="I2106" s="1"/>
    </row>
    <row r="2107" spans="1:9" x14ac:dyDescent="0.25">
      <c r="A2107" s="7"/>
      <c r="B2107" s="1"/>
      <c r="C2107" s="1"/>
      <c r="D2107" s="1"/>
      <c r="F2107" s="7"/>
      <c r="G2107" s="1"/>
      <c r="H2107" s="1"/>
      <c r="I2107" s="1"/>
    </row>
    <row r="2108" spans="1:9" x14ac:dyDescent="0.25">
      <c r="A2108" s="7"/>
      <c r="B2108" s="1"/>
      <c r="C2108" s="1"/>
      <c r="D2108" s="1"/>
      <c r="F2108" s="7"/>
      <c r="G2108" s="1"/>
      <c r="H2108" s="1"/>
      <c r="I2108" s="1"/>
    </row>
    <row r="2109" spans="1:9" x14ac:dyDescent="0.25">
      <c r="A2109" s="7"/>
      <c r="B2109" s="1"/>
      <c r="C2109" s="1"/>
      <c r="D2109" s="1"/>
      <c r="F2109" s="7"/>
      <c r="G2109" s="1"/>
      <c r="H2109" s="1"/>
      <c r="I2109" s="1"/>
    </row>
    <row r="2110" spans="1:9" x14ac:dyDescent="0.25">
      <c r="A2110" s="7"/>
      <c r="B2110" s="1"/>
      <c r="C2110" s="1"/>
      <c r="D2110" s="1"/>
      <c r="F2110" s="7"/>
      <c r="G2110" s="1"/>
      <c r="H2110" s="1"/>
      <c r="I2110" s="1"/>
    </row>
    <row r="2111" spans="1:9" x14ac:dyDescent="0.25">
      <c r="A2111" s="7"/>
      <c r="B2111" s="1"/>
      <c r="C2111" s="1"/>
      <c r="D2111" s="1"/>
      <c r="F2111" s="7"/>
      <c r="G2111" s="1"/>
      <c r="H2111" s="1"/>
      <c r="I2111" s="1"/>
    </row>
    <row r="2112" spans="1:9" x14ac:dyDescent="0.25">
      <c r="A2112" s="7"/>
      <c r="B2112" s="1"/>
      <c r="C2112" s="1"/>
      <c r="D2112" s="1"/>
      <c r="F2112" s="7"/>
      <c r="G2112" s="1"/>
      <c r="H2112" s="1"/>
      <c r="I2112" s="1"/>
    </row>
    <row r="2113" spans="1:9" x14ac:dyDescent="0.25">
      <c r="A2113" s="7"/>
      <c r="B2113" s="1"/>
      <c r="C2113" s="1"/>
      <c r="D2113" s="1"/>
      <c r="F2113" s="7"/>
      <c r="G2113" s="1"/>
      <c r="H2113" s="1"/>
      <c r="I2113" s="1"/>
    </row>
    <row r="2114" spans="1:9" x14ac:dyDescent="0.25">
      <c r="A2114" s="7"/>
      <c r="B2114" s="1"/>
      <c r="C2114" s="1"/>
      <c r="D2114" s="1"/>
      <c r="F2114" s="7"/>
      <c r="G2114" s="1"/>
      <c r="H2114" s="1"/>
      <c r="I2114" s="1"/>
    </row>
    <row r="2115" spans="1:9" x14ac:dyDescent="0.25">
      <c r="A2115" s="7"/>
      <c r="B2115" s="1"/>
      <c r="C2115" s="1"/>
      <c r="D2115" s="1"/>
      <c r="F2115" s="7"/>
      <c r="G2115" s="1"/>
      <c r="H2115" s="1"/>
      <c r="I2115" s="1"/>
    </row>
    <row r="2116" spans="1:9" x14ac:dyDescent="0.25">
      <c r="A2116" s="7"/>
      <c r="B2116" s="1"/>
      <c r="C2116" s="1"/>
      <c r="D2116" s="1"/>
      <c r="F2116" s="7"/>
      <c r="G2116" s="1"/>
      <c r="H2116" s="1"/>
      <c r="I2116" s="1"/>
    </row>
    <row r="2117" spans="1:9" x14ac:dyDescent="0.25">
      <c r="A2117" s="7"/>
      <c r="B2117" s="1"/>
      <c r="C2117" s="1"/>
      <c r="D2117" s="1"/>
      <c r="F2117" s="7"/>
      <c r="G2117" s="1"/>
      <c r="H2117" s="1"/>
      <c r="I2117" s="1"/>
    </row>
    <row r="2118" spans="1:9" x14ac:dyDescent="0.25">
      <c r="A2118" s="7"/>
      <c r="B2118" s="1"/>
      <c r="C2118" s="1"/>
      <c r="D2118" s="1"/>
      <c r="F2118" s="7"/>
      <c r="G2118" s="1"/>
      <c r="H2118" s="1"/>
      <c r="I2118" s="1"/>
    </row>
    <row r="2119" spans="1:9" x14ac:dyDescent="0.25">
      <c r="A2119" s="7"/>
      <c r="B2119" s="1"/>
      <c r="C2119" s="1"/>
      <c r="D2119" s="1"/>
      <c r="F2119" s="7"/>
      <c r="G2119" s="1"/>
      <c r="H2119" s="1"/>
      <c r="I2119" s="1"/>
    </row>
    <row r="2120" spans="1:9" x14ac:dyDescent="0.25">
      <c r="A2120" s="7"/>
      <c r="B2120" s="1"/>
      <c r="C2120" s="1"/>
      <c r="D2120" s="1"/>
      <c r="F2120" s="7"/>
      <c r="G2120" s="1"/>
      <c r="H2120" s="1"/>
      <c r="I2120" s="1"/>
    </row>
    <row r="2121" spans="1:9" x14ac:dyDescent="0.25">
      <c r="A2121" s="7"/>
      <c r="B2121" s="1"/>
      <c r="C2121" s="1"/>
      <c r="D2121" s="1"/>
      <c r="F2121" s="7"/>
      <c r="G2121" s="1"/>
      <c r="H2121" s="1"/>
      <c r="I2121" s="1"/>
    </row>
    <row r="2122" spans="1:9" x14ac:dyDescent="0.25">
      <c r="A2122" s="7"/>
      <c r="B2122" s="1"/>
      <c r="C2122" s="1"/>
      <c r="D2122" s="1"/>
      <c r="F2122" s="7"/>
      <c r="G2122" s="1"/>
      <c r="H2122" s="1"/>
      <c r="I2122" s="1"/>
    </row>
    <row r="2123" spans="1:9" x14ac:dyDescent="0.25">
      <c r="A2123" s="7"/>
      <c r="B2123" s="1"/>
      <c r="C2123" s="1"/>
      <c r="D2123" s="1"/>
      <c r="F2123" s="7"/>
      <c r="G2123" s="1"/>
      <c r="H2123" s="1"/>
      <c r="I2123" s="1"/>
    </row>
    <row r="2124" spans="1:9" x14ac:dyDescent="0.25">
      <c r="A2124" s="7"/>
      <c r="B2124" s="1"/>
      <c r="C2124" s="1"/>
      <c r="D2124" s="1"/>
      <c r="F2124" s="7"/>
      <c r="G2124" s="1"/>
      <c r="H2124" s="1"/>
      <c r="I2124" s="1"/>
    </row>
    <row r="2125" spans="1:9" x14ac:dyDescent="0.25">
      <c r="A2125" s="7"/>
      <c r="B2125" s="1"/>
      <c r="C2125" s="1"/>
      <c r="D2125" s="1"/>
      <c r="F2125" s="7"/>
      <c r="G2125" s="1"/>
      <c r="H2125" s="1"/>
      <c r="I2125" s="1"/>
    </row>
    <row r="2126" spans="1:9" x14ac:dyDescent="0.25">
      <c r="A2126" s="7"/>
      <c r="B2126" s="1"/>
      <c r="C2126" s="1"/>
      <c r="D2126" s="1"/>
      <c r="F2126" s="7"/>
      <c r="G2126" s="1"/>
      <c r="H2126" s="1"/>
      <c r="I2126" s="1"/>
    </row>
    <row r="2127" spans="1:9" x14ac:dyDescent="0.25">
      <c r="A2127" s="7"/>
      <c r="B2127" s="1"/>
      <c r="C2127" s="1"/>
      <c r="D2127" s="1"/>
      <c r="F2127" s="7"/>
      <c r="G2127" s="1"/>
      <c r="H2127" s="1"/>
      <c r="I2127" s="1"/>
    </row>
    <row r="2128" spans="1:9" x14ac:dyDescent="0.25">
      <c r="A2128" s="7"/>
      <c r="B2128" s="1"/>
      <c r="C2128" s="1"/>
      <c r="D2128" s="1"/>
      <c r="F2128" s="7"/>
      <c r="G2128" s="1"/>
      <c r="H2128" s="1"/>
      <c r="I2128" s="1"/>
    </row>
    <row r="2129" spans="1:9" x14ac:dyDescent="0.25">
      <c r="A2129" s="7"/>
      <c r="B2129" s="1"/>
      <c r="C2129" s="1"/>
      <c r="D2129" s="1"/>
      <c r="F2129" s="7"/>
      <c r="G2129" s="1"/>
      <c r="H2129" s="1"/>
      <c r="I2129" s="1"/>
    </row>
    <row r="2130" spans="1:9" x14ac:dyDescent="0.25">
      <c r="A2130" s="7"/>
      <c r="B2130" s="1"/>
      <c r="C2130" s="1"/>
      <c r="D2130" s="1"/>
      <c r="F2130" s="7"/>
      <c r="G2130" s="1"/>
      <c r="H2130" s="1"/>
      <c r="I2130" s="1"/>
    </row>
    <row r="2131" spans="1:9" x14ac:dyDescent="0.25">
      <c r="A2131" s="7"/>
      <c r="B2131" s="1"/>
      <c r="C2131" s="1"/>
      <c r="D2131" s="1"/>
      <c r="F2131" s="7"/>
      <c r="G2131" s="1"/>
      <c r="H2131" s="1"/>
      <c r="I2131" s="1"/>
    </row>
    <row r="2132" spans="1:9" x14ac:dyDescent="0.25">
      <c r="A2132" s="7"/>
      <c r="B2132" s="1"/>
      <c r="C2132" s="1"/>
      <c r="D2132" s="1"/>
      <c r="F2132" s="7"/>
      <c r="G2132" s="1"/>
      <c r="H2132" s="1"/>
      <c r="I2132" s="1"/>
    </row>
    <row r="2133" spans="1:9" x14ac:dyDescent="0.25">
      <c r="A2133" s="7"/>
      <c r="B2133" s="1"/>
      <c r="C2133" s="1"/>
      <c r="D2133" s="1"/>
      <c r="F2133" s="7"/>
      <c r="G2133" s="1"/>
      <c r="H2133" s="1"/>
      <c r="I2133" s="1"/>
    </row>
    <row r="2134" spans="1:9" x14ac:dyDescent="0.25">
      <c r="A2134" s="7"/>
      <c r="B2134" s="1"/>
      <c r="C2134" s="1"/>
      <c r="D2134" s="1"/>
      <c r="F2134" s="7"/>
      <c r="G2134" s="1"/>
      <c r="H2134" s="1"/>
      <c r="I2134" s="1"/>
    </row>
    <row r="2135" spans="1:9" x14ac:dyDescent="0.25">
      <c r="A2135" s="7"/>
      <c r="B2135" s="1"/>
      <c r="C2135" s="1"/>
      <c r="D2135" s="1"/>
      <c r="F2135" s="7"/>
      <c r="G2135" s="1"/>
      <c r="H2135" s="1"/>
      <c r="I2135" s="1"/>
    </row>
    <row r="2136" spans="1:9" x14ac:dyDescent="0.25">
      <c r="A2136" s="7"/>
      <c r="B2136" s="1"/>
      <c r="C2136" s="1"/>
      <c r="D2136" s="1"/>
      <c r="F2136" s="7"/>
      <c r="G2136" s="1"/>
      <c r="H2136" s="1"/>
      <c r="I2136" s="1"/>
    </row>
    <row r="2137" spans="1:9" x14ac:dyDescent="0.25">
      <c r="A2137" s="7"/>
      <c r="B2137" s="1"/>
      <c r="C2137" s="1"/>
      <c r="D2137" s="1"/>
      <c r="F2137" s="7"/>
      <c r="G2137" s="1"/>
      <c r="H2137" s="1"/>
      <c r="I2137" s="1"/>
    </row>
    <row r="2138" spans="1:9" x14ac:dyDescent="0.25">
      <c r="A2138" s="7"/>
      <c r="B2138" s="1"/>
      <c r="C2138" s="1"/>
      <c r="D2138" s="1"/>
      <c r="F2138" s="7"/>
      <c r="G2138" s="1"/>
      <c r="H2138" s="1"/>
      <c r="I2138" s="1"/>
    </row>
    <row r="2139" spans="1:9" x14ac:dyDescent="0.25">
      <c r="A2139" s="7"/>
      <c r="B2139" s="1"/>
      <c r="C2139" s="1"/>
      <c r="D2139" s="1"/>
      <c r="F2139" s="7"/>
      <c r="G2139" s="1"/>
      <c r="H2139" s="1"/>
      <c r="I2139" s="1"/>
    </row>
    <row r="2140" spans="1:9" x14ac:dyDescent="0.25">
      <c r="A2140" s="7"/>
      <c r="B2140" s="1"/>
      <c r="C2140" s="1"/>
      <c r="D2140" s="1"/>
      <c r="F2140" s="7"/>
      <c r="G2140" s="1"/>
      <c r="H2140" s="1"/>
      <c r="I2140" s="1"/>
    </row>
    <row r="2141" spans="1:9" x14ac:dyDescent="0.25">
      <c r="A2141" s="7"/>
      <c r="B2141" s="1"/>
      <c r="C2141" s="1"/>
      <c r="D2141" s="1"/>
      <c r="F2141" s="7"/>
      <c r="G2141" s="1"/>
      <c r="H2141" s="1"/>
      <c r="I2141" s="1"/>
    </row>
    <row r="2142" spans="1:9" x14ac:dyDescent="0.25">
      <c r="A2142" s="7"/>
      <c r="B2142" s="1"/>
      <c r="C2142" s="1"/>
      <c r="D2142" s="1"/>
      <c r="F2142" s="7"/>
      <c r="G2142" s="1"/>
      <c r="H2142" s="1"/>
      <c r="I2142" s="1"/>
    </row>
    <row r="2143" spans="1:9" x14ac:dyDescent="0.25">
      <c r="A2143" s="7"/>
      <c r="B2143" s="1"/>
      <c r="C2143" s="1"/>
      <c r="D2143" s="1"/>
      <c r="F2143" s="7"/>
      <c r="G2143" s="1"/>
      <c r="H2143" s="1"/>
      <c r="I2143" s="1"/>
    </row>
    <row r="2144" spans="1:9" x14ac:dyDescent="0.25">
      <c r="A2144" s="7"/>
      <c r="B2144" s="1"/>
      <c r="C2144" s="1"/>
      <c r="D2144" s="1"/>
      <c r="F2144" s="7"/>
      <c r="G2144" s="1"/>
      <c r="H2144" s="1"/>
      <c r="I2144" s="1"/>
    </row>
    <row r="2145" spans="1:9" x14ac:dyDescent="0.25">
      <c r="A2145" s="7"/>
      <c r="B2145" s="1"/>
      <c r="C2145" s="1"/>
      <c r="D2145" s="1"/>
      <c r="F2145" s="7"/>
      <c r="G2145" s="1"/>
      <c r="H2145" s="1"/>
      <c r="I2145" s="1"/>
    </row>
    <row r="2146" spans="1:9" x14ac:dyDescent="0.25">
      <c r="A2146" s="7"/>
      <c r="B2146" s="1"/>
      <c r="C2146" s="1"/>
      <c r="D2146" s="1"/>
      <c r="F2146" s="7"/>
      <c r="G2146" s="1"/>
      <c r="H2146" s="1"/>
      <c r="I2146" s="1"/>
    </row>
    <row r="2147" spans="1:9" x14ac:dyDescent="0.25">
      <c r="A2147" s="7"/>
      <c r="B2147" s="1"/>
      <c r="C2147" s="1"/>
      <c r="D2147" s="1"/>
      <c r="F2147" s="7"/>
      <c r="G2147" s="1"/>
      <c r="H2147" s="1"/>
      <c r="I2147" s="1"/>
    </row>
    <row r="2148" spans="1:9" x14ac:dyDescent="0.25">
      <c r="A2148" s="7"/>
      <c r="B2148" s="1"/>
      <c r="C2148" s="1"/>
      <c r="D2148" s="1"/>
      <c r="F2148" s="7"/>
      <c r="G2148" s="1"/>
      <c r="H2148" s="1"/>
      <c r="I2148" s="1"/>
    </row>
    <row r="2149" spans="1:9" x14ac:dyDescent="0.25">
      <c r="A2149" s="7"/>
      <c r="B2149" s="1"/>
      <c r="C2149" s="1"/>
      <c r="D2149" s="1"/>
      <c r="F2149" s="7"/>
      <c r="G2149" s="1"/>
      <c r="H2149" s="1"/>
      <c r="I2149" s="1"/>
    </row>
    <row r="2150" spans="1:9" x14ac:dyDescent="0.25">
      <c r="A2150" s="7"/>
      <c r="B2150" s="1"/>
      <c r="C2150" s="1"/>
      <c r="D2150" s="1"/>
      <c r="F2150" s="7"/>
      <c r="G2150" s="1"/>
      <c r="H2150" s="1"/>
      <c r="I2150" s="1"/>
    </row>
    <row r="2151" spans="1:9" x14ac:dyDescent="0.25">
      <c r="A2151" s="7"/>
      <c r="B2151" s="1"/>
      <c r="C2151" s="1"/>
      <c r="D2151" s="1"/>
      <c r="F2151" s="7"/>
      <c r="G2151" s="1"/>
      <c r="H2151" s="1"/>
      <c r="I2151" s="1"/>
    </row>
    <row r="2152" spans="1:9" x14ac:dyDescent="0.25">
      <c r="A2152" s="7"/>
      <c r="B2152" s="1"/>
      <c r="C2152" s="1"/>
      <c r="D2152" s="1"/>
      <c r="F2152" s="7"/>
      <c r="G2152" s="1"/>
      <c r="H2152" s="1"/>
      <c r="I2152" s="1"/>
    </row>
    <row r="2153" spans="1:9" x14ac:dyDescent="0.25">
      <c r="A2153" s="7"/>
      <c r="B2153" s="1"/>
      <c r="C2153" s="1"/>
      <c r="D2153" s="1"/>
      <c r="F2153" s="7"/>
      <c r="G2153" s="1"/>
      <c r="H2153" s="1"/>
      <c r="I2153" s="1"/>
    </row>
    <row r="2154" spans="1:9" x14ac:dyDescent="0.25">
      <c r="A2154" s="7"/>
      <c r="B2154" s="1"/>
      <c r="C2154" s="1"/>
      <c r="D2154" s="1"/>
      <c r="F2154" s="7"/>
      <c r="G2154" s="1"/>
      <c r="H2154" s="1"/>
      <c r="I2154" s="1"/>
    </row>
    <row r="2155" spans="1:9" x14ac:dyDescent="0.25">
      <c r="A2155" s="7"/>
      <c r="B2155" s="1"/>
      <c r="C2155" s="1"/>
      <c r="D2155" s="1"/>
      <c r="F2155" s="7"/>
      <c r="G2155" s="1"/>
      <c r="H2155" s="1"/>
      <c r="I2155" s="1"/>
    </row>
    <row r="2156" spans="1:9" x14ac:dyDescent="0.25">
      <c r="A2156" s="7"/>
      <c r="B2156" s="1"/>
      <c r="C2156" s="1"/>
      <c r="D2156" s="1"/>
      <c r="F2156" s="7"/>
      <c r="G2156" s="1"/>
      <c r="H2156" s="1"/>
      <c r="I2156" s="1"/>
    </row>
    <row r="2157" spans="1:9" x14ac:dyDescent="0.25">
      <c r="A2157" s="7"/>
      <c r="B2157" s="1"/>
      <c r="C2157" s="1"/>
      <c r="D2157" s="1"/>
      <c r="F2157" s="7"/>
      <c r="G2157" s="1"/>
      <c r="H2157" s="1"/>
      <c r="I2157" s="1"/>
    </row>
    <row r="2158" spans="1:9" x14ac:dyDescent="0.25">
      <c r="A2158" s="7"/>
      <c r="B2158" s="1"/>
      <c r="C2158" s="1"/>
      <c r="D2158" s="1"/>
      <c r="F2158" s="7"/>
      <c r="G2158" s="1"/>
      <c r="H2158" s="1"/>
      <c r="I2158" s="1"/>
    </row>
    <row r="2159" spans="1:9" x14ac:dyDescent="0.25">
      <c r="A2159" s="7"/>
      <c r="B2159" s="1"/>
      <c r="C2159" s="1"/>
      <c r="D2159" s="1"/>
      <c r="F2159" s="7"/>
      <c r="G2159" s="1"/>
      <c r="H2159" s="1"/>
      <c r="I2159" s="1"/>
    </row>
    <row r="2160" spans="1:9" x14ac:dyDescent="0.25">
      <c r="A2160" s="7"/>
      <c r="B2160" s="1"/>
      <c r="C2160" s="1"/>
      <c r="D2160" s="1"/>
      <c r="F2160" s="7"/>
      <c r="G2160" s="1"/>
      <c r="H2160" s="1"/>
      <c r="I2160" s="1"/>
    </row>
    <row r="2161" spans="1:9" x14ac:dyDescent="0.25">
      <c r="A2161" s="7"/>
      <c r="B2161" s="1"/>
      <c r="C2161" s="1"/>
      <c r="D2161" s="1"/>
      <c r="F2161" s="7"/>
      <c r="G2161" s="1"/>
      <c r="H2161" s="1"/>
      <c r="I2161" s="1"/>
    </row>
    <row r="2162" spans="1:9" x14ac:dyDescent="0.25">
      <c r="A2162" s="7"/>
      <c r="B2162" s="1"/>
      <c r="C2162" s="1"/>
      <c r="D2162" s="1"/>
      <c r="F2162" s="7"/>
      <c r="G2162" s="1"/>
      <c r="H2162" s="1"/>
      <c r="I2162" s="1"/>
    </row>
    <row r="2163" spans="1:9" x14ac:dyDescent="0.25">
      <c r="A2163" s="7"/>
      <c r="B2163" s="1"/>
      <c r="C2163" s="1"/>
      <c r="D2163" s="1"/>
      <c r="F2163" s="7"/>
      <c r="G2163" s="1"/>
      <c r="H2163" s="1"/>
      <c r="I2163" s="1"/>
    </row>
    <row r="2164" spans="1:9" x14ac:dyDescent="0.25">
      <c r="A2164" s="7"/>
      <c r="B2164" s="1"/>
      <c r="C2164" s="1"/>
      <c r="D2164" s="1"/>
      <c r="F2164" s="7"/>
      <c r="G2164" s="1"/>
      <c r="H2164" s="1"/>
      <c r="I2164" s="1"/>
    </row>
    <row r="2165" spans="1:9" x14ac:dyDescent="0.25">
      <c r="A2165" s="7"/>
      <c r="B2165" s="1"/>
      <c r="C2165" s="1"/>
      <c r="D2165" s="1"/>
      <c r="F2165" s="7"/>
      <c r="G2165" s="1"/>
      <c r="H2165" s="1"/>
      <c r="I2165" s="1"/>
    </row>
    <row r="2166" spans="1:9" x14ac:dyDescent="0.25">
      <c r="A2166" s="7"/>
      <c r="B2166" s="1"/>
      <c r="C2166" s="1"/>
      <c r="D2166" s="1"/>
      <c r="F2166" s="7"/>
      <c r="G2166" s="1"/>
      <c r="H2166" s="1"/>
      <c r="I2166" s="1"/>
    </row>
    <row r="2167" spans="1:9" x14ac:dyDescent="0.25">
      <c r="A2167" s="7"/>
      <c r="B2167" s="1"/>
      <c r="C2167" s="1"/>
      <c r="D2167" s="1"/>
      <c r="F2167" s="7"/>
      <c r="G2167" s="1"/>
      <c r="H2167" s="1"/>
      <c r="I2167" s="1"/>
    </row>
    <row r="2168" spans="1:9" x14ac:dyDescent="0.25">
      <c r="A2168" s="7"/>
      <c r="B2168" s="1"/>
      <c r="C2168" s="1"/>
      <c r="D2168" s="1"/>
      <c r="F2168" s="7"/>
      <c r="G2168" s="1"/>
      <c r="H2168" s="1"/>
      <c r="I2168" s="1"/>
    </row>
    <row r="2169" spans="1:9" x14ac:dyDescent="0.25">
      <c r="A2169" s="7"/>
      <c r="B2169" s="1"/>
      <c r="C2169" s="1"/>
      <c r="D2169" s="1"/>
      <c r="F2169" s="7"/>
      <c r="G2169" s="1"/>
      <c r="H2169" s="1"/>
      <c r="I2169" s="1"/>
    </row>
    <row r="2170" spans="1:9" x14ac:dyDescent="0.25">
      <c r="A2170" s="7"/>
      <c r="B2170" s="1"/>
      <c r="C2170" s="1"/>
      <c r="D2170" s="1"/>
      <c r="F2170" s="7"/>
      <c r="G2170" s="1"/>
      <c r="H2170" s="1"/>
      <c r="I2170" s="1"/>
    </row>
    <row r="2171" spans="1:9" x14ac:dyDescent="0.25">
      <c r="A2171" s="7"/>
      <c r="B2171" s="1"/>
      <c r="C2171" s="1"/>
      <c r="D2171" s="1"/>
      <c r="F2171" s="7"/>
      <c r="G2171" s="1"/>
      <c r="H2171" s="1"/>
      <c r="I2171" s="1"/>
    </row>
    <row r="2172" spans="1:9" x14ac:dyDescent="0.25">
      <c r="A2172" s="7"/>
      <c r="B2172" s="1"/>
      <c r="C2172" s="1"/>
      <c r="D2172" s="1"/>
      <c r="F2172" s="7"/>
      <c r="G2172" s="1"/>
      <c r="H2172" s="1"/>
      <c r="I2172" s="1"/>
    </row>
    <row r="2173" spans="1:9" x14ac:dyDescent="0.25">
      <c r="A2173" s="7"/>
      <c r="B2173" s="1"/>
      <c r="C2173" s="1"/>
      <c r="D2173" s="1"/>
      <c r="F2173" s="7"/>
      <c r="G2173" s="1"/>
      <c r="H2173" s="1"/>
      <c r="I2173" s="1"/>
    </row>
    <row r="2174" spans="1:9" x14ac:dyDescent="0.25">
      <c r="A2174" s="7"/>
      <c r="B2174" s="1"/>
      <c r="C2174" s="1"/>
      <c r="D2174" s="1"/>
      <c r="F2174" s="7"/>
      <c r="G2174" s="1"/>
      <c r="H2174" s="1"/>
      <c r="I2174" s="1"/>
    </row>
    <row r="2175" spans="1:9" x14ac:dyDescent="0.25">
      <c r="A2175" s="7"/>
      <c r="B2175" s="1"/>
      <c r="C2175" s="1"/>
      <c r="D2175" s="1"/>
      <c r="F2175" s="7"/>
      <c r="G2175" s="1"/>
      <c r="H2175" s="1"/>
      <c r="I2175" s="1"/>
    </row>
    <row r="2176" spans="1:9" x14ac:dyDescent="0.25">
      <c r="A2176" s="7"/>
      <c r="B2176" s="1"/>
      <c r="C2176" s="1"/>
      <c r="D2176" s="1"/>
      <c r="F2176" s="7"/>
      <c r="G2176" s="1"/>
      <c r="H2176" s="1"/>
      <c r="I2176" s="1"/>
    </row>
    <row r="2177" spans="1:9" x14ac:dyDescent="0.25">
      <c r="A2177" s="7"/>
      <c r="B2177" s="1"/>
      <c r="C2177" s="1"/>
      <c r="D2177" s="1"/>
      <c r="F2177" s="7"/>
      <c r="G2177" s="1"/>
      <c r="H2177" s="1"/>
      <c r="I2177" s="1"/>
    </row>
    <row r="2178" spans="1:9" x14ac:dyDescent="0.25">
      <c r="A2178" s="7"/>
      <c r="B2178" s="1"/>
      <c r="C2178" s="1"/>
      <c r="D2178" s="1"/>
      <c r="F2178" s="7"/>
      <c r="G2178" s="1"/>
      <c r="H2178" s="1"/>
      <c r="I2178" s="1"/>
    </row>
    <row r="2179" spans="1:9" x14ac:dyDescent="0.25">
      <c r="A2179" s="7"/>
      <c r="B2179" s="1"/>
      <c r="C2179" s="1"/>
      <c r="D2179" s="1"/>
      <c r="F2179" s="7"/>
      <c r="G2179" s="1"/>
      <c r="H2179" s="1"/>
      <c r="I2179" s="1"/>
    </row>
    <row r="2180" spans="1:9" x14ac:dyDescent="0.25">
      <c r="A2180" s="7"/>
      <c r="B2180" s="1"/>
      <c r="C2180" s="1"/>
      <c r="D2180" s="1"/>
      <c r="F2180" s="7"/>
      <c r="G2180" s="1"/>
      <c r="H2180" s="1"/>
      <c r="I2180" s="1"/>
    </row>
    <row r="2181" spans="1:9" x14ac:dyDescent="0.25">
      <c r="A2181" s="7"/>
      <c r="B2181" s="1"/>
      <c r="C2181" s="1"/>
      <c r="D2181" s="1"/>
      <c r="F2181" s="7"/>
      <c r="G2181" s="1"/>
      <c r="H2181" s="1"/>
      <c r="I2181" s="1"/>
    </row>
    <row r="2182" spans="1:9" x14ac:dyDescent="0.25">
      <c r="A2182" s="7"/>
      <c r="B2182" s="1"/>
      <c r="C2182" s="1"/>
      <c r="D2182" s="1"/>
      <c r="F2182" s="7"/>
      <c r="G2182" s="1"/>
      <c r="H2182" s="1"/>
      <c r="I2182" s="1"/>
    </row>
    <row r="2183" spans="1:9" x14ac:dyDescent="0.25">
      <c r="A2183" s="7"/>
      <c r="B2183" s="1"/>
      <c r="C2183" s="1"/>
      <c r="D2183" s="1"/>
      <c r="F2183" s="7"/>
      <c r="G2183" s="1"/>
      <c r="H2183" s="1"/>
      <c r="I2183" s="1"/>
    </row>
    <row r="2184" spans="1:9" x14ac:dyDescent="0.25">
      <c r="A2184" s="7"/>
      <c r="B2184" s="1"/>
      <c r="C2184" s="1"/>
      <c r="D2184" s="1"/>
      <c r="F2184" s="7"/>
      <c r="G2184" s="1"/>
      <c r="H2184" s="1"/>
      <c r="I2184" s="1"/>
    </row>
    <row r="2185" spans="1:9" x14ac:dyDescent="0.25">
      <c r="A2185" s="7"/>
      <c r="B2185" s="1"/>
      <c r="C2185" s="1"/>
      <c r="D2185" s="1"/>
      <c r="F2185" s="7"/>
      <c r="G2185" s="1"/>
      <c r="H2185" s="1"/>
      <c r="I2185" s="1"/>
    </row>
    <row r="2186" spans="1:9" x14ac:dyDescent="0.25">
      <c r="A2186" s="7"/>
      <c r="B2186" s="1"/>
      <c r="C2186" s="1"/>
      <c r="D2186" s="1"/>
      <c r="F2186" s="7"/>
      <c r="G2186" s="1"/>
      <c r="H2186" s="1"/>
      <c r="I2186" s="1"/>
    </row>
    <row r="2187" spans="1:9" x14ac:dyDescent="0.25">
      <c r="A2187" s="7"/>
      <c r="B2187" s="1"/>
      <c r="C2187" s="1"/>
      <c r="D2187" s="1"/>
      <c r="F2187" s="7"/>
      <c r="G2187" s="1"/>
      <c r="H2187" s="1"/>
      <c r="I2187" s="1"/>
    </row>
    <row r="2188" spans="1:9" x14ac:dyDescent="0.25">
      <c r="A2188" s="7"/>
      <c r="B2188" s="1"/>
      <c r="C2188" s="1"/>
      <c r="D2188" s="1"/>
      <c r="F2188" s="7"/>
      <c r="G2188" s="1"/>
      <c r="H2188" s="1"/>
      <c r="I2188" s="1"/>
    </row>
    <row r="2189" spans="1:9" x14ac:dyDescent="0.25">
      <c r="A2189" s="7"/>
      <c r="B2189" s="1"/>
      <c r="C2189" s="1"/>
      <c r="D2189" s="1"/>
      <c r="F2189" s="7"/>
      <c r="G2189" s="1"/>
      <c r="H2189" s="1"/>
      <c r="I2189" s="1"/>
    </row>
    <row r="2190" spans="1:9" x14ac:dyDescent="0.25">
      <c r="A2190" s="7"/>
      <c r="B2190" s="1"/>
      <c r="C2190" s="1"/>
      <c r="D2190" s="1"/>
      <c r="F2190" s="7"/>
      <c r="G2190" s="1"/>
      <c r="H2190" s="1"/>
      <c r="I2190" s="1"/>
    </row>
    <row r="2191" spans="1:9" x14ac:dyDescent="0.25">
      <c r="A2191" s="7"/>
      <c r="B2191" s="1"/>
      <c r="C2191" s="1"/>
      <c r="D2191" s="1"/>
      <c r="F2191" s="7"/>
      <c r="G2191" s="1"/>
      <c r="H2191" s="1"/>
      <c r="I2191" s="1"/>
    </row>
    <row r="2192" spans="1:9" x14ac:dyDescent="0.25">
      <c r="A2192" s="7"/>
      <c r="B2192" s="1"/>
      <c r="C2192" s="1"/>
      <c r="D2192" s="1"/>
      <c r="F2192" s="7"/>
      <c r="G2192" s="1"/>
      <c r="H2192" s="1"/>
      <c r="I2192" s="1"/>
    </row>
    <row r="2193" spans="1:9" x14ac:dyDescent="0.25">
      <c r="A2193" s="7"/>
      <c r="B2193" s="1"/>
      <c r="C2193" s="1"/>
      <c r="D2193" s="1"/>
      <c r="F2193" s="7"/>
      <c r="G2193" s="1"/>
      <c r="H2193" s="1"/>
      <c r="I2193" s="1"/>
    </row>
    <row r="2194" spans="1:9" x14ac:dyDescent="0.25">
      <c r="A2194" s="7"/>
      <c r="B2194" s="1"/>
      <c r="C2194" s="1"/>
      <c r="D2194" s="1"/>
      <c r="F2194" s="7"/>
      <c r="G2194" s="1"/>
      <c r="H2194" s="1"/>
      <c r="I2194" s="1"/>
    </row>
    <row r="2195" spans="1:9" x14ac:dyDescent="0.25">
      <c r="A2195" s="7"/>
      <c r="B2195" s="1"/>
      <c r="C2195" s="1"/>
      <c r="D2195" s="1"/>
      <c r="F2195" s="7"/>
      <c r="G2195" s="1"/>
      <c r="H2195" s="1"/>
      <c r="I2195" s="1"/>
    </row>
    <row r="2196" spans="1:9" x14ac:dyDescent="0.25">
      <c r="A2196" s="7"/>
      <c r="B2196" s="1"/>
      <c r="C2196" s="1"/>
      <c r="D2196" s="1"/>
      <c r="F2196" s="7"/>
      <c r="G2196" s="1"/>
      <c r="H2196" s="1"/>
      <c r="I2196" s="1"/>
    </row>
    <row r="2197" spans="1:9" x14ac:dyDescent="0.25">
      <c r="A2197" s="7"/>
      <c r="B2197" s="1"/>
      <c r="C2197" s="1"/>
      <c r="D2197" s="1"/>
      <c r="F2197" s="7"/>
      <c r="G2197" s="1"/>
      <c r="H2197" s="1"/>
      <c r="I2197" s="1"/>
    </row>
    <row r="2198" spans="1:9" x14ac:dyDescent="0.25">
      <c r="A2198" s="7"/>
      <c r="B2198" s="1"/>
      <c r="C2198" s="1"/>
      <c r="D2198" s="1"/>
      <c r="F2198" s="7"/>
      <c r="G2198" s="1"/>
      <c r="H2198" s="1"/>
      <c r="I2198" s="1"/>
    </row>
    <row r="2199" spans="1:9" x14ac:dyDescent="0.25">
      <c r="A2199" s="7"/>
      <c r="B2199" s="1"/>
      <c r="C2199" s="1"/>
      <c r="D2199" s="1"/>
      <c r="F2199" s="7"/>
      <c r="G2199" s="1"/>
      <c r="H2199" s="1"/>
      <c r="I2199" s="1"/>
    </row>
    <row r="2200" spans="1:9" x14ac:dyDescent="0.25">
      <c r="A2200" s="7"/>
      <c r="B2200" s="1"/>
      <c r="C2200" s="1"/>
      <c r="D2200" s="1"/>
      <c r="F2200" s="7"/>
      <c r="G2200" s="1"/>
      <c r="H2200" s="1"/>
      <c r="I2200" s="1"/>
    </row>
    <row r="2201" spans="1:9" x14ac:dyDescent="0.25">
      <c r="A2201" s="7"/>
      <c r="B2201" s="1"/>
      <c r="C2201" s="1"/>
      <c r="D2201" s="1"/>
      <c r="F2201" s="7"/>
      <c r="G2201" s="1"/>
      <c r="H2201" s="1"/>
      <c r="I2201" s="1"/>
    </row>
    <row r="2202" spans="1:9" x14ac:dyDescent="0.25">
      <c r="A2202" s="7"/>
      <c r="B2202" s="1"/>
      <c r="C2202" s="1"/>
      <c r="D2202" s="1"/>
      <c r="F2202" s="7"/>
      <c r="G2202" s="1"/>
      <c r="H2202" s="1"/>
      <c r="I2202" s="1"/>
    </row>
    <row r="2203" spans="1:9" x14ac:dyDescent="0.25">
      <c r="A2203" s="7"/>
      <c r="B2203" s="1"/>
      <c r="C2203" s="1"/>
      <c r="D2203" s="1"/>
      <c r="F2203" s="7"/>
      <c r="G2203" s="1"/>
      <c r="H2203" s="1"/>
      <c r="I2203" s="1"/>
    </row>
    <row r="2204" spans="1:9" x14ac:dyDescent="0.25">
      <c r="A2204" s="7"/>
      <c r="B2204" s="1"/>
      <c r="C2204" s="1"/>
      <c r="D2204" s="1"/>
      <c r="F2204" s="7"/>
      <c r="G2204" s="1"/>
      <c r="H2204" s="1"/>
      <c r="I2204" s="1"/>
    </row>
    <row r="2205" spans="1:9" x14ac:dyDescent="0.25">
      <c r="A2205" s="7"/>
      <c r="B2205" s="1"/>
      <c r="C2205" s="1"/>
      <c r="D2205" s="1"/>
      <c r="F2205" s="7"/>
      <c r="G2205" s="1"/>
      <c r="H2205" s="1"/>
      <c r="I2205" s="1"/>
    </row>
    <row r="2206" spans="1:9" x14ac:dyDescent="0.25">
      <c r="A2206" s="7"/>
      <c r="B2206" s="1"/>
      <c r="C2206" s="1"/>
      <c r="D2206" s="1"/>
      <c r="F2206" s="7"/>
      <c r="G2206" s="1"/>
      <c r="H2206" s="1"/>
      <c r="I2206" s="1"/>
    </row>
    <row r="2207" spans="1:9" x14ac:dyDescent="0.25">
      <c r="A2207" s="7"/>
      <c r="B2207" s="1"/>
      <c r="C2207" s="1"/>
      <c r="D2207" s="1"/>
      <c r="F2207" s="7"/>
      <c r="G2207" s="1"/>
      <c r="H2207" s="1"/>
      <c r="I2207" s="1"/>
    </row>
    <row r="2208" spans="1:9" x14ac:dyDescent="0.25">
      <c r="A2208" s="7"/>
      <c r="B2208" s="1"/>
      <c r="C2208" s="1"/>
      <c r="D2208" s="1"/>
      <c r="F2208" s="7"/>
      <c r="G2208" s="1"/>
      <c r="H2208" s="1"/>
      <c r="I2208" s="1"/>
    </row>
    <row r="2209" spans="1:9" x14ac:dyDescent="0.25">
      <c r="A2209" s="7"/>
      <c r="B2209" s="1"/>
      <c r="C2209" s="1"/>
      <c r="D2209" s="1"/>
      <c r="F2209" s="7"/>
      <c r="G2209" s="1"/>
      <c r="H2209" s="1"/>
      <c r="I2209" s="1"/>
    </row>
    <row r="2210" spans="1:9" x14ac:dyDescent="0.25">
      <c r="A2210" s="7"/>
      <c r="B2210" s="1"/>
      <c r="C2210" s="1"/>
      <c r="D2210" s="1"/>
      <c r="F2210" s="7"/>
      <c r="G2210" s="1"/>
      <c r="H2210" s="1"/>
      <c r="I2210" s="1"/>
    </row>
    <row r="2211" spans="1:9" x14ac:dyDescent="0.25">
      <c r="A2211" s="7"/>
      <c r="B2211" s="1"/>
      <c r="C2211" s="1"/>
      <c r="D2211" s="1"/>
      <c r="F2211" s="7"/>
      <c r="G2211" s="1"/>
      <c r="H2211" s="1"/>
      <c r="I2211" s="1"/>
    </row>
    <row r="2212" spans="1:9" x14ac:dyDescent="0.25">
      <c r="A2212" s="7"/>
      <c r="B2212" s="1"/>
      <c r="C2212" s="1"/>
      <c r="D2212" s="1"/>
      <c r="F2212" s="7"/>
      <c r="G2212" s="1"/>
      <c r="H2212" s="1"/>
      <c r="I2212" s="1"/>
    </row>
    <row r="2213" spans="1:9" x14ac:dyDescent="0.25">
      <c r="A2213" s="7"/>
      <c r="B2213" s="1"/>
      <c r="C2213" s="1"/>
      <c r="D2213" s="1"/>
      <c r="F2213" s="7"/>
      <c r="G2213" s="1"/>
      <c r="H2213" s="1"/>
      <c r="I2213" s="1"/>
    </row>
    <row r="2214" spans="1:9" x14ac:dyDescent="0.25">
      <c r="A2214" s="7"/>
      <c r="B2214" s="1"/>
      <c r="C2214" s="1"/>
      <c r="D2214" s="1"/>
      <c r="F2214" s="7"/>
      <c r="G2214" s="1"/>
      <c r="H2214" s="1"/>
      <c r="I2214" s="1"/>
    </row>
    <row r="2215" spans="1:9" x14ac:dyDescent="0.25">
      <c r="A2215" s="7"/>
      <c r="B2215" s="1"/>
      <c r="C2215" s="1"/>
      <c r="D2215" s="1"/>
      <c r="F2215" s="7"/>
      <c r="G2215" s="1"/>
      <c r="H2215" s="1"/>
      <c r="I2215" s="1"/>
    </row>
    <row r="2216" spans="1:9" x14ac:dyDescent="0.25">
      <c r="A2216" s="7"/>
      <c r="B2216" s="1"/>
      <c r="C2216" s="1"/>
      <c r="D2216" s="1"/>
      <c r="F2216" s="7"/>
      <c r="G2216" s="1"/>
      <c r="H2216" s="1"/>
      <c r="I2216" s="1"/>
    </row>
    <row r="2217" spans="1:9" x14ac:dyDescent="0.25">
      <c r="A2217" s="7"/>
      <c r="B2217" s="1"/>
      <c r="C2217" s="1"/>
      <c r="D2217" s="1"/>
      <c r="F2217" s="7"/>
      <c r="G2217" s="1"/>
      <c r="H2217" s="1"/>
      <c r="I2217" s="1"/>
    </row>
    <row r="2218" spans="1:9" x14ac:dyDescent="0.25">
      <c r="A2218" s="7"/>
      <c r="B2218" s="1"/>
      <c r="C2218" s="1"/>
      <c r="D2218" s="1"/>
      <c r="F2218" s="7"/>
      <c r="G2218" s="1"/>
      <c r="H2218" s="1"/>
      <c r="I2218" s="1"/>
    </row>
    <row r="2219" spans="1:9" x14ac:dyDescent="0.25">
      <c r="A2219" s="7"/>
      <c r="B2219" s="1"/>
      <c r="C2219" s="1"/>
      <c r="D2219" s="1"/>
      <c r="F2219" s="7"/>
      <c r="G2219" s="1"/>
      <c r="H2219" s="1"/>
      <c r="I2219" s="1"/>
    </row>
    <row r="2220" spans="1:9" x14ac:dyDescent="0.25">
      <c r="A2220" s="7"/>
      <c r="B2220" s="1"/>
      <c r="C2220" s="1"/>
      <c r="D2220" s="1"/>
      <c r="F2220" s="7"/>
      <c r="G2220" s="1"/>
      <c r="H2220" s="1"/>
      <c r="I2220" s="1"/>
    </row>
    <row r="2221" spans="1:9" x14ac:dyDescent="0.25">
      <c r="A2221" s="7"/>
      <c r="B2221" s="1"/>
      <c r="C2221" s="1"/>
      <c r="D2221" s="1"/>
      <c r="F2221" s="7"/>
      <c r="G2221" s="1"/>
      <c r="H2221" s="1"/>
      <c r="I2221" s="1"/>
    </row>
    <row r="2222" spans="1:9" x14ac:dyDescent="0.25">
      <c r="A2222" s="7"/>
      <c r="B2222" s="1"/>
      <c r="C2222" s="1"/>
      <c r="D2222" s="1"/>
      <c r="F2222" s="7"/>
      <c r="G2222" s="1"/>
      <c r="H2222" s="1"/>
      <c r="I2222" s="1"/>
    </row>
    <row r="2223" spans="1:9" x14ac:dyDescent="0.25">
      <c r="A2223" s="7"/>
      <c r="B2223" s="1"/>
      <c r="C2223" s="1"/>
      <c r="D2223" s="1"/>
      <c r="F2223" s="7"/>
      <c r="G2223" s="1"/>
      <c r="H2223" s="1"/>
      <c r="I2223" s="1"/>
    </row>
    <row r="2224" spans="1:9" x14ac:dyDescent="0.25">
      <c r="A2224" s="7"/>
      <c r="B2224" s="1"/>
      <c r="C2224" s="1"/>
      <c r="D2224" s="1"/>
      <c r="F2224" s="7"/>
      <c r="G2224" s="1"/>
      <c r="H2224" s="1"/>
      <c r="I2224" s="1"/>
    </row>
    <row r="2225" spans="1:9" x14ac:dyDescent="0.25">
      <c r="A2225" s="7"/>
      <c r="B2225" s="1"/>
      <c r="C2225" s="1"/>
      <c r="D2225" s="1"/>
      <c r="F2225" s="7"/>
      <c r="G2225" s="1"/>
      <c r="H2225" s="1"/>
      <c r="I2225" s="1"/>
    </row>
    <row r="2226" spans="1:9" x14ac:dyDescent="0.25">
      <c r="A2226" s="7"/>
      <c r="B2226" s="1"/>
      <c r="C2226" s="1"/>
      <c r="D2226" s="1"/>
      <c r="F2226" s="7"/>
      <c r="G2226" s="1"/>
      <c r="H2226" s="1"/>
      <c r="I2226" s="1"/>
    </row>
    <row r="2227" spans="1:9" x14ac:dyDescent="0.25">
      <c r="A2227" s="7"/>
      <c r="B2227" s="1"/>
      <c r="C2227" s="1"/>
      <c r="D2227" s="1"/>
      <c r="F2227" s="7"/>
      <c r="G2227" s="1"/>
      <c r="H2227" s="1"/>
      <c r="I2227" s="1"/>
    </row>
    <row r="2228" spans="1:9" x14ac:dyDescent="0.25">
      <c r="A2228" s="7"/>
      <c r="B2228" s="1"/>
      <c r="C2228" s="1"/>
      <c r="D2228" s="1"/>
      <c r="F2228" s="7"/>
      <c r="G2228" s="1"/>
      <c r="H2228" s="1"/>
      <c r="I2228" s="1"/>
    </row>
    <row r="2229" spans="1:9" x14ac:dyDescent="0.25">
      <c r="A2229" s="7"/>
      <c r="B2229" s="1"/>
      <c r="C2229" s="1"/>
      <c r="D2229" s="1"/>
      <c r="F2229" s="7"/>
      <c r="G2229" s="1"/>
      <c r="H2229" s="1"/>
      <c r="I2229" s="1"/>
    </row>
    <row r="2230" spans="1:9" x14ac:dyDescent="0.25">
      <c r="A2230" s="7"/>
      <c r="B2230" s="1"/>
      <c r="C2230" s="1"/>
      <c r="D2230" s="1"/>
      <c r="F2230" s="7"/>
      <c r="G2230" s="1"/>
      <c r="H2230" s="1"/>
      <c r="I2230" s="1"/>
    </row>
    <row r="2231" spans="1:9" x14ac:dyDescent="0.25">
      <c r="A2231" s="7"/>
      <c r="B2231" s="1"/>
      <c r="C2231" s="1"/>
      <c r="D2231" s="1"/>
      <c r="F2231" s="7"/>
      <c r="G2231" s="1"/>
      <c r="H2231" s="1"/>
      <c r="I2231" s="1"/>
    </row>
    <row r="2232" spans="1:9" x14ac:dyDescent="0.25">
      <c r="A2232" s="7"/>
      <c r="B2232" s="1"/>
      <c r="C2232" s="1"/>
      <c r="D2232" s="1"/>
      <c r="F2232" s="7"/>
      <c r="G2232" s="1"/>
      <c r="H2232" s="1"/>
      <c r="I2232" s="1"/>
    </row>
    <row r="2233" spans="1:9" x14ac:dyDescent="0.25">
      <c r="A2233" s="7"/>
      <c r="B2233" s="1"/>
      <c r="C2233" s="1"/>
      <c r="D2233" s="1"/>
      <c r="F2233" s="7"/>
      <c r="G2233" s="1"/>
      <c r="H2233" s="1"/>
      <c r="I2233" s="1"/>
    </row>
    <row r="2234" spans="1:9" x14ac:dyDescent="0.25">
      <c r="A2234" s="7"/>
      <c r="B2234" s="1"/>
      <c r="C2234" s="1"/>
      <c r="D2234" s="1"/>
      <c r="F2234" s="7"/>
      <c r="G2234" s="1"/>
      <c r="H2234" s="1"/>
      <c r="I2234" s="1"/>
    </row>
    <row r="2235" spans="1:9" x14ac:dyDescent="0.25">
      <c r="A2235" s="7"/>
      <c r="B2235" s="1"/>
      <c r="C2235" s="1"/>
      <c r="D2235" s="1"/>
      <c r="F2235" s="7"/>
      <c r="G2235" s="1"/>
      <c r="H2235" s="1"/>
      <c r="I2235" s="1"/>
    </row>
    <row r="2236" spans="1:9" x14ac:dyDescent="0.25">
      <c r="A2236" s="7"/>
      <c r="B2236" s="1"/>
      <c r="C2236" s="1"/>
      <c r="D2236" s="1"/>
      <c r="F2236" s="7"/>
      <c r="G2236" s="1"/>
      <c r="H2236" s="1"/>
      <c r="I2236" s="1"/>
    </row>
    <row r="2237" spans="1:9" x14ac:dyDescent="0.25">
      <c r="A2237" s="7"/>
      <c r="B2237" s="1"/>
      <c r="C2237" s="1"/>
      <c r="D2237" s="1"/>
      <c r="F2237" s="7"/>
      <c r="G2237" s="1"/>
      <c r="H2237" s="1"/>
      <c r="I2237" s="1"/>
    </row>
    <row r="2238" spans="1:9" x14ac:dyDescent="0.25">
      <c r="A2238" s="7"/>
      <c r="B2238" s="1"/>
      <c r="C2238" s="1"/>
      <c r="D2238" s="1"/>
      <c r="F2238" s="7"/>
      <c r="G2238" s="1"/>
      <c r="H2238" s="1"/>
      <c r="I2238" s="1"/>
    </row>
    <row r="2239" spans="1:9" x14ac:dyDescent="0.25">
      <c r="A2239" s="7"/>
      <c r="B2239" s="1"/>
      <c r="C2239" s="1"/>
      <c r="D2239" s="1"/>
      <c r="F2239" s="7"/>
      <c r="G2239" s="1"/>
      <c r="H2239" s="1"/>
      <c r="I2239" s="1"/>
    </row>
    <row r="2240" spans="1:9" x14ac:dyDescent="0.25">
      <c r="A2240" s="7"/>
      <c r="B2240" s="1"/>
      <c r="C2240" s="1"/>
      <c r="D2240" s="1"/>
      <c r="F2240" s="7"/>
      <c r="G2240" s="1"/>
      <c r="H2240" s="1"/>
      <c r="I2240" s="1"/>
    </row>
    <row r="2241" spans="1:9" x14ac:dyDescent="0.25">
      <c r="A2241" s="7"/>
      <c r="B2241" s="1"/>
      <c r="C2241" s="1"/>
      <c r="D2241" s="1"/>
      <c r="F2241" s="7"/>
      <c r="G2241" s="1"/>
      <c r="H2241" s="1"/>
      <c r="I2241" s="1"/>
    </row>
    <row r="2242" spans="1:9" x14ac:dyDescent="0.25">
      <c r="A2242" s="7"/>
      <c r="B2242" s="1"/>
      <c r="C2242" s="1"/>
      <c r="D2242" s="1"/>
      <c r="F2242" s="7"/>
      <c r="G2242" s="1"/>
      <c r="H2242" s="1"/>
      <c r="I2242" s="1"/>
    </row>
    <row r="2243" spans="1:9" x14ac:dyDescent="0.25">
      <c r="A2243" s="7"/>
      <c r="B2243" s="1"/>
      <c r="C2243" s="1"/>
      <c r="D2243" s="1"/>
      <c r="F2243" s="7"/>
      <c r="G2243" s="1"/>
      <c r="H2243" s="1"/>
      <c r="I2243" s="1"/>
    </row>
    <row r="2244" spans="1:9" x14ac:dyDescent="0.25">
      <c r="A2244" s="7"/>
      <c r="B2244" s="1"/>
      <c r="C2244" s="1"/>
      <c r="D2244" s="1"/>
      <c r="F2244" s="7"/>
      <c r="G2244" s="1"/>
      <c r="H2244" s="1"/>
      <c r="I2244" s="1"/>
    </row>
    <row r="2245" spans="1:9" x14ac:dyDescent="0.25">
      <c r="A2245" s="7"/>
      <c r="B2245" s="1"/>
      <c r="C2245" s="1"/>
      <c r="D2245" s="1"/>
      <c r="F2245" s="7"/>
      <c r="G2245" s="1"/>
      <c r="H2245" s="1"/>
      <c r="I2245" s="1"/>
    </row>
    <row r="2246" spans="1:9" x14ac:dyDescent="0.25">
      <c r="A2246" s="7"/>
      <c r="B2246" s="1"/>
      <c r="C2246" s="1"/>
      <c r="D2246" s="1"/>
      <c r="F2246" s="7"/>
      <c r="G2246" s="1"/>
      <c r="H2246" s="1"/>
      <c r="I2246" s="1"/>
    </row>
    <row r="2247" spans="1:9" x14ac:dyDescent="0.25">
      <c r="A2247" s="7"/>
      <c r="B2247" s="1"/>
      <c r="C2247" s="1"/>
      <c r="D2247" s="1"/>
      <c r="F2247" s="7"/>
      <c r="G2247" s="1"/>
      <c r="H2247" s="1"/>
      <c r="I2247" s="1"/>
    </row>
    <row r="2248" spans="1:9" x14ac:dyDescent="0.25">
      <c r="A2248" s="7"/>
      <c r="B2248" s="1"/>
      <c r="C2248" s="1"/>
      <c r="D2248" s="1"/>
      <c r="F2248" s="7"/>
      <c r="G2248" s="1"/>
      <c r="H2248" s="1"/>
      <c r="I2248" s="1"/>
    </row>
    <row r="2249" spans="1:9" x14ac:dyDescent="0.25">
      <c r="A2249" s="7"/>
      <c r="B2249" s="1"/>
      <c r="C2249" s="1"/>
      <c r="D2249" s="1"/>
      <c r="F2249" s="7"/>
      <c r="G2249" s="1"/>
      <c r="H2249" s="1"/>
      <c r="I2249" s="1"/>
    </row>
    <row r="2250" spans="1:9" x14ac:dyDescent="0.25">
      <c r="A2250" s="7"/>
      <c r="B2250" s="1"/>
      <c r="C2250" s="1"/>
      <c r="D2250" s="1"/>
      <c r="F2250" s="7"/>
      <c r="G2250" s="1"/>
      <c r="H2250" s="1"/>
      <c r="I2250" s="1"/>
    </row>
    <row r="2251" spans="1:9" x14ac:dyDescent="0.25">
      <c r="A2251" s="7"/>
      <c r="B2251" s="1"/>
      <c r="C2251" s="1"/>
      <c r="D2251" s="1"/>
      <c r="F2251" s="7"/>
      <c r="G2251" s="1"/>
      <c r="H2251" s="1"/>
      <c r="I2251" s="1"/>
    </row>
    <row r="2252" spans="1:9" x14ac:dyDescent="0.25">
      <c r="A2252" s="7"/>
      <c r="B2252" s="1"/>
      <c r="C2252" s="1"/>
      <c r="D2252" s="1"/>
      <c r="F2252" s="7"/>
      <c r="G2252" s="1"/>
      <c r="H2252" s="1"/>
      <c r="I2252" s="1"/>
    </row>
    <row r="2253" spans="1:9" x14ac:dyDescent="0.25">
      <c r="A2253" s="7"/>
      <c r="B2253" s="1"/>
      <c r="C2253" s="1"/>
      <c r="D2253" s="1"/>
      <c r="F2253" s="7"/>
      <c r="G2253" s="1"/>
      <c r="H2253" s="1"/>
      <c r="I2253" s="1"/>
    </row>
    <row r="2254" spans="1:9" x14ac:dyDescent="0.25">
      <c r="A2254" s="7"/>
      <c r="B2254" s="1"/>
      <c r="C2254" s="1"/>
      <c r="D2254" s="1"/>
      <c r="F2254" s="7"/>
      <c r="G2254" s="1"/>
      <c r="H2254" s="1"/>
      <c r="I2254" s="1"/>
    </row>
    <row r="2255" spans="1:9" x14ac:dyDescent="0.25">
      <c r="A2255" s="7"/>
      <c r="B2255" s="1"/>
      <c r="C2255" s="1"/>
      <c r="D2255" s="1"/>
      <c r="F2255" s="7"/>
      <c r="G2255" s="1"/>
      <c r="H2255" s="1"/>
      <c r="I2255" s="1"/>
    </row>
    <row r="2256" spans="1:9" x14ac:dyDescent="0.25">
      <c r="A2256" s="7"/>
      <c r="B2256" s="1"/>
      <c r="C2256" s="1"/>
      <c r="D2256" s="1"/>
      <c r="F2256" s="7"/>
      <c r="G2256" s="1"/>
      <c r="H2256" s="1"/>
      <c r="I2256" s="1"/>
    </row>
    <row r="2257" spans="1:9" x14ac:dyDescent="0.25">
      <c r="A2257" s="7"/>
      <c r="B2257" s="1"/>
      <c r="C2257" s="1"/>
      <c r="D2257" s="1"/>
      <c r="F2257" s="7"/>
      <c r="G2257" s="1"/>
      <c r="H2257" s="1"/>
      <c r="I2257" s="1"/>
    </row>
    <row r="2258" spans="1:9" x14ac:dyDescent="0.25">
      <c r="A2258" s="7"/>
      <c r="B2258" s="1"/>
      <c r="C2258" s="1"/>
      <c r="D2258" s="1"/>
      <c r="F2258" s="7"/>
      <c r="G2258" s="1"/>
      <c r="H2258" s="1"/>
      <c r="I2258" s="1"/>
    </row>
    <row r="2259" spans="1:9" x14ac:dyDescent="0.25">
      <c r="A2259" s="7"/>
      <c r="B2259" s="1"/>
      <c r="C2259" s="1"/>
      <c r="D2259" s="1"/>
      <c r="F2259" s="7"/>
      <c r="G2259" s="1"/>
      <c r="H2259" s="1"/>
      <c r="I2259" s="1"/>
    </row>
    <row r="2260" spans="1:9" x14ac:dyDescent="0.25">
      <c r="A2260" s="7"/>
      <c r="B2260" s="1"/>
      <c r="C2260" s="1"/>
      <c r="D2260" s="1"/>
      <c r="F2260" s="7"/>
      <c r="G2260" s="1"/>
      <c r="H2260" s="1"/>
      <c r="I2260" s="1"/>
    </row>
    <row r="2261" spans="1:9" x14ac:dyDescent="0.25">
      <c r="A2261" s="7"/>
      <c r="B2261" s="1"/>
      <c r="C2261" s="1"/>
      <c r="D2261" s="1"/>
      <c r="F2261" s="7"/>
      <c r="G2261" s="1"/>
      <c r="H2261" s="1"/>
      <c r="I2261" s="1"/>
    </row>
    <row r="2262" spans="1:9" x14ac:dyDescent="0.25">
      <c r="A2262" s="7"/>
      <c r="B2262" s="1"/>
      <c r="C2262" s="1"/>
      <c r="D2262" s="1"/>
      <c r="F2262" s="7"/>
      <c r="G2262" s="1"/>
      <c r="H2262" s="1"/>
      <c r="I2262" s="1"/>
    </row>
    <row r="2263" spans="1:9" x14ac:dyDescent="0.25">
      <c r="A2263" s="7"/>
      <c r="B2263" s="1"/>
      <c r="C2263" s="1"/>
      <c r="D2263" s="1"/>
      <c r="F2263" s="7"/>
      <c r="G2263" s="1"/>
      <c r="H2263" s="1"/>
      <c r="I2263" s="1"/>
    </row>
    <row r="2264" spans="1:9" x14ac:dyDescent="0.25">
      <c r="A2264" s="7"/>
      <c r="B2264" s="1"/>
      <c r="C2264" s="1"/>
      <c r="D2264" s="1"/>
      <c r="F2264" s="7"/>
      <c r="G2264" s="1"/>
      <c r="H2264" s="1"/>
      <c r="I2264" s="1"/>
    </row>
    <row r="2265" spans="1:9" x14ac:dyDescent="0.25">
      <c r="A2265" s="7"/>
      <c r="B2265" s="1"/>
      <c r="C2265" s="1"/>
      <c r="D2265" s="1"/>
      <c r="F2265" s="7"/>
      <c r="G2265" s="1"/>
      <c r="H2265" s="1"/>
      <c r="I2265" s="1"/>
    </row>
    <row r="2266" spans="1:9" x14ac:dyDescent="0.25">
      <c r="A2266" s="7"/>
      <c r="B2266" s="1"/>
      <c r="C2266" s="1"/>
      <c r="D2266" s="1"/>
      <c r="F2266" s="7"/>
      <c r="G2266" s="1"/>
      <c r="H2266" s="1"/>
      <c r="I2266" s="1"/>
    </row>
    <row r="2267" spans="1:9" x14ac:dyDescent="0.25">
      <c r="A2267" s="7"/>
      <c r="B2267" s="1"/>
      <c r="C2267" s="1"/>
      <c r="D2267" s="1"/>
      <c r="F2267" s="7"/>
      <c r="G2267" s="1"/>
      <c r="H2267" s="1"/>
      <c r="I2267" s="1"/>
    </row>
    <row r="2268" spans="1:9" x14ac:dyDescent="0.25">
      <c r="A2268" s="7"/>
      <c r="B2268" s="1"/>
      <c r="C2268" s="1"/>
      <c r="D2268" s="1"/>
      <c r="F2268" s="7"/>
      <c r="G2268" s="1"/>
      <c r="H2268" s="1"/>
      <c r="I2268" s="1"/>
    </row>
    <row r="2269" spans="1:9" x14ac:dyDescent="0.25">
      <c r="A2269" s="7"/>
      <c r="B2269" s="1"/>
      <c r="C2269" s="1"/>
      <c r="D2269" s="1"/>
      <c r="F2269" s="7"/>
      <c r="G2269" s="1"/>
      <c r="H2269" s="1"/>
      <c r="I2269" s="1"/>
    </row>
    <row r="2270" spans="1:9" x14ac:dyDescent="0.25">
      <c r="A2270" s="7"/>
      <c r="B2270" s="1"/>
      <c r="C2270" s="1"/>
      <c r="D2270" s="1"/>
      <c r="F2270" s="7"/>
      <c r="G2270" s="1"/>
      <c r="H2270" s="1"/>
      <c r="I2270" s="1"/>
    </row>
    <row r="2271" spans="1:9" x14ac:dyDescent="0.25">
      <c r="A2271" s="7"/>
      <c r="B2271" s="1"/>
      <c r="C2271" s="1"/>
      <c r="D2271" s="1"/>
      <c r="F2271" s="7"/>
      <c r="G2271" s="1"/>
      <c r="H2271" s="1"/>
      <c r="I2271" s="1"/>
    </row>
    <row r="2272" spans="1:9" x14ac:dyDescent="0.25">
      <c r="A2272" s="7"/>
      <c r="B2272" s="1"/>
      <c r="C2272" s="1"/>
      <c r="D2272" s="1"/>
      <c r="F2272" s="7"/>
      <c r="G2272" s="1"/>
      <c r="H2272" s="1"/>
      <c r="I2272" s="1"/>
    </row>
    <row r="2273" spans="1:9" x14ac:dyDescent="0.25">
      <c r="A2273" s="7"/>
      <c r="B2273" s="1"/>
      <c r="C2273" s="1"/>
      <c r="D2273" s="1"/>
      <c r="F2273" s="7"/>
      <c r="G2273" s="1"/>
      <c r="H2273" s="1"/>
      <c r="I2273" s="1"/>
    </row>
    <row r="2274" spans="1:9" x14ac:dyDescent="0.25">
      <c r="A2274" s="7"/>
      <c r="B2274" s="1"/>
      <c r="C2274" s="1"/>
      <c r="D2274" s="1"/>
      <c r="F2274" s="7"/>
      <c r="G2274" s="1"/>
      <c r="H2274" s="1"/>
      <c r="I2274" s="1"/>
    </row>
    <row r="2275" spans="1:9" x14ac:dyDescent="0.25">
      <c r="A2275" s="7"/>
      <c r="B2275" s="1"/>
      <c r="C2275" s="1"/>
      <c r="D2275" s="1"/>
      <c r="F2275" s="7"/>
      <c r="G2275" s="1"/>
      <c r="H2275" s="1"/>
      <c r="I2275" s="1"/>
    </row>
    <row r="2276" spans="1:9" x14ac:dyDescent="0.25">
      <c r="A2276" s="7"/>
      <c r="B2276" s="1"/>
      <c r="C2276" s="1"/>
      <c r="D2276" s="1"/>
      <c r="F2276" s="7"/>
      <c r="G2276" s="1"/>
      <c r="H2276" s="1"/>
      <c r="I2276" s="1"/>
    </row>
    <row r="2277" spans="1:9" x14ac:dyDescent="0.25">
      <c r="A2277" s="7"/>
      <c r="B2277" s="1"/>
      <c r="C2277" s="1"/>
      <c r="D2277" s="1"/>
      <c r="F2277" s="7"/>
      <c r="G2277" s="1"/>
      <c r="H2277" s="1"/>
      <c r="I2277" s="1"/>
    </row>
    <row r="2278" spans="1:9" x14ac:dyDescent="0.25">
      <c r="A2278" s="7"/>
      <c r="B2278" s="1"/>
      <c r="C2278" s="1"/>
      <c r="D2278" s="1"/>
      <c r="F2278" s="7"/>
      <c r="G2278" s="1"/>
      <c r="H2278" s="1"/>
      <c r="I2278" s="1"/>
    </row>
    <row r="2279" spans="1:9" x14ac:dyDescent="0.25">
      <c r="A2279" s="7"/>
      <c r="B2279" s="1"/>
      <c r="C2279" s="1"/>
      <c r="D2279" s="1"/>
      <c r="F2279" s="7"/>
      <c r="G2279" s="1"/>
      <c r="H2279" s="1"/>
      <c r="I2279" s="1"/>
    </row>
    <row r="2280" spans="1:9" x14ac:dyDescent="0.25">
      <c r="A2280" s="7"/>
      <c r="B2280" s="1"/>
      <c r="C2280" s="1"/>
      <c r="D2280" s="1"/>
      <c r="F2280" s="7"/>
      <c r="G2280" s="1"/>
      <c r="H2280" s="1"/>
      <c r="I2280" s="1"/>
    </row>
    <row r="2281" spans="1:9" x14ac:dyDescent="0.25">
      <c r="A2281" s="7"/>
      <c r="B2281" s="1"/>
      <c r="C2281" s="1"/>
      <c r="D2281" s="1"/>
      <c r="F2281" s="7"/>
      <c r="G2281" s="1"/>
      <c r="H2281" s="1"/>
      <c r="I2281" s="1"/>
    </row>
    <row r="2282" spans="1:9" x14ac:dyDescent="0.25">
      <c r="A2282" s="7"/>
      <c r="B2282" s="1"/>
      <c r="C2282" s="1"/>
      <c r="D2282" s="1"/>
      <c r="F2282" s="7"/>
      <c r="G2282" s="1"/>
      <c r="H2282" s="1"/>
      <c r="I2282" s="1"/>
    </row>
    <row r="2283" spans="1:9" x14ac:dyDescent="0.25">
      <c r="A2283" s="7"/>
      <c r="B2283" s="1"/>
      <c r="C2283" s="1"/>
      <c r="D2283" s="1"/>
      <c r="F2283" s="7"/>
      <c r="G2283" s="1"/>
      <c r="H2283" s="1"/>
      <c r="I2283" s="1"/>
    </row>
    <row r="2284" spans="1:9" x14ac:dyDescent="0.25">
      <c r="A2284" s="7"/>
      <c r="B2284" s="1"/>
      <c r="C2284" s="1"/>
      <c r="D2284" s="1"/>
      <c r="F2284" s="7"/>
      <c r="G2284" s="1"/>
      <c r="H2284" s="1"/>
      <c r="I2284" s="1"/>
    </row>
    <row r="2285" spans="1:9" x14ac:dyDescent="0.25">
      <c r="A2285" s="7"/>
      <c r="B2285" s="1"/>
      <c r="C2285" s="1"/>
      <c r="D2285" s="1"/>
      <c r="F2285" s="7"/>
      <c r="G2285" s="1"/>
      <c r="H2285" s="1"/>
      <c r="I2285" s="1"/>
    </row>
    <row r="2286" spans="1:9" x14ac:dyDescent="0.25">
      <c r="A2286" s="7"/>
      <c r="B2286" s="1"/>
      <c r="C2286" s="1"/>
      <c r="D2286" s="1"/>
      <c r="F2286" s="7"/>
      <c r="G2286" s="1"/>
      <c r="H2286" s="1"/>
      <c r="I2286" s="1"/>
    </row>
    <row r="2287" spans="1:9" x14ac:dyDescent="0.25">
      <c r="A2287" s="7"/>
      <c r="B2287" s="1"/>
      <c r="C2287" s="1"/>
      <c r="D2287" s="1"/>
      <c r="F2287" s="7"/>
      <c r="G2287" s="1"/>
      <c r="H2287" s="1"/>
      <c r="I2287" s="1"/>
    </row>
    <row r="2288" spans="1:9" x14ac:dyDescent="0.25">
      <c r="A2288" s="7"/>
      <c r="B2288" s="1"/>
      <c r="C2288" s="1"/>
      <c r="D2288" s="1"/>
      <c r="F2288" s="7"/>
      <c r="G2288" s="1"/>
      <c r="H2288" s="1"/>
      <c r="I2288" s="1"/>
    </row>
    <row r="2289" spans="1:9" x14ac:dyDescent="0.25">
      <c r="A2289" s="7"/>
      <c r="B2289" s="1"/>
      <c r="C2289" s="1"/>
      <c r="D2289" s="1"/>
      <c r="F2289" s="7"/>
      <c r="G2289" s="1"/>
      <c r="H2289" s="1"/>
      <c r="I2289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Graph_CS</vt:lpstr>
      <vt:lpstr>Graph_PS</vt:lpstr>
      <vt:lpstr>Data</vt:lpstr>
      <vt:lpstr>Old_data</vt:lpstr>
      <vt:lpstr>Age</vt:lpstr>
      <vt:lpstr>Trend</vt:lpstr>
      <vt:lpstr>KT</vt:lpstr>
      <vt:lpstr>GZ</vt:lpstr>
      <vt:lpstr>EC_USN</vt:lpstr>
      <vt:lpstr>GZ_USN</vt:lpstr>
      <vt:lpstr>MO</vt:lpstr>
      <vt:lpstr>MT</vt:lpstr>
      <vt:lpstr>Customize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2020-08-06T09:13:54Z</dcterms:modified>
</cp:coreProperties>
</file>