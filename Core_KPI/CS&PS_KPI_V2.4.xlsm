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5.xml" ContentType="application/vnd.openxmlformats-officedocument.drawingml.chartshap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ml.chartshap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ml.chartshapes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ml.chartshapes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ml.chartshapes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0.xml" ContentType="application/vnd.openxmlformats-officedocument.drawingml.chartshapes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1.xml" ContentType="application/vnd.openxmlformats-officedocument.drawingml.chartshapes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2.xml" ContentType="application/vnd.openxmlformats-officedocument.drawingml.chartshapes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ml.chartshapes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4.xml" ContentType="application/vnd.openxmlformats-officedocument.drawingml.chartshapes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ml.chartshape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ml.chartshape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7.xml" ContentType="application/vnd.openxmlformats-officedocument.drawingml.chartshapes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8.xml" ContentType="application/vnd.openxmlformats-officedocument.drawingml.chartshapes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9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0.xml" ContentType="application/vnd.openxmlformats-officedocument.drawingml.chartshapes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tabRatio="804" activeTab="2"/>
  </bookViews>
  <sheets>
    <sheet name="Graph_CS" sheetId="1" r:id="rId1"/>
    <sheet name="Graph_PS" sheetId="12" r:id="rId2"/>
    <sheet name="Data" sheetId="2" r:id="rId3"/>
    <sheet name="Old_data" sheetId="13" state="hidden" r:id="rId4"/>
    <sheet name="Age" sheetId="5" state="hidden" r:id="rId5"/>
    <sheet name="Trend" sheetId="6" state="hidden" r:id="rId6"/>
    <sheet name="KT" sheetId="7" state="hidden" r:id="rId7"/>
    <sheet name="GZ" sheetId="8" state="hidden" r:id="rId8"/>
    <sheet name="EC_USN" sheetId="10" state="hidden" r:id="rId9"/>
    <sheet name="GZ_USN" sheetId="11" state="hidden" r:id="rId10"/>
    <sheet name="MO" sheetId="3" state="hidden" r:id="rId11"/>
    <sheet name="MT" sheetId="4" state="hidden" r:id="rId12"/>
    <sheet name="Customize" sheetId="14" state="hidden" r:id="rId13"/>
  </sheets>
  <functionGroups builtInGroupCount="18"/>
  <definedNames>
    <definedName name="_xlnm._FilterDatabase" localSheetId="10" hidden="1">MO!$A$1:$D$1</definedName>
    <definedName name="_xlnm._FilterDatabase" localSheetId="11" hidden="1">MT!$A$1:$D$1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1" i="5" l="1"/>
  <c r="D56" i="5"/>
  <c r="W65" i="5" l="1"/>
  <c r="Y57" i="5"/>
  <c r="O1" i="5"/>
  <c r="AX1" i="5"/>
  <c r="Y68" i="5" l="1"/>
  <c r="Y67" i="5"/>
  <c r="Y66" i="5"/>
  <c r="X68" i="5"/>
  <c r="X67" i="5"/>
  <c r="X66" i="5"/>
  <c r="P2" i="6" l="1"/>
  <c r="D57" i="5" l="1"/>
  <c r="S73" i="6" l="1"/>
  <c r="R73" i="6"/>
  <c r="Q73" i="6"/>
  <c r="P73" i="6"/>
  <c r="S72" i="6"/>
  <c r="R72" i="6"/>
  <c r="Q72" i="6"/>
  <c r="P72" i="6"/>
  <c r="S71" i="6"/>
  <c r="R71" i="6"/>
  <c r="Q71" i="6"/>
  <c r="P71" i="6"/>
  <c r="S70" i="6"/>
  <c r="R70" i="6"/>
  <c r="Q70" i="6"/>
  <c r="P70" i="6"/>
  <c r="S69" i="6"/>
  <c r="R69" i="6"/>
  <c r="Q69" i="6"/>
  <c r="P69" i="6"/>
  <c r="S68" i="6"/>
  <c r="R68" i="6"/>
  <c r="Q68" i="6"/>
  <c r="P68" i="6"/>
  <c r="S67" i="6"/>
  <c r="R67" i="6"/>
  <c r="Q67" i="6"/>
  <c r="P67" i="6"/>
  <c r="S66" i="6"/>
  <c r="R66" i="6"/>
  <c r="Q66" i="6"/>
  <c r="P66" i="6"/>
  <c r="S65" i="6"/>
  <c r="R65" i="6"/>
  <c r="Q65" i="6"/>
  <c r="P65" i="6"/>
  <c r="S64" i="6"/>
  <c r="R64" i="6"/>
  <c r="Q64" i="6"/>
  <c r="P64" i="6"/>
  <c r="S63" i="6"/>
  <c r="R63" i="6"/>
  <c r="Q63" i="6"/>
  <c r="P63" i="6"/>
  <c r="S62" i="6"/>
  <c r="R62" i="6"/>
  <c r="Q62" i="6"/>
  <c r="P62" i="6"/>
  <c r="S61" i="6"/>
  <c r="R61" i="6"/>
  <c r="Q61" i="6"/>
  <c r="P61" i="6"/>
  <c r="S60" i="6"/>
  <c r="R60" i="6"/>
  <c r="Q60" i="6"/>
  <c r="P60" i="6"/>
  <c r="S59" i="6"/>
  <c r="R59" i="6"/>
  <c r="Q59" i="6"/>
  <c r="P59" i="6"/>
  <c r="S58" i="6"/>
  <c r="R58" i="6"/>
  <c r="Q58" i="6"/>
  <c r="P58" i="6"/>
  <c r="S57" i="6"/>
  <c r="R57" i="6"/>
  <c r="Q57" i="6"/>
  <c r="P57" i="6"/>
  <c r="S56" i="6"/>
  <c r="R56" i="6"/>
  <c r="Q56" i="6"/>
  <c r="P56" i="6"/>
  <c r="S55" i="6"/>
  <c r="R55" i="6"/>
  <c r="Q55" i="6"/>
  <c r="P55" i="6"/>
  <c r="S54" i="6"/>
  <c r="R54" i="6"/>
  <c r="Q54" i="6"/>
  <c r="P54" i="6"/>
  <c r="S53" i="6"/>
  <c r="R53" i="6"/>
  <c r="Q53" i="6"/>
  <c r="P53" i="6"/>
  <c r="S52" i="6"/>
  <c r="R52" i="6"/>
  <c r="Q52" i="6"/>
  <c r="P52" i="6"/>
  <c r="S51" i="6"/>
  <c r="R51" i="6"/>
  <c r="Q51" i="6"/>
  <c r="P51" i="6"/>
  <c r="S50" i="6"/>
  <c r="R50" i="6"/>
  <c r="Q50" i="6"/>
  <c r="P50" i="6"/>
  <c r="S49" i="6"/>
  <c r="R49" i="6"/>
  <c r="Q49" i="6"/>
  <c r="P49" i="6"/>
  <c r="S48" i="6"/>
  <c r="R48" i="6"/>
  <c r="Q48" i="6"/>
  <c r="P48" i="6"/>
  <c r="S47" i="6"/>
  <c r="R47" i="6"/>
  <c r="Q47" i="6"/>
  <c r="P47" i="6"/>
  <c r="S46" i="6"/>
  <c r="R46" i="6"/>
  <c r="Q46" i="6"/>
  <c r="P46" i="6"/>
  <c r="S45" i="6"/>
  <c r="R45" i="6"/>
  <c r="Q45" i="6"/>
  <c r="P45" i="6"/>
  <c r="S44" i="6"/>
  <c r="R44" i="6"/>
  <c r="Q44" i="6"/>
  <c r="P44" i="6"/>
  <c r="S43" i="6"/>
  <c r="R43" i="6"/>
  <c r="Q43" i="6"/>
  <c r="P43" i="6"/>
  <c r="S42" i="6"/>
  <c r="R42" i="6"/>
  <c r="Q42" i="6"/>
  <c r="P42" i="6"/>
  <c r="S41" i="6"/>
  <c r="R41" i="6"/>
  <c r="Q41" i="6"/>
  <c r="P41" i="6"/>
  <c r="S40" i="6"/>
  <c r="R40" i="6"/>
  <c r="Q40" i="6"/>
  <c r="P40" i="6"/>
  <c r="S39" i="6"/>
  <c r="R39" i="6"/>
  <c r="Q39" i="6"/>
  <c r="P39" i="6"/>
  <c r="S38" i="6"/>
  <c r="R38" i="6"/>
  <c r="Q38" i="6"/>
  <c r="P38" i="6"/>
  <c r="S37" i="6"/>
  <c r="R37" i="6"/>
  <c r="Q37" i="6"/>
  <c r="P37" i="6"/>
  <c r="S36" i="6"/>
  <c r="R36" i="6"/>
  <c r="Q36" i="6"/>
  <c r="P36" i="6"/>
  <c r="S35" i="6"/>
  <c r="R35" i="6"/>
  <c r="Q35" i="6"/>
  <c r="P35" i="6"/>
  <c r="S34" i="6"/>
  <c r="R34" i="6"/>
  <c r="Q34" i="6"/>
  <c r="P34" i="6"/>
  <c r="S33" i="6"/>
  <c r="R33" i="6"/>
  <c r="Q33" i="6"/>
  <c r="P33" i="6"/>
  <c r="S32" i="6"/>
  <c r="R32" i="6"/>
  <c r="Q32" i="6"/>
  <c r="P32" i="6"/>
  <c r="S31" i="6"/>
  <c r="R31" i="6"/>
  <c r="Q31" i="6"/>
  <c r="P31" i="6"/>
  <c r="S30" i="6"/>
  <c r="R30" i="6"/>
  <c r="Q30" i="6"/>
  <c r="P30" i="6"/>
  <c r="S29" i="6"/>
  <c r="R29" i="6"/>
  <c r="Q29" i="6"/>
  <c r="P29" i="6"/>
  <c r="S28" i="6"/>
  <c r="R28" i="6"/>
  <c r="Q28" i="6"/>
  <c r="P28" i="6"/>
  <c r="S27" i="6"/>
  <c r="R27" i="6"/>
  <c r="Q27" i="6"/>
  <c r="P27" i="6"/>
  <c r="S26" i="6"/>
  <c r="R26" i="6"/>
  <c r="Q26" i="6"/>
  <c r="P26" i="6"/>
  <c r="S25" i="6"/>
  <c r="R25" i="6"/>
  <c r="Q25" i="6"/>
  <c r="P25" i="6"/>
  <c r="S24" i="6"/>
  <c r="R24" i="6"/>
  <c r="Q24" i="6"/>
  <c r="P24" i="6"/>
  <c r="S23" i="6"/>
  <c r="R23" i="6"/>
  <c r="Q23" i="6"/>
  <c r="P23" i="6"/>
  <c r="S22" i="6"/>
  <c r="R22" i="6"/>
  <c r="Q22" i="6"/>
  <c r="P22" i="6"/>
  <c r="S21" i="6"/>
  <c r="R21" i="6"/>
  <c r="Q21" i="6"/>
  <c r="P21" i="6"/>
  <c r="S20" i="6"/>
  <c r="R20" i="6"/>
  <c r="Q20" i="6"/>
  <c r="P20" i="6"/>
  <c r="S19" i="6"/>
  <c r="R19" i="6"/>
  <c r="Q19" i="6"/>
  <c r="P19" i="6"/>
  <c r="S18" i="6"/>
  <c r="R18" i="6"/>
  <c r="Q18" i="6"/>
  <c r="P18" i="6"/>
  <c r="S17" i="6"/>
  <c r="R17" i="6"/>
  <c r="Q17" i="6"/>
  <c r="P17" i="6"/>
  <c r="S16" i="6"/>
  <c r="R16" i="6"/>
  <c r="Q16" i="6"/>
  <c r="P16" i="6"/>
  <c r="S15" i="6"/>
  <c r="R15" i="6"/>
  <c r="Q15" i="6"/>
  <c r="P15" i="6"/>
  <c r="S14" i="6"/>
  <c r="R14" i="6"/>
  <c r="Q14" i="6"/>
  <c r="P14" i="6"/>
  <c r="S13" i="6"/>
  <c r="R13" i="6"/>
  <c r="Q13" i="6"/>
  <c r="P13" i="6"/>
  <c r="S12" i="6"/>
  <c r="R12" i="6"/>
  <c r="Q12" i="6"/>
  <c r="P12" i="6"/>
  <c r="S11" i="6"/>
  <c r="R11" i="6"/>
  <c r="Q11" i="6"/>
  <c r="P11" i="6"/>
  <c r="S10" i="6"/>
  <c r="R10" i="6"/>
  <c r="Q10" i="6"/>
  <c r="P10" i="6"/>
  <c r="S9" i="6"/>
  <c r="R9" i="6"/>
  <c r="Q9" i="6"/>
  <c r="P9" i="6"/>
  <c r="S8" i="6"/>
  <c r="R8" i="6"/>
  <c r="Q8" i="6"/>
  <c r="P8" i="6"/>
  <c r="S7" i="6"/>
  <c r="R7" i="6"/>
  <c r="Q7" i="6"/>
  <c r="P7" i="6"/>
  <c r="S6" i="6"/>
  <c r="R6" i="6"/>
  <c r="Q6" i="6"/>
  <c r="P6" i="6"/>
  <c r="S5" i="6"/>
  <c r="R5" i="6"/>
  <c r="Q5" i="6"/>
  <c r="P5" i="6"/>
  <c r="S4" i="6"/>
  <c r="R4" i="6"/>
  <c r="Q4" i="6"/>
  <c r="P4" i="6"/>
  <c r="S3" i="6"/>
  <c r="R3" i="6"/>
  <c r="Q3" i="6"/>
  <c r="P3" i="6"/>
  <c r="S2" i="6"/>
  <c r="R2" i="6"/>
  <c r="Q2" i="6"/>
  <c r="W58" i="5" l="1"/>
  <c r="H32" i="5" l="1"/>
  <c r="F60" i="5" l="1"/>
  <c r="F59" i="5"/>
  <c r="F58" i="5"/>
  <c r="E60" i="5"/>
  <c r="E59" i="5"/>
  <c r="E58" i="5"/>
  <c r="AA33" i="5"/>
  <c r="AB33" i="5"/>
  <c r="AA34" i="5"/>
  <c r="AB34" i="5"/>
  <c r="AA35" i="5"/>
  <c r="AB35" i="5"/>
  <c r="AA36" i="5"/>
  <c r="AB36" i="5"/>
  <c r="AA37" i="5"/>
  <c r="AB37" i="5"/>
  <c r="AA38" i="5"/>
  <c r="AB38" i="5"/>
  <c r="AA39" i="5"/>
  <c r="AB39" i="5"/>
  <c r="AA40" i="5"/>
  <c r="AB40" i="5"/>
  <c r="AA41" i="5"/>
  <c r="AB41" i="5"/>
  <c r="AA42" i="5"/>
  <c r="AB42" i="5"/>
  <c r="AA43" i="5"/>
  <c r="AB43" i="5"/>
  <c r="AA44" i="5"/>
  <c r="AB44" i="5"/>
  <c r="AA45" i="5"/>
  <c r="AB45" i="5"/>
  <c r="AA46" i="5"/>
  <c r="AB46" i="5"/>
  <c r="AA47" i="5"/>
  <c r="AB47" i="5"/>
  <c r="AA48" i="5"/>
  <c r="AB48" i="5"/>
  <c r="AA49" i="5"/>
  <c r="AB49" i="5"/>
  <c r="AA50" i="5"/>
  <c r="AB50" i="5"/>
  <c r="AA51" i="5"/>
  <c r="AB51" i="5"/>
  <c r="AA52" i="5"/>
  <c r="AB52" i="5"/>
  <c r="AA53" i="5"/>
  <c r="AB53" i="5"/>
  <c r="AA54" i="5"/>
  <c r="AB54" i="5"/>
  <c r="AA55" i="5"/>
  <c r="AB55" i="5"/>
  <c r="AB32" i="5"/>
  <c r="AA32" i="5"/>
  <c r="AE32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31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H31" i="5"/>
  <c r="AD32" i="5" l="1"/>
  <c r="I32" i="5"/>
  <c r="J32" i="5" s="1"/>
  <c r="I33" i="5"/>
  <c r="I34" i="5"/>
  <c r="I35" i="5"/>
  <c r="I36" i="5"/>
  <c r="I37" i="5"/>
  <c r="I38" i="5"/>
  <c r="I39" i="5"/>
  <c r="I40" i="5"/>
  <c r="I41" i="5"/>
  <c r="I42" i="5"/>
  <c r="I43" i="5"/>
  <c r="I44" i="5"/>
  <c r="I45" i="5"/>
  <c r="I46" i="5"/>
  <c r="I47" i="5"/>
  <c r="I48" i="5"/>
  <c r="I49" i="5"/>
  <c r="I50" i="5"/>
  <c r="I51" i="5"/>
  <c r="I52" i="5"/>
  <c r="I53" i="5"/>
  <c r="I54" i="5"/>
  <c r="I31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B32" i="5"/>
  <c r="C32" i="5"/>
  <c r="B33" i="5"/>
  <c r="C33" i="5"/>
  <c r="B34" i="5"/>
  <c r="C34" i="5"/>
  <c r="B35" i="5"/>
  <c r="C35" i="5"/>
  <c r="B36" i="5"/>
  <c r="C36" i="5"/>
  <c r="B37" i="5"/>
  <c r="C37" i="5"/>
  <c r="B38" i="5"/>
  <c r="C38" i="5"/>
  <c r="B39" i="5"/>
  <c r="C39" i="5"/>
  <c r="B40" i="5"/>
  <c r="C40" i="5"/>
  <c r="B41" i="5"/>
  <c r="C41" i="5"/>
  <c r="B42" i="5"/>
  <c r="C42" i="5"/>
  <c r="B43" i="5"/>
  <c r="C43" i="5"/>
  <c r="B44" i="5"/>
  <c r="C44" i="5"/>
  <c r="B45" i="5"/>
  <c r="C45" i="5"/>
  <c r="B46" i="5"/>
  <c r="C46" i="5"/>
  <c r="B47" i="5"/>
  <c r="C47" i="5"/>
  <c r="B48" i="5"/>
  <c r="C48" i="5"/>
  <c r="B49" i="5"/>
  <c r="C49" i="5"/>
  <c r="B50" i="5"/>
  <c r="C50" i="5"/>
  <c r="B51" i="5"/>
  <c r="C51" i="5"/>
  <c r="B52" i="5"/>
  <c r="C52" i="5"/>
  <c r="B53" i="5"/>
  <c r="C53" i="5"/>
  <c r="B54" i="5"/>
  <c r="C54" i="5"/>
  <c r="C31" i="5"/>
  <c r="B31" i="5"/>
  <c r="J40" i="5" l="1"/>
  <c r="J36" i="5"/>
  <c r="D36" i="5"/>
  <c r="G36" i="5"/>
  <c r="J50" i="5"/>
  <c r="J42" i="5"/>
  <c r="J34" i="5"/>
  <c r="J46" i="5"/>
  <c r="G31" i="5"/>
  <c r="D42" i="5"/>
  <c r="D45" i="5"/>
  <c r="D41" i="5"/>
  <c r="D48" i="5"/>
  <c r="D50" i="5"/>
  <c r="G33" i="5"/>
  <c r="D31" i="5"/>
  <c r="D37" i="5"/>
  <c r="D44" i="5"/>
  <c r="D47" i="5"/>
  <c r="D32" i="5"/>
  <c r="G50" i="5"/>
  <c r="G42" i="5"/>
  <c r="G34" i="5"/>
  <c r="J54" i="5"/>
  <c r="J38" i="5"/>
  <c r="J47" i="5"/>
  <c r="G49" i="5"/>
  <c r="G41" i="5"/>
  <c r="G47" i="5"/>
  <c r="G39" i="5"/>
  <c r="G37" i="5"/>
  <c r="G46" i="5"/>
  <c r="G38" i="5"/>
  <c r="G53" i="5"/>
  <c r="D34" i="5"/>
  <c r="D40" i="5"/>
  <c r="D33" i="5"/>
  <c r="D52" i="5"/>
  <c r="D39" i="5"/>
  <c r="D53" i="5"/>
  <c r="G52" i="5"/>
  <c r="G32" i="5"/>
  <c r="J45" i="5"/>
  <c r="G45" i="5"/>
  <c r="G35" i="5"/>
  <c r="G54" i="5"/>
  <c r="G51" i="5"/>
  <c r="G48" i="5"/>
  <c r="G44" i="5"/>
  <c r="J51" i="5"/>
  <c r="J43" i="5"/>
  <c r="J35" i="5"/>
  <c r="D49" i="5"/>
  <c r="D43" i="5"/>
  <c r="D54" i="5"/>
  <c r="G40" i="5"/>
  <c r="D35" i="5"/>
  <c r="J31" i="5"/>
  <c r="J39" i="5"/>
  <c r="D46" i="5"/>
  <c r="J52" i="5"/>
  <c r="D51" i="5"/>
  <c r="G43" i="5"/>
  <c r="J48" i="5"/>
  <c r="D38" i="5"/>
  <c r="J53" i="5"/>
  <c r="J37" i="5"/>
  <c r="J49" i="5"/>
  <c r="J41" i="5"/>
  <c r="J33" i="5"/>
  <c r="J44" i="5"/>
  <c r="AF33" i="5"/>
  <c r="AF34" i="5"/>
  <c r="AF35" i="5"/>
  <c r="AF36" i="5"/>
  <c r="AF37" i="5"/>
  <c r="AF38" i="5"/>
  <c r="AF39" i="5"/>
  <c r="AF40" i="5"/>
  <c r="AF41" i="5"/>
  <c r="AF42" i="5"/>
  <c r="AF43" i="5"/>
  <c r="AF44" i="5"/>
  <c r="AF45" i="5"/>
  <c r="AF46" i="5"/>
  <c r="AF47" i="5"/>
  <c r="AF48" i="5"/>
  <c r="AF49" i="5"/>
  <c r="AF50" i="5"/>
  <c r="AF51" i="5"/>
  <c r="AF52" i="5"/>
  <c r="AF53" i="5"/>
  <c r="AF54" i="5"/>
  <c r="AF55" i="5"/>
  <c r="AF32" i="5"/>
  <c r="AE33" i="5"/>
  <c r="AE34" i="5"/>
  <c r="AE35" i="5"/>
  <c r="AE36" i="5"/>
  <c r="AE37" i="5"/>
  <c r="AE38" i="5"/>
  <c r="AE39" i="5"/>
  <c r="AE40" i="5"/>
  <c r="AE41" i="5"/>
  <c r="AE42" i="5"/>
  <c r="AE43" i="5"/>
  <c r="AE44" i="5"/>
  <c r="AE45" i="5"/>
  <c r="AE46" i="5"/>
  <c r="AE47" i="5"/>
  <c r="AE48" i="5"/>
  <c r="AE49" i="5"/>
  <c r="AE50" i="5"/>
  <c r="AE51" i="5"/>
  <c r="AE52" i="5"/>
  <c r="AE53" i="5"/>
  <c r="AE54" i="5"/>
  <c r="AE55" i="5"/>
  <c r="X33" i="5"/>
  <c r="X34" i="5"/>
  <c r="X35" i="5"/>
  <c r="X36" i="5"/>
  <c r="X37" i="5"/>
  <c r="X38" i="5"/>
  <c r="X39" i="5"/>
  <c r="X40" i="5"/>
  <c r="X41" i="5"/>
  <c r="X42" i="5"/>
  <c r="X43" i="5"/>
  <c r="X44" i="5"/>
  <c r="X45" i="5"/>
  <c r="X46" i="5"/>
  <c r="X47" i="5"/>
  <c r="X48" i="5"/>
  <c r="X49" i="5"/>
  <c r="X50" i="5"/>
  <c r="X51" i="5"/>
  <c r="X52" i="5"/>
  <c r="X53" i="5"/>
  <c r="X54" i="5"/>
  <c r="X55" i="5"/>
  <c r="X32" i="5"/>
  <c r="W33" i="5"/>
  <c r="W34" i="5"/>
  <c r="W35" i="5"/>
  <c r="W36" i="5"/>
  <c r="W37" i="5"/>
  <c r="W38" i="5"/>
  <c r="W39" i="5"/>
  <c r="W40" i="5"/>
  <c r="W41" i="5"/>
  <c r="W42" i="5"/>
  <c r="W43" i="5"/>
  <c r="W44" i="5"/>
  <c r="W45" i="5"/>
  <c r="W46" i="5"/>
  <c r="W47" i="5"/>
  <c r="W48" i="5"/>
  <c r="W49" i="5"/>
  <c r="W50" i="5"/>
  <c r="W51" i="5"/>
  <c r="W52" i="5"/>
  <c r="W53" i="5"/>
  <c r="W54" i="5"/>
  <c r="W55" i="5"/>
  <c r="W32" i="5"/>
  <c r="Z37" i="5" l="1"/>
  <c r="AH41" i="5"/>
  <c r="AH53" i="5"/>
  <c r="AH45" i="5"/>
  <c r="AH37" i="5"/>
  <c r="AH54" i="5"/>
  <c r="AH46" i="5"/>
  <c r="AH38" i="5"/>
  <c r="AH50" i="5"/>
  <c r="AH42" i="5"/>
  <c r="AH34" i="5"/>
  <c r="AH48" i="5"/>
  <c r="AH40" i="5"/>
  <c r="AH49" i="5"/>
  <c r="AH32" i="5"/>
  <c r="AH33" i="5"/>
  <c r="AH52" i="5"/>
  <c r="AH44" i="5"/>
  <c r="AH36" i="5"/>
  <c r="AH51" i="5"/>
  <c r="AH43" i="5"/>
  <c r="AH35" i="5"/>
  <c r="AH55" i="5"/>
  <c r="AH47" i="5"/>
  <c r="AH39" i="5"/>
  <c r="Z47" i="5"/>
  <c r="Z55" i="5"/>
  <c r="Z44" i="5"/>
  <c r="Z50" i="5"/>
  <c r="Z41" i="5"/>
  <c r="Z36" i="5"/>
  <c r="Z43" i="5"/>
  <c r="Z52" i="5"/>
  <c r="Z51" i="5"/>
  <c r="Z34" i="5"/>
  <c r="Z42" i="5"/>
  <c r="Z39" i="5"/>
  <c r="Z53" i="5"/>
  <c r="Z33" i="5"/>
  <c r="Z35" i="5"/>
  <c r="Z49" i="5"/>
  <c r="Z32" i="5"/>
  <c r="Z48" i="5"/>
  <c r="Z54" i="5"/>
  <c r="Z46" i="5"/>
  <c r="AD48" i="5"/>
  <c r="AD40" i="5"/>
  <c r="Z40" i="5"/>
  <c r="Z45" i="5"/>
  <c r="AD37" i="5"/>
  <c r="AD50" i="5"/>
  <c r="AD47" i="5"/>
  <c r="AD52" i="5"/>
  <c r="AD49" i="5"/>
  <c r="AD33" i="5"/>
  <c r="AD54" i="5"/>
  <c r="AD46" i="5"/>
  <c r="AD38" i="5"/>
  <c r="Z38" i="5"/>
  <c r="AD53" i="5"/>
  <c r="AD45" i="5"/>
  <c r="AD42" i="5"/>
  <c r="AD34" i="5"/>
  <c r="AD55" i="5"/>
  <c r="AD39" i="5"/>
  <c r="AD44" i="5"/>
  <c r="AD36" i="5"/>
  <c r="AD41" i="5"/>
  <c r="AD51" i="5"/>
  <c r="AD43" i="5"/>
  <c r="AD35" i="5"/>
  <c r="X59" i="5" l="1"/>
  <c r="X61" i="5"/>
  <c r="X60" i="5"/>
  <c r="AX7" i="5"/>
  <c r="AW7" i="5"/>
  <c r="T14" i="5" l="1"/>
  <c r="S14" i="5"/>
  <c r="Q14" i="5"/>
  <c r="P14" i="5"/>
</calcChain>
</file>

<file path=xl/sharedStrings.xml><?xml version="1.0" encoding="utf-8"?>
<sst xmlns="http://schemas.openxmlformats.org/spreadsheetml/2006/main" count="6619" uniqueCount="168">
  <si>
    <t>Start Time</t>
  </si>
  <si>
    <t>NE Name</t>
  </si>
  <si>
    <t>Answer Traffic (Erl)</t>
  </si>
  <si>
    <t>2G TERMINATED ANSWER USAGE (Erl)</t>
  </si>
  <si>
    <t>3G TERMINATED ANSWER USAGE (Erl)</t>
  </si>
  <si>
    <t>2G Call</t>
  </si>
  <si>
    <t>3G Call</t>
  </si>
  <si>
    <t>MT</t>
  </si>
  <si>
    <t>Total</t>
  </si>
  <si>
    <t>MSKL07</t>
  </si>
  <si>
    <t>MSDH11</t>
  </si>
  <si>
    <t>MSCM01</t>
  </si>
  <si>
    <t>MSKL05</t>
  </si>
  <si>
    <t>MSDH12</t>
  </si>
  <si>
    <t>MSDH13</t>
  </si>
  <si>
    <t>MSBO03</t>
  </si>
  <si>
    <t>MSSL02</t>
  </si>
  <si>
    <t>MSDH14</t>
  </si>
  <si>
    <t>MSDH15</t>
  </si>
  <si>
    <t>MSCT04</t>
  </si>
  <si>
    <t>MO</t>
  </si>
  <si>
    <t>MO_2G</t>
  </si>
  <si>
    <t>MO_3G</t>
  </si>
  <si>
    <t>MT_2G</t>
  </si>
  <si>
    <t>MT_3G</t>
  </si>
  <si>
    <t>Time</t>
  </si>
  <si>
    <t>MO2</t>
  </si>
  <si>
    <t>MO3</t>
  </si>
  <si>
    <t>MT2</t>
  </si>
  <si>
    <t>MT3</t>
  </si>
  <si>
    <t>Today</t>
  </si>
  <si>
    <t>BDCL_4G_Data (Byte)</t>
  </si>
  <si>
    <t>Gi traffic in MB (MB)</t>
  </si>
  <si>
    <t>SGi downlink user traffic in KB (kB)</t>
  </si>
  <si>
    <t>SGi uplink user traffic in KB (kB)</t>
  </si>
  <si>
    <t>2G&amp; 3G Gi Data(GB)</t>
  </si>
  <si>
    <t>CS</t>
  </si>
  <si>
    <t>PS</t>
  </si>
  <si>
    <t>4G</t>
  </si>
  <si>
    <t>GZ_2G&amp;3G</t>
  </si>
  <si>
    <t>KT_2G&amp;3G</t>
  </si>
  <si>
    <t>KT_4G</t>
  </si>
  <si>
    <t>GZ_4G</t>
  </si>
  <si>
    <t>2G &amp;3G</t>
  </si>
  <si>
    <t>EC_UGW</t>
  </si>
  <si>
    <t>GZ_UGW</t>
  </si>
  <si>
    <t>UGW Function</t>
  </si>
  <si>
    <t>2&amp;3</t>
  </si>
  <si>
    <t>EC_UGW_2G&amp;3G</t>
  </si>
  <si>
    <t>EC_UGW_4G</t>
  </si>
  <si>
    <t>GZ_UGW_2G&amp;3G</t>
  </si>
  <si>
    <t>GZ_UGW_4G</t>
  </si>
  <si>
    <t>First time</t>
  </si>
  <si>
    <t xml:space="preserve">PS Core </t>
  </si>
  <si>
    <t>Upload Type</t>
  </si>
  <si>
    <t>vPEPC GZ</t>
  </si>
  <si>
    <t>vPEPC KT</t>
  </si>
  <si>
    <t>vEPC GZ</t>
  </si>
  <si>
    <t>vEPC KT</t>
  </si>
  <si>
    <t>Gi traffic(2&amp;3)</t>
  </si>
  <si>
    <t>SGi traffic_4G</t>
  </si>
  <si>
    <t>vEPC_GZ</t>
  </si>
  <si>
    <t>vEPC_KT</t>
  </si>
  <si>
    <t>UGW</t>
  </si>
  <si>
    <t>2G &amp; 3G Calls Status</t>
  </si>
  <si>
    <t>MO 2G &amp; 3G Calls</t>
  </si>
  <si>
    <t>MT 2G &amp; 3G Calls</t>
  </si>
  <si>
    <t>Last time</t>
  </si>
  <si>
    <t>MSKL07_MSOFTX_AT05</t>
  </si>
  <si>
    <t>MSDH11_MSOFTX_GZ04</t>
  </si>
  <si>
    <t>MSCM01_MSOFT_GF01</t>
  </si>
  <si>
    <t>MSKL05_MSOFT_CC08</t>
  </si>
  <si>
    <t>MSDH12_MSOFT_GZ04</t>
  </si>
  <si>
    <t>MSDH13_MSOFTX_CRP07</t>
  </si>
  <si>
    <t>MSBO03_MSOFTX_RB03</t>
  </si>
  <si>
    <t>MSSL02_MSOFTX_RT02</t>
  </si>
  <si>
    <t>MSDH14_MSOFTX_MYM01</t>
  </si>
  <si>
    <t>MSDH15_MSOFT_GZ03</t>
  </si>
  <si>
    <t>MSCT04_MSOFTX_Y06</t>
  </si>
  <si>
    <t>Day-1 [24 Hrs]</t>
  </si>
  <si>
    <t>MSC-MO Call</t>
  </si>
  <si>
    <t>MSC-MT Call</t>
  </si>
  <si>
    <t>MO 2G Pool-1</t>
  </si>
  <si>
    <t>MO 2G Pool-2</t>
  </si>
  <si>
    <t>MO 3G Pool-2</t>
  </si>
  <si>
    <t>MO 3G Pool-1</t>
  </si>
  <si>
    <t>MT 2G Pool-1</t>
  </si>
  <si>
    <t>MT 3G Pool-1</t>
  </si>
  <si>
    <t>MT 2G Pool-2</t>
  </si>
  <si>
    <t>MT 3G Pool-2</t>
  </si>
  <si>
    <t>MO Pool-1</t>
  </si>
  <si>
    <t>MO Pool-2</t>
  </si>
  <si>
    <t>MT Pool-2</t>
  </si>
  <si>
    <t>MT Pool-1</t>
  </si>
  <si>
    <t>Day-7 [24 Hrs]</t>
  </si>
  <si>
    <t>05 06 16</t>
  </si>
  <si>
    <t>Time duration CS</t>
  </si>
  <si>
    <t>Time duration PS</t>
  </si>
  <si>
    <t>MT 2G &amp; 3G</t>
  </si>
  <si>
    <t>Ps core 2G &amp; 3G</t>
  </si>
  <si>
    <t>Ps core 4G</t>
  </si>
  <si>
    <t>PS Total</t>
  </si>
  <si>
    <t>Cs Total</t>
  </si>
  <si>
    <t>total</t>
  </si>
  <si>
    <t>MTO 2G &amp; 3G</t>
  </si>
  <si>
    <r>
      <rPr>
        <b/>
        <sz val="11"/>
        <color theme="1"/>
        <rFont val="Calibri"/>
        <family val="2"/>
      </rPr>
      <t>MO</t>
    </r>
    <r>
      <rPr>
        <sz val="11"/>
        <color theme="1"/>
        <rFont val="Calibri"/>
        <family val="2"/>
      </rPr>
      <t>/ Start Time</t>
    </r>
  </si>
  <si>
    <r>
      <rPr>
        <b/>
        <sz val="11"/>
        <color theme="1"/>
        <rFont val="Calibri"/>
        <family val="2"/>
      </rPr>
      <t>MT /</t>
    </r>
    <r>
      <rPr>
        <sz val="11"/>
        <color theme="1"/>
        <rFont val="Calibri"/>
        <family val="2"/>
      </rPr>
      <t>Start Time</t>
    </r>
  </si>
  <si>
    <r>
      <rPr>
        <b/>
        <sz val="11"/>
        <color theme="1"/>
        <rFont val="Calibri"/>
        <family val="2"/>
        <scheme val="minor"/>
      </rPr>
      <t xml:space="preserve">GZ/ </t>
    </r>
    <r>
      <rPr>
        <sz val="11"/>
        <color theme="1"/>
        <rFont val="Calibri"/>
        <family val="2"/>
        <scheme val="minor"/>
      </rPr>
      <t>Start Time</t>
    </r>
  </si>
  <si>
    <t>Macro Type</t>
  </si>
  <si>
    <t>Day -1</t>
  </si>
  <si>
    <t>Day -1 [24 Hrs]</t>
  </si>
  <si>
    <t>EC_UGW_2G &amp; 3G [Gi]</t>
  </si>
  <si>
    <t>GZ_UGW_2G &amp; 3G [Gi]</t>
  </si>
  <si>
    <t>EC_UGW_4G [SGi]</t>
  </si>
  <si>
    <t>GZ_UGW_4G [SGi]</t>
  </si>
  <si>
    <t xml:space="preserve"> UGW EC+GZ [Gi+SGi]</t>
  </si>
  <si>
    <t>Overall PS Core Status</t>
  </si>
  <si>
    <r>
      <rPr>
        <b/>
        <sz val="11"/>
        <color theme="1"/>
        <rFont val="Calibri"/>
        <family val="2"/>
        <scheme val="minor"/>
      </rPr>
      <t xml:space="preserve">KT/ </t>
    </r>
    <r>
      <rPr>
        <sz val="11"/>
        <color theme="1"/>
        <rFont val="Calibri"/>
        <family val="2"/>
        <scheme val="minor"/>
      </rPr>
      <t>Start Time</t>
    </r>
  </si>
  <si>
    <t>Day -7</t>
  </si>
  <si>
    <t>Day -7 [24 Hrs]</t>
  </si>
  <si>
    <t>Regular</t>
  </si>
  <si>
    <t>vEPC GZ_4G</t>
  </si>
  <si>
    <t>vEPC GZ_2G &amp; 3G</t>
  </si>
  <si>
    <t>vEPC KT_2G &amp; 3G</t>
  </si>
  <si>
    <t>vEPC KT_4G</t>
  </si>
  <si>
    <t>GZ_2G &amp; 3G</t>
  </si>
  <si>
    <t>2G &amp; 3G</t>
  </si>
  <si>
    <t>PS Core status [GZ &amp; KT]</t>
  </si>
  <si>
    <t>13/05/2021 00:00:00</t>
  </si>
  <si>
    <t>13/05/2021 01:00:00</t>
  </si>
  <si>
    <t>13/05/2021 02:00:00</t>
  </si>
  <si>
    <t>13/05/2021 03:00:00</t>
  </si>
  <si>
    <t>13/05/2021 04:00:00</t>
  </si>
  <si>
    <t>13/05/2021 05:00:00</t>
  </si>
  <si>
    <t>13/05/2021 06:00:00</t>
  </si>
  <si>
    <t>13/05/2021 07:00:00</t>
  </si>
  <si>
    <t>13/05/2021 08:00:00</t>
  </si>
  <si>
    <t>13/05/2021 09:00:00</t>
  </si>
  <si>
    <t>13/05/2021 10:00:00</t>
  </si>
  <si>
    <t>13/05/2021 11:00:00</t>
  </si>
  <si>
    <t>13/05/2021 12:00:00</t>
  </si>
  <si>
    <t>13/05/2021 13:00:00</t>
  </si>
  <si>
    <t>13/05/2021 14:00:00</t>
  </si>
  <si>
    <t>13/05/2021 15:00:00</t>
  </si>
  <si>
    <t>13/05/2021 16:00:00</t>
  </si>
  <si>
    <t>13/05/2021 17:00:00</t>
  </si>
  <si>
    <t>13/05/2021 18:00:00</t>
  </si>
  <si>
    <t>13/05/2021 19:00:00</t>
  </si>
  <si>
    <t>13/05/2021 20:00:00</t>
  </si>
  <si>
    <t>13/05/2021 21:00:00</t>
  </si>
  <si>
    <t>13/05/2021 22:00:00</t>
  </si>
  <si>
    <t>Yesterday</t>
  </si>
  <si>
    <t>13/05/2021 23:00:00</t>
  </si>
  <si>
    <t>14/05/2021 00:00:00</t>
  </si>
  <si>
    <t>vEPC_GZ 2G, 3G &amp; 4G</t>
  </si>
  <si>
    <t>vEPC_KT 2G, 3G &amp; 4G</t>
  </si>
  <si>
    <t>14/05/2021 01:00:00</t>
  </si>
  <si>
    <t>14/05/2021 02:00:00</t>
  </si>
  <si>
    <t>14/05/2021 03:00:00</t>
  </si>
  <si>
    <t>14/05/2021 04:00:00</t>
  </si>
  <si>
    <t>14/05/2021 05:00:00</t>
  </si>
  <si>
    <t>14/05/2021 06:00:00</t>
  </si>
  <si>
    <t>14/05/2021 07:00:00</t>
  </si>
  <si>
    <t>14/05/2021 08:00:00</t>
  </si>
  <si>
    <t>14/05/2021 09:00:00</t>
  </si>
  <si>
    <t>14/05/2021 10:00:00</t>
  </si>
  <si>
    <t>14/05/2021 11:00:00</t>
  </si>
  <si>
    <t>14/05/2021 12:00:00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</si>
</sst>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d/m/yyyy"/>
    <numFmt numFmtId="165" formatCode="0.0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</font>
  </fonts>
  <fills count="17">
    <fill>
      <patternFill patternType="none"/>
    </fill>
    <fill>
      <patternFill patternType="gray125"/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rgb="FFFFFF00"/>
        <bgColor indexed="64"/>
      </patternFill>
    </fill>
    <fill>
      <patternFill patternType="solid">
        <fgColor rgb="FFF2F2F2"/>
      </patternFill>
    </fill>
    <fill>
      <patternFill patternType="solid">
        <fgColor rgb="FFFFC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CC99"/>
      </patternFill>
    </fill>
    <fill>
      <patternFill patternType="solid">
        <fgColor theme="6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00000"/>
        <bgColor indexed="64"/>
      </patternFill>
    </fill>
  </fills>
  <borders count="1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rgb="FF7F7F7F"/>
      </right>
      <top style="thin">
        <color indexed="64"/>
      </top>
      <bottom/>
      <diagonal/>
    </border>
    <border>
      <left style="thin">
        <color rgb="FF7F7F7F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5">
    <xf numFmtId="0" fontId="0" fillId="0" borderId="0"/>
    <xf numFmtId="0" fontId="2" fillId="2" borderId="1" applyNumberFormat="0" applyAlignment="0" applyProtection="0"/>
    <xf numFmtId="0" fontId="4" fillId="3" borderId="4" applyNumberFormat="0" applyFont="0" applyAlignment="0" applyProtection="0"/>
    <xf numFmtId="0" fontId="5" fillId="5" borderId="8" applyNumberFormat="0" applyAlignment="0" applyProtection="0"/>
    <xf numFmtId="0" fontId="6" fillId="8" borderId="8" applyNumberFormat="0" applyAlignment="0" applyProtection="0"/>
  </cellStyleXfs>
  <cellXfs count="71">
    <xf numFmtId="0" fontId="0" fillId="0" borderId="0" xfId="0"/>
    <xf numFmtId="0" fontId="1" fillId="0" borderId="0" xfId="0" applyFont="1" applyFill="1" applyBorder="1"/>
    <xf numFmtId="0" fontId="0" fillId="0" borderId="2" xfId="0" applyBorder="1"/>
    <xf numFmtId="0" fontId="0" fillId="0" borderId="3" xfId="0" applyBorder="1"/>
    <xf numFmtId="0" fontId="0" fillId="0" borderId="0" xfId="0" applyFill="1"/>
    <xf numFmtId="0" fontId="0" fillId="0" borderId="5" xfId="0" applyBorder="1"/>
    <xf numFmtId="0" fontId="0" fillId="0" borderId="2" xfId="0" applyFill="1" applyBorder="1"/>
    <xf numFmtId="22" fontId="1" fillId="0" borderId="0" xfId="0" applyNumberFormat="1" applyFont="1" applyFill="1" applyBorder="1"/>
    <xf numFmtId="0" fontId="0" fillId="4" borderId="0" xfId="0" applyFill="1"/>
    <xf numFmtId="22" fontId="0" fillId="0" borderId="0" xfId="0" applyNumberFormat="1"/>
    <xf numFmtId="0" fontId="2" fillId="7" borderId="1" xfId="1" applyFill="1" applyAlignment="1">
      <alignment horizontal="center" vertical="center"/>
    </xf>
    <xf numFmtId="0" fontId="0" fillId="0" borderId="3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0" xfId="0" applyBorder="1"/>
    <xf numFmtId="0" fontId="0" fillId="0" borderId="9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1" fillId="0" borderId="3" xfId="0" applyFont="1" applyFill="1" applyBorder="1"/>
    <xf numFmtId="0" fontId="1" fillId="0" borderId="15" xfId="0" applyFont="1" applyFill="1" applyBorder="1"/>
    <xf numFmtId="0" fontId="0" fillId="6" borderId="2" xfId="2" applyFont="1" applyFill="1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6" xfId="0" applyBorder="1"/>
    <xf numFmtId="0" fontId="0" fillId="0" borderId="7" xfId="0" applyBorder="1"/>
    <xf numFmtId="0" fontId="0" fillId="6" borderId="2" xfId="2" applyFont="1" applyFill="1" applyBorder="1" applyAlignment="1">
      <alignment horizontal="left"/>
    </xf>
    <xf numFmtId="22" fontId="0" fillId="3" borderId="2" xfId="2" applyNumberFormat="1" applyFont="1" applyBorder="1"/>
    <xf numFmtId="164" fontId="1" fillId="0" borderId="0" xfId="0" applyNumberFormat="1" applyFont="1" applyFill="1" applyBorder="1"/>
    <xf numFmtId="0" fontId="7" fillId="0" borderId="0" xfId="0" applyFont="1"/>
    <xf numFmtId="0" fontId="0" fillId="0" borderId="18" xfId="0" applyFill="1" applyBorder="1"/>
    <xf numFmtId="0" fontId="1" fillId="9" borderId="3" xfId="0" applyFont="1" applyFill="1" applyBorder="1"/>
    <xf numFmtId="0" fontId="1" fillId="9" borderId="0" xfId="0" applyFont="1" applyFill="1" applyBorder="1"/>
    <xf numFmtId="0" fontId="1" fillId="9" borderId="9" xfId="0" applyFont="1" applyFill="1" applyBorder="1"/>
    <xf numFmtId="0" fontId="1" fillId="10" borderId="3" xfId="0" applyFont="1" applyFill="1" applyBorder="1"/>
    <xf numFmtId="0" fontId="1" fillId="10" borderId="0" xfId="0" applyFont="1" applyFill="1" applyBorder="1"/>
    <xf numFmtId="0" fontId="1" fillId="10" borderId="9" xfId="0" applyFont="1" applyFill="1" applyBorder="1"/>
    <xf numFmtId="0" fontId="0" fillId="11" borderId="0" xfId="0" applyFill="1" applyBorder="1"/>
    <xf numFmtId="0" fontId="0" fillId="11" borderId="9" xfId="0" applyFill="1" applyBorder="1"/>
    <xf numFmtId="0" fontId="0" fillId="10" borderId="3" xfId="0" applyFill="1" applyBorder="1"/>
    <xf numFmtId="0" fontId="0" fillId="10" borderId="0" xfId="0" applyFill="1" applyBorder="1"/>
    <xf numFmtId="0" fontId="0" fillId="10" borderId="9" xfId="0" applyFill="1" applyBorder="1"/>
    <xf numFmtId="0" fontId="0" fillId="13" borderId="0" xfId="0" applyFill="1" applyBorder="1"/>
    <xf numFmtId="0" fontId="0" fillId="13" borderId="0" xfId="0" applyFill="1"/>
    <xf numFmtId="0" fontId="1" fillId="13" borderId="0" xfId="0" applyFont="1" applyFill="1" applyBorder="1"/>
    <xf numFmtId="0" fontId="1" fillId="13" borderId="16" xfId="0" applyFont="1" applyFill="1" applyBorder="1"/>
    <xf numFmtId="0" fontId="0" fillId="13" borderId="16" xfId="0" applyFill="1" applyBorder="1"/>
    <xf numFmtId="22" fontId="0" fillId="3" borderId="2" xfId="2" applyNumberFormat="1" applyFont="1" applyBorder="1" applyAlignment="1">
      <alignment vertical="center"/>
    </xf>
    <xf numFmtId="0" fontId="0" fillId="3" borderId="2" xfId="2" applyFont="1" applyBorder="1" applyAlignment="1">
      <alignment vertical="center"/>
    </xf>
    <xf numFmtId="0" fontId="0" fillId="6" borderId="2" xfId="2" applyFont="1" applyFill="1" applyBorder="1" applyAlignment="1">
      <alignment vertical="center"/>
    </xf>
    <xf numFmtId="0" fontId="0" fillId="6" borderId="2" xfId="2" applyFont="1" applyFill="1" applyBorder="1" applyAlignment="1">
      <alignment horizontal="left" vertical="center"/>
    </xf>
    <xf numFmtId="0" fontId="8" fillId="6" borderId="8" xfId="4" applyFont="1" applyFill="1" applyAlignment="1">
      <alignment vertical="center"/>
    </xf>
    <xf numFmtId="0" fontId="0" fillId="14" borderId="0" xfId="0" applyFill="1"/>
    <xf numFmtId="0" fontId="0" fillId="12" borderId="0" xfId="0" applyFill="1"/>
    <xf numFmtId="0" fontId="0" fillId="15" borderId="5" xfId="0" applyFill="1" applyBorder="1"/>
    <xf numFmtId="0" fontId="0" fillId="16" borderId="0" xfId="0" applyFill="1"/>
    <xf numFmtId="165" fontId="0" fillId="0" borderId="0" xfId="0" applyNumberFormat="1"/>
    <xf numFmtId="165" fontId="0" fillId="0" borderId="2" xfId="0" applyNumberFormat="1" applyBorder="1"/>
    <xf numFmtId="14" fontId="0" fillId="0" borderId="0" xfId="0" applyNumberFormat="1"/>
    <xf numFmtId="22" fontId="0" fillId="4" borderId="13" xfId="0" applyNumberFormat="1" applyFill="1" applyBorder="1"/>
    <xf numFmtId="22" fontId="0" fillId="4" borderId="0" xfId="0" applyNumberFormat="1" applyFill="1"/>
    <xf numFmtId="0" fontId="8" fillId="6" borderId="10" xfId="3" applyFont="1" applyFill="1" applyBorder="1" applyAlignment="1">
      <alignment horizontal="center"/>
    </xf>
    <xf numFmtId="0" fontId="8" fillId="6" borderId="11" xfId="3" applyFont="1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</cellXfs>
  <cellStyles count="5">
    <cellStyle name="Calculation" xfId="3" builtinId="22"/>
    <cellStyle name="Check Cell" xfId="1" builtinId="23"/>
    <cellStyle name="Input" xfId="4" builtinId="20"/>
    <cellStyle name="Normal" xfId="0" builtinId="0"/>
    <cellStyle name="Note" xfId="2" builtinId="1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5.xml"/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6.xml"/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7.xml"/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8.xml"/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0.xml"/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cap="none" spc="0" normalizeH="0" baseline="0">
                <a:solidFill>
                  <a:schemeClr val="tx1"/>
                </a:solidFill>
                <a:latin typeface="+mn-lt"/>
                <a:ea typeface="+mj-ea"/>
                <a:cs typeface="+mj-cs"/>
              </a:defRPr>
            </a:pPr>
            <a:r>
              <a:rPr lang="en-US" sz="1200">
                <a:solidFill>
                  <a:schemeClr val="tx1"/>
                </a:solidFill>
                <a:latin typeface="+mn-lt"/>
              </a:rPr>
              <a:t>MO-2G Call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spc="0" normalizeH="0" baseline="0">
              <a:solidFill>
                <a:schemeClr val="tx1"/>
              </a:solidFill>
              <a:latin typeface="+mn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129892577111923"/>
          <c:y val="0.14751243781094528"/>
          <c:w val="0.81017286826707791"/>
          <c:h val="0.62326673718024062"/>
        </c:manualLayout>
      </c:layout>
      <c:lineChart>
        <c:grouping val="standard"/>
        <c:varyColors val="0"/>
        <c:ser>
          <c:idx val="0"/>
          <c:order val="0"/>
          <c:tx>
            <c:strRef>
              <c:f>Age!$B$1</c:f>
              <c:strCache>
                <c:ptCount val="1"/>
                <c:pt idx="0">
                  <c:v>Day -7</c:v>
                </c:pt>
              </c:strCache>
            </c:strRef>
          </c:tx>
          <c:spPr>
            <a:ln w="3492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Age!$A$3:$A$26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Age!$B$3:$B$26</c:f>
              <c:numCache>
                <c:formatCode>General</c:formatCode>
                <c:ptCount val="24"/>
                <c:pt idx="0">
                  <c:v>20132.86</c:v>
                </c:pt>
                <c:pt idx="1">
                  <c:v>8939.58</c:v>
                </c:pt>
                <c:pt idx="2">
                  <c:v>6555.84</c:v>
                </c:pt>
                <c:pt idx="3">
                  <c:v>18732.79</c:v>
                </c:pt>
                <c:pt idx="4">
                  <c:v>13091.23</c:v>
                </c:pt>
                <c:pt idx="5">
                  <c:v>7044.99</c:v>
                </c:pt>
                <c:pt idx="6">
                  <c:v>17663.830000000002</c:v>
                </c:pt>
                <c:pt idx="7">
                  <c:v>35023.86</c:v>
                </c:pt>
                <c:pt idx="8">
                  <c:v>55134.149999999994</c:v>
                </c:pt>
                <c:pt idx="9">
                  <c:v>73388.740000000005</c:v>
                </c:pt>
                <c:pt idx="10">
                  <c:v>84140.74</c:v>
                </c:pt>
                <c:pt idx="11">
                  <c:v>83386.879999999976</c:v>
                </c:pt>
                <c:pt idx="12">
                  <c:v>63429.469999999994</c:v>
                </c:pt>
                <c:pt idx="13">
                  <c:v>45098.27</c:v>
                </c:pt>
                <c:pt idx="14">
                  <c:v>78501.33</c:v>
                </c:pt>
                <c:pt idx="15">
                  <c:v>76461.569999999992</c:v>
                </c:pt>
                <c:pt idx="16">
                  <c:v>69269.189999999988</c:v>
                </c:pt>
                <c:pt idx="17">
                  <c:v>69648.86</c:v>
                </c:pt>
                <c:pt idx="18">
                  <c:v>52448.299999999996</c:v>
                </c:pt>
                <c:pt idx="19">
                  <c:v>159922.79200000002</c:v>
                </c:pt>
                <c:pt idx="20">
                  <c:v>136783.58999999997</c:v>
                </c:pt>
                <c:pt idx="21">
                  <c:v>120791.22</c:v>
                </c:pt>
                <c:pt idx="22">
                  <c:v>92257.87</c:v>
                </c:pt>
                <c:pt idx="23">
                  <c:v>44154.819999999992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3F6-4475-9925-B2DD88C913FE}"/>
            </c:ext>
          </c:extLst>
        </c:ser>
        <c:ser>
          <c:idx val="1"/>
          <c:order val="1"/>
          <c:tx>
            <c:strRef>
              <c:f>Age!$F$1</c:f>
              <c:strCache>
                <c:ptCount val="1"/>
                <c:pt idx="0">
                  <c:v>Day -1</c:v>
                </c:pt>
              </c:strCache>
            </c:strRef>
          </c:tx>
          <c:spPr>
            <a:ln w="3492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val>
            <c:numRef>
              <c:f>Age!$F$3:$F$26</c:f>
              <c:numCache>
                <c:formatCode>General</c:formatCode>
                <c:ptCount val="24"/>
                <c:pt idx="0">
                  <c:v>21731.45</c:v>
                </c:pt>
                <c:pt idx="1">
                  <c:v>10291.469999999999</c:v>
                </c:pt>
                <c:pt idx="2">
                  <c:v>7917.7499999999991</c:v>
                </c:pt>
                <c:pt idx="3">
                  <c:v>20104.400000000001</c:v>
                </c:pt>
                <c:pt idx="4">
                  <c:v>12532.81</c:v>
                </c:pt>
                <c:pt idx="5">
                  <c:v>7588.5999999999995</c:v>
                </c:pt>
                <c:pt idx="6">
                  <c:v>19722.830000000002</c:v>
                </c:pt>
                <c:pt idx="7">
                  <c:v>40031.22</c:v>
                </c:pt>
                <c:pt idx="8">
                  <c:v>63017.69</c:v>
                </c:pt>
                <c:pt idx="9">
                  <c:v>82349.84</c:v>
                </c:pt>
                <c:pt idx="10">
                  <c:v>91915.47</c:v>
                </c:pt>
                <c:pt idx="11">
                  <c:v>91704.15</c:v>
                </c:pt>
                <c:pt idx="12">
                  <c:v>83535.850000000006</c:v>
                </c:pt>
                <c:pt idx="13">
                  <c:v>68380.210000000006</c:v>
                </c:pt>
                <c:pt idx="14">
                  <c:v>75528.289999999994</c:v>
                </c:pt>
                <c:pt idx="15">
                  <c:v>82332.17</c:v>
                </c:pt>
                <c:pt idx="16">
                  <c:v>81224.13</c:v>
                </c:pt>
                <c:pt idx="17">
                  <c:v>81915.7</c:v>
                </c:pt>
                <c:pt idx="18">
                  <c:v>63159.87000000001</c:v>
                </c:pt>
                <c:pt idx="19">
                  <c:v>166132.96100000001</c:v>
                </c:pt>
                <c:pt idx="20">
                  <c:v>161558.24799999996</c:v>
                </c:pt>
                <c:pt idx="21">
                  <c:v>157028.80900000001</c:v>
                </c:pt>
                <c:pt idx="22">
                  <c:v>118528.6</c:v>
                </c:pt>
                <c:pt idx="23">
                  <c:v>67850.260000000009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3F6-4475-9925-B2DD88C913FE}"/>
            </c:ext>
          </c:extLst>
        </c:ser>
        <c:ser>
          <c:idx val="2"/>
          <c:order val="2"/>
          <c:tx>
            <c:strRef>
              <c:f>Age!$J$1</c:f>
              <c:strCache>
                <c:ptCount val="1"/>
                <c:pt idx="0">
                  <c:v>Today</c:v>
                </c:pt>
              </c:strCache>
            </c:strRef>
          </c:tx>
          <c:spPr>
            <a:ln w="3492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val>
            <c:numRef>
              <c:f>Age!$J$3:$J$26</c:f>
              <c:numCache>
                <c:formatCode>General</c:formatCode>
                <c:ptCount val="24"/>
                <c:pt idx="0">
                  <c:v>34698.449999999997</c:v>
                </c:pt>
                <c:pt idx="1">
                  <c:v>17225.95</c:v>
                </c:pt>
                <c:pt idx="2">
                  <c:v>8993.34</c:v>
                </c:pt>
                <c:pt idx="3">
                  <c:v>5310.18</c:v>
                </c:pt>
                <c:pt idx="4">
                  <c:v>5214.29</c:v>
                </c:pt>
                <c:pt idx="5">
                  <c:v>33252.160000000003</c:v>
                </c:pt>
                <c:pt idx="6">
                  <c:v>81461.149999999994</c:v>
                </c:pt>
                <c:pt idx="7">
                  <c:v>93720.959000000003</c:v>
                </c:pt>
                <c:pt idx="8">
                  <c:v>87427.069999999992</c:v>
                </c:pt>
                <c:pt idx="9">
                  <c:v>147841.03</c:v>
                </c:pt>
                <c:pt idx="10">
                  <c:v>176927.44899999999</c:v>
                </c:pt>
                <c:pt idx="11">
                  <c:v>155952.88900000002</c:v>
                </c:pt>
                <c:pt idx="12">
                  <c:v>118150.891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3F6-4475-9925-B2DD88C913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7006704"/>
        <c:axId val="607000464"/>
      </c:lineChart>
      <c:catAx>
        <c:axId val="6070067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dk1">
                  <a:lumMod val="15000"/>
                  <a:lumOff val="85000"/>
                  <a:alpha val="51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000464"/>
        <c:crosses val="autoZero"/>
        <c:auto val="1"/>
        <c:lblAlgn val="ctr"/>
        <c:lblOffset val="100"/>
        <c:noMultiLvlLbl val="0"/>
      </c:catAx>
      <c:valAx>
        <c:axId val="607000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Erl Axis 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\ \K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006704"/>
        <c:crosses val="autoZero"/>
        <c:crossBetween val="between"/>
        <c:dispUnits>
          <c:builtInUnit val="thousands"/>
        </c:dispUnits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0326136652273308"/>
          <c:y val="0.91039759046722746"/>
          <c:w val="0.69617641112833251"/>
          <c:h val="8.9602409532772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cap="none" spc="0" normalizeH="0" baseline="0">
                <a:solidFill>
                  <a:schemeClr val="tx1"/>
                </a:solidFill>
                <a:latin typeface="+mn-lt"/>
                <a:ea typeface="+mj-ea"/>
                <a:cs typeface="+mj-cs"/>
              </a:defRPr>
            </a:pPr>
            <a:r>
              <a:rPr lang="en-US" sz="1200">
                <a:solidFill>
                  <a:schemeClr val="tx1"/>
                </a:solidFill>
                <a:latin typeface="+mn-lt"/>
              </a:rPr>
              <a:t>MO-3G Call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spc="0" normalizeH="0" baseline="0">
              <a:solidFill>
                <a:schemeClr val="tx1"/>
              </a:solidFill>
              <a:latin typeface="+mn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129892577111923"/>
          <c:y val="0.14751243781094528"/>
          <c:w val="0.81017286826707791"/>
          <c:h val="0.62326673718024062"/>
        </c:manualLayout>
      </c:layout>
      <c:lineChart>
        <c:grouping val="standard"/>
        <c:varyColors val="0"/>
        <c:ser>
          <c:idx val="0"/>
          <c:order val="0"/>
          <c:tx>
            <c:strRef>
              <c:f>Age!$B$1</c:f>
              <c:strCache>
                <c:ptCount val="1"/>
                <c:pt idx="0">
                  <c:v>Day -7</c:v>
                </c:pt>
              </c:strCache>
            </c:strRef>
          </c:tx>
          <c:spPr>
            <a:ln w="3492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Age!$A$3:$A$26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Age!$C$3:$C$26</c:f>
              <c:numCache>
                <c:formatCode>General</c:formatCode>
                <c:ptCount val="24"/>
                <c:pt idx="0">
                  <c:v>12348.8</c:v>
                </c:pt>
                <c:pt idx="1">
                  <c:v>5746.28</c:v>
                </c:pt>
                <c:pt idx="2">
                  <c:v>3430.1099999999997</c:v>
                </c:pt>
                <c:pt idx="3">
                  <c:v>7651.1500000000005</c:v>
                </c:pt>
                <c:pt idx="4">
                  <c:v>6644.6099999999988</c:v>
                </c:pt>
                <c:pt idx="5">
                  <c:v>2527.3100000000004</c:v>
                </c:pt>
                <c:pt idx="6">
                  <c:v>4882.47</c:v>
                </c:pt>
                <c:pt idx="7">
                  <c:v>10297.820000000002</c:v>
                </c:pt>
                <c:pt idx="8">
                  <c:v>18840.010000000002</c:v>
                </c:pt>
                <c:pt idx="9">
                  <c:v>28843.030000000002</c:v>
                </c:pt>
                <c:pt idx="10">
                  <c:v>37117.61</c:v>
                </c:pt>
                <c:pt idx="11">
                  <c:v>39253.78</c:v>
                </c:pt>
                <c:pt idx="12">
                  <c:v>30474.049999999996</c:v>
                </c:pt>
                <c:pt idx="13">
                  <c:v>19625.030000000002</c:v>
                </c:pt>
                <c:pt idx="14">
                  <c:v>36365.560000000005</c:v>
                </c:pt>
                <c:pt idx="15">
                  <c:v>36334.620000000003</c:v>
                </c:pt>
                <c:pt idx="16">
                  <c:v>33843.93</c:v>
                </c:pt>
                <c:pt idx="17">
                  <c:v>34299.08</c:v>
                </c:pt>
                <c:pt idx="18">
                  <c:v>22722.489999999998</c:v>
                </c:pt>
                <c:pt idx="19">
                  <c:v>67799.570000000007</c:v>
                </c:pt>
                <c:pt idx="20">
                  <c:v>59530.41</c:v>
                </c:pt>
                <c:pt idx="21">
                  <c:v>53147.26</c:v>
                </c:pt>
                <c:pt idx="22">
                  <c:v>44976.140000000007</c:v>
                </c:pt>
                <c:pt idx="23">
                  <c:v>25094.74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37-47AC-8B2A-3254295B7C83}"/>
            </c:ext>
          </c:extLst>
        </c:ser>
        <c:ser>
          <c:idx val="1"/>
          <c:order val="1"/>
          <c:tx>
            <c:strRef>
              <c:f>Age!$F$1</c:f>
              <c:strCache>
                <c:ptCount val="1"/>
                <c:pt idx="0">
                  <c:v>Day -1</c:v>
                </c:pt>
              </c:strCache>
            </c:strRef>
          </c:tx>
          <c:spPr>
            <a:ln w="3492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val>
            <c:numRef>
              <c:f>Age!$G$3:$G$26</c:f>
              <c:numCache>
                <c:formatCode>General</c:formatCode>
                <c:ptCount val="24"/>
                <c:pt idx="0">
                  <c:v>12482.420000000002</c:v>
                </c:pt>
                <c:pt idx="1">
                  <c:v>6312.0400000000009</c:v>
                </c:pt>
                <c:pt idx="2">
                  <c:v>4019.28</c:v>
                </c:pt>
                <c:pt idx="3">
                  <c:v>7337.1500000000015</c:v>
                </c:pt>
                <c:pt idx="4">
                  <c:v>5722.2499999999991</c:v>
                </c:pt>
                <c:pt idx="5">
                  <c:v>2596.9499999999998</c:v>
                </c:pt>
                <c:pt idx="6">
                  <c:v>4958.08</c:v>
                </c:pt>
                <c:pt idx="7">
                  <c:v>10683.33</c:v>
                </c:pt>
                <c:pt idx="8">
                  <c:v>19309.620000000003</c:v>
                </c:pt>
                <c:pt idx="9">
                  <c:v>29379.13</c:v>
                </c:pt>
                <c:pt idx="10">
                  <c:v>36691.020000000004</c:v>
                </c:pt>
                <c:pt idx="11">
                  <c:v>39288.980000000003</c:v>
                </c:pt>
                <c:pt idx="12">
                  <c:v>37078.04</c:v>
                </c:pt>
                <c:pt idx="13">
                  <c:v>29866.760000000002</c:v>
                </c:pt>
                <c:pt idx="14">
                  <c:v>32211.899999999998</c:v>
                </c:pt>
                <c:pt idx="15">
                  <c:v>34430.57</c:v>
                </c:pt>
                <c:pt idx="16">
                  <c:v>34900.61</c:v>
                </c:pt>
                <c:pt idx="17">
                  <c:v>35351.410000000003</c:v>
                </c:pt>
                <c:pt idx="18">
                  <c:v>25277.520000000004</c:v>
                </c:pt>
                <c:pt idx="19">
                  <c:v>66736.680000000008</c:v>
                </c:pt>
                <c:pt idx="20">
                  <c:v>65763.64</c:v>
                </c:pt>
                <c:pt idx="21">
                  <c:v>62555.66</c:v>
                </c:pt>
                <c:pt idx="22">
                  <c:v>50703.58</c:v>
                </c:pt>
                <c:pt idx="23">
                  <c:v>32905.020000000004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337-47AC-8B2A-3254295B7C83}"/>
            </c:ext>
          </c:extLst>
        </c:ser>
        <c:ser>
          <c:idx val="2"/>
          <c:order val="2"/>
          <c:tx>
            <c:strRef>
              <c:f>Age!$J$1</c:f>
              <c:strCache>
                <c:ptCount val="1"/>
                <c:pt idx="0">
                  <c:v>Today</c:v>
                </c:pt>
              </c:strCache>
            </c:strRef>
          </c:tx>
          <c:spPr>
            <a:ln w="3492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val>
            <c:numRef>
              <c:f>Age!$K$3:$K$26</c:f>
              <c:numCache>
                <c:formatCode>General</c:formatCode>
                <c:ptCount val="24"/>
                <c:pt idx="0">
                  <c:v>19258.000000000004</c:v>
                </c:pt>
                <c:pt idx="1">
                  <c:v>10237.049999999999</c:v>
                </c:pt>
                <c:pt idx="2">
                  <c:v>5481.9299999999994</c:v>
                </c:pt>
                <c:pt idx="3">
                  <c:v>3036.6700000000005</c:v>
                </c:pt>
                <c:pt idx="4">
                  <c:v>2327.63</c:v>
                </c:pt>
                <c:pt idx="5">
                  <c:v>10435.640000000001</c:v>
                </c:pt>
                <c:pt idx="6">
                  <c:v>25804.050000000003</c:v>
                </c:pt>
                <c:pt idx="7">
                  <c:v>30666.71</c:v>
                </c:pt>
                <c:pt idx="8">
                  <c:v>31661.760000000002</c:v>
                </c:pt>
                <c:pt idx="9">
                  <c:v>59678.31</c:v>
                </c:pt>
                <c:pt idx="10">
                  <c:v>69316.83</c:v>
                </c:pt>
                <c:pt idx="11">
                  <c:v>59957.240000000005</c:v>
                </c:pt>
                <c:pt idx="12">
                  <c:v>45568.01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337-47AC-8B2A-3254295B7C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7006704"/>
        <c:axId val="607000464"/>
      </c:lineChart>
      <c:catAx>
        <c:axId val="6070067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dk1">
                  <a:lumMod val="15000"/>
                  <a:lumOff val="85000"/>
                  <a:alpha val="51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000464"/>
        <c:crosses val="autoZero"/>
        <c:auto val="1"/>
        <c:lblAlgn val="ctr"/>
        <c:lblOffset val="100"/>
        <c:noMultiLvlLbl val="0"/>
      </c:catAx>
      <c:valAx>
        <c:axId val="607000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Erl Axis 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\ \K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006704"/>
        <c:crosses val="autoZero"/>
        <c:crossBetween val="between"/>
        <c:dispUnits>
          <c:builtInUnit val="thousands"/>
        </c:dispUnits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398630873653765"/>
          <c:y val="0.90508785521397184"/>
          <c:w val="0.77828645345614067"/>
          <c:h val="8.9602409532772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cap="none" spc="0" normalizeH="0" baseline="0">
                <a:solidFill>
                  <a:schemeClr val="tx1"/>
                </a:solidFill>
                <a:latin typeface="+mn-lt"/>
                <a:ea typeface="+mj-ea"/>
                <a:cs typeface="+mj-cs"/>
              </a:defRPr>
            </a:pPr>
            <a:r>
              <a:rPr lang="en-US" sz="1200">
                <a:solidFill>
                  <a:schemeClr val="tx1"/>
                </a:solidFill>
                <a:latin typeface="+mn-lt"/>
              </a:rPr>
              <a:t>MT-2G Call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spc="0" normalizeH="0" baseline="0">
              <a:solidFill>
                <a:schemeClr val="tx1"/>
              </a:solidFill>
              <a:latin typeface="+mn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129892577111923"/>
          <c:y val="0.14751243781094528"/>
          <c:w val="0.81017286826707791"/>
          <c:h val="0.62326673718024062"/>
        </c:manualLayout>
      </c:layout>
      <c:lineChart>
        <c:grouping val="standard"/>
        <c:varyColors val="0"/>
        <c:ser>
          <c:idx val="0"/>
          <c:order val="0"/>
          <c:tx>
            <c:strRef>
              <c:f>Age!$B$1</c:f>
              <c:strCache>
                <c:ptCount val="1"/>
                <c:pt idx="0">
                  <c:v>Day -7</c:v>
                </c:pt>
              </c:strCache>
            </c:strRef>
          </c:tx>
          <c:spPr>
            <a:ln w="3492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Age!$A$3:$A$26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Age!$D$3:$D$26</c:f>
              <c:numCache>
                <c:formatCode>General</c:formatCode>
                <c:ptCount val="24"/>
                <c:pt idx="0">
                  <c:v>21672.59</c:v>
                </c:pt>
                <c:pt idx="1">
                  <c:v>9830.59</c:v>
                </c:pt>
                <c:pt idx="2">
                  <c:v>7021.13</c:v>
                </c:pt>
                <c:pt idx="3">
                  <c:v>18643.359999999997</c:v>
                </c:pt>
                <c:pt idx="4">
                  <c:v>13862.920000000002</c:v>
                </c:pt>
                <c:pt idx="5">
                  <c:v>7178.5899999999992</c:v>
                </c:pt>
                <c:pt idx="6">
                  <c:v>17182.53</c:v>
                </c:pt>
                <c:pt idx="7">
                  <c:v>33930.36</c:v>
                </c:pt>
                <c:pt idx="8">
                  <c:v>53747.7</c:v>
                </c:pt>
                <c:pt idx="9">
                  <c:v>72453.38</c:v>
                </c:pt>
                <c:pt idx="10">
                  <c:v>84189.19</c:v>
                </c:pt>
                <c:pt idx="11">
                  <c:v>83675.53</c:v>
                </c:pt>
                <c:pt idx="12">
                  <c:v>63965.69</c:v>
                </c:pt>
                <c:pt idx="13">
                  <c:v>45154.130000000005</c:v>
                </c:pt>
                <c:pt idx="14">
                  <c:v>77246.73</c:v>
                </c:pt>
                <c:pt idx="15">
                  <c:v>77859.649999999994</c:v>
                </c:pt>
                <c:pt idx="16">
                  <c:v>71255.239999999991</c:v>
                </c:pt>
                <c:pt idx="17">
                  <c:v>70672.5</c:v>
                </c:pt>
                <c:pt idx="18">
                  <c:v>52277.180000000015</c:v>
                </c:pt>
                <c:pt idx="19">
                  <c:v>159273.701</c:v>
                </c:pt>
                <c:pt idx="20">
                  <c:v>139054.51</c:v>
                </c:pt>
                <c:pt idx="21">
                  <c:v>122485.988</c:v>
                </c:pt>
                <c:pt idx="22">
                  <c:v>94878</c:v>
                </c:pt>
                <c:pt idx="23">
                  <c:v>46143.54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08-4960-B8E8-131FD04D9FE6}"/>
            </c:ext>
          </c:extLst>
        </c:ser>
        <c:ser>
          <c:idx val="1"/>
          <c:order val="1"/>
          <c:tx>
            <c:strRef>
              <c:f>Age!$F$1</c:f>
              <c:strCache>
                <c:ptCount val="1"/>
                <c:pt idx="0">
                  <c:v>Day -1</c:v>
                </c:pt>
              </c:strCache>
            </c:strRef>
          </c:tx>
          <c:spPr>
            <a:ln w="3492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val>
            <c:numRef>
              <c:f>Age!$H$3:$H$26</c:f>
              <c:numCache>
                <c:formatCode>General</c:formatCode>
                <c:ptCount val="24"/>
                <c:pt idx="0">
                  <c:v>22995.599999999995</c:v>
                </c:pt>
                <c:pt idx="1">
                  <c:v>10986.08</c:v>
                </c:pt>
                <c:pt idx="2">
                  <c:v>8292.3000000000011</c:v>
                </c:pt>
                <c:pt idx="3">
                  <c:v>19750.990000000002</c:v>
                </c:pt>
                <c:pt idx="4">
                  <c:v>13077.239999999998</c:v>
                </c:pt>
                <c:pt idx="5">
                  <c:v>7873.6900000000005</c:v>
                </c:pt>
                <c:pt idx="6">
                  <c:v>19392.61</c:v>
                </c:pt>
                <c:pt idx="7">
                  <c:v>39880.070000000007</c:v>
                </c:pt>
                <c:pt idx="8">
                  <c:v>62719.75</c:v>
                </c:pt>
                <c:pt idx="9">
                  <c:v>83091.239999999991</c:v>
                </c:pt>
                <c:pt idx="10">
                  <c:v>93424.01</c:v>
                </c:pt>
                <c:pt idx="11">
                  <c:v>93242.67</c:v>
                </c:pt>
                <c:pt idx="12">
                  <c:v>84833.400000000009</c:v>
                </c:pt>
                <c:pt idx="13">
                  <c:v>68996.3</c:v>
                </c:pt>
                <c:pt idx="14">
                  <c:v>75497.990000000005</c:v>
                </c:pt>
                <c:pt idx="15">
                  <c:v>81946.25</c:v>
                </c:pt>
                <c:pt idx="16">
                  <c:v>81313.499999999985</c:v>
                </c:pt>
                <c:pt idx="17">
                  <c:v>81938.679999999993</c:v>
                </c:pt>
                <c:pt idx="18">
                  <c:v>62895.399999999994</c:v>
                </c:pt>
                <c:pt idx="19">
                  <c:v>163752.94200000001</c:v>
                </c:pt>
                <c:pt idx="20">
                  <c:v>162383.33799999999</c:v>
                </c:pt>
                <c:pt idx="21">
                  <c:v>156826.18899999998</c:v>
                </c:pt>
                <c:pt idx="22">
                  <c:v>119266.15899999999</c:v>
                </c:pt>
                <c:pt idx="23">
                  <c:v>68638.899999999994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08-4960-B8E8-131FD04D9FE6}"/>
            </c:ext>
          </c:extLst>
        </c:ser>
        <c:ser>
          <c:idx val="2"/>
          <c:order val="2"/>
          <c:tx>
            <c:strRef>
              <c:f>Age!$J$1</c:f>
              <c:strCache>
                <c:ptCount val="1"/>
                <c:pt idx="0">
                  <c:v>Today</c:v>
                </c:pt>
              </c:strCache>
            </c:strRef>
          </c:tx>
          <c:spPr>
            <a:ln w="3492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val>
            <c:numRef>
              <c:f>Age!$L$3:$L$26</c:f>
              <c:numCache>
                <c:formatCode>General</c:formatCode>
                <c:ptCount val="24"/>
                <c:pt idx="0">
                  <c:v>35733.29</c:v>
                </c:pt>
                <c:pt idx="1">
                  <c:v>17838.84</c:v>
                </c:pt>
                <c:pt idx="2">
                  <c:v>9431.64</c:v>
                </c:pt>
                <c:pt idx="3">
                  <c:v>5451.8899999999994</c:v>
                </c:pt>
                <c:pt idx="4">
                  <c:v>5210.6099999999997</c:v>
                </c:pt>
                <c:pt idx="5">
                  <c:v>31308.380000000005</c:v>
                </c:pt>
                <c:pt idx="6">
                  <c:v>76784.649999999994</c:v>
                </c:pt>
                <c:pt idx="7">
                  <c:v>90217.350999999995</c:v>
                </c:pt>
                <c:pt idx="8">
                  <c:v>86586.430000000022</c:v>
                </c:pt>
                <c:pt idx="9">
                  <c:v>144057.24900000001</c:v>
                </c:pt>
                <c:pt idx="10">
                  <c:v>171149.66999999998</c:v>
                </c:pt>
                <c:pt idx="11">
                  <c:v>152873.242</c:v>
                </c:pt>
                <c:pt idx="12">
                  <c:v>117650.98099999999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F08-4960-B8E8-131FD04D9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7006704"/>
        <c:axId val="607000464"/>
      </c:lineChart>
      <c:catAx>
        <c:axId val="6070067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dk1">
                  <a:lumMod val="15000"/>
                  <a:lumOff val="85000"/>
                  <a:alpha val="51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000464"/>
        <c:crosses val="autoZero"/>
        <c:auto val="1"/>
        <c:lblAlgn val="ctr"/>
        <c:lblOffset val="100"/>
        <c:noMultiLvlLbl val="0"/>
      </c:catAx>
      <c:valAx>
        <c:axId val="607000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Erl Axis 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\ \K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006704"/>
        <c:crosses val="autoZero"/>
        <c:crossBetween val="between"/>
        <c:dispUnits>
          <c:builtInUnit val="thousands"/>
        </c:dispUnits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5586176151944142"/>
          <c:y val="0.90508785521397184"/>
          <c:w val="0.73830939335348056"/>
          <c:h val="8.9602409532772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cap="none" spc="0" normalizeH="0" baseline="0">
                <a:solidFill>
                  <a:schemeClr val="tx1"/>
                </a:solidFill>
                <a:latin typeface="+mn-lt"/>
                <a:ea typeface="+mj-ea"/>
                <a:cs typeface="+mj-cs"/>
              </a:defRPr>
            </a:pPr>
            <a:r>
              <a:rPr lang="en-US" sz="1200">
                <a:solidFill>
                  <a:schemeClr val="tx1"/>
                </a:solidFill>
                <a:latin typeface="+mn-lt"/>
              </a:rPr>
              <a:t>MT-3G Call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spc="0" normalizeH="0" baseline="0">
              <a:solidFill>
                <a:schemeClr val="tx1"/>
              </a:solidFill>
              <a:latin typeface="+mn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129892577111923"/>
          <c:y val="0.14751243781094528"/>
          <c:w val="0.81017286826707791"/>
          <c:h val="0.62326673718024062"/>
        </c:manualLayout>
      </c:layout>
      <c:lineChart>
        <c:grouping val="standard"/>
        <c:varyColors val="0"/>
        <c:ser>
          <c:idx val="0"/>
          <c:order val="0"/>
          <c:tx>
            <c:strRef>
              <c:f>Age!$B$1</c:f>
              <c:strCache>
                <c:ptCount val="1"/>
                <c:pt idx="0">
                  <c:v>Day -7</c:v>
                </c:pt>
              </c:strCache>
            </c:strRef>
          </c:tx>
          <c:spPr>
            <a:ln w="3492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Age!$A$3:$A$26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Age!$E$3:$E$26</c:f>
              <c:numCache>
                <c:formatCode>General</c:formatCode>
                <c:ptCount val="24"/>
                <c:pt idx="0">
                  <c:v>9710.5500000000011</c:v>
                </c:pt>
                <c:pt idx="1">
                  <c:v>4469.3500000000004</c:v>
                </c:pt>
                <c:pt idx="2">
                  <c:v>2647.4599999999996</c:v>
                </c:pt>
                <c:pt idx="3">
                  <c:v>5259.79</c:v>
                </c:pt>
                <c:pt idx="4">
                  <c:v>4337.2199999999993</c:v>
                </c:pt>
                <c:pt idx="5">
                  <c:v>1911.5900000000001</c:v>
                </c:pt>
                <c:pt idx="6">
                  <c:v>3573.99</c:v>
                </c:pt>
                <c:pt idx="7">
                  <c:v>7437.83</c:v>
                </c:pt>
                <c:pt idx="8">
                  <c:v>13427.32</c:v>
                </c:pt>
                <c:pt idx="9">
                  <c:v>21389.439999999999</c:v>
                </c:pt>
                <c:pt idx="10">
                  <c:v>28082.500000000004</c:v>
                </c:pt>
                <c:pt idx="11">
                  <c:v>30073.18</c:v>
                </c:pt>
                <c:pt idx="12">
                  <c:v>23380.68</c:v>
                </c:pt>
                <c:pt idx="13">
                  <c:v>14480.14</c:v>
                </c:pt>
                <c:pt idx="14">
                  <c:v>27904.3</c:v>
                </c:pt>
                <c:pt idx="15">
                  <c:v>28388.169999999995</c:v>
                </c:pt>
                <c:pt idx="16">
                  <c:v>26631.260000000002</c:v>
                </c:pt>
                <c:pt idx="17">
                  <c:v>26754.240000000002</c:v>
                </c:pt>
                <c:pt idx="18">
                  <c:v>17520.530000000002</c:v>
                </c:pt>
                <c:pt idx="19">
                  <c:v>48730.79</c:v>
                </c:pt>
                <c:pt idx="20">
                  <c:v>42780.640000000007</c:v>
                </c:pt>
                <c:pt idx="21">
                  <c:v>38650.060000000005</c:v>
                </c:pt>
                <c:pt idx="22">
                  <c:v>34020.050000000003</c:v>
                </c:pt>
                <c:pt idx="23">
                  <c:v>19466.900000000001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98-40F4-AA64-323F371C69FB}"/>
            </c:ext>
          </c:extLst>
        </c:ser>
        <c:ser>
          <c:idx val="1"/>
          <c:order val="1"/>
          <c:tx>
            <c:strRef>
              <c:f>Age!$F$1</c:f>
              <c:strCache>
                <c:ptCount val="1"/>
                <c:pt idx="0">
                  <c:v>Day -1</c:v>
                </c:pt>
              </c:strCache>
            </c:strRef>
          </c:tx>
          <c:spPr>
            <a:ln w="3492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val>
            <c:numRef>
              <c:f>Age!$I$3:$I$26</c:f>
              <c:numCache>
                <c:formatCode>General</c:formatCode>
                <c:ptCount val="24"/>
                <c:pt idx="0">
                  <c:v>10595.579999999998</c:v>
                </c:pt>
                <c:pt idx="1">
                  <c:v>5255.4100000000008</c:v>
                </c:pt>
                <c:pt idx="2">
                  <c:v>3359.5199999999995</c:v>
                </c:pt>
                <c:pt idx="3">
                  <c:v>5776.0499999999993</c:v>
                </c:pt>
                <c:pt idx="4">
                  <c:v>4272.6500000000005</c:v>
                </c:pt>
                <c:pt idx="5">
                  <c:v>2109.3200000000002</c:v>
                </c:pt>
                <c:pt idx="6">
                  <c:v>3919.3</c:v>
                </c:pt>
                <c:pt idx="7">
                  <c:v>8378.58</c:v>
                </c:pt>
                <c:pt idx="8">
                  <c:v>15287.380000000001</c:v>
                </c:pt>
                <c:pt idx="9">
                  <c:v>23496.05</c:v>
                </c:pt>
                <c:pt idx="10">
                  <c:v>30117.629999999997</c:v>
                </c:pt>
                <c:pt idx="11">
                  <c:v>32579.42</c:v>
                </c:pt>
                <c:pt idx="12">
                  <c:v>30830.61</c:v>
                </c:pt>
                <c:pt idx="13">
                  <c:v>25139.119999999999</c:v>
                </c:pt>
                <c:pt idx="14">
                  <c:v>26857.410000000003</c:v>
                </c:pt>
                <c:pt idx="15">
                  <c:v>28796.49</c:v>
                </c:pt>
                <c:pt idx="16">
                  <c:v>28964.199999999997</c:v>
                </c:pt>
                <c:pt idx="17">
                  <c:v>29358.95</c:v>
                </c:pt>
                <c:pt idx="18">
                  <c:v>21129.859999999997</c:v>
                </c:pt>
                <c:pt idx="19">
                  <c:v>53147.32</c:v>
                </c:pt>
                <c:pt idx="20">
                  <c:v>52434.170000000006</c:v>
                </c:pt>
                <c:pt idx="21">
                  <c:v>50470.31</c:v>
                </c:pt>
                <c:pt idx="22">
                  <c:v>41779.22</c:v>
                </c:pt>
                <c:pt idx="23">
                  <c:v>27826.14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C98-40F4-AA64-323F371C69FB}"/>
            </c:ext>
          </c:extLst>
        </c:ser>
        <c:ser>
          <c:idx val="2"/>
          <c:order val="2"/>
          <c:tx>
            <c:strRef>
              <c:f>Age!$J$1</c:f>
              <c:strCache>
                <c:ptCount val="1"/>
                <c:pt idx="0">
                  <c:v>Today</c:v>
                </c:pt>
              </c:strCache>
            </c:strRef>
          </c:tx>
          <c:spPr>
            <a:ln w="3492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val>
            <c:numRef>
              <c:f>Age!$M$3:$M$26</c:f>
              <c:numCache>
                <c:formatCode>General</c:formatCode>
                <c:ptCount val="24"/>
                <c:pt idx="0">
                  <c:v>16519.489999999998</c:v>
                </c:pt>
                <c:pt idx="1">
                  <c:v>8767.4800000000014</c:v>
                </c:pt>
                <c:pt idx="2">
                  <c:v>4610.09</c:v>
                </c:pt>
                <c:pt idx="3">
                  <c:v>2633.31</c:v>
                </c:pt>
                <c:pt idx="4">
                  <c:v>1971.44</c:v>
                </c:pt>
                <c:pt idx="5">
                  <c:v>7458.1200000000008</c:v>
                </c:pt>
                <c:pt idx="6">
                  <c:v>18222.87</c:v>
                </c:pt>
                <c:pt idx="7">
                  <c:v>22563.050000000003</c:v>
                </c:pt>
                <c:pt idx="8">
                  <c:v>23051.61</c:v>
                </c:pt>
                <c:pt idx="9">
                  <c:v>45096.04</c:v>
                </c:pt>
                <c:pt idx="10">
                  <c:v>54870.26</c:v>
                </c:pt>
                <c:pt idx="11">
                  <c:v>48790.71</c:v>
                </c:pt>
                <c:pt idx="12">
                  <c:v>37190.35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C98-40F4-AA64-323F371C69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7006704"/>
        <c:axId val="607000464"/>
      </c:lineChart>
      <c:catAx>
        <c:axId val="6070067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dk1">
                  <a:lumMod val="15000"/>
                  <a:lumOff val="85000"/>
                  <a:alpha val="51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000464"/>
        <c:crosses val="autoZero"/>
        <c:auto val="1"/>
        <c:lblAlgn val="ctr"/>
        <c:lblOffset val="100"/>
        <c:noMultiLvlLbl val="0"/>
      </c:catAx>
      <c:valAx>
        <c:axId val="607000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>
                    <a:solidFill>
                      <a:schemeClr val="tx1"/>
                    </a:solidFill>
                  </a:rPr>
                  <a:t>Erl Axis 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\ \K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006704"/>
        <c:crosses val="autoZero"/>
        <c:crossBetween val="between"/>
        <c:majorUnit val="10000"/>
        <c:dispUnits>
          <c:builtInUnit val="thousands"/>
        </c:dispUnits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1062205737410073"/>
          <c:y val="0.91039759046722746"/>
          <c:w val="0.80496446458105497"/>
          <c:h val="8.9602409532772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Age!$O$1</c:f>
          <c:strCache>
            <c:ptCount val="1"/>
            <c:pt idx="0">
              <c:v>MO  2G &amp; 3G  [ 05/14/2021 12:00  To  05/14/2021 12:59 ]</c:v>
            </c:pt>
          </c:strCache>
        </c:strRef>
      </c:tx>
      <c:layout>
        <c:manualLayout>
          <c:xMode val="edge"/>
          <c:yMode val="edge"/>
          <c:x val="0.26252516826156647"/>
          <c:y val="3.245591617684640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spc="0" normalizeH="0" baseline="0">
              <a:solidFill>
                <a:sysClr val="windowText" lastClr="000000"/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8039366966615776E-2"/>
          <c:y val="0.12609528068830395"/>
          <c:w val="0.8709528527650543"/>
          <c:h val="0.7322704233750744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Age!$P$2</c:f>
              <c:strCache>
                <c:ptCount val="1"/>
                <c:pt idx="0">
                  <c:v>2G Call</c:v>
                </c:pt>
              </c:strCache>
            </c:strRef>
          </c:tx>
          <c:spPr>
            <a:solidFill>
              <a:srgbClr val="00B050"/>
            </a:solidFill>
            <a:ln>
              <a:solidFill>
                <a:schemeClr val="bg1"/>
              </a:solidFill>
            </a:ln>
            <a:effectLst/>
          </c:spPr>
          <c:invertIfNegative val="0"/>
          <c:cat>
            <c:strRef>
              <c:f>Age!$O$3:$O$13</c:f>
              <c:strCache>
                <c:ptCount val="11"/>
                <c:pt idx="0">
                  <c:v>MSKL07</c:v>
                </c:pt>
                <c:pt idx="1">
                  <c:v>MSDH11</c:v>
                </c:pt>
                <c:pt idx="2">
                  <c:v>MSCM01</c:v>
                </c:pt>
                <c:pt idx="3">
                  <c:v>MSKL05</c:v>
                </c:pt>
                <c:pt idx="4">
                  <c:v>MSDH12</c:v>
                </c:pt>
                <c:pt idx="5">
                  <c:v>MSDH13</c:v>
                </c:pt>
                <c:pt idx="6">
                  <c:v>MSBO03</c:v>
                </c:pt>
                <c:pt idx="7">
                  <c:v>MSSL02</c:v>
                </c:pt>
                <c:pt idx="8">
                  <c:v>MSDH14</c:v>
                </c:pt>
                <c:pt idx="9">
                  <c:v>MSDH15</c:v>
                </c:pt>
                <c:pt idx="10">
                  <c:v>MSCT04</c:v>
                </c:pt>
              </c:strCache>
            </c:strRef>
          </c:cat>
          <c:val>
            <c:numRef>
              <c:f>Age!$P$3:$P$13</c:f>
              <c:numCache>
                <c:formatCode>General</c:formatCode>
                <c:ptCount val="11"/>
                <c:pt idx="0">
                  <c:v>12256.79</c:v>
                </c:pt>
                <c:pt idx="1">
                  <c:v>2974.75</c:v>
                </c:pt>
                <c:pt idx="2">
                  <c:v>1537.1</c:v>
                </c:pt>
                <c:pt idx="3">
                  <c:v>21926.710999999999</c:v>
                </c:pt>
                <c:pt idx="4">
                  <c:v>10596.2</c:v>
                </c:pt>
                <c:pt idx="5">
                  <c:v>16292.01</c:v>
                </c:pt>
                <c:pt idx="6">
                  <c:v>15011.95</c:v>
                </c:pt>
                <c:pt idx="7">
                  <c:v>9870.75</c:v>
                </c:pt>
                <c:pt idx="8">
                  <c:v>9239.7999999999993</c:v>
                </c:pt>
                <c:pt idx="9">
                  <c:v>12486.44</c:v>
                </c:pt>
                <c:pt idx="10">
                  <c:v>5458.48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0-4A35-AA00-A4963F5DE968}"/>
            </c:ext>
          </c:extLst>
        </c:ser>
        <c:ser>
          <c:idx val="1"/>
          <c:order val="1"/>
          <c:tx>
            <c:strRef>
              <c:f>Age!$Q$2</c:f>
              <c:strCache>
                <c:ptCount val="1"/>
                <c:pt idx="0">
                  <c:v>3G Call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Age!$O$3:$O$13</c:f>
              <c:strCache>
                <c:ptCount val="11"/>
                <c:pt idx="0">
                  <c:v>MSKL07</c:v>
                </c:pt>
                <c:pt idx="1">
                  <c:v>MSDH11</c:v>
                </c:pt>
                <c:pt idx="2">
                  <c:v>MSCM01</c:v>
                </c:pt>
                <c:pt idx="3">
                  <c:v>MSKL05</c:v>
                </c:pt>
                <c:pt idx="4">
                  <c:v>MSDH12</c:v>
                </c:pt>
                <c:pt idx="5">
                  <c:v>MSDH13</c:v>
                </c:pt>
                <c:pt idx="6">
                  <c:v>MSBO03</c:v>
                </c:pt>
                <c:pt idx="7">
                  <c:v>MSSL02</c:v>
                </c:pt>
                <c:pt idx="8">
                  <c:v>MSDH14</c:v>
                </c:pt>
                <c:pt idx="9">
                  <c:v>MSDH15</c:v>
                </c:pt>
                <c:pt idx="10">
                  <c:v>MSCT04</c:v>
                </c:pt>
              </c:strCache>
            </c:strRef>
          </c:cat>
          <c:val>
            <c:numRef>
              <c:f>Age!$Q$3:$Q$13</c:f>
              <c:numCache>
                <c:formatCode>General</c:formatCode>
                <c:ptCount val="11"/>
                <c:pt idx="0">
                  <c:v>2501.9299999999998</c:v>
                </c:pt>
                <c:pt idx="1">
                  <c:v>1579.54</c:v>
                </c:pt>
                <c:pt idx="2">
                  <c:v>580.41</c:v>
                </c:pt>
                <c:pt idx="3">
                  <c:v>4960.51</c:v>
                </c:pt>
                <c:pt idx="4">
                  <c:v>1504.28</c:v>
                </c:pt>
                <c:pt idx="5">
                  <c:v>3715.57</c:v>
                </c:pt>
                <c:pt idx="6">
                  <c:v>3853.08</c:v>
                </c:pt>
                <c:pt idx="7">
                  <c:v>3986.3</c:v>
                </c:pt>
                <c:pt idx="8">
                  <c:v>6243.01</c:v>
                </c:pt>
                <c:pt idx="9">
                  <c:v>3793.77</c:v>
                </c:pt>
                <c:pt idx="10">
                  <c:v>4471.95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0-4A35-AA00-A4963F5DE9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67"/>
        <c:overlap val="-43"/>
        <c:axId val="871826272"/>
        <c:axId val="871820864"/>
      </c:barChart>
      <c:catAx>
        <c:axId val="871826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cap="none" spc="0" normalizeH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1820864"/>
        <c:crosses val="autoZero"/>
        <c:auto val="1"/>
        <c:lblAlgn val="ctr"/>
        <c:lblOffset val="100"/>
        <c:noMultiLvlLbl val="0"/>
      </c:catAx>
      <c:valAx>
        <c:axId val="871820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50">
                    <a:solidFill>
                      <a:schemeClr val="tx1"/>
                    </a:solidFill>
                  </a:rPr>
                  <a:t>Erl Axis 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\ \K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1826272"/>
        <c:crosses val="autoZero"/>
        <c:crossBetween val="between"/>
        <c:dispUnits>
          <c:builtInUnit val="thousands"/>
        </c:dispUnits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Age!$R$1</c:f>
          <c:strCache>
            <c:ptCount val="1"/>
            <c:pt idx="0">
              <c:v>MT  2G &amp; 3G  [ 05/14/2021 12:00  To  05/14/2021 12:59 ]</c:v>
            </c:pt>
          </c:strCache>
        </c:strRef>
      </c:tx>
      <c:layout>
        <c:manualLayout>
          <c:xMode val="edge"/>
          <c:yMode val="edge"/>
          <c:x val="0.23610063055022706"/>
          <c:y val="3.52059366037253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spc="0" normalizeH="0" baseline="0">
              <a:solidFill>
                <a:sysClr val="windowText" lastClr="000000"/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2040037797632659E-2"/>
          <c:y val="0.10981501423377509"/>
          <c:w val="0.87695233165760533"/>
          <c:h val="0.75425317994263852"/>
        </c:manualLayout>
      </c:layout>
      <c:barChart>
        <c:barDir val="col"/>
        <c:grouping val="clustered"/>
        <c:varyColors val="0"/>
        <c:ser>
          <c:idx val="2"/>
          <c:order val="0"/>
          <c:tx>
            <c:strRef>
              <c:f>Age!$S$2</c:f>
              <c:strCache>
                <c:ptCount val="1"/>
                <c:pt idx="0">
                  <c:v>2G Call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Age!$O$3:$O$13</c:f>
              <c:strCache>
                <c:ptCount val="11"/>
                <c:pt idx="0">
                  <c:v>MSKL07</c:v>
                </c:pt>
                <c:pt idx="1">
                  <c:v>MSDH11</c:v>
                </c:pt>
                <c:pt idx="2">
                  <c:v>MSCM01</c:v>
                </c:pt>
                <c:pt idx="3">
                  <c:v>MSKL05</c:v>
                </c:pt>
                <c:pt idx="4">
                  <c:v>MSDH12</c:v>
                </c:pt>
                <c:pt idx="5">
                  <c:v>MSDH13</c:v>
                </c:pt>
                <c:pt idx="6">
                  <c:v>MSBO03</c:v>
                </c:pt>
                <c:pt idx="7">
                  <c:v>MSSL02</c:v>
                </c:pt>
                <c:pt idx="8">
                  <c:v>MSDH14</c:v>
                </c:pt>
                <c:pt idx="9">
                  <c:v>MSDH15</c:v>
                </c:pt>
                <c:pt idx="10">
                  <c:v>MSCT04</c:v>
                </c:pt>
              </c:strCache>
            </c:strRef>
          </c:cat>
          <c:val>
            <c:numRef>
              <c:f>Age!$S$3:$S$13</c:f>
              <c:numCache>
                <c:formatCode>General</c:formatCode>
                <c:ptCount val="11"/>
                <c:pt idx="0">
                  <c:v>11562.68</c:v>
                </c:pt>
                <c:pt idx="1">
                  <c:v>3958.48</c:v>
                </c:pt>
                <c:pt idx="2">
                  <c:v>1632.11</c:v>
                </c:pt>
                <c:pt idx="3">
                  <c:v>20607.131000000001</c:v>
                </c:pt>
                <c:pt idx="4">
                  <c:v>9417.41</c:v>
                </c:pt>
                <c:pt idx="5">
                  <c:v>19810.150000000001</c:v>
                </c:pt>
                <c:pt idx="6">
                  <c:v>12727.38</c:v>
                </c:pt>
                <c:pt idx="7">
                  <c:v>9809.4599999999991</c:v>
                </c:pt>
                <c:pt idx="8">
                  <c:v>10700.66</c:v>
                </c:pt>
                <c:pt idx="9">
                  <c:v>10541.93</c:v>
                </c:pt>
                <c:pt idx="10">
                  <c:v>7383.5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30-4666-9621-896555CC20B6}"/>
            </c:ext>
          </c:extLst>
        </c:ser>
        <c:ser>
          <c:idx val="3"/>
          <c:order val="1"/>
          <c:tx>
            <c:strRef>
              <c:f>Age!$T$2</c:f>
              <c:strCache>
                <c:ptCount val="1"/>
                <c:pt idx="0">
                  <c:v>3G Call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Age!$O$3:$O$13</c:f>
              <c:strCache>
                <c:ptCount val="11"/>
                <c:pt idx="0">
                  <c:v>MSKL07</c:v>
                </c:pt>
                <c:pt idx="1">
                  <c:v>MSDH11</c:v>
                </c:pt>
                <c:pt idx="2">
                  <c:v>MSCM01</c:v>
                </c:pt>
                <c:pt idx="3">
                  <c:v>MSKL05</c:v>
                </c:pt>
                <c:pt idx="4">
                  <c:v>MSDH12</c:v>
                </c:pt>
                <c:pt idx="5">
                  <c:v>MSDH13</c:v>
                </c:pt>
                <c:pt idx="6">
                  <c:v>MSBO03</c:v>
                </c:pt>
                <c:pt idx="7">
                  <c:v>MSSL02</c:v>
                </c:pt>
                <c:pt idx="8">
                  <c:v>MSDH14</c:v>
                </c:pt>
                <c:pt idx="9">
                  <c:v>MSDH15</c:v>
                </c:pt>
                <c:pt idx="10">
                  <c:v>MSCT04</c:v>
                </c:pt>
              </c:strCache>
            </c:strRef>
          </c:cat>
          <c:val>
            <c:numRef>
              <c:f>Age!$T$3:$T$13</c:f>
              <c:numCache>
                <c:formatCode>General</c:formatCode>
                <c:ptCount val="11"/>
                <c:pt idx="0">
                  <c:v>3153.44</c:v>
                </c:pt>
                <c:pt idx="1">
                  <c:v>2261</c:v>
                </c:pt>
                <c:pt idx="2">
                  <c:v>845.95</c:v>
                </c:pt>
                <c:pt idx="3">
                  <c:v>5139.97</c:v>
                </c:pt>
                <c:pt idx="4">
                  <c:v>1729.36</c:v>
                </c:pt>
                <c:pt idx="5">
                  <c:v>5027.13</c:v>
                </c:pt>
                <c:pt idx="6">
                  <c:v>4843.03</c:v>
                </c:pt>
                <c:pt idx="7">
                  <c:v>4538.1400000000003</c:v>
                </c:pt>
                <c:pt idx="8">
                  <c:v>7439.11</c:v>
                </c:pt>
                <c:pt idx="9">
                  <c:v>4645.2299999999996</c:v>
                </c:pt>
                <c:pt idx="10">
                  <c:v>5945.65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430-4666-9621-896555CC20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67"/>
        <c:overlap val="-43"/>
        <c:axId val="871826272"/>
        <c:axId val="871820864"/>
      </c:barChart>
      <c:catAx>
        <c:axId val="871826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1820864"/>
        <c:crosses val="autoZero"/>
        <c:auto val="1"/>
        <c:lblAlgn val="ctr"/>
        <c:lblOffset val="100"/>
        <c:noMultiLvlLbl val="0"/>
      </c:catAx>
      <c:valAx>
        <c:axId val="871820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>
                    <a:solidFill>
                      <a:schemeClr val="tx1"/>
                    </a:solidFill>
                  </a:rPr>
                  <a:t>Erl Axis 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\ \K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1826272"/>
        <c:crosses val="autoZero"/>
        <c:crossBetween val="between"/>
        <c:dispUnits>
          <c:builtInUnit val="thousands"/>
        </c:dispUnits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Age!$B$29</c:f>
          <c:strCache>
            <c:ptCount val="1"/>
            <c:pt idx="0">
              <c:v>MO 2G &amp; 3G Calls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spc="0" normalizeH="0" baseline="0">
              <a:solidFill>
                <a:schemeClr val="tx1"/>
              </a:solidFill>
              <a:latin typeface="+mn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129892577111923"/>
          <c:y val="0.14751243781094528"/>
          <c:w val="0.81017286826707791"/>
          <c:h val="0.62326673718024062"/>
        </c:manualLayout>
      </c:layout>
      <c:lineChart>
        <c:grouping val="standard"/>
        <c:varyColors val="0"/>
        <c:ser>
          <c:idx val="0"/>
          <c:order val="0"/>
          <c:tx>
            <c:strRef>
              <c:f>Age!$B$1</c:f>
              <c:strCache>
                <c:ptCount val="1"/>
                <c:pt idx="0">
                  <c:v>Day -7</c:v>
                </c:pt>
              </c:strCache>
            </c:strRef>
          </c:tx>
          <c:spPr>
            <a:ln w="3492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Age!$A$31:$A$54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Age!$B$31:$B$54</c:f>
              <c:numCache>
                <c:formatCode>General</c:formatCode>
                <c:ptCount val="24"/>
                <c:pt idx="0">
                  <c:v>32481.66</c:v>
                </c:pt>
                <c:pt idx="1">
                  <c:v>14685.86</c:v>
                </c:pt>
                <c:pt idx="2">
                  <c:v>9985.9500000000007</c:v>
                </c:pt>
                <c:pt idx="3">
                  <c:v>26383.940000000002</c:v>
                </c:pt>
                <c:pt idx="4">
                  <c:v>19735.839999999997</c:v>
                </c:pt>
                <c:pt idx="5">
                  <c:v>9572.2999999999993</c:v>
                </c:pt>
                <c:pt idx="6">
                  <c:v>22546.300000000003</c:v>
                </c:pt>
                <c:pt idx="7">
                  <c:v>45321.68</c:v>
                </c:pt>
                <c:pt idx="8">
                  <c:v>73974.16</c:v>
                </c:pt>
                <c:pt idx="9">
                  <c:v>102231.77</c:v>
                </c:pt>
                <c:pt idx="10">
                  <c:v>121258.35</c:v>
                </c:pt>
                <c:pt idx="11">
                  <c:v>122640.65999999997</c:v>
                </c:pt>
                <c:pt idx="12">
                  <c:v>93903.51999999999</c:v>
                </c:pt>
                <c:pt idx="13">
                  <c:v>64723.3</c:v>
                </c:pt>
                <c:pt idx="14">
                  <c:v>114866.89000000001</c:v>
                </c:pt>
                <c:pt idx="15">
                  <c:v>112796.19</c:v>
                </c:pt>
                <c:pt idx="16">
                  <c:v>103113.12</c:v>
                </c:pt>
                <c:pt idx="17">
                  <c:v>103947.94</c:v>
                </c:pt>
                <c:pt idx="18">
                  <c:v>75170.789999999994</c:v>
                </c:pt>
                <c:pt idx="19">
                  <c:v>227722.36200000002</c:v>
                </c:pt>
                <c:pt idx="20">
                  <c:v>196313.99999999997</c:v>
                </c:pt>
                <c:pt idx="21">
                  <c:v>173938.48</c:v>
                </c:pt>
                <c:pt idx="22">
                  <c:v>137234.01</c:v>
                </c:pt>
                <c:pt idx="23">
                  <c:v>69249.56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29-451C-89E4-D8DD51DC410D}"/>
            </c:ext>
          </c:extLst>
        </c:ser>
        <c:ser>
          <c:idx val="1"/>
          <c:order val="1"/>
          <c:tx>
            <c:strRef>
              <c:f>Age!$F$1</c:f>
              <c:strCache>
                <c:ptCount val="1"/>
                <c:pt idx="0">
                  <c:v>Day -1</c:v>
                </c:pt>
              </c:strCache>
            </c:strRef>
          </c:tx>
          <c:spPr>
            <a:ln w="3492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Age!$A$31:$A$54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Age!$E$31:$E$54</c:f>
              <c:numCache>
                <c:formatCode>General</c:formatCode>
                <c:ptCount val="24"/>
                <c:pt idx="0">
                  <c:v>34213.870000000003</c:v>
                </c:pt>
                <c:pt idx="1">
                  <c:v>16603.510000000002</c:v>
                </c:pt>
                <c:pt idx="2">
                  <c:v>11937.029999999999</c:v>
                </c:pt>
                <c:pt idx="3">
                  <c:v>27441.550000000003</c:v>
                </c:pt>
                <c:pt idx="4">
                  <c:v>18255.059999999998</c:v>
                </c:pt>
                <c:pt idx="5">
                  <c:v>10185.549999999999</c:v>
                </c:pt>
                <c:pt idx="6">
                  <c:v>24680.910000000003</c:v>
                </c:pt>
                <c:pt idx="7">
                  <c:v>50714.55</c:v>
                </c:pt>
                <c:pt idx="8">
                  <c:v>82327.31</c:v>
                </c:pt>
                <c:pt idx="9">
                  <c:v>111728.97</c:v>
                </c:pt>
                <c:pt idx="10">
                  <c:v>128606.49</c:v>
                </c:pt>
                <c:pt idx="11">
                  <c:v>130993.13</c:v>
                </c:pt>
                <c:pt idx="12">
                  <c:v>120613.89000000001</c:v>
                </c:pt>
                <c:pt idx="13">
                  <c:v>98246.97</c:v>
                </c:pt>
                <c:pt idx="14">
                  <c:v>107740.18999999999</c:v>
                </c:pt>
                <c:pt idx="15">
                  <c:v>116762.73999999999</c:v>
                </c:pt>
                <c:pt idx="16">
                  <c:v>116124.74</c:v>
                </c:pt>
                <c:pt idx="17">
                  <c:v>117267.11</c:v>
                </c:pt>
                <c:pt idx="18">
                  <c:v>88437.390000000014</c:v>
                </c:pt>
                <c:pt idx="19">
                  <c:v>232869.641</c:v>
                </c:pt>
                <c:pt idx="20">
                  <c:v>227321.88799999998</c:v>
                </c:pt>
                <c:pt idx="21">
                  <c:v>219584.46900000001</c:v>
                </c:pt>
                <c:pt idx="22">
                  <c:v>169232.18</c:v>
                </c:pt>
                <c:pt idx="23">
                  <c:v>100755.28000000001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729-451C-89E4-D8DD51DC410D}"/>
            </c:ext>
          </c:extLst>
        </c:ser>
        <c:ser>
          <c:idx val="2"/>
          <c:order val="2"/>
          <c:tx>
            <c:strRef>
              <c:f>Age!$J$1</c:f>
              <c:strCache>
                <c:ptCount val="1"/>
                <c:pt idx="0">
                  <c:v>Today</c:v>
                </c:pt>
              </c:strCache>
            </c:strRef>
          </c:tx>
          <c:spPr>
            <a:ln w="3492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Age!$A$31:$A$54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Age!$H$31:$H$54</c:f>
              <c:numCache>
                <c:formatCode>General</c:formatCode>
                <c:ptCount val="24"/>
                <c:pt idx="0">
                  <c:v>53956.45</c:v>
                </c:pt>
                <c:pt idx="1">
                  <c:v>27463</c:v>
                </c:pt>
                <c:pt idx="2">
                  <c:v>14475.27</c:v>
                </c:pt>
                <c:pt idx="3">
                  <c:v>8346.85</c:v>
                </c:pt>
                <c:pt idx="4">
                  <c:v>7541.92</c:v>
                </c:pt>
                <c:pt idx="5">
                  <c:v>43687.8</c:v>
                </c:pt>
                <c:pt idx="6">
                  <c:v>107265.2</c:v>
                </c:pt>
                <c:pt idx="7">
                  <c:v>124387.66899999999</c:v>
                </c:pt>
                <c:pt idx="8">
                  <c:v>119088.82999999999</c:v>
                </c:pt>
                <c:pt idx="9">
                  <c:v>207519.34</c:v>
                </c:pt>
                <c:pt idx="10">
                  <c:v>246244.27899999998</c:v>
                </c:pt>
                <c:pt idx="11">
                  <c:v>215910.12900000002</c:v>
                </c:pt>
                <c:pt idx="12">
                  <c:v>163718.90100000001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729-451C-89E4-D8DD51DC41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7006704"/>
        <c:axId val="607000464"/>
      </c:lineChart>
      <c:catAx>
        <c:axId val="6070067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dk1">
                  <a:lumMod val="15000"/>
                  <a:lumOff val="85000"/>
                  <a:alpha val="51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000464"/>
        <c:crosses val="autoZero"/>
        <c:auto val="1"/>
        <c:lblAlgn val="ctr"/>
        <c:lblOffset val="100"/>
        <c:noMultiLvlLbl val="0"/>
      </c:catAx>
      <c:valAx>
        <c:axId val="607000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Erl Axis 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\ \K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006704"/>
        <c:crosses val="autoZero"/>
        <c:crossBetween val="between"/>
        <c:dispUnits>
          <c:builtInUnit val="thousands"/>
        </c:dispUnits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6071979113575138"/>
          <c:y val="0.90508785521397184"/>
          <c:w val="0.76574688731940199"/>
          <c:h val="8.9602409532772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Age!$C$29</c:f>
          <c:strCache>
            <c:ptCount val="1"/>
            <c:pt idx="0">
              <c:v>MT 2G &amp; 3G Calls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spc="0" normalizeH="0" baseline="0">
              <a:solidFill>
                <a:schemeClr val="tx1"/>
              </a:solidFill>
              <a:latin typeface="+mn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129892577111923"/>
          <c:y val="0.14751243781094528"/>
          <c:w val="0.81017286826707791"/>
          <c:h val="0.62326673718024062"/>
        </c:manualLayout>
      </c:layout>
      <c:lineChart>
        <c:grouping val="standard"/>
        <c:varyColors val="0"/>
        <c:ser>
          <c:idx val="0"/>
          <c:order val="0"/>
          <c:tx>
            <c:strRef>
              <c:f>Age!$B$1</c:f>
              <c:strCache>
                <c:ptCount val="1"/>
                <c:pt idx="0">
                  <c:v>Day -7</c:v>
                </c:pt>
              </c:strCache>
            </c:strRef>
          </c:tx>
          <c:spPr>
            <a:ln w="3492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Age!$A$31:$A$54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Age!$C$31:$C$54</c:f>
              <c:numCache>
                <c:formatCode>General</c:formatCode>
                <c:ptCount val="24"/>
                <c:pt idx="0">
                  <c:v>31383.14</c:v>
                </c:pt>
                <c:pt idx="1">
                  <c:v>14299.94</c:v>
                </c:pt>
                <c:pt idx="2">
                  <c:v>9668.59</c:v>
                </c:pt>
                <c:pt idx="3">
                  <c:v>23903.149999999998</c:v>
                </c:pt>
                <c:pt idx="4">
                  <c:v>18200.14</c:v>
                </c:pt>
                <c:pt idx="5">
                  <c:v>9090.18</c:v>
                </c:pt>
                <c:pt idx="6">
                  <c:v>20756.519999999997</c:v>
                </c:pt>
                <c:pt idx="7">
                  <c:v>41368.19</c:v>
                </c:pt>
                <c:pt idx="8">
                  <c:v>67175.01999999999</c:v>
                </c:pt>
                <c:pt idx="9">
                  <c:v>93842.82</c:v>
                </c:pt>
                <c:pt idx="10">
                  <c:v>112271.69</c:v>
                </c:pt>
                <c:pt idx="11">
                  <c:v>113748.70999999999</c:v>
                </c:pt>
                <c:pt idx="12">
                  <c:v>87346.37</c:v>
                </c:pt>
                <c:pt idx="13">
                  <c:v>59634.270000000004</c:v>
                </c:pt>
                <c:pt idx="14">
                  <c:v>105151.03</c:v>
                </c:pt>
                <c:pt idx="15">
                  <c:v>106247.81999999999</c:v>
                </c:pt>
                <c:pt idx="16">
                  <c:v>97886.5</c:v>
                </c:pt>
                <c:pt idx="17">
                  <c:v>97426.74</c:v>
                </c:pt>
                <c:pt idx="18">
                  <c:v>69797.710000000021</c:v>
                </c:pt>
                <c:pt idx="19">
                  <c:v>208004.49100000001</c:v>
                </c:pt>
                <c:pt idx="20">
                  <c:v>181835.15000000002</c:v>
                </c:pt>
                <c:pt idx="21">
                  <c:v>161136.04800000001</c:v>
                </c:pt>
                <c:pt idx="22">
                  <c:v>128898.05</c:v>
                </c:pt>
                <c:pt idx="23">
                  <c:v>65610.44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411-4EBA-93FE-ED6D84AC6448}"/>
            </c:ext>
          </c:extLst>
        </c:ser>
        <c:ser>
          <c:idx val="1"/>
          <c:order val="1"/>
          <c:tx>
            <c:strRef>
              <c:f>Age!$F$1</c:f>
              <c:strCache>
                <c:ptCount val="1"/>
                <c:pt idx="0">
                  <c:v>Day -1</c:v>
                </c:pt>
              </c:strCache>
            </c:strRef>
          </c:tx>
          <c:spPr>
            <a:ln w="3492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Age!$A$31:$A$54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Age!$F$31:$F$54</c:f>
              <c:numCache>
                <c:formatCode>General</c:formatCode>
                <c:ptCount val="24"/>
                <c:pt idx="0">
                  <c:v>33591.179999999993</c:v>
                </c:pt>
                <c:pt idx="1">
                  <c:v>16241.490000000002</c:v>
                </c:pt>
                <c:pt idx="2">
                  <c:v>11651.82</c:v>
                </c:pt>
                <c:pt idx="3">
                  <c:v>25527.040000000001</c:v>
                </c:pt>
                <c:pt idx="4">
                  <c:v>17349.89</c:v>
                </c:pt>
                <c:pt idx="5">
                  <c:v>9983.01</c:v>
                </c:pt>
                <c:pt idx="6">
                  <c:v>23311.91</c:v>
                </c:pt>
                <c:pt idx="7">
                  <c:v>48258.650000000009</c:v>
                </c:pt>
                <c:pt idx="8">
                  <c:v>78007.13</c:v>
                </c:pt>
                <c:pt idx="9">
                  <c:v>106587.29</c:v>
                </c:pt>
                <c:pt idx="10">
                  <c:v>123541.63999999998</c:v>
                </c:pt>
                <c:pt idx="11">
                  <c:v>125822.09</c:v>
                </c:pt>
                <c:pt idx="12">
                  <c:v>115664.01000000001</c:v>
                </c:pt>
                <c:pt idx="13">
                  <c:v>94135.42</c:v>
                </c:pt>
                <c:pt idx="14">
                  <c:v>102355.40000000001</c:v>
                </c:pt>
                <c:pt idx="15">
                  <c:v>110742.74</c:v>
                </c:pt>
                <c:pt idx="16">
                  <c:v>110277.69999999998</c:v>
                </c:pt>
                <c:pt idx="17">
                  <c:v>111297.62999999999</c:v>
                </c:pt>
                <c:pt idx="18">
                  <c:v>84025.26</c:v>
                </c:pt>
                <c:pt idx="19">
                  <c:v>216900.26200000002</c:v>
                </c:pt>
                <c:pt idx="20">
                  <c:v>214817.508</c:v>
                </c:pt>
                <c:pt idx="21">
                  <c:v>207296.49899999998</c:v>
                </c:pt>
                <c:pt idx="22">
                  <c:v>161045.37899999999</c:v>
                </c:pt>
                <c:pt idx="23">
                  <c:v>96465.04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411-4EBA-93FE-ED6D84AC6448}"/>
            </c:ext>
          </c:extLst>
        </c:ser>
        <c:ser>
          <c:idx val="2"/>
          <c:order val="2"/>
          <c:tx>
            <c:strRef>
              <c:f>Age!$J$1</c:f>
              <c:strCache>
                <c:ptCount val="1"/>
                <c:pt idx="0">
                  <c:v>Today</c:v>
                </c:pt>
              </c:strCache>
            </c:strRef>
          </c:tx>
          <c:spPr>
            <a:ln w="3492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Age!$A$31:$A$54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Age!$I$31:$I$54</c:f>
              <c:numCache>
                <c:formatCode>General</c:formatCode>
                <c:ptCount val="24"/>
                <c:pt idx="0">
                  <c:v>52252.78</c:v>
                </c:pt>
                <c:pt idx="1">
                  <c:v>26606.32</c:v>
                </c:pt>
                <c:pt idx="2">
                  <c:v>14041.73</c:v>
                </c:pt>
                <c:pt idx="3">
                  <c:v>8085.1999999999989</c:v>
                </c:pt>
                <c:pt idx="4">
                  <c:v>7182.0499999999993</c:v>
                </c:pt>
                <c:pt idx="5">
                  <c:v>38766.500000000007</c:v>
                </c:pt>
                <c:pt idx="6">
                  <c:v>95007.51999999999</c:v>
                </c:pt>
                <c:pt idx="7">
                  <c:v>112780.401</c:v>
                </c:pt>
                <c:pt idx="8">
                  <c:v>109638.04000000002</c:v>
                </c:pt>
                <c:pt idx="9">
                  <c:v>189153.28900000002</c:v>
                </c:pt>
                <c:pt idx="10">
                  <c:v>226019.93</c:v>
                </c:pt>
                <c:pt idx="11">
                  <c:v>201663.95199999999</c:v>
                </c:pt>
                <c:pt idx="12">
                  <c:v>154841.33099999998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411-4EBA-93FE-ED6D84AC64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7006704"/>
        <c:axId val="607000464"/>
      </c:lineChart>
      <c:catAx>
        <c:axId val="6070067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dk1">
                  <a:lumMod val="15000"/>
                  <a:lumOff val="85000"/>
                  <a:alpha val="51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000464"/>
        <c:crosses val="autoZero"/>
        <c:auto val="1"/>
        <c:lblAlgn val="ctr"/>
        <c:lblOffset val="100"/>
        <c:noMultiLvlLbl val="0"/>
      </c:catAx>
      <c:valAx>
        <c:axId val="607000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Erl Axis 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\ \K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006704"/>
        <c:crosses val="autoZero"/>
        <c:crossBetween val="between"/>
        <c:dispUnits>
          <c:builtInUnit val="thousands"/>
        </c:dispUnits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7655381484783575"/>
          <c:y val="0.90508785521397184"/>
          <c:w val="0.74202038843940732"/>
          <c:h val="8.9602409532772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Age!$D$56</c:f>
          <c:strCache>
            <c:ptCount val="1"/>
            <c:pt idx="0">
              <c:v>CS Core Status  [ 05/07/2021 00:00  To  05/14/2021 12:59 ]</c:v>
            </c:pt>
          </c:strCache>
        </c:strRef>
      </c:tx>
      <c:layout>
        <c:manualLayout>
          <c:xMode val="edge"/>
          <c:yMode val="edge"/>
          <c:x val="0.36364217354705852"/>
          <c:y val="4.312876249105110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tx1"/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2107827610995896E-2"/>
          <c:y val="0.15043715846994538"/>
          <c:w val="0.87688438694769089"/>
          <c:h val="0.68705952265213455"/>
        </c:manualLayout>
      </c:layout>
      <c:barChart>
        <c:barDir val="col"/>
        <c:grouping val="clustered"/>
        <c:varyColors val="0"/>
        <c:ser>
          <c:idx val="2"/>
          <c:order val="0"/>
          <c:tx>
            <c:strRef>
              <c:f>Age!$E$57</c:f>
              <c:strCache>
                <c:ptCount val="1"/>
                <c:pt idx="0">
                  <c:v>MO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accent4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Age!$B$58:$B$60</c:f>
              <c:strCache>
                <c:ptCount val="3"/>
                <c:pt idx="0">
                  <c:v>Day -7 [24 Hrs]</c:v>
                </c:pt>
                <c:pt idx="1">
                  <c:v>Day -1 [24 Hrs]</c:v>
                </c:pt>
                <c:pt idx="2">
                  <c:v>Today</c:v>
                </c:pt>
              </c:strCache>
            </c:strRef>
          </c:cat>
          <c:val>
            <c:numRef>
              <c:f>Age!$E$58:$E$60</c:f>
              <c:numCache>
                <c:formatCode>0.0</c:formatCode>
                <c:ptCount val="3"/>
                <c:pt idx="0">
                  <c:v>2073798.632</c:v>
                </c:pt>
                <c:pt idx="1">
                  <c:v>2362644.4180000001</c:v>
                </c:pt>
                <c:pt idx="2">
                  <c:v>1339605.6380000003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D-4EA9-A257-4EEE259E8D42}"/>
            </c:ext>
          </c:extLst>
        </c:ser>
        <c:ser>
          <c:idx val="3"/>
          <c:order val="1"/>
          <c:tx>
            <c:strRef>
              <c:f>Age!$F$57</c:f>
              <c:strCache>
                <c:ptCount val="1"/>
                <c:pt idx="0">
                  <c:v>MT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accent1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Age!$B$58:$B$60</c:f>
              <c:strCache>
                <c:ptCount val="3"/>
                <c:pt idx="0">
                  <c:v>Day -7 [24 Hrs]</c:v>
                </c:pt>
                <c:pt idx="1">
                  <c:v>Day -1 [24 Hrs]</c:v>
                </c:pt>
                <c:pt idx="2">
                  <c:v>Today</c:v>
                </c:pt>
              </c:strCache>
            </c:strRef>
          </c:cat>
          <c:val>
            <c:numRef>
              <c:f>Age!$F$58:$F$60</c:f>
              <c:numCache>
                <c:formatCode>0.0</c:formatCode>
                <c:ptCount val="3"/>
                <c:pt idx="0">
                  <c:v>1924682.709</c:v>
                </c:pt>
                <c:pt idx="1">
                  <c:v>2244895.9880000004</c:v>
                </c:pt>
                <c:pt idx="2">
                  <c:v>1236039.0430000001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D-4EA9-A257-4EEE259E8D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67"/>
        <c:overlap val="-43"/>
        <c:axId val="871826272"/>
        <c:axId val="871820864"/>
      </c:barChart>
      <c:catAx>
        <c:axId val="871826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1820864"/>
        <c:crosses val="autoZero"/>
        <c:auto val="1"/>
        <c:lblAlgn val="ctr"/>
        <c:lblOffset val="100"/>
        <c:noMultiLvlLbl val="0"/>
      </c:catAx>
      <c:valAx>
        <c:axId val="871820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100" b="0">
                    <a:solidFill>
                      <a:schemeClr val="tx1"/>
                    </a:solidFill>
                  </a:rPr>
                  <a:t>Erl Axis 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\ \K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1826272"/>
        <c:crosses val="autoZero"/>
        <c:crossBetween val="between"/>
        <c:dispUnits>
          <c:builtInUnit val="thousands"/>
        </c:dispUnits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Trend!$G$1</c:f>
          <c:strCache>
            <c:ptCount val="1"/>
            <c:pt idx="0">
              <c:v>MO 2G Pool-1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spc="0" normalizeH="0" baseline="0">
              <a:solidFill>
                <a:schemeClr val="tx1"/>
              </a:solidFill>
              <a:latin typeface="+mn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129892577111923"/>
          <c:y val="0.14751243781094528"/>
          <c:w val="0.81017286826707791"/>
          <c:h val="0.62326673718024062"/>
        </c:manualLayout>
      </c:layout>
      <c:lineChart>
        <c:grouping val="standard"/>
        <c:varyColors val="0"/>
        <c:ser>
          <c:idx val="0"/>
          <c:order val="0"/>
          <c:tx>
            <c:strRef>
              <c:f>Age!$B$1</c:f>
              <c:strCache>
                <c:ptCount val="1"/>
                <c:pt idx="0">
                  <c:v>Day -7</c:v>
                </c:pt>
              </c:strCache>
            </c:strRef>
          </c:tx>
          <c:spPr>
            <a:ln w="3492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Trend!$A$2:$A$25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Trend!$U$2:$U$25</c:f>
              <c:numCache>
                <c:formatCode>General</c:formatCode>
                <c:ptCount val="24"/>
                <c:pt idx="0">
                  <c:v>11036.789999999999</c:v>
                </c:pt>
                <c:pt idx="1">
                  <c:v>5115.9000000000005</c:v>
                </c:pt>
                <c:pt idx="2">
                  <c:v>3934.14</c:v>
                </c:pt>
                <c:pt idx="3">
                  <c:v>8517.9599999999991</c:v>
                </c:pt>
                <c:pt idx="4">
                  <c:v>7156.920000000001</c:v>
                </c:pt>
                <c:pt idx="5">
                  <c:v>3322.1400000000003</c:v>
                </c:pt>
                <c:pt idx="6">
                  <c:v>9441.34</c:v>
                </c:pt>
                <c:pt idx="7">
                  <c:v>21172.239999999998</c:v>
                </c:pt>
                <c:pt idx="8">
                  <c:v>32173.62</c:v>
                </c:pt>
                <c:pt idx="9">
                  <c:v>49229.4</c:v>
                </c:pt>
                <c:pt idx="10">
                  <c:v>50063.090000000004</c:v>
                </c:pt>
                <c:pt idx="11">
                  <c:v>40758.729999999996</c:v>
                </c:pt>
                <c:pt idx="12">
                  <c:v>37991.049999999996</c:v>
                </c:pt>
                <c:pt idx="13">
                  <c:v>27967.170000000002</c:v>
                </c:pt>
                <c:pt idx="14">
                  <c:v>52251.33</c:v>
                </c:pt>
                <c:pt idx="15">
                  <c:v>42324.94</c:v>
                </c:pt>
                <c:pt idx="16">
                  <c:v>35494.33</c:v>
                </c:pt>
                <c:pt idx="17">
                  <c:v>40052.310000000005</c:v>
                </c:pt>
                <c:pt idx="18">
                  <c:v>34037.51</c:v>
                </c:pt>
                <c:pt idx="19">
                  <c:v>103901.982</c:v>
                </c:pt>
                <c:pt idx="20">
                  <c:v>77987.420000000013</c:v>
                </c:pt>
                <c:pt idx="21">
                  <c:v>65075.94000000001</c:v>
                </c:pt>
                <c:pt idx="22">
                  <c:v>49506.18</c:v>
                </c:pt>
                <c:pt idx="23">
                  <c:v>24286.79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61-4070-B2ED-BDD05D0F79C9}"/>
            </c:ext>
          </c:extLst>
        </c:ser>
        <c:ser>
          <c:idx val="1"/>
          <c:order val="1"/>
          <c:tx>
            <c:strRef>
              <c:f>Age!$F$1</c:f>
              <c:strCache>
                <c:ptCount val="1"/>
                <c:pt idx="0">
                  <c:v>Day -1</c:v>
                </c:pt>
              </c:strCache>
            </c:strRef>
          </c:tx>
          <c:spPr>
            <a:ln w="3492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Trend!$A$2:$A$25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Trend!$U$26:$U$49</c:f>
              <c:numCache>
                <c:formatCode>General</c:formatCode>
                <c:ptCount val="24"/>
                <c:pt idx="0">
                  <c:v>12977.199999999999</c:v>
                </c:pt>
                <c:pt idx="1">
                  <c:v>6309.85</c:v>
                </c:pt>
                <c:pt idx="2">
                  <c:v>3684.96</c:v>
                </c:pt>
                <c:pt idx="3">
                  <c:v>10758.100000000002</c:v>
                </c:pt>
                <c:pt idx="4">
                  <c:v>7609.5400000000009</c:v>
                </c:pt>
                <c:pt idx="5">
                  <c:v>4098.2</c:v>
                </c:pt>
                <c:pt idx="6">
                  <c:v>13061.59</c:v>
                </c:pt>
                <c:pt idx="7">
                  <c:v>24931.760000000002</c:v>
                </c:pt>
                <c:pt idx="8">
                  <c:v>36302.710000000006</c:v>
                </c:pt>
                <c:pt idx="9">
                  <c:v>39974.230000000003</c:v>
                </c:pt>
                <c:pt idx="10">
                  <c:v>57930.419999999991</c:v>
                </c:pt>
                <c:pt idx="11">
                  <c:v>52324.06</c:v>
                </c:pt>
                <c:pt idx="12">
                  <c:v>44061.000000000007</c:v>
                </c:pt>
                <c:pt idx="13">
                  <c:v>31761.090000000004</c:v>
                </c:pt>
                <c:pt idx="14">
                  <c:v>32467.33</c:v>
                </c:pt>
                <c:pt idx="15">
                  <c:v>46111.729999999996</c:v>
                </c:pt>
                <c:pt idx="16">
                  <c:v>51881.53</c:v>
                </c:pt>
                <c:pt idx="17">
                  <c:v>51086.62</c:v>
                </c:pt>
                <c:pt idx="18">
                  <c:v>35344.639999999999</c:v>
                </c:pt>
                <c:pt idx="19">
                  <c:v>105424.52099999999</c:v>
                </c:pt>
                <c:pt idx="20">
                  <c:v>91952.157999999996</c:v>
                </c:pt>
                <c:pt idx="21">
                  <c:v>95763.289000000004</c:v>
                </c:pt>
                <c:pt idx="22">
                  <c:v>68141.069999999992</c:v>
                </c:pt>
                <c:pt idx="23">
                  <c:v>39356.199999999997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161-4070-B2ED-BDD05D0F79C9}"/>
            </c:ext>
          </c:extLst>
        </c:ser>
        <c:ser>
          <c:idx val="2"/>
          <c:order val="2"/>
          <c:tx>
            <c:strRef>
              <c:f>Age!$J$1</c:f>
              <c:strCache>
                <c:ptCount val="1"/>
                <c:pt idx="0">
                  <c:v>Today</c:v>
                </c:pt>
              </c:strCache>
            </c:strRef>
          </c:tx>
          <c:spPr>
            <a:ln w="3492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Trend!$A$2:$A$25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Trend!$U$50:$U$73</c:f>
              <c:numCache>
                <c:formatCode>General</c:formatCode>
                <c:ptCount val="24"/>
                <c:pt idx="0">
                  <c:v>19419.36</c:v>
                </c:pt>
                <c:pt idx="1">
                  <c:v>8869.84</c:v>
                </c:pt>
                <c:pt idx="2">
                  <c:v>4057.3299999999995</c:v>
                </c:pt>
                <c:pt idx="3">
                  <c:v>2935.87</c:v>
                </c:pt>
                <c:pt idx="4">
                  <c:v>3001.59</c:v>
                </c:pt>
                <c:pt idx="5">
                  <c:v>18847.68</c:v>
                </c:pt>
                <c:pt idx="6">
                  <c:v>49563.409999999996</c:v>
                </c:pt>
                <c:pt idx="7">
                  <c:v>35948.71</c:v>
                </c:pt>
                <c:pt idx="8">
                  <c:v>48323.79</c:v>
                </c:pt>
                <c:pt idx="9">
                  <c:v>82672.349999999991</c:v>
                </c:pt>
                <c:pt idx="10">
                  <c:v>124741.429</c:v>
                </c:pt>
                <c:pt idx="11">
                  <c:v>94028.548999999999</c:v>
                </c:pt>
                <c:pt idx="12">
                  <c:v>57155.32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161-4070-B2ED-BDD05D0F7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7006704"/>
        <c:axId val="607000464"/>
      </c:lineChart>
      <c:catAx>
        <c:axId val="6070067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dk1">
                  <a:lumMod val="15000"/>
                  <a:lumOff val="85000"/>
                  <a:alpha val="51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000464"/>
        <c:crosses val="autoZero"/>
        <c:auto val="1"/>
        <c:lblAlgn val="ctr"/>
        <c:lblOffset val="100"/>
        <c:noMultiLvlLbl val="0"/>
      </c:catAx>
      <c:valAx>
        <c:axId val="607000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Erl Axis 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\ \K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006704"/>
        <c:crosses val="autoZero"/>
        <c:crossBetween val="between"/>
        <c:dispUnits>
          <c:builtInUnit val="thousands"/>
        </c:dispUnits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712878228398465"/>
          <c:y val="0.90508785521397184"/>
          <c:w val="0.7314007842810929"/>
          <c:h val="8.9602409532772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Trend!$H$1</c:f>
          <c:strCache>
            <c:ptCount val="1"/>
            <c:pt idx="0">
              <c:v>MO 3G Pool-1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spc="0" normalizeH="0" baseline="0">
              <a:solidFill>
                <a:schemeClr val="tx1"/>
              </a:solidFill>
              <a:latin typeface="+mn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129892577111923"/>
          <c:y val="0.14751243781094528"/>
          <c:w val="0.81017286826707791"/>
          <c:h val="0.62326673718024062"/>
        </c:manualLayout>
      </c:layout>
      <c:lineChart>
        <c:grouping val="standard"/>
        <c:varyColors val="0"/>
        <c:ser>
          <c:idx val="0"/>
          <c:order val="0"/>
          <c:tx>
            <c:strRef>
              <c:f>Age!$B$1</c:f>
              <c:strCache>
                <c:ptCount val="1"/>
                <c:pt idx="0">
                  <c:v>Day -7</c:v>
                </c:pt>
              </c:strCache>
            </c:strRef>
          </c:tx>
          <c:spPr>
            <a:ln w="3492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Trend!$A$2:$A$25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Trend!$V$2:$V$25</c:f>
              <c:numCache>
                <c:formatCode>General</c:formatCode>
                <c:ptCount val="24"/>
                <c:pt idx="0">
                  <c:v>6982.3200000000006</c:v>
                </c:pt>
                <c:pt idx="1">
                  <c:v>3261.35</c:v>
                </c:pt>
                <c:pt idx="2">
                  <c:v>2155.77</c:v>
                </c:pt>
                <c:pt idx="3">
                  <c:v>4555.38</c:v>
                </c:pt>
                <c:pt idx="4">
                  <c:v>3826.65</c:v>
                </c:pt>
                <c:pt idx="5">
                  <c:v>1315.36</c:v>
                </c:pt>
                <c:pt idx="6">
                  <c:v>2299.5699999999997</c:v>
                </c:pt>
                <c:pt idx="7">
                  <c:v>7285.329999999999</c:v>
                </c:pt>
                <c:pt idx="8">
                  <c:v>11731.61</c:v>
                </c:pt>
                <c:pt idx="9">
                  <c:v>18115.48</c:v>
                </c:pt>
                <c:pt idx="10">
                  <c:v>20756.91</c:v>
                </c:pt>
                <c:pt idx="11">
                  <c:v>18242.450000000004</c:v>
                </c:pt>
                <c:pt idx="12">
                  <c:v>21045.62</c:v>
                </c:pt>
                <c:pt idx="13">
                  <c:v>12351.05</c:v>
                </c:pt>
                <c:pt idx="14">
                  <c:v>25187.570000000003</c:v>
                </c:pt>
                <c:pt idx="15">
                  <c:v>18908.72</c:v>
                </c:pt>
                <c:pt idx="16">
                  <c:v>13777.179999999998</c:v>
                </c:pt>
                <c:pt idx="17">
                  <c:v>20046.8</c:v>
                </c:pt>
                <c:pt idx="18">
                  <c:v>12796.62</c:v>
                </c:pt>
                <c:pt idx="19">
                  <c:v>45075.94</c:v>
                </c:pt>
                <c:pt idx="20">
                  <c:v>38402.699999999997</c:v>
                </c:pt>
                <c:pt idx="21">
                  <c:v>31890.84</c:v>
                </c:pt>
                <c:pt idx="22">
                  <c:v>24760.1</c:v>
                </c:pt>
                <c:pt idx="23">
                  <c:v>15086.32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94-40FC-80ED-FFAD7F401C14}"/>
            </c:ext>
          </c:extLst>
        </c:ser>
        <c:ser>
          <c:idx val="1"/>
          <c:order val="1"/>
          <c:tx>
            <c:strRef>
              <c:f>Age!$F$1</c:f>
              <c:strCache>
                <c:ptCount val="1"/>
                <c:pt idx="0">
                  <c:v>Day -1</c:v>
                </c:pt>
              </c:strCache>
            </c:strRef>
          </c:tx>
          <c:spPr>
            <a:ln w="3492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Trend!$A$2:$A$25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Trend!$V$26:$V$49</c:f>
              <c:numCache>
                <c:formatCode>General</c:formatCode>
                <c:ptCount val="24"/>
                <c:pt idx="0">
                  <c:v>7837.8200000000015</c:v>
                </c:pt>
                <c:pt idx="1">
                  <c:v>3826.2000000000007</c:v>
                </c:pt>
                <c:pt idx="2">
                  <c:v>2153.2799999999997</c:v>
                </c:pt>
                <c:pt idx="3">
                  <c:v>2945.66</c:v>
                </c:pt>
                <c:pt idx="4">
                  <c:v>2745.6600000000003</c:v>
                </c:pt>
                <c:pt idx="5">
                  <c:v>1505.96</c:v>
                </c:pt>
                <c:pt idx="6">
                  <c:v>3153.36</c:v>
                </c:pt>
                <c:pt idx="7">
                  <c:v>7051.6900000000005</c:v>
                </c:pt>
                <c:pt idx="8">
                  <c:v>10038.9</c:v>
                </c:pt>
                <c:pt idx="9">
                  <c:v>13895.619999999999</c:v>
                </c:pt>
                <c:pt idx="10">
                  <c:v>21861.43</c:v>
                </c:pt>
                <c:pt idx="11">
                  <c:v>25471.48</c:v>
                </c:pt>
                <c:pt idx="12">
                  <c:v>23255.949999999997</c:v>
                </c:pt>
                <c:pt idx="13">
                  <c:v>17929.039999999997</c:v>
                </c:pt>
                <c:pt idx="14">
                  <c:v>15502.539999999997</c:v>
                </c:pt>
                <c:pt idx="15">
                  <c:v>22245.230000000003</c:v>
                </c:pt>
                <c:pt idx="16">
                  <c:v>20993.61</c:v>
                </c:pt>
                <c:pt idx="17">
                  <c:v>17876.810000000001</c:v>
                </c:pt>
                <c:pt idx="18">
                  <c:v>14447.419999999998</c:v>
                </c:pt>
                <c:pt idx="19">
                  <c:v>39969.410000000003</c:v>
                </c:pt>
                <c:pt idx="20">
                  <c:v>38962.07</c:v>
                </c:pt>
                <c:pt idx="21">
                  <c:v>36453.78</c:v>
                </c:pt>
                <c:pt idx="22">
                  <c:v>27220.61</c:v>
                </c:pt>
                <c:pt idx="23">
                  <c:v>18798.419999999998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994-40FC-80ED-FFAD7F401C14}"/>
            </c:ext>
          </c:extLst>
        </c:ser>
        <c:ser>
          <c:idx val="2"/>
          <c:order val="2"/>
          <c:tx>
            <c:strRef>
              <c:f>Age!$J$1</c:f>
              <c:strCache>
                <c:ptCount val="1"/>
                <c:pt idx="0">
                  <c:v>Today</c:v>
                </c:pt>
              </c:strCache>
            </c:strRef>
          </c:tx>
          <c:spPr>
            <a:ln w="3492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Trend!$A$2:$A$25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Trend!$V$50:$V$73</c:f>
              <c:numCache>
                <c:formatCode>General</c:formatCode>
                <c:ptCount val="24"/>
                <c:pt idx="0">
                  <c:v>12536.839999999998</c:v>
                </c:pt>
                <c:pt idx="1">
                  <c:v>4708.76</c:v>
                </c:pt>
                <c:pt idx="2">
                  <c:v>2494.3000000000002</c:v>
                </c:pt>
                <c:pt idx="3">
                  <c:v>1190.44</c:v>
                </c:pt>
                <c:pt idx="4">
                  <c:v>1502.1499999999999</c:v>
                </c:pt>
                <c:pt idx="5">
                  <c:v>6687.7000000000007</c:v>
                </c:pt>
                <c:pt idx="6">
                  <c:v>13901.979999999998</c:v>
                </c:pt>
                <c:pt idx="7">
                  <c:v>13341.86</c:v>
                </c:pt>
                <c:pt idx="8">
                  <c:v>17270.079999999998</c:v>
                </c:pt>
                <c:pt idx="9">
                  <c:v>38829.699999999997</c:v>
                </c:pt>
                <c:pt idx="10">
                  <c:v>41138.699999999997</c:v>
                </c:pt>
                <c:pt idx="11">
                  <c:v>32542.510000000002</c:v>
                </c:pt>
                <c:pt idx="12">
                  <c:v>25455.87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994-40FC-80ED-FFAD7F401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7006704"/>
        <c:axId val="607000464"/>
      </c:lineChart>
      <c:catAx>
        <c:axId val="6070067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dk1">
                  <a:lumMod val="15000"/>
                  <a:lumOff val="85000"/>
                  <a:alpha val="51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000464"/>
        <c:crosses val="autoZero"/>
        <c:auto val="1"/>
        <c:lblAlgn val="ctr"/>
        <c:lblOffset val="100"/>
        <c:noMultiLvlLbl val="0"/>
      </c:catAx>
      <c:valAx>
        <c:axId val="607000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Erl Axis 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\ \K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006704"/>
        <c:crosses val="autoZero"/>
        <c:crossBetween val="between"/>
        <c:dispUnits>
          <c:builtInUnit val="thousands"/>
        </c:dispUnits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5308392218923625"/>
          <c:y val="0.90508785521397184"/>
          <c:w val="0.79137168518167167"/>
          <c:h val="8.9602409532772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Trend!$I$1</c:f>
          <c:strCache>
            <c:ptCount val="1"/>
            <c:pt idx="0">
              <c:v>MT 2G Pool-1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spc="0" normalizeH="0" baseline="0">
              <a:solidFill>
                <a:schemeClr val="tx1"/>
              </a:solidFill>
              <a:latin typeface="+mn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129892577111923"/>
          <c:y val="0.14751243781094528"/>
          <c:w val="0.81017286826707791"/>
          <c:h val="0.62326673718024062"/>
        </c:manualLayout>
      </c:layout>
      <c:lineChart>
        <c:grouping val="standard"/>
        <c:varyColors val="0"/>
        <c:ser>
          <c:idx val="0"/>
          <c:order val="0"/>
          <c:tx>
            <c:strRef>
              <c:f>Age!$B$1</c:f>
              <c:strCache>
                <c:ptCount val="1"/>
                <c:pt idx="0">
                  <c:v>Day -7</c:v>
                </c:pt>
              </c:strCache>
            </c:strRef>
          </c:tx>
          <c:spPr>
            <a:ln w="3492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Trend!$A$2:$A$25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Trend!$W$2:$W$25</c:f>
              <c:numCache>
                <c:formatCode>General</c:formatCode>
                <c:ptCount val="24"/>
                <c:pt idx="0">
                  <c:v>12023.849999999999</c:v>
                </c:pt>
                <c:pt idx="1">
                  <c:v>5528.3600000000006</c:v>
                </c:pt>
                <c:pt idx="2">
                  <c:v>4011.92</c:v>
                </c:pt>
                <c:pt idx="3">
                  <c:v>7571.19</c:v>
                </c:pt>
                <c:pt idx="4">
                  <c:v>6688.97</c:v>
                </c:pt>
                <c:pt idx="5">
                  <c:v>3273.04</c:v>
                </c:pt>
                <c:pt idx="6">
                  <c:v>8866.09</c:v>
                </c:pt>
                <c:pt idx="7">
                  <c:v>18638.54</c:v>
                </c:pt>
                <c:pt idx="8">
                  <c:v>27596.34</c:v>
                </c:pt>
                <c:pt idx="9">
                  <c:v>46893.55</c:v>
                </c:pt>
                <c:pt idx="10">
                  <c:v>45348.259999999995</c:v>
                </c:pt>
                <c:pt idx="11">
                  <c:v>45026.869999999995</c:v>
                </c:pt>
                <c:pt idx="12">
                  <c:v>32514.289999999997</c:v>
                </c:pt>
                <c:pt idx="13">
                  <c:v>25361.08</c:v>
                </c:pt>
                <c:pt idx="14">
                  <c:v>47083.469999999994</c:v>
                </c:pt>
                <c:pt idx="15">
                  <c:v>40626.67</c:v>
                </c:pt>
                <c:pt idx="16">
                  <c:v>36346.400000000001</c:v>
                </c:pt>
                <c:pt idx="17">
                  <c:v>37213.550000000003</c:v>
                </c:pt>
                <c:pt idx="18">
                  <c:v>32813.1</c:v>
                </c:pt>
                <c:pt idx="19">
                  <c:v>94430.760999999999</c:v>
                </c:pt>
                <c:pt idx="20">
                  <c:v>65834.929999999993</c:v>
                </c:pt>
                <c:pt idx="21">
                  <c:v>58542.388999999996</c:v>
                </c:pt>
                <c:pt idx="22">
                  <c:v>54821.409999999996</c:v>
                </c:pt>
                <c:pt idx="23">
                  <c:v>24654.739999999998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1E-467B-A864-DD4ADCC0F487}"/>
            </c:ext>
          </c:extLst>
        </c:ser>
        <c:ser>
          <c:idx val="1"/>
          <c:order val="1"/>
          <c:tx>
            <c:strRef>
              <c:f>Age!$F$1</c:f>
              <c:strCache>
                <c:ptCount val="1"/>
                <c:pt idx="0">
                  <c:v>Day -1</c:v>
                </c:pt>
              </c:strCache>
            </c:strRef>
          </c:tx>
          <c:spPr>
            <a:ln w="3492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Trend!$A$2:$A$25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Trend!$W$26:$W$49</c:f>
              <c:numCache>
                <c:formatCode>General</c:formatCode>
                <c:ptCount val="24"/>
                <c:pt idx="0">
                  <c:v>13559.669999999998</c:v>
                </c:pt>
                <c:pt idx="1">
                  <c:v>6726.18</c:v>
                </c:pt>
                <c:pt idx="2">
                  <c:v>4078.75</c:v>
                </c:pt>
                <c:pt idx="3">
                  <c:v>11968.160000000002</c:v>
                </c:pt>
                <c:pt idx="4">
                  <c:v>7970.67</c:v>
                </c:pt>
                <c:pt idx="5">
                  <c:v>3976.7799999999997</c:v>
                </c:pt>
                <c:pt idx="6">
                  <c:v>12633.08</c:v>
                </c:pt>
                <c:pt idx="7">
                  <c:v>26335.710000000003</c:v>
                </c:pt>
                <c:pt idx="8">
                  <c:v>35593.149999999994</c:v>
                </c:pt>
                <c:pt idx="9">
                  <c:v>42497.639999999992</c:v>
                </c:pt>
                <c:pt idx="10">
                  <c:v>55962.94</c:v>
                </c:pt>
                <c:pt idx="11">
                  <c:v>48759.61</c:v>
                </c:pt>
                <c:pt idx="12">
                  <c:v>45036.110000000008</c:v>
                </c:pt>
                <c:pt idx="13">
                  <c:v>31490.559999999998</c:v>
                </c:pt>
                <c:pt idx="14">
                  <c:v>34155.61</c:v>
                </c:pt>
                <c:pt idx="15">
                  <c:v>40506.39</c:v>
                </c:pt>
                <c:pt idx="16">
                  <c:v>49559.35</c:v>
                </c:pt>
                <c:pt idx="17">
                  <c:v>51209.01</c:v>
                </c:pt>
                <c:pt idx="18">
                  <c:v>33950.649999999994</c:v>
                </c:pt>
                <c:pt idx="19">
                  <c:v>102093.06099999999</c:v>
                </c:pt>
                <c:pt idx="20">
                  <c:v>95170.388999999996</c:v>
                </c:pt>
                <c:pt idx="21">
                  <c:v>90809.66899999998</c:v>
                </c:pt>
                <c:pt idx="22">
                  <c:v>70263.868999999992</c:v>
                </c:pt>
                <c:pt idx="23">
                  <c:v>39329.730000000003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11E-467B-A864-DD4ADCC0F487}"/>
            </c:ext>
          </c:extLst>
        </c:ser>
        <c:ser>
          <c:idx val="2"/>
          <c:order val="2"/>
          <c:tx>
            <c:strRef>
              <c:f>Age!$J$1</c:f>
              <c:strCache>
                <c:ptCount val="1"/>
                <c:pt idx="0">
                  <c:v>Today</c:v>
                </c:pt>
              </c:strCache>
            </c:strRef>
          </c:tx>
          <c:spPr>
            <a:ln w="3492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Trend!$A$2:$A$25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Trend!$W$50:$W$73</c:f>
              <c:numCache>
                <c:formatCode>General</c:formatCode>
                <c:ptCount val="24"/>
                <c:pt idx="0">
                  <c:v>19943.66</c:v>
                </c:pt>
                <c:pt idx="1">
                  <c:v>9049.99</c:v>
                </c:pt>
                <c:pt idx="2">
                  <c:v>4211.96</c:v>
                </c:pt>
                <c:pt idx="3">
                  <c:v>2965.05</c:v>
                </c:pt>
                <c:pt idx="4">
                  <c:v>3053.3700000000003</c:v>
                </c:pt>
                <c:pt idx="5">
                  <c:v>18261.669999999998</c:v>
                </c:pt>
                <c:pt idx="6">
                  <c:v>45688.630000000005</c:v>
                </c:pt>
                <c:pt idx="7">
                  <c:v>37361.47</c:v>
                </c:pt>
                <c:pt idx="8">
                  <c:v>43915.31</c:v>
                </c:pt>
                <c:pt idx="9">
                  <c:v>66956.630999999994</c:v>
                </c:pt>
                <c:pt idx="10">
                  <c:v>122103.031</c:v>
                </c:pt>
                <c:pt idx="11">
                  <c:v>87555.690999999992</c:v>
                </c:pt>
                <c:pt idx="12">
                  <c:v>60179.89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11E-467B-A864-DD4ADCC0F4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7006704"/>
        <c:axId val="607000464"/>
      </c:lineChart>
      <c:catAx>
        <c:axId val="6070067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dk1">
                  <a:lumMod val="15000"/>
                  <a:lumOff val="85000"/>
                  <a:alpha val="51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000464"/>
        <c:crosses val="autoZero"/>
        <c:auto val="1"/>
        <c:lblAlgn val="ctr"/>
        <c:lblOffset val="100"/>
        <c:noMultiLvlLbl val="0"/>
      </c:catAx>
      <c:valAx>
        <c:axId val="607000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Erl Axis 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\ \K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006704"/>
        <c:crosses val="autoZero"/>
        <c:crossBetween val="between"/>
        <c:dispUnits>
          <c:builtInUnit val="thousands"/>
        </c:dispUnits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5301148292784442"/>
          <c:y val="0.90508785521397184"/>
          <c:w val="0.75991856091326759"/>
          <c:h val="8.9602409532772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Trend!$J$1</c:f>
          <c:strCache>
            <c:ptCount val="1"/>
            <c:pt idx="0">
              <c:v>MT 3G Pool-1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spc="0" normalizeH="0" baseline="0">
              <a:solidFill>
                <a:schemeClr val="tx1"/>
              </a:solidFill>
              <a:latin typeface="+mn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129892577111923"/>
          <c:y val="0.14751243781094528"/>
          <c:w val="0.81017286826707791"/>
          <c:h val="0.62326673718024062"/>
        </c:manualLayout>
      </c:layout>
      <c:lineChart>
        <c:grouping val="standard"/>
        <c:varyColors val="0"/>
        <c:ser>
          <c:idx val="0"/>
          <c:order val="0"/>
          <c:tx>
            <c:strRef>
              <c:f>Age!$B$1</c:f>
              <c:strCache>
                <c:ptCount val="1"/>
                <c:pt idx="0">
                  <c:v>Day -7</c:v>
                </c:pt>
              </c:strCache>
            </c:strRef>
          </c:tx>
          <c:spPr>
            <a:ln w="3492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Trend!$A$2:$A$25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Trend!$X$2:$X$25</c:f>
              <c:numCache>
                <c:formatCode>General</c:formatCode>
                <c:ptCount val="24"/>
                <c:pt idx="0">
                  <c:v>5415.72</c:v>
                </c:pt>
                <c:pt idx="1">
                  <c:v>2597.5</c:v>
                </c:pt>
                <c:pt idx="2">
                  <c:v>1673.55</c:v>
                </c:pt>
                <c:pt idx="3">
                  <c:v>3065.05</c:v>
                </c:pt>
                <c:pt idx="4">
                  <c:v>2344.14</c:v>
                </c:pt>
                <c:pt idx="5">
                  <c:v>973.03</c:v>
                </c:pt>
                <c:pt idx="6">
                  <c:v>1629.44</c:v>
                </c:pt>
                <c:pt idx="7">
                  <c:v>4879.7700000000004</c:v>
                </c:pt>
                <c:pt idx="8">
                  <c:v>7607.54</c:v>
                </c:pt>
                <c:pt idx="9">
                  <c:v>13413.25</c:v>
                </c:pt>
                <c:pt idx="10">
                  <c:v>15295.87</c:v>
                </c:pt>
                <c:pt idx="11">
                  <c:v>14374.92</c:v>
                </c:pt>
                <c:pt idx="12">
                  <c:v>15344.5</c:v>
                </c:pt>
                <c:pt idx="13">
                  <c:v>8855.0300000000007</c:v>
                </c:pt>
                <c:pt idx="14">
                  <c:v>18465.810000000001</c:v>
                </c:pt>
                <c:pt idx="15">
                  <c:v>13931.92</c:v>
                </c:pt>
                <c:pt idx="16">
                  <c:v>10948.41</c:v>
                </c:pt>
                <c:pt idx="17">
                  <c:v>15400.34</c:v>
                </c:pt>
                <c:pt idx="18">
                  <c:v>9629.27</c:v>
                </c:pt>
                <c:pt idx="19">
                  <c:v>30633.170000000002</c:v>
                </c:pt>
                <c:pt idx="20">
                  <c:v>26011.29</c:v>
                </c:pt>
                <c:pt idx="21">
                  <c:v>22480.42</c:v>
                </c:pt>
                <c:pt idx="22">
                  <c:v>19237.939999999999</c:v>
                </c:pt>
                <c:pt idx="23">
                  <c:v>11732.140000000001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C53-4EE0-9AC5-7D315F37055D}"/>
            </c:ext>
          </c:extLst>
        </c:ser>
        <c:ser>
          <c:idx val="1"/>
          <c:order val="1"/>
          <c:tx>
            <c:strRef>
              <c:f>Age!$F$1</c:f>
              <c:strCache>
                <c:ptCount val="1"/>
                <c:pt idx="0">
                  <c:v>Day -1</c:v>
                </c:pt>
              </c:strCache>
            </c:strRef>
          </c:tx>
          <c:spPr>
            <a:ln w="3492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Trend!$A$2:$A$25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Trend!$X$26:$X$49</c:f>
              <c:numCache>
                <c:formatCode>General</c:formatCode>
                <c:ptCount val="24"/>
                <c:pt idx="0">
                  <c:v>6732.9</c:v>
                </c:pt>
                <c:pt idx="1">
                  <c:v>3230.6299999999997</c:v>
                </c:pt>
                <c:pt idx="2">
                  <c:v>1822.6699999999998</c:v>
                </c:pt>
                <c:pt idx="3">
                  <c:v>2494.8999999999996</c:v>
                </c:pt>
                <c:pt idx="4">
                  <c:v>2130</c:v>
                </c:pt>
                <c:pt idx="5">
                  <c:v>1218.17</c:v>
                </c:pt>
                <c:pt idx="6">
                  <c:v>2502.8200000000002</c:v>
                </c:pt>
                <c:pt idx="7">
                  <c:v>5612.5599999999995</c:v>
                </c:pt>
                <c:pt idx="8">
                  <c:v>7848.7699999999986</c:v>
                </c:pt>
                <c:pt idx="9">
                  <c:v>11513.25</c:v>
                </c:pt>
                <c:pt idx="10">
                  <c:v>18189.170000000002</c:v>
                </c:pt>
                <c:pt idx="11">
                  <c:v>20171.420000000002</c:v>
                </c:pt>
                <c:pt idx="12">
                  <c:v>19496.14</c:v>
                </c:pt>
                <c:pt idx="13">
                  <c:v>15005.759999999998</c:v>
                </c:pt>
                <c:pt idx="14">
                  <c:v>12981.73</c:v>
                </c:pt>
                <c:pt idx="15">
                  <c:v>18142.699999999997</c:v>
                </c:pt>
                <c:pt idx="16">
                  <c:v>17802.099999999999</c:v>
                </c:pt>
                <c:pt idx="17">
                  <c:v>15115.34</c:v>
                </c:pt>
                <c:pt idx="18">
                  <c:v>12051.039999999999</c:v>
                </c:pt>
                <c:pt idx="19">
                  <c:v>32186.400000000001</c:v>
                </c:pt>
                <c:pt idx="20">
                  <c:v>32088.61</c:v>
                </c:pt>
                <c:pt idx="21">
                  <c:v>30023.030000000002</c:v>
                </c:pt>
                <c:pt idx="22">
                  <c:v>22564.2</c:v>
                </c:pt>
                <c:pt idx="23">
                  <c:v>16005.02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C53-4EE0-9AC5-7D315F37055D}"/>
            </c:ext>
          </c:extLst>
        </c:ser>
        <c:ser>
          <c:idx val="2"/>
          <c:order val="2"/>
          <c:tx>
            <c:strRef>
              <c:f>Age!$J$1</c:f>
              <c:strCache>
                <c:ptCount val="1"/>
                <c:pt idx="0">
                  <c:v>Today</c:v>
                </c:pt>
              </c:strCache>
            </c:strRef>
          </c:tx>
          <c:spPr>
            <a:ln w="3492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Trend!$A$2:$A$25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Trend!$X$50:$X$73</c:f>
              <c:numCache>
                <c:formatCode>General</c:formatCode>
                <c:ptCount val="24"/>
                <c:pt idx="0">
                  <c:v>10954.739999999998</c:v>
                </c:pt>
                <c:pt idx="1">
                  <c:v>4111.74</c:v>
                </c:pt>
                <c:pt idx="2">
                  <c:v>2077.4899999999998</c:v>
                </c:pt>
                <c:pt idx="3">
                  <c:v>1061.3000000000002</c:v>
                </c:pt>
                <c:pt idx="4">
                  <c:v>1263.5300000000002</c:v>
                </c:pt>
                <c:pt idx="5">
                  <c:v>4996.5400000000009</c:v>
                </c:pt>
                <c:pt idx="6">
                  <c:v>9384.49</c:v>
                </c:pt>
                <c:pt idx="7">
                  <c:v>9863.44</c:v>
                </c:pt>
                <c:pt idx="8">
                  <c:v>12720.35</c:v>
                </c:pt>
                <c:pt idx="9">
                  <c:v>27541.08</c:v>
                </c:pt>
                <c:pt idx="10">
                  <c:v>33135.409999999996</c:v>
                </c:pt>
                <c:pt idx="11">
                  <c:v>26586.25</c:v>
                </c:pt>
                <c:pt idx="12">
                  <c:v>20959.98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C53-4EE0-9AC5-7D315F3705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7006704"/>
        <c:axId val="607000464"/>
      </c:lineChart>
      <c:catAx>
        <c:axId val="6070067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dk1">
                  <a:lumMod val="15000"/>
                  <a:lumOff val="85000"/>
                  <a:alpha val="51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000464"/>
        <c:crosses val="autoZero"/>
        <c:auto val="1"/>
        <c:lblAlgn val="ctr"/>
        <c:lblOffset val="100"/>
        <c:noMultiLvlLbl val="0"/>
      </c:catAx>
      <c:valAx>
        <c:axId val="607000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Erl Axis 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\ \K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006704"/>
        <c:crosses val="autoZero"/>
        <c:crossBetween val="between"/>
        <c:dispUnits>
          <c:builtInUnit val="thousands"/>
          <c:dispUnitsLbl>
            <c:layout/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6071979113575138"/>
          <c:y val="0.90508785521397184"/>
          <c:w val="0.78424094280156842"/>
          <c:h val="8.9602409532772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Trend!$K$1</c:f>
          <c:strCache>
            <c:ptCount val="1"/>
            <c:pt idx="0">
              <c:v>MO 2G Pool-2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spc="0" normalizeH="0" baseline="0">
              <a:solidFill>
                <a:schemeClr val="tx1"/>
              </a:solidFill>
              <a:latin typeface="+mn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129892577111923"/>
          <c:y val="0.14751243781094528"/>
          <c:w val="0.81017286826707791"/>
          <c:h val="0.62326673718024062"/>
        </c:manualLayout>
      </c:layout>
      <c:lineChart>
        <c:grouping val="standard"/>
        <c:varyColors val="0"/>
        <c:ser>
          <c:idx val="0"/>
          <c:order val="0"/>
          <c:tx>
            <c:strRef>
              <c:f>Age!$B$1</c:f>
              <c:strCache>
                <c:ptCount val="1"/>
                <c:pt idx="0">
                  <c:v>Day -7</c:v>
                </c:pt>
              </c:strCache>
            </c:strRef>
          </c:tx>
          <c:spPr>
            <a:ln w="3492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Trend!$A$2:$A$25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Trend!$Y$2:$Y$25</c:f>
              <c:numCache>
                <c:formatCode>General</c:formatCode>
                <c:ptCount val="24"/>
                <c:pt idx="0">
                  <c:v>9096.07</c:v>
                </c:pt>
                <c:pt idx="1">
                  <c:v>3823.68</c:v>
                </c:pt>
                <c:pt idx="2">
                  <c:v>2621.7</c:v>
                </c:pt>
                <c:pt idx="3">
                  <c:v>10214.83</c:v>
                </c:pt>
                <c:pt idx="4">
                  <c:v>5934.3099999999995</c:v>
                </c:pt>
                <c:pt idx="5">
                  <c:v>3722.8500000000004</c:v>
                </c:pt>
                <c:pt idx="6">
                  <c:v>8222.4900000000016</c:v>
                </c:pt>
                <c:pt idx="7">
                  <c:v>13851.619999999999</c:v>
                </c:pt>
                <c:pt idx="8">
                  <c:v>22960.53</c:v>
                </c:pt>
                <c:pt idx="9">
                  <c:v>24159.34</c:v>
                </c:pt>
                <c:pt idx="10">
                  <c:v>34077.65</c:v>
                </c:pt>
                <c:pt idx="11">
                  <c:v>42628.15</c:v>
                </c:pt>
                <c:pt idx="12">
                  <c:v>25438.42</c:v>
                </c:pt>
                <c:pt idx="13">
                  <c:v>17131.099999999999</c:v>
                </c:pt>
                <c:pt idx="14">
                  <c:v>26250</c:v>
                </c:pt>
                <c:pt idx="15">
                  <c:v>34136.629999999997</c:v>
                </c:pt>
                <c:pt idx="16">
                  <c:v>33774.86</c:v>
                </c:pt>
                <c:pt idx="17">
                  <c:v>29596.55</c:v>
                </c:pt>
                <c:pt idx="18">
                  <c:v>18410.79</c:v>
                </c:pt>
                <c:pt idx="19">
                  <c:v>56020.81</c:v>
                </c:pt>
                <c:pt idx="20">
                  <c:v>58796.17</c:v>
                </c:pt>
                <c:pt idx="21">
                  <c:v>55715.28</c:v>
                </c:pt>
                <c:pt idx="22">
                  <c:v>42751.69</c:v>
                </c:pt>
                <c:pt idx="23">
                  <c:v>19868.03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A0F-4DE6-AF74-6D8A560599D9}"/>
            </c:ext>
          </c:extLst>
        </c:ser>
        <c:ser>
          <c:idx val="1"/>
          <c:order val="1"/>
          <c:tx>
            <c:strRef>
              <c:f>Age!$F$1</c:f>
              <c:strCache>
                <c:ptCount val="1"/>
                <c:pt idx="0">
                  <c:v>Day -1</c:v>
                </c:pt>
              </c:strCache>
            </c:strRef>
          </c:tx>
          <c:spPr>
            <a:ln w="3492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Trend!$A$2:$A$25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Trend!$Y$26:$Y$49</c:f>
              <c:numCache>
                <c:formatCode>General</c:formatCode>
                <c:ptCount val="24"/>
                <c:pt idx="0">
                  <c:v>8754.25</c:v>
                </c:pt>
                <c:pt idx="1">
                  <c:v>3981.6200000000008</c:v>
                </c:pt>
                <c:pt idx="2">
                  <c:v>4232.79</c:v>
                </c:pt>
                <c:pt idx="3">
                  <c:v>9346.3000000000011</c:v>
                </c:pt>
                <c:pt idx="4">
                  <c:v>4923.2700000000004</c:v>
                </c:pt>
                <c:pt idx="5">
                  <c:v>3490.3999999999996</c:v>
                </c:pt>
                <c:pt idx="6">
                  <c:v>6661.2400000000007</c:v>
                </c:pt>
                <c:pt idx="7">
                  <c:v>15099.46</c:v>
                </c:pt>
                <c:pt idx="8">
                  <c:v>26714.98</c:v>
                </c:pt>
                <c:pt idx="9">
                  <c:v>42375.61</c:v>
                </c:pt>
                <c:pt idx="10">
                  <c:v>33985.050000000003</c:v>
                </c:pt>
                <c:pt idx="11">
                  <c:v>39380.089999999997</c:v>
                </c:pt>
                <c:pt idx="12">
                  <c:v>39474.85</c:v>
                </c:pt>
                <c:pt idx="13">
                  <c:v>36619.120000000003</c:v>
                </c:pt>
                <c:pt idx="14">
                  <c:v>43060.959999999999</c:v>
                </c:pt>
                <c:pt idx="15">
                  <c:v>36220.44</c:v>
                </c:pt>
                <c:pt idx="16">
                  <c:v>29342.6</c:v>
                </c:pt>
                <c:pt idx="17">
                  <c:v>30829.08</c:v>
                </c:pt>
                <c:pt idx="18">
                  <c:v>27815.230000000003</c:v>
                </c:pt>
                <c:pt idx="19">
                  <c:v>60708.44</c:v>
                </c:pt>
                <c:pt idx="20">
                  <c:v>69606.09</c:v>
                </c:pt>
                <c:pt idx="21">
                  <c:v>61265.52</c:v>
                </c:pt>
                <c:pt idx="22">
                  <c:v>50387.53</c:v>
                </c:pt>
                <c:pt idx="23">
                  <c:v>28494.059999999998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A0F-4DE6-AF74-6D8A560599D9}"/>
            </c:ext>
          </c:extLst>
        </c:ser>
        <c:ser>
          <c:idx val="2"/>
          <c:order val="2"/>
          <c:tx>
            <c:strRef>
              <c:f>Age!$J$1</c:f>
              <c:strCache>
                <c:ptCount val="1"/>
                <c:pt idx="0">
                  <c:v>Today</c:v>
                </c:pt>
              </c:strCache>
            </c:strRef>
          </c:tx>
          <c:spPr>
            <a:ln w="3492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Trend!$A$2:$A$25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Trend!$Y$50:$Y$73</c:f>
              <c:numCache>
                <c:formatCode>General</c:formatCode>
                <c:ptCount val="24"/>
                <c:pt idx="0">
                  <c:v>15279.09</c:v>
                </c:pt>
                <c:pt idx="1">
                  <c:v>8356.1099999999988</c:v>
                </c:pt>
                <c:pt idx="2">
                  <c:v>4936.01</c:v>
                </c:pt>
                <c:pt idx="3">
                  <c:v>2374.31</c:v>
                </c:pt>
                <c:pt idx="4">
                  <c:v>2212.6999999999998</c:v>
                </c:pt>
                <c:pt idx="5">
                  <c:v>14404.48</c:v>
                </c:pt>
                <c:pt idx="6">
                  <c:v>31897.739999999998</c:v>
                </c:pt>
                <c:pt idx="7">
                  <c:v>57772.249000000003</c:v>
                </c:pt>
                <c:pt idx="8">
                  <c:v>39103.279999999999</c:v>
                </c:pt>
                <c:pt idx="9">
                  <c:v>65168.679999999993</c:v>
                </c:pt>
                <c:pt idx="10">
                  <c:v>52186.02</c:v>
                </c:pt>
                <c:pt idx="11">
                  <c:v>61924.34</c:v>
                </c:pt>
                <c:pt idx="12">
                  <c:v>60995.571000000004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A0F-4DE6-AF74-6D8A56059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7006704"/>
        <c:axId val="607000464"/>
      </c:lineChart>
      <c:catAx>
        <c:axId val="6070067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dk1">
                  <a:lumMod val="15000"/>
                  <a:lumOff val="85000"/>
                  <a:alpha val="51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000464"/>
        <c:crosses val="autoZero"/>
        <c:auto val="1"/>
        <c:lblAlgn val="ctr"/>
        <c:lblOffset val="100"/>
        <c:noMultiLvlLbl val="0"/>
      </c:catAx>
      <c:valAx>
        <c:axId val="607000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Erl Axis 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\ \K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006704"/>
        <c:crosses val="autoZero"/>
        <c:crossBetween val="between"/>
        <c:dispUnits>
          <c:builtInUnit val="thousands"/>
        </c:dispUnits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5290259511748172"/>
          <c:y val="0.90508785521397184"/>
          <c:w val="0.78130914280618757"/>
          <c:h val="8.9602409532772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Trend!$L$1</c:f>
          <c:strCache>
            <c:ptCount val="1"/>
            <c:pt idx="0">
              <c:v>MO 3G Pool-2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spc="0" normalizeH="0" baseline="0">
              <a:solidFill>
                <a:schemeClr val="tx1"/>
              </a:solidFill>
              <a:latin typeface="+mn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129892577111923"/>
          <c:y val="0.14751243781094528"/>
          <c:w val="0.81017286826707791"/>
          <c:h val="0.62326673718024062"/>
        </c:manualLayout>
      </c:layout>
      <c:lineChart>
        <c:grouping val="standard"/>
        <c:varyColors val="0"/>
        <c:ser>
          <c:idx val="0"/>
          <c:order val="0"/>
          <c:tx>
            <c:strRef>
              <c:f>Age!$B$1</c:f>
              <c:strCache>
                <c:ptCount val="1"/>
                <c:pt idx="0">
                  <c:v>Day -7</c:v>
                </c:pt>
              </c:strCache>
            </c:strRef>
          </c:tx>
          <c:spPr>
            <a:ln w="3492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Trend!$A$2:$A$25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Trend!$Z$2:$Z$25</c:f>
              <c:numCache>
                <c:formatCode>General</c:formatCode>
                <c:ptCount val="24"/>
                <c:pt idx="0">
                  <c:v>5366.48</c:v>
                </c:pt>
                <c:pt idx="1">
                  <c:v>2484.9300000000003</c:v>
                </c:pt>
                <c:pt idx="2">
                  <c:v>1274.3399999999999</c:v>
                </c:pt>
                <c:pt idx="3">
                  <c:v>3095.77</c:v>
                </c:pt>
                <c:pt idx="4">
                  <c:v>2817.96</c:v>
                </c:pt>
                <c:pt idx="5">
                  <c:v>1211.95</c:v>
                </c:pt>
                <c:pt idx="6">
                  <c:v>2582.9</c:v>
                </c:pt>
                <c:pt idx="7">
                  <c:v>3012.49</c:v>
                </c:pt>
                <c:pt idx="8">
                  <c:v>7108.4</c:v>
                </c:pt>
                <c:pt idx="9">
                  <c:v>10727.55</c:v>
                </c:pt>
                <c:pt idx="10">
                  <c:v>16360.699999999999</c:v>
                </c:pt>
                <c:pt idx="11">
                  <c:v>21011.33</c:v>
                </c:pt>
                <c:pt idx="12">
                  <c:v>9428.43</c:v>
                </c:pt>
                <c:pt idx="13">
                  <c:v>7273.9800000000005</c:v>
                </c:pt>
                <c:pt idx="14">
                  <c:v>11177.99</c:v>
                </c:pt>
                <c:pt idx="15">
                  <c:v>17425.899999999998</c:v>
                </c:pt>
                <c:pt idx="16">
                  <c:v>20066.75</c:v>
                </c:pt>
                <c:pt idx="17">
                  <c:v>14252.279999999999</c:v>
                </c:pt>
                <c:pt idx="18">
                  <c:v>9925.869999999999</c:v>
                </c:pt>
                <c:pt idx="19">
                  <c:v>22723.629999999997</c:v>
                </c:pt>
                <c:pt idx="20">
                  <c:v>21127.71</c:v>
                </c:pt>
                <c:pt idx="21">
                  <c:v>21256.420000000002</c:v>
                </c:pt>
                <c:pt idx="22">
                  <c:v>20216.04</c:v>
                </c:pt>
                <c:pt idx="23">
                  <c:v>10008.42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813-44AB-A7FC-78C171B6875C}"/>
            </c:ext>
          </c:extLst>
        </c:ser>
        <c:ser>
          <c:idx val="1"/>
          <c:order val="1"/>
          <c:tx>
            <c:strRef>
              <c:f>Age!$F$1</c:f>
              <c:strCache>
                <c:ptCount val="1"/>
                <c:pt idx="0">
                  <c:v>Day -1</c:v>
                </c:pt>
              </c:strCache>
            </c:strRef>
          </c:tx>
          <c:spPr>
            <a:ln w="3492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Trend!$A$2:$A$25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Trend!$Z$26:$Z$49</c:f>
              <c:numCache>
                <c:formatCode>General</c:formatCode>
                <c:ptCount val="24"/>
                <c:pt idx="0">
                  <c:v>4644.6000000000004</c:v>
                </c:pt>
                <c:pt idx="1">
                  <c:v>2485.8399999999997</c:v>
                </c:pt>
                <c:pt idx="2">
                  <c:v>1866</c:v>
                </c:pt>
                <c:pt idx="3">
                  <c:v>4391.49</c:v>
                </c:pt>
                <c:pt idx="4">
                  <c:v>2976.5899999999997</c:v>
                </c:pt>
                <c:pt idx="5">
                  <c:v>1090.99</c:v>
                </c:pt>
                <c:pt idx="6">
                  <c:v>1804.7200000000003</c:v>
                </c:pt>
                <c:pt idx="7">
                  <c:v>3631.6399999999994</c:v>
                </c:pt>
                <c:pt idx="8">
                  <c:v>9270.7199999999993</c:v>
                </c:pt>
                <c:pt idx="9">
                  <c:v>15483.510000000002</c:v>
                </c:pt>
                <c:pt idx="10">
                  <c:v>14829.59</c:v>
                </c:pt>
                <c:pt idx="11">
                  <c:v>13817.500000000002</c:v>
                </c:pt>
                <c:pt idx="12">
                  <c:v>13822.09</c:v>
                </c:pt>
                <c:pt idx="13">
                  <c:v>11937.720000000001</c:v>
                </c:pt>
                <c:pt idx="14">
                  <c:v>16709.36</c:v>
                </c:pt>
                <c:pt idx="15">
                  <c:v>12185.34</c:v>
                </c:pt>
                <c:pt idx="16">
                  <c:v>13907</c:v>
                </c:pt>
                <c:pt idx="17">
                  <c:v>17474.599999999999</c:v>
                </c:pt>
                <c:pt idx="18">
                  <c:v>10830.1</c:v>
                </c:pt>
                <c:pt idx="19">
                  <c:v>26767.269999999997</c:v>
                </c:pt>
                <c:pt idx="20">
                  <c:v>26801.57</c:v>
                </c:pt>
                <c:pt idx="21">
                  <c:v>26101.88</c:v>
                </c:pt>
                <c:pt idx="22">
                  <c:v>23482.97</c:v>
                </c:pt>
                <c:pt idx="23">
                  <c:v>14106.6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813-44AB-A7FC-78C171B6875C}"/>
            </c:ext>
          </c:extLst>
        </c:ser>
        <c:ser>
          <c:idx val="2"/>
          <c:order val="2"/>
          <c:tx>
            <c:strRef>
              <c:f>Age!$J$1</c:f>
              <c:strCache>
                <c:ptCount val="1"/>
                <c:pt idx="0">
                  <c:v>Today</c:v>
                </c:pt>
              </c:strCache>
            </c:strRef>
          </c:tx>
          <c:spPr>
            <a:ln w="3492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Trend!$A$2:$A$25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Trend!$Z$50:$Z$73</c:f>
              <c:numCache>
                <c:formatCode>General</c:formatCode>
                <c:ptCount val="24"/>
                <c:pt idx="0">
                  <c:v>6721.1600000000008</c:v>
                </c:pt>
                <c:pt idx="1">
                  <c:v>5528.29</c:v>
                </c:pt>
                <c:pt idx="2">
                  <c:v>2987.63</c:v>
                </c:pt>
                <c:pt idx="3">
                  <c:v>1846.23</c:v>
                </c:pt>
                <c:pt idx="4">
                  <c:v>825.48</c:v>
                </c:pt>
                <c:pt idx="5">
                  <c:v>3747.94</c:v>
                </c:pt>
                <c:pt idx="6">
                  <c:v>11902.07</c:v>
                </c:pt>
                <c:pt idx="7">
                  <c:v>17324.850000000002</c:v>
                </c:pt>
                <c:pt idx="8">
                  <c:v>14391.68</c:v>
                </c:pt>
                <c:pt idx="9">
                  <c:v>20848.609999999997</c:v>
                </c:pt>
                <c:pt idx="10">
                  <c:v>28178.13</c:v>
                </c:pt>
                <c:pt idx="11">
                  <c:v>27414.730000000003</c:v>
                </c:pt>
                <c:pt idx="12">
                  <c:v>20112.14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813-44AB-A7FC-78C171B687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7006704"/>
        <c:axId val="607000464"/>
      </c:lineChart>
      <c:catAx>
        <c:axId val="6070067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dk1">
                  <a:lumMod val="15000"/>
                  <a:lumOff val="85000"/>
                  <a:alpha val="51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000464"/>
        <c:crosses val="autoZero"/>
        <c:auto val="1"/>
        <c:lblAlgn val="ctr"/>
        <c:lblOffset val="100"/>
        <c:noMultiLvlLbl val="0"/>
      </c:catAx>
      <c:valAx>
        <c:axId val="607000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Erl Axis 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\ \K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006704"/>
        <c:crosses val="autoZero"/>
        <c:crossBetween val="between"/>
        <c:dispUnits>
          <c:builtInUnit val="thousands"/>
        </c:dispUnits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7935325036876987"/>
          <c:y val="0.90508785521397184"/>
          <c:w val="0.75211164897263827"/>
          <c:h val="8.9602409532772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Trend!$M$1</c:f>
          <c:strCache>
            <c:ptCount val="1"/>
            <c:pt idx="0">
              <c:v>MT 2G Pool-2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spc="0" normalizeH="0" baseline="0">
              <a:solidFill>
                <a:schemeClr val="tx1"/>
              </a:solidFill>
              <a:latin typeface="+mn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129892577111923"/>
          <c:y val="0.14751243781094528"/>
          <c:w val="0.81017286826707791"/>
          <c:h val="0.62326673718024062"/>
        </c:manualLayout>
      </c:layout>
      <c:lineChart>
        <c:grouping val="standard"/>
        <c:varyColors val="0"/>
        <c:ser>
          <c:idx val="0"/>
          <c:order val="0"/>
          <c:tx>
            <c:strRef>
              <c:f>Age!$B$1</c:f>
              <c:strCache>
                <c:ptCount val="1"/>
                <c:pt idx="0">
                  <c:v>Day -7</c:v>
                </c:pt>
              </c:strCache>
            </c:strRef>
          </c:tx>
          <c:spPr>
            <a:ln w="3492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Trend!$A$2:$A$25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Trend!$AA$2:$AA$25</c:f>
              <c:numCache>
                <c:formatCode>General</c:formatCode>
                <c:ptCount val="24"/>
                <c:pt idx="0">
                  <c:v>9648.74</c:v>
                </c:pt>
                <c:pt idx="1">
                  <c:v>4302.2300000000005</c:v>
                </c:pt>
                <c:pt idx="2">
                  <c:v>3009.21</c:v>
                </c:pt>
                <c:pt idx="3">
                  <c:v>11072.17</c:v>
                </c:pt>
                <c:pt idx="4">
                  <c:v>7173.95</c:v>
                </c:pt>
                <c:pt idx="5">
                  <c:v>3905.55</c:v>
                </c:pt>
                <c:pt idx="6">
                  <c:v>8316.44</c:v>
                </c:pt>
                <c:pt idx="7">
                  <c:v>15291.82</c:v>
                </c:pt>
                <c:pt idx="8">
                  <c:v>26151.360000000001</c:v>
                </c:pt>
                <c:pt idx="9">
                  <c:v>25559.829999999998</c:v>
                </c:pt>
                <c:pt idx="10">
                  <c:v>38840.93</c:v>
                </c:pt>
                <c:pt idx="11">
                  <c:v>38648.659999999996</c:v>
                </c:pt>
                <c:pt idx="12">
                  <c:v>31451.4</c:v>
                </c:pt>
                <c:pt idx="13">
                  <c:v>19793.050000000003</c:v>
                </c:pt>
                <c:pt idx="14">
                  <c:v>30163.260000000002</c:v>
                </c:pt>
                <c:pt idx="15">
                  <c:v>37232.979999999996</c:v>
                </c:pt>
                <c:pt idx="16">
                  <c:v>34908.839999999997</c:v>
                </c:pt>
                <c:pt idx="17">
                  <c:v>33458.949999999997</c:v>
                </c:pt>
                <c:pt idx="18">
                  <c:v>19464.080000000002</c:v>
                </c:pt>
                <c:pt idx="19">
                  <c:v>64842.94</c:v>
                </c:pt>
                <c:pt idx="20">
                  <c:v>73219.58</c:v>
                </c:pt>
                <c:pt idx="21">
                  <c:v>63943.599000000002</c:v>
                </c:pt>
                <c:pt idx="22">
                  <c:v>40056.589999999997</c:v>
                </c:pt>
                <c:pt idx="23">
                  <c:v>21488.800000000003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24-43A4-A7C1-7AB7378BB169}"/>
            </c:ext>
          </c:extLst>
        </c:ser>
        <c:ser>
          <c:idx val="1"/>
          <c:order val="1"/>
          <c:tx>
            <c:strRef>
              <c:f>Age!$F$1</c:f>
              <c:strCache>
                <c:ptCount val="1"/>
                <c:pt idx="0">
                  <c:v>Day -1</c:v>
                </c:pt>
              </c:strCache>
            </c:strRef>
          </c:tx>
          <c:spPr>
            <a:ln w="3492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Trend!$A$2:$A$25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Trend!$AA$26:$AA$49</c:f>
              <c:numCache>
                <c:formatCode>General</c:formatCode>
                <c:ptCount val="24"/>
                <c:pt idx="0">
                  <c:v>9435.93</c:v>
                </c:pt>
                <c:pt idx="1">
                  <c:v>4259.8999999999996</c:v>
                </c:pt>
                <c:pt idx="2">
                  <c:v>4213.55</c:v>
                </c:pt>
                <c:pt idx="3">
                  <c:v>7782.83</c:v>
                </c:pt>
                <c:pt idx="4">
                  <c:v>5106.57</c:v>
                </c:pt>
                <c:pt idx="5">
                  <c:v>3896.9100000000003</c:v>
                </c:pt>
                <c:pt idx="6">
                  <c:v>6759.5300000000007</c:v>
                </c:pt>
                <c:pt idx="7">
                  <c:v>13544.36</c:v>
                </c:pt>
                <c:pt idx="8">
                  <c:v>27126.6</c:v>
                </c:pt>
                <c:pt idx="9">
                  <c:v>40593.599999999991</c:v>
                </c:pt>
                <c:pt idx="10">
                  <c:v>37461.07</c:v>
                </c:pt>
                <c:pt idx="11">
                  <c:v>44483.06</c:v>
                </c:pt>
                <c:pt idx="12">
                  <c:v>39797.289999999994</c:v>
                </c:pt>
                <c:pt idx="13">
                  <c:v>37505.740000000005</c:v>
                </c:pt>
                <c:pt idx="14">
                  <c:v>41342.380000000005</c:v>
                </c:pt>
                <c:pt idx="15">
                  <c:v>41439.860000000008</c:v>
                </c:pt>
                <c:pt idx="16">
                  <c:v>31754.15</c:v>
                </c:pt>
                <c:pt idx="17">
                  <c:v>30729.670000000002</c:v>
                </c:pt>
                <c:pt idx="18">
                  <c:v>28944.750000000004</c:v>
                </c:pt>
                <c:pt idx="19">
                  <c:v>61659.881000000001</c:v>
                </c:pt>
                <c:pt idx="20">
                  <c:v>67212.949000000008</c:v>
                </c:pt>
                <c:pt idx="21">
                  <c:v>66016.52</c:v>
                </c:pt>
                <c:pt idx="22">
                  <c:v>49002.29</c:v>
                </c:pt>
                <c:pt idx="23">
                  <c:v>29309.170000000002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924-43A4-A7C1-7AB7378BB169}"/>
            </c:ext>
          </c:extLst>
        </c:ser>
        <c:ser>
          <c:idx val="2"/>
          <c:order val="2"/>
          <c:tx>
            <c:strRef>
              <c:f>Age!$J$1</c:f>
              <c:strCache>
                <c:ptCount val="1"/>
                <c:pt idx="0">
                  <c:v>Today</c:v>
                </c:pt>
              </c:strCache>
            </c:strRef>
          </c:tx>
          <c:spPr>
            <a:ln w="3492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Trend!$A$2:$A$25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Trend!$AA$50:$AA$73</c:f>
              <c:numCache>
                <c:formatCode>General</c:formatCode>
                <c:ptCount val="24"/>
                <c:pt idx="0">
                  <c:v>15789.630000000001</c:v>
                </c:pt>
                <c:pt idx="1">
                  <c:v>8788.85</c:v>
                </c:pt>
                <c:pt idx="2">
                  <c:v>5219.68</c:v>
                </c:pt>
                <c:pt idx="3">
                  <c:v>2486.84</c:v>
                </c:pt>
                <c:pt idx="4">
                  <c:v>2157.2399999999998</c:v>
                </c:pt>
                <c:pt idx="5">
                  <c:v>13046.71</c:v>
                </c:pt>
                <c:pt idx="6">
                  <c:v>31096.019999999997</c:v>
                </c:pt>
                <c:pt idx="7">
                  <c:v>52855.881000000008</c:v>
                </c:pt>
                <c:pt idx="8">
                  <c:v>42671.12</c:v>
                </c:pt>
                <c:pt idx="9">
                  <c:v>77100.618000000002</c:v>
                </c:pt>
                <c:pt idx="10">
                  <c:v>49046.638999999996</c:v>
                </c:pt>
                <c:pt idx="11">
                  <c:v>65317.551000000007</c:v>
                </c:pt>
                <c:pt idx="12">
                  <c:v>57471.091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24-43A4-A7C1-7AB7378BB1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7006704"/>
        <c:axId val="607000464"/>
      </c:lineChart>
      <c:catAx>
        <c:axId val="6070067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dk1">
                  <a:lumMod val="15000"/>
                  <a:lumOff val="85000"/>
                  <a:alpha val="51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000464"/>
        <c:crosses val="autoZero"/>
        <c:auto val="1"/>
        <c:lblAlgn val="ctr"/>
        <c:lblOffset val="100"/>
        <c:noMultiLvlLbl val="0"/>
      </c:catAx>
      <c:valAx>
        <c:axId val="607000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Erl Axis 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\ \K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006704"/>
        <c:crosses val="autoZero"/>
        <c:crossBetween val="between"/>
        <c:dispUnits>
          <c:builtInUnit val="thousands"/>
        </c:dispUnits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5543577528370384"/>
          <c:y val="0.90508785521397184"/>
          <c:w val="0.77367291109747349"/>
          <c:h val="8.9602409532772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Trend!$N$1</c:f>
          <c:strCache>
            <c:ptCount val="1"/>
            <c:pt idx="0">
              <c:v>MT 3G Pool-2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spc="0" normalizeH="0" baseline="0">
              <a:solidFill>
                <a:schemeClr val="tx1"/>
              </a:solidFill>
              <a:latin typeface="+mn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129892577111923"/>
          <c:y val="0.14751243781094528"/>
          <c:w val="0.81017286826707791"/>
          <c:h val="0.62326673718024062"/>
        </c:manualLayout>
      </c:layout>
      <c:lineChart>
        <c:grouping val="standard"/>
        <c:varyColors val="0"/>
        <c:ser>
          <c:idx val="0"/>
          <c:order val="0"/>
          <c:tx>
            <c:strRef>
              <c:f>Age!$B$1</c:f>
              <c:strCache>
                <c:ptCount val="1"/>
                <c:pt idx="0">
                  <c:v>Day -7</c:v>
                </c:pt>
              </c:strCache>
            </c:strRef>
          </c:tx>
          <c:spPr>
            <a:ln w="3492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Trend!$A$2:$A$25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Trend!$AB$2:$AB$25</c:f>
              <c:numCache>
                <c:formatCode>General</c:formatCode>
                <c:ptCount val="24"/>
                <c:pt idx="0">
                  <c:v>4294.83</c:v>
                </c:pt>
                <c:pt idx="1">
                  <c:v>1871.85</c:v>
                </c:pt>
                <c:pt idx="2">
                  <c:v>973.90999999999985</c:v>
                </c:pt>
                <c:pt idx="3">
                  <c:v>2194.7400000000002</c:v>
                </c:pt>
                <c:pt idx="4">
                  <c:v>1993.08</c:v>
                </c:pt>
                <c:pt idx="5">
                  <c:v>938.56</c:v>
                </c:pt>
                <c:pt idx="6">
                  <c:v>1944.5500000000002</c:v>
                </c:pt>
                <c:pt idx="7">
                  <c:v>2558.06</c:v>
                </c:pt>
                <c:pt idx="8">
                  <c:v>5819.78</c:v>
                </c:pt>
                <c:pt idx="9">
                  <c:v>7976.19</c:v>
                </c:pt>
                <c:pt idx="10">
                  <c:v>12786.63</c:v>
                </c:pt>
                <c:pt idx="11">
                  <c:v>15698.259999999998</c:v>
                </c:pt>
                <c:pt idx="12">
                  <c:v>8036.18</c:v>
                </c:pt>
                <c:pt idx="13">
                  <c:v>5625.11</c:v>
                </c:pt>
                <c:pt idx="14">
                  <c:v>9438.49</c:v>
                </c:pt>
                <c:pt idx="15">
                  <c:v>14456.25</c:v>
                </c:pt>
                <c:pt idx="16">
                  <c:v>15682.85</c:v>
                </c:pt>
                <c:pt idx="17">
                  <c:v>11353.9</c:v>
                </c:pt>
                <c:pt idx="18">
                  <c:v>7891.26</c:v>
                </c:pt>
                <c:pt idx="19">
                  <c:v>18097.62</c:v>
                </c:pt>
                <c:pt idx="20">
                  <c:v>16769.349999999999</c:v>
                </c:pt>
                <c:pt idx="21">
                  <c:v>16169.64</c:v>
                </c:pt>
                <c:pt idx="22">
                  <c:v>14782.11</c:v>
                </c:pt>
                <c:pt idx="23">
                  <c:v>7734.76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338-4F9B-A47D-2375CB30458A}"/>
            </c:ext>
          </c:extLst>
        </c:ser>
        <c:ser>
          <c:idx val="1"/>
          <c:order val="1"/>
          <c:tx>
            <c:strRef>
              <c:f>Age!$F$1</c:f>
              <c:strCache>
                <c:ptCount val="1"/>
                <c:pt idx="0">
                  <c:v>Day -1</c:v>
                </c:pt>
              </c:strCache>
            </c:strRef>
          </c:tx>
          <c:spPr>
            <a:ln w="3492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Trend!$A$2:$A$25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Trend!$AB$26:$AB$49</c:f>
              <c:numCache>
                <c:formatCode>General</c:formatCode>
                <c:ptCount val="24"/>
                <c:pt idx="0">
                  <c:v>3862.6800000000003</c:v>
                </c:pt>
                <c:pt idx="1">
                  <c:v>2024.7800000000002</c:v>
                </c:pt>
                <c:pt idx="2">
                  <c:v>1536.85</c:v>
                </c:pt>
                <c:pt idx="3">
                  <c:v>3281.15</c:v>
                </c:pt>
                <c:pt idx="4">
                  <c:v>2142.65</c:v>
                </c:pt>
                <c:pt idx="5">
                  <c:v>891.14999999999986</c:v>
                </c:pt>
                <c:pt idx="6">
                  <c:v>1416.48</c:v>
                </c:pt>
                <c:pt idx="7">
                  <c:v>2766.02</c:v>
                </c:pt>
                <c:pt idx="8">
                  <c:v>7438.6100000000006</c:v>
                </c:pt>
                <c:pt idx="9">
                  <c:v>11982.800000000001</c:v>
                </c:pt>
                <c:pt idx="10">
                  <c:v>11928.46</c:v>
                </c:pt>
                <c:pt idx="11">
                  <c:v>12408</c:v>
                </c:pt>
                <c:pt idx="12">
                  <c:v>11334.470000000001</c:v>
                </c:pt>
                <c:pt idx="13">
                  <c:v>10133.36</c:v>
                </c:pt>
                <c:pt idx="14">
                  <c:v>13875.68</c:v>
                </c:pt>
                <c:pt idx="15">
                  <c:v>10653.79</c:v>
                </c:pt>
                <c:pt idx="16">
                  <c:v>11162.1</c:v>
                </c:pt>
                <c:pt idx="17">
                  <c:v>14243.61</c:v>
                </c:pt>
                <c:pt idx="18">
                  <c:v>9078.82</c:v>
                </c:pt>
                <c:pt idx="19">
                  <c:v>20960.919999999998</c:v>
                </c:pt>
                <c:pt idx="20">
                  <c:v>20345.560000000001</c:v>
                </c:pt>
                <c:pt idx="21">
                  <c:v>20447.280000000002</c:v>
                </c:pt>
                <c:pt idx="22">
                  <c:v>19215.02</c:v>
                </c:pt>
                <c:pt idx="23">
                  <c:v>11821.119999999999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338-4F9B-A47D-2375CB30458A}"/>
            </c:ext>
          </c:extLst>
        </c:ser>
        <c:ser>
          <c:idx val="2"/>
          <c:order val="2"/>
          <c:tx>
            <c:strRef>
              <c:f>Age!$J$1</c:f>
              <c:strCache>
                <c:ptCount val="1"/>
                <c:pt idx="0">
                  <c:v>Today</c:v>
                </c:pt>
              </c:strCache>
            </c:strRef>
          </c:tx>
          <c:spPr>
            <a:ln w="3492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Trend!$A$2:$A$25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Trend!$AB$50:$AB$73</c:f>
              <c:numCache>
                <c:formatCode>General</c:formatCode>
                <c:ptCount val="24"/>
                <c:pt idx="0">
                  <c:v>5564.75</c:v>
                </c:pt>
                <c:pt idx="1">
                  <c:v>4655.74</c:v>
                </c:pt>
                <c:pt idx="2">
                  <c:v>2532.6</c:v>
                </c:pt>
                <c:pt idx="3">
                  <c:v>1572.01</c:v>
                </c:pt>
                <c:pt idx="4">
                  <c:v>707.91000000000008</c:v>
                </c:pt>
                <c:pt idx="5">
                  <c:v>2461.58</c:v>
                </c:pt>
                <c:pt idx="6">
                  <c:v>8838.3799999999992</c:v>
                </c:pt>
                <c:pt idx="7">
                  <c:v>12699.61</c:v>
                </c:pt>
                <c:pt idx="8">
                  <c:v>10331.26</c:v>
                </c:pt>
                <c:pt idx="9">
                  <c:v>17554.960000000003</c:v>
                </c:pt>
                <c:pt idx="10">
                  <c:v>21734.85</c:v>
                </c:pt>
                <c:pt idx="11">
                  <c:v>22204.46</c:v>
                </c:pt>
                <c:pt idx="12">
                  <c:v>16230.369999999999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338-4F9B-A47D-2375CB3045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7006704"/>
        <c:axId val="607000464"/>
      </c:lineChart>
      <c:catAx>
        <c:axId val="6070067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dk1">
                  <a:lumMod val="15000"/>
                  <a:lumOff val="85000"/>
                  <a:alpha val="51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000464"/>
        <c:crosses val="autoZero"/>
        <c:auto val="1"/>
        <c:lblAlgn val="ctr"/>
        <c:lblOffset val="100"/>
        <c:noMultiLvlLbl val="0"/>
      </c:catAx>
      <c:valAx>
        <c:axId val="607000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Erl Axis 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\ \K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006704"/>
        <c:crosses val="autoZero"/>
        <c:crossBetween val="between"/>
        <c:dispUnits>
          <c:builtInUnit val="thousands"/>
        </c:dispUnits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7392983076587026"/>
          <c:y val="0.90508785521397184"/>
          <c:w val="0.75517885561530695"/>
          <c:h val="8.960240953277257E-2"/>
        </c:manualLayout>
      </c:layout>
      <c:overlay val="0"/>
      <c:spPr>
        <a:noFill/>
        <a:ln w="34925">
          <a:solidFill>
            <a:schemeClr val="bg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Trend!$P$1</c:f>
          <c:strCache>
            <c:ptCount val="1"/>
            <c:pt idx="0">
              <c:v>MO Pool-1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spc="0" normalizeH="0" baseline="0">
              <a:solidFill>
                <a:schemeClr val="tx1"/>
              </a:solidFill>
              <a:latin typeface="+mn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129892577111923"/>
          <c:y val="0.14751243781094528"/>
          <c:w val="0.81017286826707791"/>
          <c:h val="0.62326673718024062"/>
        </c:manualLayout>
      </c:layout>
      <c:lineChart>
        <c:grouping val="standard"/>
        <c:varyColors val="0"/>
        <c:ser>
          <c:idx val="0"/>
          <c:order val="0"/>
          <c:tx>
            <c:strRef>
              <c:f>Age!$B$1</c:f>
              <c:strCache>
                <c:ptCount val="1"/>
                <c:pt idx="0">
                  <c:v>Day -7</c:v>
                </c:pt>
              </c:strCache>
            </c:strRef>
          </c:tx>
          <c:spPr>
            <a:ln w="3492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Trend!$A$2:$A$25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Trend!$P$2:$P$25</c:f>
              <c:numCache>
                <c:formatCode>General</c:formatCode>
                <c:ptCount val="24"/>
                <c:pt idx="0">
                  <c:v>18019.11</c:v>
                </c:pt>
                <c:pt idx="1">
                  <c:v>8377.25</c:v>
                </c:pt>
                <c:pt idx="2">
                  <c:v>6089.91</c:v>
                </c:pt>
                <c:pt idx="3">
                  <c:v>13073.34</c:v>
                </c:pt>
                <c:pt idx="4">
                  <c:v>10983.570000000002</c:v>
                </c:pt>
                <c:pt idx="5">
                  <c:v>4637.5</c:v>
                </c:pt>
                <c:pt idx="6">
                  <c:v>11740.91</c:v>
                </c:pt>
                <c:pt idx="7">
                  <c:v>28457.569999999996</c:v>
                </c:pt>
                <c:pt idx="8">
                  <c:v>43905.229999999996</c:v>
                </c:pt>
                <c:pt idx="9">
                  <c:v>67344.88</c:v>
                </c:pt>
                <c:pt idx="10">
                  <c:v>70820</c:v>
                </c:pt>
                <c:pt idx="11">
                  <c:v>59001.18</c:v>
                </c:pt>
                <c:pt idx="12">
                  <c:v>59036.67</c:v>
                </c:pt>
                <c:pt idx="13">
                  <c:v>40318.22</c:v>
                </c:pt>
                <c:pt idx="14">
                  <c:v>77438.900000000009</c:v>
                </c:pt>
                <c:pt idx="15">
                  <c:v>61233.66</c:v>
                </c:pt>
                <c:pt idx="16">
                  <c:v>49271.51</c:v>
                </c:pt>
                <c:pt idx="17">
                  <c:v>60099.11</c:v>
                </c:pt>
                <c:pt idx="18">
                  <c:v>46834.130000000005</c:v>
                </c:pt>
                <c:pt idx="19">
                  <c:v>148977.92200000002</c:v>
                </c:pt>
                <c:pt idx="20">
                  <c:v>116390.12000000001</c:v>
                </c:pt>
                <c:pt idx="21">
                  <c:v>96966.780000000013</c:v>
                </c:pt>
                <c:pt idx="22">
                  <c:v>74266.28</c:v>
                </c:pt>
                <c:pt idx="23">
                  <c:v>39373.11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C01-431A-A787-696841A35A3E}"/>
            </c:ext>
          </c:extLst>
        </c:ser>
        <c:ser>
          <c:idx val="1"/>
          <c:order val="1"/>
          <c:tx>
            <c:strRef>
              <c:f>Age!$F$1</c:f>
              <c:strCache>
                <c:ptCount val="1"/>
                <c:pt idx="0">
                  <c:v>Day -1</c:v>
                </c:pt>
              </c:strCache>
            </c:strRef>
          </c:tx>
          <c:spPr>
            <a:ln w="3492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Trend!$A$2:$A$25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Trend!$P$26:$P$49</c:f>
              <c:numCache>
                <c:formatCode>General</c:formatCode>
                <c:ptCount val="24"/>
                <c:pt idx="0">
                  <c:v>20815.02</c:v>
                </c:pt>
                <c:pt idx="1">
                  <c:v>10136.050000000001</c:v>
                </c:pt>
                <c:pt idx="2">
                  <c:v>5838.24</c:v>
                </c:pt>
                <c:pt idx="3">
                  <c:v>13703.760000000002</c:v>
                </c:pt>
                <c:pt idx="4">
                  <c:v>10355.200000000001</c:v>
                </c:pt>
                <c:pt idx="5">
                  <c:v>5604.16</c:v>
                </c:pt>
                <c:pt idx="6">
                  <c:v>16214.95</c:v>
                </c:pt>
                <c:pt idx="7">
                  <c:v>31983.450000000004</c:v>
                </c:pt>
                <c:pt idx="8">
                  <c:v>46341.610000000008</c:v>
                </c:pt>
                <c:pt idx="9">
                  <c:v>53869.850000000006</c:v>
                </c:pt>
                <c:pt idx="10">
                  <c:v>79791.849999999991</c:v>
                </c:pt>
                <c:pt idx="11">
                  <c:v>77795.539999999994</c:v>
                </c:pt>
                <c:pt idx="12">
                  <c:v>67316.950000000012</c:v>
                </c:pt>
                <c:pt idx="13">
                  <c:v>49690.130000000005</c:v>
                </c:pt>
                <c:pt idx="14">
                  <c:v>47969.869999999995</c:v>
                </c:pt>
                <c:pt idx="15">
                  <c:v>68356.959999999992</c:v>
                </c:pt>
                <c:pt idx="16">
                  <c:v>72875.14</c:v>
                </c:pt>
                <c:pt idx="17">
                  <c:v>68963.430000000008</c:v>
                </c:pt>
                <c:pt idx="18">
                  <c:v>49792.06</c:v>
                </c:pt>
                <c:pt idx="19">
                  <c:v>145393.93099999998</c:v>
                </c:pt>
                <c:pt idx="20">
                  <c:v>130914.228</c:v>
                </c:pt>
                <c:pt idx="21">
                  <c:v>132217.06900000002</c:v>
                </c:pt>
                <c:pt idx="22">
                  <c:v>95361.68</c:v>
                </c:pt>
                <c:pt idx="23">
                  <c:v>58154.619999999995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C01-431A-A787-696841A35A3E}"/>
            </c:ext>
          </c:extLst>
        </c:ser>
        <c:ser>
          <c:idx val="2"/>
          <c:order val="2"/>
          <c:tx>
            <c:strRef>
              <c:f>Age!$J$1</c:f>
              <c:strCache>
                <c:ptCount val="1"/>
                <c:pt idx="0">
                  <c:v>Today</c:v>
                </c:pt>
              </c:strCache>
            </c:strRef>
          </c:tx>
          <c:spPr>
            <a:ln w="3492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Trend!$A$2:$A$25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Trend!$P$50:$P$73</c:f>
              <c:numCache>
                <c:formatCode>General</c:formatCode>
                <c:ptCount val="24"/>
                <c:pt idx="0">
                  <c:v>31956.199999999997</c:v>
                </c:pt>
                <c:pt idx="1">
                  <c:v>13578.6</c:v>
                </c:pt>
                <c:pt idx="2">
                  <c:v>6551.6299999999992</c:v>
                </c:pt>
                <c:pt idx="3">
                  <c:v>4126.3099999999995</c:v>
                </c:pt>
                <c:pt idx="4">
                  <c:v>4503.74</c:v>
                </c:pt>
                <c:pt idx="5">
                  <c:v>25535.38</c:v>
                </c:pt>
                <c:pt idx="6">
                  <c:v>63465.389999999992</c:v>
                </c:pt>
                <c:pt idx="7">
                  <c:v>49290.57</c:v>
                </c:pt>
                <c:pt idx="8">
                  <c:v>65593.87</c:v>
                </c:pt>
                <c:pt idx="9">
                  <c:v>121502.04999999999</c:v>
                </c:pt>
                <c:pt idx="10">
                  <c:v>165880.12900000002</c:v>
                </c:pt>
                <c:pt idx="11">
                  <c:v>126571.05900000001</c:v>
                </c:pt>
                <c:pt idx="12">
                  <c:v>82611.19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C01-431A-A787-696841A35A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7006704"/>
        <c:axId val="607000464"/>
      </c:lineChart>
      <c:catAx>
        <c:axId val="6070067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dk1">
                  <a:lumMod val="15000"/>
                  <a:lumOff val="85000"/>
                  <a:alpha val="51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000464"/>
        <c:crosses val="autoZero"/>
        <c:auto val="1"/>
        <c:lblAlgn val="ctr"/>
        <c:lblOffset val="100"/>
        <c:noMultiLvlLbl val="0"/>
      </c:catAx>
      <c:valAx>
        <c:axId val="607000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Erl Axis 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\ \K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006704"/>
        <c:crosses val="autoZero"/>
        <c:crossBetween val="between"/>
        <c:dispUnits>
          <c:builtInUnit val="thousands"/>
        </c:dispUnits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1052164054129958"/>
          <c:y val="0.90508785521397184"/>
          <c:w val="0.81858704583987763"/>
          <c:h val="8.9602409532772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Trend!$Q$1</c:f>
          <c:strCache>
            <c:ptCount val="1"/>
            <c:pt idx="0">
              <c:v>MT Pool-1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spc="0" normalizeH="0" baseline="0">
              <a:solidFill>
                <a:schemeClr val="tx1"/>
              </a:solidFill>
              <a:latin typeface="+mn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129892577111923"/>
          <c:y val="0.14751243781094528"/>
          <c:w val="0.81017286826707791"/>
          <c:h val="0.62326673718024062"/>
        </c:manualLayout>
      </c:layout>
      <c:lineChart>
        <c:grouping val="standard"/>
        <c:varyColors val="0"/>
        <c:ser>
          <c:idx val="0"/>
          <c:order val="0"/>
          <c:tx>
            <c:strRef>
              <c:f>Age!$B$1</c:f>
              <c:strCache>
                <c:ptCount val="1"/>
                <c:pt idx="0">
                  <c:v>Day -7</c:v>
                </c:pt>
              </c:strCache>
            </c:strRef>
          </c:tx>
          <c:spPr>
            <a:ln w="3492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Trend!$A$2:$A$25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Trend!$Q$2:$Q$25</c:f>
              <c:numCache>
                <c:formatCode>General</c:formatCode>
                <c:ptCount val="24"/>
                <c:pt idx="0">
                  <c:v>17439.57</c:v>
                </c:pt>
                <c:pt idx="1">
                  <c:v>8125.8600000000006</c:v>
                </c:pt>
                <c:pt idx="2">
                  <c:v>5685.47</c:v>
                </c:pt>
                <c:pt idx="3">
                  <c:v>10636.24</c:v>
                </c:pt>
                <c:pt idx="4">
                  <c:v>9033.11</c:v>
                </c:pt>
                <c:pt idx="5">
                  <c:v>4246.07</c:v>
                </c:pt>
                <c:pt idx="6">
                  <c:v>10495.53</c:v>
                </c:pt>
                <c:pt idx="7">
                  <c:v>23518.31</c:v>
                </c:pt>
                <c:pt idx="8">
                  <c:v>35203.879999999997</c:v>
                </c:pt>
                <c:pt idx="9">
                  <c:v>60306.8</c:v>
                </c:pt>
                <c:pt idx="10">
                  <c:v>60644.13</c:v>
                </c:pt>
                <c:pt idx="11">
                  <c:v>59401.789999999994</c:v>
                </c:pt>
                <c:pt idx="12">
                  <c:v>47858.789999999994</c:v>
                </c:pt>
                <c:pt idx="13">
                  <c:v>34216.11</c:v>
                </c:pt>
                <c:pt idx="14">
                  <c:v>65549.279999999999</c:v>
                </c:pt>
                <c:pt idx="15">
                  <c:v>54558.59</c:v>
                </c:pt>
                <c:pt idx="16">
                  <c:v>47294.81</c:v>
                </c:pt>
                <c:pt idx="17">
                  <c:v>52613.89</c:v>
                </c:pt>
                <c:pt idx="18">
                  <c:v>42442.369999999995</c:v>
                </c:pt>
                <c:pt idx="19">
                  <c:v>125063.931</c:v>
                </c:pt>
                <c:pt idx="20">
                  <c:v>91846.22</c:v>
                </c:pt>
                <c:pt idx="21">
                  <c:v>81022.808999999994</c:v>
                </c:pt>
                <c:pt idx="22">
                  <c:v>74059.349999999991</c:v>
                </c:pt>
                <c:pt idx="23">
                  <c:v>36386.879999999997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FE-4B85-ABB5-8B57EC0B151D}"/>
            </c:ext>
          </c:extLst>
        </c:ser>
        <c:ser>
          <c:idx val="1"/>
          <c:order val="1"/>
          <c:tx>
            <c:strRef>
              <c:f>Age!$F$1</c:f>
              <c:strCache>
                <c:ptCount val="1"/>
                <c:pt idx="0">
                  <c:v>Day -1</c:v>
                </c:pt>
              </c:strCache>
            </c:strRef>
          </c:tx>
          <c:spPr>
            <a:ln w="3492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Trend!$A$2:$A$25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Trend!$Q$26:$Q$49</c:f>
              <c:numCache>
                <c:formatCode>General</c:formatCode>
                <c:ptCount val="24"/>
                <c:pt idx="0">
                  <c:v>20292.57</c:v>
                </c:pt>
                <c:pt idx="1">
                  <c:v>9956.81</c:v>
                </c:pt>
                <c:pt idx="2">
                  <c:v>5901.42</c:v>
                </c:pt>
                <c:pt idx="3">
                  <c:v>14463.060000000001</c:v>
                </c:pt>
                <c:pt idx="4">
                  <c:v>10100.67</c:v>
                </c:pt>
                <c:pt idx="5">
                  <c:v>5194.95</c:v>
                </c:pt>
                <c:pt idx="6">
                  <c:v>15135.9</c:v>
                </c:pt>
                <c:pt idx="7">
                  <c:v>31948.270000000004</c:v>
                </c:pt>
                <c:pt idx="8">
                  <c:v>43441.919999999991</c:v>
                </c:pt>
                <c:pt idx="9">
                  <c:v>54010.889999999992</c:v>
                </c:pt>
                <c:pt idx="10">
                  <c:v>74152.11</c:v>
                </c:pt>
                <c:pt idx="11">
                  <c:v>68931.03</c:v>
                </c:pt>
                <c:pt idx="12">
                  <c:v>64532.250000000007</c:v>
                </c:pt>
                <c:pt idx="13">
                  <c:v>46496.319999999992</c:v>
                </c:pt>
                <c:pt idx="14">
                  <c:v>47137.34</c:v>
                </c:pt>
                <c:pt idx="15">
                  <c:v>58649.09</c:v>
                </c:pt>
                <c:pt idx="16">
                  <c:v>67361.45</c:v>
                </c:pt>
                <c:pt idx="17">
                  <c:v>66324.350000000006</c:v>
                </c:pt>
                <c:pt idx="18">
                  <c:v>46001.689999999995</c:v>
                </c:pt>
                <c:pt idx="19">
                  <c:v>134279.46099999998</c:v>
                </c:pt>
                <c:pt idx="20">
                  <c:v>127258.999</c:v>
                </c:pt>
                <c:pt idx="21">
                  <c:v>120832.69899999998</c:v>
                </c:pt>
                <c:pt idx="22">
                  <c:v>92828.068999999989</c:v>
                </c:pt>
                <c:pt idx="23">
                  <c:v>55334.75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9FE-4B85-ABB5-8B57EC0B151D}"/>
            </c:ext>
          </c:extLst>
        </c:ser>
        <c:ser>
          <c:idx val="2"/>
          <c:order val="2"/>
          <c:tx>
            <c:strRef>
              <c:f>Age!$J$1</c:f>
              <c:strCache>
                <c:ptCount val="1"/>
                <c:pt idx="0">
                  <c:v>Today</c:v>
                </c:pt>
              </c:strCache>
            </c:strRef>
          </c:tx>
          <c:spPr>
            <a:ln w="3492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Trend!$A$2:$A$25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Trend!$Q$50:$Q$73</c:f>
              <c:numCache>
                <c:formatCode>General</c:formatCode>
                <c:ptCount val="24"/>
                <c:pt idx="0">
                  <c:v>30898.399999999998</c:v>
                </c:pt>
                <c:pt idx="1">
                  <c:v>13161.73</c:v>
                </c:pt>
                <c:pt idx="2">
                  <c:v>6289.45</c:v>
                </c:pt>
                <c:pt idx="3">
                  <c:v>4026.3500000000004</c:v>
                </c:pt>
                <c:pt idx="4">
                  <c:v>4316.9000000000005</c:v>
                </c:pt>
                <c:pt idx="5">
                  <c:v>23258.21</c:v>
                </c:pt>
                <c:pt idx="6">
                  <c:v>55073.120000000003</c:v>
                </c:pt>
                <c:pt idx="7">
                  <c:v>47224.91</c:v>
                </c:pt>
                <c:pt idx="8">
                  <c:v>56635.659999999996</c:v>
                </c:pt>
                <c:pt idx="9">
                  <c:v>94497.710999999996</c:v>
                </c:pt>
                <c:pt idx="10">
                  <c:v>155238.44099999999</c:v>
                </c:pt>
                <c:pt idx="11">
                  <c:v>114141.94099999999</c:v>
                </c:pt>
                <c:pt idx="12">
                  <c:v>81139.87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9FE-4B85-ABB5-8B57EC0B15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7006704"/>
        <c:axId val="607000464"/>
      </c:lineChart>
      <c:catAx>
        <c:axId val="6070067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dk1">
                  <a:lumMod val="15000"/>
                  <a:lumOff val="85000"/>
                  <a:alpha val="51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000464"/>
        <c:crosses val="autoZero"/>
        <c:auto val="1"/>
        <c:lblAlgn val="ctr"/>
        <c:lblOffset val="100"/>
        <c:noMultiLvlLbl val="0"/>
      </c:catAx>
      <c:valAx>
        <c:axId val="607000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Erl Axis 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\ \K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006704"/>
        <c:crosses val="autoZero"/>
        <c:crossBetween val="between"/>
        <c:dispUnits>
          <c:builtInUnit val="thousands"/>
        </c:dispUnits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9506589417406051"/>
          <c:y val="0.90508785521397184"/>
          <c:w val="0.70762271294687895"/>
          <c:h val="8.9602409532772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Trend!$R$1</c:f>
          <c:strCache>
            <c:ptCount val="1"/>
            <c:pt idx="0">
              <c:v>MO Pool-2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spc="0" normalizeH="0" baseline="0">
              <a:solidFill>
                <a:schemeClr val="tx1"/>
              </a:solidFill>
              <a:latin typeface="+mn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129892577111923"/>
          <c:y val="0.14751243781094528"/>
          <c:w val="0.81017286826707791"/>
          <c:h val="0.62326673718024062"/>
        </c:manualLayout>
      </c:layout>
      <c:lineChart>
        <c:grouping val="standard"/>
        <c:varyColors val="0"/>
        <c:ser>
          <c:idx val="0"/>
          <c:order val="0"/>
          <c:tx>
            <c:strRef>
              <c:f>Age!$B$1</c:f>
              <c:strCache>
                <c:ptCount val="1"/>
                <c:pt idx="0">
                  <c:v>Day -7</c:v>
                </c:pt>
              </c:strCache>
            </c:strRef>
          </c:tx>
          <c:spPr>
            <a:ln w="3492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Trend!$A$2:$A$25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Trend!$R$2:$R$25</c:f>
              <c:numCache>
                <c:formatCode>General</c:formatCode>
                <c:ptCount val="24"/>
                <c:pt idx="0">
                  <c:v>14462.55</c:v>
                </c:pt>
                <c:pt idx="1">
                  <c:v>6308.6100000000006</c:v>
                </c:pt>
                <c:pt idx="2">
                  <c:v>3896.04</c:v>
                </c:pt>
                <c:pt idx="3">
                  <c:v>13310.6</c:v>
                </c:pt>
                <c:pt idx="4">
                  <c:v>8752.27</c:v>
                </c:pt>
                <c:pt idx="5">
                  <c:v>4934.8</c:v>
                </c:pt>
                <c:pt idx="6">
                  <c:v>10805.390000000001</c:v>
                </c:pt>
                <c:pt idx="7">
                  <c:v>16864.11</c:v>
                </c:pt>
                <c:pt idx="8">
                  <c:v>30068.93</c:v>
                </c:pt>
                <c:pt idx="9">
                  <c:v>34886.89</c:v>
                </c:pt>
                <c:pt idx="10">
                  <c:v>50438.35</c:v>
                </c:pt>
                <c:pt idx="11">
                  <c:v>63639.48</c:v>
                </c:pt>
                <c:pt idx="12">
                  <c:v>34866.85</c:v>
                </c:pt>
                <c:pt idx="13">
                  <c:v>24405.079999999998</c:v>
                </c:pt>
                <c:pt idx="14">
                  <c:v>37427.99</c:v>
                </c:pt>
                <c:pt idx="15">
                  <c:v>51562.53</c:v>
                </c:pt>
                <c:pt idx="16">
                  <c:v>53841.61</c:v>
                </c:pt>
                <c:pt idx="17">
                  <c:v>43848.83</c:v>
                </c:pt>
                <c:pt idx="18">
                  <c:v>28336.66</c:v>
                </c:pt>
                <c:pt idx="19">
                  <c:v>78744.44</c:v>
                </c:pt>
                <c:pt idx="20">
                  <c:v>79923.88</c:v>
                </c:pt>
                <c:pt idx="21">
                  <c:v>76971.7</c:v>
                </c:pt>
                <c:pt idx="22">
                  <c:v>62967.73</c:v>
                </c:pt>
                <c:pt idx="23">
                  <c:v>29876.449999999997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DA-49A5-B748-16854ED0F3E2}"/>
            </c:ext>
          </c:extLst>
        </c:ser>
        <c:ser>
          <c:idx val="1"/>
          <c:order val="1"/>
          <c:tx>
            <c:strRef>
              <c:f>Age!$F$1</c:f>
              <c:strCache>
                <c:ptCount val="1"/>
                <c:pt idx="0">
                  <c:v>Day -1</c:v>
                </c:pt>
              </c:strCache>
            </c:strRef>
          </c:tx>
          <c:spPr>
            <a:ln w="3492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Trend!$A$2:$A$25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Trend!$R$26:$R$49</c:f>
              <c:numCache>
                <c:formatCode>General</c:formatCode>
                <c:ptCount val="24"/>
                <c:pt idx="0">
                  <c:v>13398.85</c:v>
                </c:pt>
                <c:pt idx="1">
                  <c:v>6467.4600000000009</c:v>
                </c:pt>
                <c:pt idx="2">
                  <c:v>6098.79</c:v>
                </c:pt>
                <c:pt idx="3">
                  <c:v>13737.79</c:v>
                </c:pt>
                <c:pt idx="4">
                  <c:v>7899.8600000000006</c:v>
                </c:pt>
                <c:pt idx="5">
                  <c:v>4581.3899999999994</c:v>
                </c:pt>
                <c:pt idx="6">
                  <c:v>8465.9600000000009</c:v>
                </c:pt>
                <c:pt idx="7">
                  <c:v>18731.099999999999</c:v>
                </c:pt>
                <c:pt idx="8">
                  <c:v>35985.699999999997</c:v>
                </c:pt>
                <c:pt idx="9">
                  <c:v>57859.12</c:v>
                </c:pt>
                <c:pt idx="10">
                  <c:v>48814.64</c:v>
                </c:pt>
                <c:pt idx="11">
                  <c:v>53197.59</c:v>
                </c:pt>
                <c:pt idx="12">
                  <c:v>53296.94</c:v>
                </c:pt>
                <c:pt idx="13">
                  <c:v>48556.840000000004</c:v>
                </c:pt>
                <c:pt idx="14">
                  <c:v>59770.32</c:v>
                </c:pt>
                <c:pt idx="15">
                  <c:v>48405.78</c:v>
                </c:pt>
                <c:pt idx="16">
                  <c:v>43249.599999999999</c:v>
                </c:pt>
                <c:pt idx="17">
                  <c:v>48303.68</c:v>
                </c:pt>
                <c:pt idx="18">
                  <c:v>38645.33</c:v>
                </c:pt>
                <c:pt idx="19">
                  <c:v>87475.709999999992</c:v>
                </c:pt>
                <c:pt idx="20">
                  <c:v>96407.66</c:v>
                </c:pt>
                <c:pt idx="21">
                  <c:v>87367.4</c:v>
                </c:pt>
                <c:pt idx="22">
                  <c:v>73870.5</c:v>
                </c:pt>
                <c:pt idx="23">
                  <c:v>42600.659999999996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FDA-49A5-B748-16854ED0F3E2}"/>
            </c:ext>
          </c:extLst>
        </c:ser>
        <c:ser>
          <c:idx val="2"/>
          <c:order val="2"/>
          <c:tx>
            <c:strRef>
              <c:f>Age!$J$1</c:f>
              <c:strCache>
                <c:ptCount val="1"/>
                <c:pt idx="0">
                  <c:v>Today</c:v>
                </c:pt>
              </c:strCache>
            </c:strRef>
          </c:tx>
          <c:spPr>
            <a:ln w="3492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Trend!$A$2:$A$25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Trend!$R$50:$R$73</c:f>
              <c:numCache>
                <c:formatCode>General</c:formatCode>
                <c:ptCount val="24"/>
                <c:pt idx="0">
                  <c:v>22000.25</c:v>
                </c:pt>
                <c:pt idx="1">
                  <c:v>13884.399999999998</c:v>
                </c:pt>
                <c:pt idx="2">
                  <c:v>7923.64</c:v>
                </c:pt>
                <c:pt idx="3">
                  <c:v>4220.54</c:v>
                </c:pt>
                <c:pt idx="4">
                  <c:v>3038.18</c:v>
                </c:pt>
                <c:pt idx="5">
                  <c:v>18152.419999999998</c:v>
                </c:pt>
                <c:pt idx="6">
                  <c:v>43799.81</c:v>
                </c:pt>
                <c:pt idx="7">
                  <c:v>75097.099000000002</c:v>
                </c:pt>
                <c:pt idx="8">
                  <c:v>53494.96</c:v>
                </c:pt>
                <c:pt idx="9">
                  <c:v>86017.29</c:v>
                </c:pt>
                <c:pt idx="10">
                  <c:v>80364.149999999994</c:v>
                </c:pt>
                <c:pt idx="11">
                  <c:v>89339.07</c:v>
                </c:pt>
                <c:pt idx="12">
                  <c:v>81107.71100000001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FDA-49A5-B748-16854ED0F3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7006704"/>
        <c:axId val="607000464"/>
      </c:lineChart>
      <c:catAx>
        <c:axId val="6070067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dk1">
                  <a:lumMod val="15000"/>
                  <a:lumOff val="85000"/>
                  <a:alpha val="51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000464"/>
        <c:crosses val="autoZero"/>
        <c:auto val="1"/>
        <c:lblAlgn val="ctr"/>
        <c:lblOffset val="100"/>
        <c:noMultiLvlLbl val="0"/>
      </c:catAx>
      <c:valAx>
        <c:axId val="607000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Erl Axis 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\ \K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006704"/>
        <c:crosses val="autoZero"/>
        <c:crossBetween val="between"/>
        <c:dispUnits>
          <c:builtInUnit val="thousands"/>
        </c:dispUnits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3958372772756114"/>
          <c:y val="0.90508785521397184"/>
          <c:w val="0.80273499828373496"/>
          <c:h val="8.9602409532772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Trend!$S$1</c:f>
          <c:strCache>
            <c:ptCount val="1"/>
            <c:pt idx="0">
              <c:v>MT Pool-2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spc="0" normalizeH="0" baseline="0">
              <a:solidFill>
                <a:schemeClr val="tx1"/>
              </a:solidFill>
              <a:latin typeface="+mn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129892577111923"/>
          <c:y val="0.14751243781094528"/>
          <c:w val="0.81017286826707791"/>
          <c:h val="0.62326673718024062"/>
        </c:manualLayout>
      </c:layout>
      <c:lineChart>
        <c:grouping val="standard"/>
        <c:varyColors val="0"/>
        <c:ser>
          <c:idx val="0"/>
          <c:order val="0"/>
          <c:tx>
            <c:strRef>
              <c:f>Age!$B$1</c:f>
              <c:strCache>
                <c:ptCount val="1"/>
                <c:pt idx="0">
                  <c:v>Day -7</c:v>
                </c:pt>
              </c:strCache>
            </c:strRef>
          </c:tx>
          <c:spPr>
            <a:ln w="3492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Trend!$A$2:$A$25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Trend!$S$2:$S$25</c:f>
              <c:numCache>
                <c:formatCode>General</c:formatCode>
                <c:ptCount val="24"/>
                <c:pt idx="0">
                  <c:v>13943.57</c:v>
                </c:pt>
                <c:pt idx="1">
                  <c:v>6174.08</c:v>
                </c:pt>
                <c:pt idx="2">
                  <c:v>3983.12</c:v>
                </c:pt>
                <c:pt idx="3">
                  <c:v>13266.91</c:v>
                </c:pt>
                <c:pt idx="4">
                  <c:v>9167.0299999999988</c:v>
                </c:pt>
                <c:pt idx="5">
                  <c:v>4844.1100000000006</c:v>
                </c:pt>
                <c:pt idx="6">
                  <c:v>10260.990000000002</c:v>
                </c:pt>
                <c:pt idx="7">
                  <c:v>17849.88</c:v>
                </c:pt>
                <c:pt idx="8">
                  <c:v>31971.14</c:v>
                </c:pt>
                <c:pt idx="9">
                  <c:v>33536.019999999997</c:v>
                </c:pt>
                <c:pt idx="10">
                  <c:v>51627.56</c:v>
                </c:pt>
                <c:pt idx="11">
                  <c:v>54346.92</c:v>
                </c:pt>
                <c:pt idx="12">
                  <c:v>39487.58</c:v>
                </c:pt>
                <c:pt idx="13">
                  <c:v>25418.160000000003</c:v>
                </c:pt>
                <c:pt idx="14">
                  <c:v>39601.75</c:v>
                </c:pt>
                <c:pt idx="15">
                  <c:v>51689.229999999996</c:v>
                </c:pt>
                <c:pt idx="16">
                  <c:v>50591.689999999995</c:v>
                </c:pt>
                <c:pt idx="17">
                  <c:v>44812.85</c:v>
                </c:pt>
                <c:pt idx="18">
                  <c:v>27355.340000000004</c:v>
                </c:pt>
                <c:pt idx="19">
                  <c:v>82940.56</c:v>
                </c:pt>
                <c:pt idx="20">
                  <c:v>89988.93</c:v>
                </c:pt>
                <c:pt idx="21">
                  <c:v>80113.239000000001</c:v>
                </c:pt>
                <c:pt idx="22">
                  <c:v>54838.7</c:v>
                </c:pt>
                <c:pt idx="23">
                  <c:v>29223.560000000005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85-4A87-9ED8-594E473DF8A4}"/>
            </c:ext>
          </c:extLst>
        </c:ser>
        <c:ser>
          <c:idx val="1"/>
          <c:order val="1"/>
          <c:tx>
            <c:strRef>
              <c:f>Age!$F$1</c:f>
              <c:strCache>
                <c:ptCount val="1"/>
                <c:pt idx="0">
                  <c:v>Day -1</c:v>
                </c:pt>
              </c:strCache>
            </c:strRef>
          </c:tx>
          <c:spPr>
            <a:ln w="3492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Trend!$A$2:$A$25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Trend!$S$26:$S$49</c:f>
              <c:numCache>
                <c:formatCode>General</c:formatCode>
                <c:ptCount val="24"/>
                <c:pt idx="0">
                  <c:v>13298.61</c:v>
                </c:pt>
                <c:pt idx="1">
                  <c:v>6284.68</c:v>
                </c:pt>
                <c:pt idx="2">
                  <c:v>5750.4</c:v>
                </c:pt>
                <c:pt idx="3">
                  <c:v>11063.98</c:v>
                </c:pt>
                <c:pt idx="4">
                  <c:v>7249.2199999999993</c:v>
                </c:pt>
                <c:pt idx="5">
                  <c:v>4788.0600000000004</c:v>
                </c:pt>
                <c:pt idx="6">
                  <c:v>8176.01</c:v>
                </c:pt>
                <c:pt idx="7">
                  <c:v>16310.380000000001</c:v>
                </c:pt>
                <c:pt idx="8">
                  <c:v>34565.21</c:v>
                </c:pt>
                <c:pt idx="9">
                  <c:v>52576.399999999994</c:v>
                </c:pt>
                <c:pt idx="10">
                  <c:v>49389.53</c:v>
                </c:pt>
                <c:pt idx="11">
                  <c:v>56891.06</c:v>
                </c:pt>
                <c:pt idx="12">
                  <c:v>51131.759999999995</c:v>
                </c:pt>
                <c:pt idx="13">
                  <c:v>47639.100000000006</c:v>
                </c:pt>
                <c:pt idx="14">
                  <c:v>55218.060000000005</c:v>
                </c:pt>
                <c:pt idx="15">
                  <c:v>52093.650000000009</c:v>
                </c:pt>
                <c:pt idx="16">
                  <c:v>42916.25</c:v>
                </c:pt>
                <c:pt idx="17">
                  <c:v>44973.279999999999</c:v>
                </c:pt>
                <c:pt idx="18">
                  <c:v>38023.570000000007</c:v>
                </c:pt>
                <c:pt idx="19">
                  <c:v>82620.801000000007</c:v>
                </c:pt>
                <c:pt idx="20">
                  <c:v>87558.509000000005</c:v>
                </c:pt>
                <c:pt idx="21">
                  <c:v>86463.8</c:v>
                </c:pt>
                <c:pt idx="22">
                  <c:v>68217.31</c:v>
                </c:pt>
                <c:pt idx="23">
                  <c:v>41130.29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C85-4A87-9ED8-594E473DF8A4}"/>
            </c:ext>
          </c:extLst>
        </c:ser>
        <c:ser>
          <c:idx val="2"/>
          <c:order val="2"/>
          <c:tx>
            <c:strRef>
              <c:f>Age!$J$1</c:f>
              <c:strCache>
                <c:ptCount val="1"/>
                <c:pt idx="0">
                  <c:v>Today</c:v>
                </c:pt>
              </c:strCache>
            </c:strRef>
          </c:tx>
          <c:spPr>
            <a:ln w="3492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Trend!$A$2:$A$25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Trend!$S$50:$S$73</c:f>
              <c:numCache>
                <c:formatCode>General</c:formatCode>
                <c:ptCount val="24"/>
                <c:pt idx="0">
                  <c:v>21354.38</c:v>
                </c:pt>
                <c:pt idx="1">
                  <c:v>13444.59</c:v>
                </c:pt>
                <c:pt idx="2">
                  <c:v>7752.2800000000007</c:v>
                </c:pt>
                <c:pt idx="3">
                  <c:v>4058.8500000000004</c:v>
                </c:pt>
                <c:pt idx="4">
                  <c:v>2865.1499999999996</c:v>
                </c:pt>
                <c:pt idx="5">
                  <c:v>15508.289999999999</c:v>
                </c:pt>
                <c:pt idx="6">
                  <c:v>39934.399999999994</c:v>
                </c:pt>
                <c:pt idx="7">
                  <c:v>65555.491000000009</c:v>
                </c:pt>
                <c:pt idx="8">
                  <c:v>53002.380000000005</c:v>
                </c:pt>
                <c:pt idx="9">
                  <c:v>94655.578000000009</c:v>
                </c:pt>
                <c:pt idx="10">
                  <c:v>70781.489000000001</c:v>
                </c:pt>
                <c:pt idx="11">
                  <c:v>87522.010999999999</c:v>
                </c:pt>
                <c:pt idx="12">
                  <c:v>73701.460999999996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C85-4A87-9ED8-594E473DF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7006704"/>
        <c:axId val="607000464"/>
      </c:lineChart>
      <c:catAx>
        <c:axId val="6070067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dk1">
                  <a:lumMod val="15000"/>
                  <a:lumOff val="85000"/>
                  <a:alpha val="51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000464"/>
        <c:crosses val="autoZero"/>
        <c:auto val="1"/>
        <c:lblAlgn val="ctr"/>
        <c:lblOffset val="100"/>
        <c:noMultiLvlLbl val="0"/>
      </c:catAx>
      <c:valAx>
        <c:axId val="607000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Erl Axis 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\ \K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006704"/>
        <c:crosses val="autoZero"/>
        <c:crossBetween val="between"/>
        <c:dispUnits>
          <c:builtInUnit val="thousands"/>
        </c:dispUnits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3694171980153738"/>
          <c:y val="0.90508785521397184"/>
          <c:w val="0.8000929903577112"/>
          <c:h val="8.9602409532772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Age!$D$56</c:f>
          <c:strCache>
            <c:ptCount val="1"/>
            <c:pt idx="0">
              <c:v>CS Core Status  [ 05/07/2021 00:00  To  05/14/2021 12:59 ]</c:v>
            </c:pt>
          </c:strCache>
        </c:strRef>
      </c:tx>
      <c:layout>
        <c:manualLayout>
          <c:xMode val="edge"/>
          <c:yMode val="edge"/>
          <c:x val="0.36364217354705852"/>
          <c:y val="4.312876249105110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tx1"/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2107827610995896E-2"/>
          <c:y val="0.15043715846994538"/>
          <c:w val="0.87688438694769089"/>
          <c:h val="0.68705952265213455"/>
        </c:manualLayout>
      </c:layout>
      <c:barChart>
        <c:barDir val="col"/>
        <c:grouping val="clustered"/>
        <c:varyColors val="0"/>
        <c:ser>
          <c:idx val="2"/>
          <c:order val="0"/>
          <c:tx>
            <c:strRef>
              <c:f>Age!$B$58</c:f>
              <c:strCache>
                <c:ptCount val="1"/>
                <c:pt idx="0">
                  <c:v>Day -7 [24 Hrs]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Age!$E$57:$F$57</c:f>
              <c:strCache>
                <c:ptCount val="2"/>
                <c:pt idx="0">
                  <c:v>MO</c:v>
                </c:pt>
                <c:pt idx="1">
                  <c:v>MT</c:v>
                </c:pt>
              </c:strCache>
            </c:strRef>
          </c:cat>
          <c:val>
            <c:numRef>
              <c:f>Age!$E$58:$F$58</c:f>
              <c:numCache>
                <c:formatCode>0.0</c:formatCode>
                <c:ptCount val="2"/>
                <c:pt idx="0">
                  <c:v>2073798.632</c:v>
                </c:pt>
                <c:pt idx="1">
                  <c:v>1924682.709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08-4ADC-A81E-EBB1FD94204C}"/>
            </c:ext>
          </c:extLst>
        </c:ser>
        <c:ser>
          <c:idx val="3"/>
          <c:order val="1"/>
          <c:tx>
            <c:strRef>
              <c:f>Age!$B$59</c:f>
              <c:strCache>
                <c:ptCount val="1"/>
                <c:pt idx="0">
                  <c:v>Day -1 [24 Hrs]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Age!$E$57:$F$57</c:f>
              <c:strCache>
                <c:ptCount val="2"/>
                <c:pt idx="0">
                  <c:v>MO</c:v>
                </c:pt>
                <c:pt idx="1">
                  <c:v>MT</c:v>
                </c:pt>
              </c:strCache>
            </c:strRef>
          </c:cat>
          <c:val>
            <c:numRef>
              <c:f>Age!$E$59:$F$59</c:f>
              <c:numCache>
                <c:formatCode>0.0</c:formatCode>
                <c:ptCount val="2"/>
                <c:pt idx="0">
                  <c:v>2362644.4180000001</c:v>
                </c:pt>
                <c:pt idx="1">
                  <c:v>2244895.9880000004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508-4ADC-A81E-EBB1FD94204C}"/>
            </c:ext>
          </c:extLst>
        </c:ser>
        <c:ser>
          <c:idx val="0"/>
          <c:order val="2"/>
          <c:tx>
            <c:strRef>
              <c:f>Age!$B$60</c:f>
              <c:strCache>
                <c:ptCount val="1"/>
                <c:pt idx="0">
                  <c:v>Today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Age!$E$57:$F$57</c:f>
              <c:strCache>
                <c:ptCount val="2"/>
                <c:pt idx="0">
                  <c:v>MO</c:v>
                </c:pt>
                <c:pt idx="1">
                  <c:v>MT</c:v>
                </c:pt>
              </c:strCache>
            </c:strRef>
          </c:cat>
          <c:val>
            <c:numRef>
              <c:f>Age!$E$60:$F$60</c:f>
              <c:numCache>
                <c:formatCode>0.0</c:formatCode>
                <c:ptCount val="2"/>
                <c:pt idx="0">
                  <c:v>1339605.6380000003</c:v>
                </c:pt>
                <c:pt idx="1">
                  <c:v>1236039.0430000001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508-4ADC-A81E-EBB1FD94204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67"/>
        <c:overlap val="-43"/>
        <c:axId val="871826272"/>
        <c:axId val="871820864"/>
      </c:barChart>
      <c:catAx>
        <c:axId val="871826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cap="none" spc="0" normalizeH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1820864"/>
        <c:crosses val="autoZero"/>
        <c:auto val="1"/>
        <c:lblAlgn val="ctr"/>
        <c:lblOffset val="100"/>
        <c:noMultiLvlLbl val="0"/>
      </c:catAx>
      <c:valAx>
        <c:axId val="871820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100" b="0">
                    <a:solidFill>
                      <a:schemeClr val="tx1"/>
                    </a:solidFill>
                  </a:rPr>
                  <a:t>Erl Axis 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\ \K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1826272"/>
        <c:crosses val="autoZero"/>
        <c:crossBetween val="between"/>
        <c:dispUnits>
          <c:builtInUnit val="thousands"/>
        </c:dispUnits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6676485825471979"/>
          <c:y val="0.90249991881519853"/>
          <c:w val="0.55340789979529281"/>
          <c:h val="8.13267952506572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Age!$W$2</c:f>
          <c:strCache>
            <c:ptCount val="1"/>
            <c:pt idx="0">
              <c:v>vEPC GZ_2G &amp; 3G</c:v>
            </c:pt>
          </c:strCache>
        </c:strRef>
      </c:tx>
      <c:layout>
        <c:manualLayout>
          <c:xMode val="edge"/>
          <c:yMode val="edge"/>
          <c:x val="0.4175874323064061"/>
          <c:y val="1.90476190476190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spc="0" normalizeH="0" baseline="0">
              <a:solidFill>
                <a:schemeClr val="tx1"/>
              </a:solidFill>
              <a:latin typeface="+mn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743173804717048"/>
          <c:y val="0.14751243781094528"/>
          <c:w val="0.85404017863229764"/>
          <c:h val="0.61691738532683416"/>
        </c:manualLayout>
      </c:layout>
      <c:lineChart>
        <c:grouping val="standard"/>
        <c:varyColors val="0"/>
        <c:ser>
          <c:idx val="0"/>
          <c:order val="0"/>
          <c:tx>
            <c:strRef>
              <c:f>Age!$W$1</c:f>
              <c:strCache>
                <c:ptCount val="1"/>
                <c:pt idx="0">
                  <c:v>Day -7</c:v>
                </c:pt>
              </c:strCache>
            </c:strRef>
          </c:tx>
          <c:spPr>
            <a:ln w="3492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Age!$V$3:$V$26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Age!$W$3:$W$26</c:f>
              <c:numCache>
                <c:formatCode>General</c:formatCode>
                <c:ptCount val="24"/>
                <c:pt idx="0">
                  <c:v>17434</c:v>
                </c:pt>
                <c:pt idx="1">
                  <c:v>11021</c:v>
                </c:pt>
                <c:pt idx="2">
                  <c:v>7073</c:v>
                </c:pt>
                <c:pt idx="3">
                  <c:v>6625</c:v>
                </c:pt>
                <c:pt idx="4">
                  <c:v>7658</c:v>
                </c:pt>
                <c:pt idx="5">
                  <c:v>4597</c:v>
                </c:pt>
                <c:pt idx="6">
                  <c:v>5476</c:v>
                </c:pt>
                <c:pt idx="7">
                  <c:v>8593</c:v>
                </c:pt>
                <c:pt idx="8">
                  <c:v>12000</c:v>
                </c:pt>
                <c:pt idx="9">
                  <c:v>14713</c:v>
                </c:pt>
                <c:pt idx="10">
                  <c:v>16724</c:v>
                </c:pt>
                <c:pt idx="11">
                  <c:v>17476</c:v>
                </c:pt>
                <c:pt idx="12">
                  <c:v>15700</c:v>
                </c:pt>
                <c:pt idx="13">
                  <c:v>13502</c:v>
                </c:pt>
                <c:pt idx="14">
                  <c:v>19196</c:v>
                </c:pt>
                <c:pt idx="15">
                  <c:v>19450</c:v>
                </c:pt>
                <c:pt idx="16">
                  <c:v>17231</c:v>
                </c:pt>
                <c:pt idx="17">
                  <c:v>15073</c:v>
                </c:pt>
                <c:pt idx="18">
                  <c:v>13014</c:v>
                </c:pt>
                <c:pt idx="19">
                  <c:v>19262</c:v>
                </c:pt>
                <c:pt idx="20">
                  <c:v>19891</c:v>
                </c:pt>
                <c:pt idx="21">
                  <c:v>20764</c:v>
                </c:pt>
                <c:pt idx="22">
                  <c:v>21774</c:v>
                </c:pt>
                <c:pt idx="23">
                  <c:v>20187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751-4DF2-9AAB-7BDF82A9A342}"/>
            </c:ext>
          </c:extLst>
        </c:ser>
        <c:ser>
          <c:idx val="1"/>
          <c:order val="1"/>
          <c:tx>
            <c:strRef>
              <c:f>Age!$AE$1</c:f>
              <c:strCache>
                <c:ptCount val="1"/>
                <c:pt idx="0">
                  <c:v>Day -1</c:v>
                </c:pt>
              </c:strCache>
            </c:strRef>
          </c:tx>
          <c:spPr>
            <a:ln w="3492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Age!$V$3:$V$26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Age!$AE$3:$AE$26</c:f>
              <c:numCache>
                <c:formatCode>General</c:formatCode>
                <c:ptCount val="24"/>
                <c:pt idx="0">
                  <c:v>16924</c:v>
                </c:pt>
                <c:pt idx="1">
                  <c:v>12050</c:v>
                </c:pt>
                <c:pt idx="2">
                  <c:v>8152</c:v>
                </c:pt>
                <c:pt idx="3">
                  <c:v>8177</c:v>
                </c:pt>
                <c:pt idx="4">
                  <c:v>9378</c:v>
                </c:pt>
                <c:pt idx="5">
                  <c:v>5701</c:v>
                </c:pt>
                <c:pt idx="6">
                  <c:v>6849</c:v>
                </c:pt>
                <c:pt idx="7">
                  <c:v>10496</c:v>
                </c:pt>
                <c:pt idx="8">
                  <c:v>14118</c:v>
                </c:pt>
                <c:pt idx="9">
                  <c:v>16686</c:v>
                </c:pt>
                <c:pt idx="10">
                  <c:v>17818</c:v>
                </c:pt>
                <c:pt idx="11">
                  <c:v>18430</c:v>
                </c:pt>
                <c:pt idx="12">
                  <c:v>18417</c:v>
                </c:pt>
                <c:pt idx="13">
                  <c:v>17307</c:v>
                </c:pt>
                <c:pt idx="14">
                  <c:v>18756</c:v>
                </c:pt>
                <c:pt idx="15">
                  <c:v>19617</c:v>
                </c:pt>
                <c:pt idx="16">
                  <c:v>18629</c:v>
                </c:pt>
                <c:pt idx="17">
                  <c:v>16952</c:v>
                </c:pt>
                <c:pt idx="18">
                  <c:v>14598</c:v>
                </c:pt>
                <c:pt idx="19">
                  <c:v>18567</c:v>
                </c:pt>
                <c:pt idx="20">
                  <c:v>19541</c:v>
                </c:pt>
                <c:pt idx="21">
                  <c:v>20764</c:v>
                </c:pt>
                <c:pt idx="22">
                  <c:v>21939</c:v>
                </c:pt>
                <c:pt idx="23">
                  <c:v>22015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751-4DF2-9AAB-7BDF82A9A342}"/>
            </c:ext>
          </c:extLst>
        </c:ser>
        <c:ser>
          <c:idx val="2"/>
          <c:order val="2"/>
          <c:tx>
            <c:strRef>
              <c:f>Age!$AM$1</c:f>
              <c:strCache>
                <c:ptCount val="1"/>
                <c:pt idx="0">
                  <c:v>Today</c:v>
                </c:pt>
              </c:strCache>
            </c:strRef>
          </c:tx>
          <c:spPr>
            <a:ln w="3492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Age!$V$3:$V$26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Age!$AM$3:$AM$26</c:f>
              <c:numCache>
                <c:formatCode>General</c:formatCode>
                <c:ptCount val="24"/>
                <c:pt idx="0">
                  <c:v>18946</c:v>
                </c:pt>
                <c:pt idx="1">
                  <c:v>14315</c:v>
                </c:pt>
                <c:pt idx="2">
                  <c:v>9715</c:v>
                </c:pt>
                <c:pt idx="3">
                  <c:v>6351</c:v>
                </c:pt>
                <c:pt idx="4">
                  <c:v>4259</c:v>
                </c:pt>
                <c:pt idx="5">
                  <c:v>7661</c:v>
                </c:pt>
                <c:pt idx="6">
                  <c:v>11620</c:v>
                </c:pt>
                <c:pt idx="7">
                  <c:v>11690</c:v>
                </c:pt>
                <c:pt idx="8">
                  <c:v>11743</c:v>
                </c:pt>
                <c:pt idx="9">
                  <c:v>16820</c:v>
                </c:pt>
                <c:pt idx="10">
                  <c:v>20090</c:v>
                </c:pt>
                <c:pt idx="11">
                  <c:v>20937</c:v>
                </c:pt>
                <c:pt idx="12">
                  <c:v>20348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751-4DF2-9AAB-7BDF82A9A3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7006704"/>
        <c:axId val="607000464"/>
      </c:lineChart>
      <c:catAx>
        <c:axId val="6070067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dk1">
                  <a:lumMod val="15000"/>
                  <a:lumOff val="85000"/>
                  <a:alpha val="51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000464"/>
        <c:crosses val="autoZero"/>
        <c:auto val="1"/>
        <c:lblAlgn val="ctr"/>
        <c:lblOffset val="100"/>
        <c:noMultiLvlLbl val="0"/>
      </c:catAx>
      <c:valAx>
        <c:axId val="607000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0">
                    <a:solidFill>
                      <a:sysClr val="windowText" lastClr="000000"/>
                    </a:solidFill>
                  </a:rPr>
                  <a:t>GB</a:t>
                </a:r>
              </a:p>
            </c:rich>
          </c:tx>
          <c:layout>
            <c:manualLayout>
              <c:xMode val="edge"/>
              <c:yMode val="edge"/>
              <c:x val="9.2643782405885441E-3"/>
              <c:y val="0.35807060275369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006704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3544362220078641"/>
          <c:y val="0.91039759046722746"/>
          <c:w val="0.51661716609916886"/>
          <c:h val="8.9602409532772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Age!$X$2</c:f>
          <c:strCache>
            <c:ptCount val="1"/>
            <c:pt idx="0">
              <c:v>vEPC GZ_4G</c:v>
            </c:pt>
          </c:strCache>
        </c:strRef>
      </c:tx>
      <c:layout>
        <c:manualLayout>
          <c:xMode val="edge"/>
          <c:yMode val="edge"/>
          <c:x val="0.4175874323064061"/>
          <c:y val="1.90476190476190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spc="0" normalizeH="0" baseline="0">
              <a:solidFill>
                <a:schemeClr val="tx1"/>
              </a:solidFill>
              <a:latin typeface="+mn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743173804717048"/>
          <c:y val="0.14751243781094528"/>
          <c:w val="0.85404017863229764"/>
          <c:h val="0.61691738532683416"/>
        </c:manualLayout>
      </c:layout>
      <c:lineChart>
        <c:grouping val="standard"/>
        <c:varyColors val="0"/>
        <c:ser>
          <c:idx val="0"/>
          <c:order val="0"/>
          <c:tx>
            <c:strRef>
              <c:f>Age!$W$1</c:f>
              <c:strCache>
                <c:ptCount val="1"/>
                <c:pt idx="0">
                  <c:v>Day -7</c:v>
                </c:pt>
              </c:strCache>
            </c:strRef>
          </c:tx>
          <c:spPr>
            <a:ln w="3492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Age!$V$3:$V$26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Age!$X$3:$X$26</c:f>
              <c:numCache>
                <c:formatCode>General</c:formatCode>
                <c:ptCount val="24"/>
                <c:pt idx="0">
                  <c:v>46022.023856148</c:v>
                </c:pt>
                <c:pt idx="1">
                  <c:v>31224.107363250001</c:v>
                </c:pt>
                <c:pt idx="2">
                  <c:v>20294.593744064001</c:v>
                </c:pt>
                <c:pt idx="3">
                  <c:v>17790.160623257001</c:v>
                </c:pt>
                <c:pt idx="4">
                  <c:v>20011.671503243</c:v>
                </c:pt>
                <c:pt idx="5">
                  <c:v>11618.618468772</c:v>
                </c:pt>
                <c:pt idx="6">
                  <c:v>12706.239457296</c:v>
                </c:pt>
                <c:pt idx="7">
                  <c:v>19878.782959926</c:v>
                </c:pt>
                <c:pt idx="8">
                  <c:v>29005.652389555999</c:v>
                </c:pt>
                <c:pt idx="9">
                  <c:v>37270.376589687003</c:v>
                </c:pt>
                <c:pt idx="10">
                  <c:v>43783.334257292998</c:v>
                </c:pt>
                <c:pt idx="11">
                  <c:v>46629.653894527997</c:v>
                </c:pt>
                <c:pt idx="12">
                  <c:v>41557.772558226003</c:v>
                </c:pt>
                <c:pt idx="13">
                  <c:v>34273.063332555997</c:v>
                </c:pt>
                <c:pt idx="14">
                  <c:v>50738.206342438003</c:v>
                </c:pt>
                <c:pt idx="15">
                  <c:v>51532.724755255003</c:v>
                </c:pt>
                <c:pt idx="16">
                  <c:v>46646.833322418002</c:v>
                </c:pt>
                <c:pt idx="17">
                  <c:v>42296.485056885002</c:v>
                </c:pt>
                <c:pt idx="18">
                  <c:v>35694.793604735001</c:v>
                </c:pt>
                <c:pt idx="19">
                  <c:v>52373.572576912004</c:v>
                </c:pt>
                <c:pt idx="20">
                  <c:v>53641.105551408</c:v>
                </c:pt>
                <c:pt idx="21">
                  <c:v>57162.083258489001</c:v>
                </c:pt>
                <c:pt idx="22">
                  <c:v>59243.101889726997</c:v>
                </c:pt>
                <c:pt idx="23">
                  <c:v>53790.866137099001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34-4655-9F16-5FD9ED3DBB70}"/>
            </c:ext>
          </c:extLst>
        </c:ser>
        <c:ser>
          <c:idx val="1"/>
          <c:order val="1"/>
          <c:tx>
            <c:strRef>
              <c:f>Age!$AE$1</c:f>
              <c:strCache>
                <c:ptCount val="1"/>
                <c:pt idx="0">
                  <c:v>Day -1</c:v>
                </c:pt>
              </c:strCache>
            </c:strRef>
          </c:tx>
          <c:spPr>
            <a:ln w="3492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Age!$V$3:$V$26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Age!$AF$3:$AF$26</c:f>
              <c:numCache>
                <c:formatCode>General</c:formatCode>
                <c:ptCount val="24"/>
                <c:pt idx="0">
                  <c:v>45571.012927534</c:v>
                </c:pt>
                <c:pt idx="1">
                  <c:v>32987.155373041998</c:v>
                </c:pt>
                <c:pt idx="2">
                  <c:v>22404.513450373001</c:v>
                </c:pt>
                <c:pt idx="3">
                  <c:v>20124.339227101998</c:v>
                </c:pt>
                <c:pt idx="4">
                  <c:v>21699.482199806</c:v>
                </c:pt>
                <c:pt idx="5">
                  <c:v>12961.680781343999</c:v>
                </c:pt>
                <c:pt idx="6">
                  <c:v>15275.592013224999</c:v>
                </c:pt>
                <c:pt idx="7">
                  <c:v>24116.801397776999</c:v>
                </c:pt>
                <c:pt idx="8">
                  <c:v>34218.312703939999</c:v>
                </c:pt>
                <c:pt idx="9">
                  <c:v>42381.424186547003</c:v>
                </c:pt>
                <c:pt idx="10">
                  <c:v>46779.909673314003</c:v>
                </c:pt>
                <c:pt idx="11">
                  <c:v>48989.282565521004</c:v>
                </c:pt>
                <c:pt idx="12">
                  <c:v>49516.706146491997</c:v>
                </c:pt>
                <c:pt idx="13">
                  <c:v>46070.590053895998</c:v>
                </c:pt>
                <c:pt idx="14">
                  <c:v>49924.395208991999</c:v>
                </c:pt>
                <c:pt idx="15">
                  <c:v>52187.166201460997</c:v>
                </c:pt>
                <c:pt idx="16">
                  <c:v>50496.068454929002</c:v>
                </c:pt>
                <c:pt idx="17">
                  <c:v>46860.322674638999</c:v>
                </c:pt>
                <c:pt idx="18">
                  <c:v>39730.861769684998</c:v>
                </c:pt>
                <c:pt idx="19">
                  <c:v>50460.630369988001</c:v>
                </c:pt>
                <c:pt idx="20">
                  <c:v>52909.742175658001</c:v>
                </c:pt>
                <c:pt idx="21">
                  <c:v>56743.182828759003</c:v>
                </c:pt>
                <c:pt idx="22">
                  <c:v>59316.913673272</c:v>
                </c:pt>
                <c:pt idx="23">
                  <c:v>58567.993319786001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234-4655-9F16-5FD9ED3DBB70}"/>
            </c:ext>
          </c:extLst>
        </c:ser>
        <c:ser>
          <c:idx val="2"/>
          <c:order val="2"/>
          <c:tx>
            <c:strRef>
              <c:f>Age!$AM$1</c:f>
              <c:strCache>
                <c:ptCount val="1"/>
                <c:pt idx="0">
                  <c:v>Today</c:v>
                </c:pt>
              </c:strCache>
            </c:strRef>
          </c:tx>
          <c:spPr>
            <a:ln w="3492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Age!$V$3:$V$26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Age!$AN$3:$AN$26</c:f>
              <c:numCache>
                <c:formatCode>General</c:formatCode>
                <c:ptCount val="24"/>
                <c:pt idx="0">
                  <c:v>49983.004618113002</c:v>
                </c:pt>
                <c:pt idx="1">
                  <c:v>37722.020674975996</c:v>
                </c:pt>
                <c:pt idx="2">
                  <c:v>25747.133089309002</c:v>
                </c:pt>
                <c:pt idx="3">
                  <c:v>16698.308200898999</c:v>
                </c:pt>
                <c:pt idx="4">
                  <c:v>10412.416854769999</c:v>
                </c:pt>
                <c:pt idx="5">
                  <c:v>16985.472398752001</c:v>
                </c:pt>
                <c:pt idx="6">
                  <c:v>26616.428249570999</c:v>
                </c:pt>
                <c:pt idx="7">
                  <c:v>26923.390287923001</c:v>
                </c:pt>
                <c:pt idx="8">
                  <c:v>27066.964188213002</c:v>
                </c:pt>
                <c:pt idx="9">
                  <c:v>42599.288455729999</c:v>
                </c:pt>
                <c:pt idx="10">
                  <c:v>53995.655957875002</c:v>
                </c:pt>
                <c:pt idx="11">
                  <c:v>57502.355531977999</c:v>
                </c:pt>
                <c:pt idx="12">
                  <c:v>55026.193307472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234-4655-9F16-5FD9ED3DBB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7006704"/>
        <c:axId val="607000464"/>
      </c:lineChart>
      <c:catAx>
        <c:axId val="6070067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dk1">
                  <a:lumMod val="15000"/>
                  <a:lumOff val="85000"/>
                  <a:alpha val="51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000464"/>
        <c:crosses val="autoZero"/>
        <c:auto val="1"/>
        <c:lblAlgn val="ctr"/>
        <c:lblOffset val="100"/>
        <c:noMultiLvlLbl val="0"/>
      </c:catAx>
      <c:valAx>
        <c:axId val="607000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0">
                    <a:solidFill>
                      <a:schemeClr val="tx1"/>
                    </a:solidFill>
                  </a:rPr>
                  <a:t>GB</a:t>
                </a:r>
              </a:p>
            </c:rich>
          </c:tx>
          <c:layout>
            <c:manualLayout>
              <c:xMode val="edge"/>
              <c:yMode val="edge"/>
              <c:x val="4.3146462763692574E-3"/>
              <c:y val="0.35807060275369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006704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3544362220078641"/>
          <c:y val="0.91039759046722746"/>
          <c:w val="0.51661716609916886"/>
          <c:h val="8.9602409532772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Age!$Y$2</c:f>
          <c:strCache>
            <c:ptCount val="1"/>
            <c:pt idx="0">
              <c:v>vEPC KT_2G &amp; 3G</c:v>
            </c:pt>
          </c:strCache>
        </c:strRef>
      </c:tx>
      <c:layout>
        <c:manualLayout>
          <c:xMode val="edge"/>
          <c:yMode val="edge"/>
          <c:x val="0.4175874323064061"/>
          <c:y val="1.90476190476190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spc="0" normalizeH="0" baseline="0">
              <a:solidFill>
                <a:schemeClr val="tx1"/>
              </a:solidFill>
              <a:latin typeface="+mn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743173804717048"/>
          <c:y val="0.14751243781094528"/>
          <c:w val="0.85404017863229764"/>
          <c:h val="0.61691738532683416"/>
        </c:manualLayout>
      </c:layout>
      <c:lineChart>
        <c:grouping val="standard"/>
        <c:varyColors val="0"/>
        <c:ser>
          <c:idx val="0"/>
          <c:order val="0"/>
          <c:tx>
            <c:strRef>
              <c:f>Age!$W$1</c:f>
              <c:strCache>
                <c:ptCount val="1"/>
                <c:pt idx="0">
                  <c:v>Day -7</c:v>
                </c:pt>
              </c:strCache>
            </c:strRef>
          </c:tx>
          <c:spPr>
            <a:ln w="3492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Age!$V$3:$V$26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Age!$Y$3:$Y$26</c:f>
              <c:numCache>
                <c:formatCode>General</c:formatCode>
                <c:ptCount val="24"/>
                <c:pt idx="0">
                  <c:v>14554</c:v>
                </c:pt>
                <c:pt idx="1">
                  <c:v>9903</c:v>
                </c:pt>
                <c:pt idx="2">
                  <c:v>6544</c:v>
                </c:pt>
                <c:pt idx="3">
                  <c:v>6236</c:v>
                </c:pt>
                <c:pt idx="4">
                  <c:v>7428</c:v>
                </c:pt>
                <c:pt idx="5">
                  <c:v>4442</c:v>
                </c:pt>
                <c:pt idx="6">
                  <c:v>5326</c:v>
                </c:pt>
                <c:pt idx="7">
                  <c:v>8288</c:v>
                </c:pt>
                <c:pt idx="8">
                  <c:v>11632</c:v>
                </c:pt>
                <c:pt idx="9">
                  <c:v>14275</c:v>
                </c:pt>
                <c:pt idx="10">
                  <c:v>16376</c:v>
                </c:pt>
                <c:pt idx="11">
                  <c:v>17190</c:v>
                </c:pt>
                <c:pt idx="12">
                  <c:v>15410</c:v>
                </c:pt>
                <c:pt idx="13">
                  <c:v>13099</c:v>
                </c:pt>
                <c:pt idx="14">
                  <c:v>18925</c:v>
                </c:pt>
                <c:pt idx="15">
                  <c:v>19220</c:v>
                </c:pt>
                <c:pt idx="16">
                  <c:v>17144</c:v>
                </c:pt>
                <c:pt idx="17">
                  <c:v>14854</c:v>
                </c:pt>
                <c:pt idx="18">
                  <c:v>12846</c:v>
                </c:pt>
                <c:pt idx="19">
                  <c:v>18891</c:v>
                </c:pt>
                <c:pt idx="20">
                  <c:v>19622</c:v>
                </c:pt>
                <c:pt idx="21">
                  <c:v>20516</c:v>
                </c:pt>
                <c:pt idx="22">
                  <c:v>21815</c:v>
                </c:pt>
                <c:pt idx="23">
                  <c:v>20392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701-4D5D-97F0-E6D98BCE5F8F}"/>
            </c:ext>
          </c:extLst>
        </c:ser>
        <c:ser>
          <c:idx val="1"/>
          <c:order val="1"/>
          <c:tx>
            <c:strRef>
              <c:f>Age!$AE$1</c:f>
              <c:strCache>
                <c:ptCount val="1"/>
                <c:pt idx="0">
                  <c:v>Day -1</c:v>
                </c:pt>
              </c:strCache>
            </c:strRef>
          </c:tx>
          <c:spPr>
            <a:ln w="3492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Age!$V$3:$V$26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Age!$AG$3:$AG$26</c:f>
              <c:numCache>
                <c:formatCode>General</c:formatCode>
                <c:ptCount val="24"/>
                <c:pt idx="0">
                  <c:v>17062</c:v>
                </c:pt>
                <c:pt idx="1">
                  <c:v>11963</c:v>
                </c:pt>
                <c:pt idx="2">
                  <c:v>8208</c:v>
                </c:pt>
                <c:pt idx="3">
                  <c:v>8114</c:v>
                </c:pt>
                <c:pt idx="4">
                  <c:v>9293</c:v>
                </c:pt>
                <c:pt idx="5">
                  <c:v>5603</c:v>
                </c:pt>
                <c:pt idx="6">
                  <c:v>6754</c:v>
                </c:pt>
                <c:pt idx="7">
                  <c:v>10499</c:v>
                </c:pt>
                <c:pt idx="8">
                  <c:v>14072</c:v>
                </c:pt>
                <c:pt idx="9">
                  <c:v>16590</c:v>
                </c:pt>
                <c:pt idx="10">
                  <c:v>17736</c:v>
                </c:pt>
                <c:pt idx="11">
                  <c:v>18260</c:v>
                </c:pt>
                <c:pt idx="12">
                  <c:v>18397</c:v>
                </c:pt>
                <c:pt idx="13">
                  <c:v>17121</c:v>
                </c:pt>
                <c:pt idx="14">
                  <c:v>18667</c:v>
                </c:pt>
                <c:pt idx="15">
                  <c:v>19470</c:v>
                </c:pt>
                <c:pt idx="16">
                  <c:v>18568</c:v>
                </c:pt>
                <c:pt idx="17">
                  <c:v>16916</c:v>
                </c:pt>
                <c:pt idx="18">
                  <c:v>14477</c:v>
                </c:pt>
                <c:pt idx="19">
                  <c:v>18555</c:v>
                </c:pt>
                <c:pt idx="20">
                  <c:v>19405</c:v>
                </c:pt>
                <c:pt idx="21">
                  <c:v>20724</c:v>
                </c:pt>
                <c:pt idx="22">
                  <c:v>21982</c:v>
                </c:pt>
                <c:pt idx="23">
                  <c:v>21967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701-4D5D-97F0-E6D98BCE5F8F}"/>
            </c:ext>
          </c:extLst>
        </c:ser>
        <c:ser>
          <c:idx val="2"/>
          <c:order val="2"/>
          <c:tx>
            <c:strRef>
              <c:f>Age!$AM$1</c:f>
              <c:strCache>
                <c:ptCount val="1"/>
                <c:pt idx="0">
                  <c:v>Today</c:v>
                </c:pt>
              </c:strCache>
            </c:strRef>
          </c:tx>
          <c:spPr>
            <a:ln w="3492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Age!$V$3:$V$26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Age!$AO$3:$AO$26</c:f>
              <c:numCache>
                <c:formatCode>General</c:formatCode>
                <c:ptCount val="24"/>
                <c:pt idx="0">
                  <c:v>18835</c:v>
                </c:pt>
                <c:pt idx="1">
                  <c:v>14239</c:v>
                </c:pt>
                <c:pt idx="2">
                  <c:v>9710</c:v>
                </c:pt>
                <c:pt idx="3">
                  <c:v>6305</c:v>
                </c:pt>
                <c:pt idx="4">
                  <c:v>4306</c:v>
                </c:pt>
                <c:pt idx="5">
                  <c:v>7617</c:v>
                </c:pt>
                <c:pt idx="6">
                  <c:v>11586</c:v>
                </c:pt>
                <c:pt idx="7">
                  <c:v>11718</c:v>
                </c:pt>
                <c:pt idx="8">
                  <c:v>11720</c:v>
                </c:pt>
                <c:pt idx="9">
                  <c:v>16719</c:v>
                </c:pt>
                <c:pt idx="10">
                  <c:v>20014</c:v>
                </c:pt>
                <c:pt idx="11">
                  <c:v>20714</c:v>
                </c:pt>
                <c:pt idx="12">
                  <c:v>20051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701-4D5D-97F0-E6D98BCE5F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7006704"/>
        <c:axId val="607000464"/>
      </c:lineChart>
      <c:catAx>
        <c:axId val="6070067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dk1">
                  <a:lumMod val="15000"/>
                  <a:lumOff val="85000"/>
                  <a:alpha val="51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000464"/>
        <c:crosses val="autoZero"/>
        <c:auto val="1"/>
        <c:lblAlgn val="ctr"/>
        <c:lblOffset val="100"/>
        <c:noMultiLvlLbl val="0"/>
      </c:catAx>
      <c:valAx>
        <c:axId val="607000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0">
                    <a:solidFill>
                      <a:sysClr val="windowText" lastClr="000000"/>
                    </a:solidFill>
                  </a:rPr>
                  <a:t>GB</a:t>
                </a:r>
              </a:p>
            </c:rich>
          </c:tx>
          <c:layout>
            <c:manualLayout>
              <c:xMode val="edge"/>
              <c:yMode val="edge"/>
              <c:x val="9.2643782405885441E-3"/>
              <c:y val="0.35807060275369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006704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3544362220078641"/>
          <c:y val="0.91039759046722746"/>
          <c:w val="0.51661716609916886"/>
          <c:h val="8.9602409532772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Age!$Z$2</c:f>
          <c:strCache>
            <c:ptCount val="1"/>
            <c:pt idx="0">
              <c:v>vEPC KT_4G</c:v>
            </c:pt>
          </c:strCache>
        </c:strRef>
      </c:tx>
      <c:layout>
        <c:manualLayout>
          <c:xMode val="edge"/>
          <c:yMode val="edge"/>
          <c:x val="0.4175874323064061"/>
          <c:y val="1.90476190476190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spc="0" normalizeH="0" baseline="0">
              <a:solidFill>
                <a:schemeClr val="tx1"/>
              </a:solidFill>
              <a:latin typeface="+mn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743173804717048"/>
          <c:y val="0.14751243781094528"/>
          <c:w val="0.85404017863229764"/>
          <c:h val="0.61691738532683416"/>
        </c:manualLayout>
      </c:layout>
      <c:lineChart>
        <c:grouping val="standard"/>
        <c:varyColors val="0"/>
        <c:ser>
          <c:idx val="0"/>
          <c:order val="0"/>
          <c:tx>
            <c:strRef>
              <c:f>Age!$W$1</c:f>
              <c:strCache>
                <c:ptCount val="1"/>
                <c:pt idx="0">
                  <c:v>Day -7</c:v>
                </c:pt>
              </c:strCache>
            </c:strRef>
          </c:tx>
          <c:spPr>
            <a:ln w="3492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Age!$V$3:$V$26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Age!$Z$3:$Z$26</c:f>
              <c:numCache>
                <c:formatCode>General</c:formatCode>
                <c:ptCount val="24"/>
                <c:pt idx="0">
                  <c:v>39270.262139879</c:v>
                </c:pt>
                <c:pt idx="1">
                  <c:v>27102.834579931001</c:v>
                </c:pt>
                <c:pt idx="2">
                  <c:v>17874.000783656</c:v>
                </c:pt>
                <c:pt idx="3">
                  <c:v>15774.240295464</c:v>
                </c:pt>
                <c:pt idx="4">
                  <c:v>17947.621350902999</c:v>
                </c:pt>
                <c:pt idx="5">
                  <c:v>10458.298146814001</c:v>
                </c:pt>
                <c:pt idx="6">
                  <c:v>11685.229172369</c:v>
                </c:pt>
                <c:pt idx="7">
                  <c:v>18372.214012057</c:v>
                </c:pt>
                <c:pt idx="8">
                  <c:v>26839.457626626001</c:v>
                </c:pt>
                <c:pt idx="9">
                  <c:v>34789.219789903</c:v>
                </c:pt>
                <c:pt idx="10">
                  <c:v>41183.456818343999</c:v>
                </c:pt>
                <c:pt idx="11">
                  <c:v>43932.455061314999</c:v>
                </c:pt>
                <c:pt idx="12">
                  <c:v>39443.217670496997</c:v>
                </c:pt>
                <c:pt idx="13">
                  <c:v>32449.734343657001</c:v>
                </c:pt>
                <c:pt idx="14">
                  <c:v>48477.319450684998</c:v>
                </c:pt>
                <c:pt idx="15">
                  <c:v>49536.853113730001</c:v>
                </c:pt>
                <c:pt idx="16">
                  <c:v>45402.918992022998</c:v>
                </c:pt>
                <c:pt idx="17">
                  <c:v>40935.960937967</c:v>
                </c:pt>
                <c:pt idx="18">
                  <c:v>34815.946382941998</c:v>
                </c:pt>
                <c:pt idx="19">
                  <c:v>51005.246660088997</c:v>
                </c:pt>
                <c:pt idx="20">
                  <c:v>52799.295162768998</c:v>
                </c:pt>
                <c:pt idx="21">
                  <c:v>56255.013524713002</c:v>
                </c:pt>
                <c:pt idx="22">
                  <c:v>58860.418544699998</c:v>
                </c:pt>
                <c:pt idx="23">
                  <c:v>54602.328058092004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6C7-48B1-8C12-4BE908C428B7}"/>
            </c:ext>
          </c:extLst>
        </c:ser>
        <c:ser>
          <c:idx val="1"/>
          <c:order val="1"/>
          <c:tx>
            <c:strRef>
              <c:f>Age!$AE$1</c:f>
              <c:strCache>
                <c:ptCount val="1"/>
                <c:pt idx="0">
                  <c:v>Day -1</c:v>
                </c:pt>
              </c:strCache>
            </c:strRef>
          </c:tx>
          <c:spPr>
            <a:ln w="3492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Age!$V$3:$V$26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Age!$AH$3:$AH$26</c:f>
              <c:numCache>
                <c:formatCode>General</c:formatCode>
                <c:ptCount val="24"/>
                <c:pt idx="0">
                  <c:v>45685.484149395998</c:v>
                </c:pt>
                <c:pt idx="1">
                  <c:v>32694.272737381001</c:v>
                </c:pt>
                <c:pt idx="2">
                  <c:v>22198.119258638999</c:v>
                </c:pt>
                <c:pt idx="3">
                  <c:v>19813.957530625001</c:v>
                </c:pt>
                <c:pt idx="4">
                  <c:v>21756.168359714</c:v>
                </c:pt>
                <c:pt idx="5">
                  <c:v>12952.235901631</c:v>
                </c:pt>
                <c:pt idx="6">
                  <c:v>15085.977133707</c:v>
                </c:pt>
                <c:pt idx="7">
                  <c:v>23981.775199976</c:v>
                </c:pt>
                <c:pt idx="8">
                  <c:v>34255.825807050001</c:v>
                </c:pt>
                <c:pt idx="9">
                  <c:v>42066.672635010997</c:v>
                </c:pt>
                <c:pt idx="10">
                  <c:v>46314.797421201998</c:v>
                </c:pt>
                <c:pt idx="11">
                  <c:v>48903.460986676997</c:v>
                </c:pt>
                <c:pt idx="12">
                  <c:v>49559.690551152002</c:v>
                </c:pt>
                <c:pt idx="13">
                  <c:v>45974.883176258001</c:v>
                </c:pt>
                <c:pt idx="14">
                  <c:v>49585.025564281998</c:v>
                </c:pt>
                <c:pt idx="15">
                  <c:v>51989.630608038999</c:v>
                </c:pt>
                <c:pt idx="16">
                  <c:v>50110.592480462998</c:v>
                </c:pt>
                <c:pt idx="17">
                  <c:v>46823.518748691997</c:v>
                </c:pt>
                <c:pt idx="18">
                  <c:v>39550.367818348997</c:v>
                </c:pt>
                <c:pt idx="19">
                  <c:v>50640.912321139003</c:v>
                </c:pt>
                <c:pt idx="20">
                  <c:v>53099.338343249001</c:v>
                </c:pt>
                <c:pt idx="21">
                  <c:v>57266.749872146</c:v>
                </c:pt>
                <c:pt idx="22">
                  <c:v>60002.269065656998</c:v>
                </c:pt>
                <c:pt idx="23">
                  <c:v>58850.724479197001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6C7-48B1-8C12-4BE908C428B7}"/>
            </c:ext>
          </c:extLst>
        </c:ser>
        <c:ser>
          <c:idx val="2"/>
          <c:order val="2"/>
          <c:tx>
            <c:strRef>
              <c:f>Age!$AM$1</c:f>
              <c:strCache>
                <c:ptCount val="1"/>
                <c:pt idx="0">
                  <c:v>Today</c:v>
                </c:pt>
              </c:strCache>
            </c:strRef>
          </c:tx>
          <c:spPr>
            <a:ln w="3492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Age!$V$3:$V$26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Age!$AP$3:$AP$26</c:f>
              <c:numCache>
                <c:formatCode>General</c:formatCode>
                <c:ptCount val="24"/>
                <c:pt idx="0">
                  <c:v>50072.939079447999</c:v>
                </c:pt>
                <c:pt idx="1">
                  <c:v>37948.821497486999</c:v>
                </c:pt>
                <c:pt idx="2">
                  <c:v>25937.007099377999</c:v>
                </c:pt>
                <c:pt idx="3">
                  <c:v>16748.409846915001</c:v>
                </c:pt>
                <c:pt idx="4">
                  <c:v>10570.389541037001</c:v>
                </c:pt>
                <c:pt idx="5">
                  <c:v>17125.833256181999</c:v>
                </c:pt>
                <c:pt idx="6">
                  <c:v>26663.029981014999</c:v>
                </c:pt>
                <c:pt idx="7">
                  <c:v>27014.878847219999</c:v>
                </c:pt>
                <c:pt idx="8">
                  <c:v>26982.157342476999</c:v>
                </c:pt>
                <c:pt idx="9">
                  <c:v>42381.830648968004</c:v>
                </c:pt>
                <c:pt idx="10">
                  <c:v>54280.891616355999</c:v>
                </c:pt>
                <c:pt idx="11">
                  <c:v>57453.735764883</c:v>
                </c:pt>
                <c:pt idx="12">
                  <c:v>54923.081182879003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6C7-48B1-8C12-4BE908C428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7006704"/>
        <c:axId val="607000464"/>
      </c:lineChart>
      <c:catAx>
        <c:axId val="6070067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dk1">
                  <a:lumMod val="15000"/>
                  <a:lumOff val="85000"/>
                  <a:alpha val="51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000464"/>
        <c:crosses val="autoZero"/>
        <c:auto val="1"/>
        <c:lblAlgn val="ctr"/>
        <c:lblOffset val="100"/>
        <c:noMultiLvlLbl val="0"/>
      </c:catAx>
      <c:valAx>
        <c:axId val="607000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0">
                    <a:solidFill>
                      <a:sysClr val="windowText" lastClr="000000"/>
                    </a:solidFill>
                  </a:rPr>
                  <a:t>GB</a:t>
                </a:r>
              </a:p>
            </c:rich>
          </c:tx>
          <c:layout>
            <c:manualLayout>
              <c:xMode val="edge"/>
              <c:yMode val="edge"/>
              <c:x val="9.2643782405885441E-3"/>
              <c:y val="0.35807060275369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006704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3544362220078641"/>
          <c:y val="0.91039759046722746"/>
          <c:w val="0.51661716609916886"/>
          <c:h val="8.9602409532772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Age!$AX$1</c:f>
          <c:strCache>
            <c:ptCount val="1"/>
            <c:pt idx="0">
              <c:v>PS Core [ 05/14/2021 12:00  To  05/14/2021 12:59 ]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tx1"/>
              </a:solidFill>
              <a:latin typeface="+mn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8049323106665972E-2"/>
          <c:y val="0.13026907437810478"/>
          <c:w val="0.89094298746277933"/>
          <c:h val="0.680533761581852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Age!$AW$2</c:f>
              <c:strCache>
                <c:ptCount val="1"/>
                <c:pt idx="0">
                  <c:v>2G &amp;3G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accent4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Age!$AV$3:$AV$4</c:f>
              <c:strCache>
                <c:ptCount val="2"/>
                <c:pt idx="0">
                  <c:v>vPEPC GZ</c:v>
                </c:pt>
                <c:pt idx="1">
                  <c:v>vPEPC KT</c:v>
                </c:pt>
              </c:strCache>
            </c:strRef>
          </c:cat>
          <c:val>
            <c:numRef>
              <c:f>Age!$AW$3:$AW$4</c:f>
              <c:numCache>
                <c:formatCode>0.0</c:formatCode>
                <c:ptCount val="2"/>
                <c:pt idx="0">
                  <c:v>20348</c:v>
                </c:pt>
                <c:pt idx="1">
                  <c:v>20051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29-45E0-9372-991AACAA68C6}"/>
            </c:ext>
          </c:extLst>
        </c:ser>
        <c:ser>
          <c:idx val="1"/>
          <c:order val="1"/>
          <c:tx>
            <c:strRef>
              <c:f>Age!$AX$2</c:f>
              <c:strCache>
                <c:ptCount val="1"/>
                <c:pt idx="0">
                  <c:v>4G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accent1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Age!$AV$3:$AV$4</c:f>
              <c:strCache>
                <c:ptCount val="2"/>
                <c:pt idx="0">
                  <c:v>vPEPC GZ</c:v>
                </c:pt>
                <c:pt idx="1">
                  <c:v>vPEPC KT</c:v>
                </c:pt>
              </c:strCache>
            </c:strRef>
          </c:cat>
          <c:val>
            <c:numRef>
              <c:f>Age!$AX$3:$AX$4</c:f>
              <c:numCache>
                <c:formatCode>0.0</c:formatCode>
                <c:ptCount val="2"/>
                <c:pt idx="0">
                  <c:v>55026.193307472</c:v>
                </c:pt>
                <c:pt idx="1">
                  <c:v>54923.081182879003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329-45E0-9372-991AACAA68C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67"/>
        <c:overlap val="-43"/>
        <c:axId val="871826272"/>
        <c:axId val="871820864"/>
      </c:barChart>
      <c:catAx>
        <c:axId val="871826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cap="none" spc="0" normalizeH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1820864"/>
        <c:crosses val="autoZero"/>
        <c:auto val="1"/>
        <c:lblAlgn val="ctr"/>
        <c:lblOffset val="100"/>
        <c:noMultiLvlLbl val="0"/>
      </c:catAx>
      <c:valAx>
        <c:axId val="871820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>
                    <a:solidFill>
                      <a:schemeClr val="tx1"/>
                    </a:solidFill>
                  </a:rPr>
                  <a:t>GB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\ \K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1826272"/>
        <c:crosses val="autoZero"/>
        <c:crossBetween val="between"/>
        <c:dispUnits>
          <c:builtInUnit val="thousands"/>
          <c:dispUnitsLbl>
            <c:layout/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9870168604001616"/>
          <c:y val="0.90997981800418348"/>
          <c:w val="0.29389819640836068"/>
          <c:h val="7.134313461641217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Age!$W$31</c:f>
          <c:strCache>
            <c:ptCount val="1"/>
            <c:pt idx="0">
              <c:v>vEPC_GZ 2G, 3G &amp; 4G</c:v>
            </c:pt>
          </c:strCache>
        </c:strRef>
      </c:tx>
      <c:layout>
        <c:manualLayout>
          <c:xMode val="edge"/>
          <c:yMode val="edge"/>
          <c:x val="0.4175874323064061"/>
          <c:y val="1.90476190476190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spc="0" normalizeH="0" baseline="0">
              <a:solidFill>
                <a:schemeClr val="tx1"/>
              </a:solidFill>
              <a:latin typeface="+mn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743173804717048"/>
          <c:y val="0.14751243781094528"/>
          <c:w val="0.85404017863229764"/>
          <c:h val="0.61691738532683416"/>
        </c:manualLayout>
      </c:layout>
      <c:lineChart>
        <c:grouping val="standard"/>
        <c:varyColors val="0"/>
        <c:ser>
          <c:idx val="0"/>
          <c:order val="0"/>
          <c:tx>
            <c:strRef>
              <c:f>Age!$W$1</c:f>
              <c:strCache>
                <c:ptCount val="1"/>
                <c:pt idx="0">
                  <c:v>Day -7</c:v>
                </c:pt>
              </c:strCache>
            </c:strRef>
          </c:tx>
          <c:spPr>
            <a:ln w="3492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Age!$V$32:$V$55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Age!$W$32:$W$55</c:f>
              <c:numCache>
                <c:formatCode>General</c:formatCode>
                <c:ptCount val="24"/>
                <c:pt idx="0">
                  <c:v>63456.023856148</c:v>
                </c:pt>
                <c:pt idx="1">
                  <c:v>42245.107363250005</c:v>
                </c:pt>
                <c:pt idx="2">
                  <c:v>27367.593744064001</c:v>
                </c:pt>
                <c:pt idx="3">
                  <c:v>24415.160623257001</c:v>
                </c:pt>
                <c:pt idx="4">
                  <c:v>27669.671503243</c:v>
                </c:pt>
                <c:pt idx="5">
                  <c:v>16215.618468772</c:v>
                </c:pt>
                <c:pt idx="6">
                  <c:v>18182.239457296</c:v>
                </c:pt>
                <c:pt idx="7">
                  <c:v>28471.782959926</c:v>
                </c:pt>
                <c:pt idx="8">
                  <c:v>41005.652389555995</c:v>
                </c:pt>
                <c:pt idx="9">
                  <c:v>51983.376589687003</c:v>
                </c:pt>
                <c:pt idx="10">
                  <c:v>60507.334257292998</c:v>
                </c:pt>
                <c:pt idx="11">
                  <c:v>64105.653894527997</c:v>
                </c:pt>
                <c:pt idx="12">
                  <c:v>57257.772558226003</c:v>
                </c:pt>
                <c:pt idx="13">
                  <c:v>47775.063332555997</c:v>
                </c:pt>
                <c:pt idx="14">
                  <c:v>69934.206342438003</c:v>
                </c:pt>
                <c:pt idx="15">
                  <c:v>70982.724755255011</c:v>
                </c:pt>
                <c:pt idx="16">
                  <c:v>63877.833322418002</c:v>
                </c:pt>
                <c:pt idx="17">
                  <c:v>57369.485056885002</c:v>
                </c:pt>
                <c:pt idx="18">
                  <c:v>48708.793604735001</c:v>
                </c:pt>
                <c:pt idx="19">
                  <c:v>71635.572576912004</c:v>
                </c:pt>
                <c:pt idx="20">
                  <c:v>73532.105551407993</c:v>
                </c:pt>
                <c:pt idx="21">
                  <c:v>77926.083258489001</c:v>
                </c:pt>
                <c:pt idx="22">
                  <c:v>81017.101889726997</c:v>
                </c:pt>
                <c:pt idx="23">
                  <c:v>73977.866137099001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163-4439-8EE8-5CA3D4E89358}"/>
            </c:ext>
          </c:extLst>
        </c:ser>
        <c:ser>
          <c:idx val="1"/>
          <c:order val="1"/>
          <c:tx>
            <c:strRef>
              <c:f>Age!$AE$1</c:f>
              <c:strCache>
                <c:ptCount val="1"/>
                <c:pt idx="0">
                  <c:v>Day -1</c:v>
                </c:pt>
              </c:strCache>
            </c:strRef>
          </c:tx>
          <c:spPr>
            <a:ln w="3492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Age!$V$32:$V$55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Age!$AA$32:$AA$55</c:f>
              <c:numCache>
                <c:formatCode>General</c:formatCode>
                <c:ptCount val="24"/>
                <c:pt idx="0">
                  <c:v>62495.012927534</c:v>
                </c:pt>
                <c:pt idx="1">
                  <c:v>45037.155373041998</c:v>
                </c:pt>
                <c:pt idx="2">
                  <c:v>30556.513450373001</c:v>
                </c:pt>
                <c:pt idx="3">
                  <c:v>28301.339227101998</c:v>
                </c:pt>
                <c:pt idx="4">
                  <c:v>31077.482199806</c:v>
                </c:pt>
                <c:pt idx="5">
                  <c:v>18662.680781343999</c:v>
                </c:pt>
                <c:pt idx="6">
                  <c:v>22124.592013224999</c:v>
                </c:pt>
                <c:pt idx="7">
                  <c:v>34612.801397777002</c:v>
                </c:pt>
                <c:pt idx="8">
                  <c:v>48336.312703939999</c:v>
                </c:pt>
                <c:pt idx="9">
                  <c:v>59067.424186547003</c:v>
                </c:pt>
                <c:pt idx="10">
                  <c:v>64597.909673314003</c:v>
                </c:pt>
                <c:pt idx="11">
                  <c:v>67419.282565521004</c:v>
                </c:pt>
                <c:pt idx="12">
                  <c:v>67933.706146491997</c:v>
                </c:pt>
                <c:pt idx="13">
                  <c:v>63377.590053895998</c:v>
                </c:pt>
                <c:pt idx="14">
                  <c:v>68680.395208992006</c:v>
                </c:pt>
                <c:pt idx="15">
                  <c:v>71804.16620146099</c:v>
                </c:pt>
                <c:pt idx="16">
                  <c:v>69125.068454929002</c:v>
                </c:pt>
                <c:pt idx="17">
                  <c:v>63812.322674638999</c:v>
                </c:pt>
                <c:pt idx="18">
                  <c:v>54328.861769684998</c:v>
                </c:pt>
                <c:pt idx="19">
                  <c:v>69027.630369988008</c:v>
                </c:pt>
                <c:pt idx="20">
                  <c:v>72450.742175658001</c:v>
                </c:pt>
                <c:pt idx="21">
                  <c:v>77507.182828759003</c:v>
                </c:pt>
                <c:pt idx="22">
                  <c:v>81255.913673272007</c:v>
                </c:pt>
                <c:pt idx="23">
                  <c:v>80582.993319786008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163-4439-8EE8-5CA3D4E89358}"/>
            </c:ext>
          </c:extLst>
        </c:ser>
        <c:ser>
          <c:idx val="2"/>
          <c:order val="2"/>
          <c:tx>
            <c:strRef>
              <c:f>Age!$AM$1</c:f>
              <c:strCache>
                <c:ptCount val="1"/>
                <c:pt idx="0">
                  <c:v>Today</c:v>
                </c:pt>
              </c:strCache>
            </c:strRef>
          </c:tx>
          <c:spPr>
            <a:ln w="3492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Age!$V$32:$V$55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Age!$AE$32:$AE$55</c:f>
              <c:numCache>
                <c:formatCode>General</c:formatCode>
                <c:ptCount val="24"/>
                <c:pt idx="0">
                  <c:v>68929.004618113002</c:v>
                </c:pt>
                <c:pt idx="1">
                  <c:v>52037.020674975996</c:v>
                </c:pt>
                <c:pt idx="2">
                  <c:v>35462.133089309005</c:v>
                </c:pt>
                <c:pt idx="3">
                  <c:v>23049.308200898999</c:v>
                </c:pt>
                <c:pt idx="4">
                  <c:v>14671.416854769999</c:v>
                </c:pt>
                <c:pt idx="5">
                  <c:v>24646.472398752001</c:v>
                </c:pt>
                <c:pt idx="6">
                  <c:v>38236.428249570999</c:v>
                </c:pt>
                <c:pt idx="7">
                  <c:v>38613.390287923001</c:v>
                </c:pt>
                <c:pt idx="8">
                  <c:v>38809.964188213002</c:v>
                </c:pt>
                <c:pt idx="9">
                  <c:v>59419.288455729999</c:v>
                </c:pt>
                <c:pt idx="10">
                  <c:v>74085.655957875002</c:v>
                </c:pt>
                <c:pt idx="11">
                  <c:v>78439.355531977999</c:v>
                </c:pt>
                <c:pt idx="12">
                  <c:v>75374.193307472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163-4439-8EE8-5CA3D4E893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7006704"/>
        <c:axId val="607000464"/>
      </c:lineChart>
      <c:catAx>
        <c:axId val="6070067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dk1">
                  <a:lumMod val="15000"/>
                  <a:lumOff val="85000"/>
                  <a:alpha val="51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000464"/>
        <c:crosses val="autoZero"/>
        <c:auto val="1"/>
        <c:lblAlgn val="ctr"/>
        <c:lblOffset val="100"/>
        <c:noMultiLvlLbl val="0"/>
      </c:catAx>
      <c:valAx>
        <c:axId val="607000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0">
                    <a:solidFill>
                      <a:schemeClr val="tx1"/>
                    </a:solidFill>
                  </a:rPr>
                  <a:t>GB</a:t>
                </a:r>
              </a:p>
            </c:rich>
          </c:tx>
          <c:layout>
            <c:manualLayout>
              <c:xMode val="edge"/>
              <c:yMode val="edge"/>
              <c:x val="4.3146462763692574E-3"/>
              <c:y val="0.35807060275369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006704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3544362220078641"/>
          <c:y val="0.91039759046722746"/>
          <c:w val="0.51661716609916886"/>
          <c:h val="8.9602409532772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Age!$X$31</c:f>
          <c:strCache>
            <c:ptCount val="1"/>
            <c:pt idx="0">
              <c:v>vEPC_KT 2G, 3G &amp; 4G</c:v>
            </c:pt>
          </c:strCache>
        </c:strRef>
      </c:tx>
      <c:layout>
        <c:manualLayout>
          <c:xMode val="edge"/>
          <c:yMode val="edge"/>
          <c:x val="0.4175874323064061"/>
          <c:y val="1.90476190476190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spc="0" normalizeH="0" baseline="0">
              <a:solidFill>
                <a:schemeClr val="tx1"/>
              </a:solidFill>
              <a:latin typeface="+mn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743173804717048"/>
          <c:y val="0.14751243781094528"/>
          <c:w val="0.85404017863229764"/>
          <c:h val="0.61691738532683416"/>
        </c:manualLayout>
      </c:layout>
      <c:lineChart>
        <c:grouping val="standard"/>
        <c:varyColors val="0"/>
        <c:ser>
          <c:idx val="0"/>
          <c:order val="0"/>
          <c:tx>
            <c:strRef>
              <c:f>Age!$W$1</c:f>
              <c:strCache>
                <c:ptCount val="1"/>
                <c:pt idx="0">
                  <c:v>Day -7</c:v>
                </c:pt>
              </c:strCache>
            </c:strRef>
          </c:tx>
          <c:spPr>
            <a:ln w="3492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Age!$V$32:$V$55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Age!$X$32:$X$55</c:f>
              <c:numCache>
                <c:formatCode>General</c:formatCode>
                <c:ptCount val="24"/>
                <c:pt idx="0">
                  <c:v>53824.262139879</c:v>
                </c:pt>
                <c:pt idx="1">
                  <c:v>37005.834579931005</c:v>
                </c:pt>
                <c:pt idx="2">
                  <c:v>24418.000783656</c:v>
                </c:pt>
                <c:pt idx="3">
                  <c:v>22010.240295463998</c:v>
                </c:pt>
                <c:pt idx="4">
                  <c:v>25375.621350902999</c:v>
                </c:pt>
                <c:pt idx="5">
                  <c:v>14900.298146814001</c:v>
                </c:pt>
                <c:pt idx="6">
                  <c:v>17011.229172369</c:v>
                </c:pt>
                <c:pt idx="7">
                  <c:v>26660.214012057</c:v>
                </c:pt>
                <c:pt idx="8">
                  <c:v>38471.457626625997</c:v>
                </c:pt>
                <c:pt idx="9">
                  <c:v>49064.219789903</c:v>
                </c:pt>
                <c:pt idx="10">
                  <c:v>57559.456818343999</c:v>
                </c:pt>
                <c:pt idx="11">
                  <c:v>61122.455061314999</c:v>
                </c:pt>
                <c:pt idx="12">
                  <c:v>54853.217670496997</c:v>
                </c:pt>
                <c:pt idx="13">
                  <c:v>45548.734343657001</c:v>
                </c:pt>
                <c:pt idx="14">
                  <c:v>67402.319450684998</c:v>
                </c:pt>
                <c:pt idx="15">
                  <c:v>68756.853113730001</c:v>
                </c:pt>
                <c:pt idx="16">
                  <c:v>62546.918992022998</c:v>
                </c:pt>
                <c:pt idx="17">
                  <c:v>55789.960937967</c:v>
                </c:pt>
                <c:pt idx="18">
                  <c:v>47661.946382941998</c:v>
                </c:pt>
                <c:pt idx="19">
                  <c:v>69896.246660089004</c:v>
                </c:pt>
                <c:pt idx="20">
                  <c:v>72421.295162769005</c:v>
                </c:pt>
                <c:pt idx="21">
                  <c:v>76771.013524712995</c:v>
                </c:pt>
                <c:pt idx="22">
                  <c:v>80675.418544699991</c:v>
                </c:pt>
                <c:pt idx="23">
                  <c:v>74994.328058092011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84-4D89-8D1B-E94C6197966D}"/>
            </c:ext>
          </c:extLst>
        </c:ser>
        <c:ser>
          <c:idx val="1"/>
          <c:order val="1"/>
          <c:tx>
            <c:strRef>
              <c:f>Age!$AE$1</c:f>
              <c:strCache>
                <c:ptCount val="1"/>
                <c:pt idx="0">
                  <c:v>Day -1</c:v>
                </c:pt>
              </c:strCache>
            </c:strRef>
          </c:tx>
          <c:spPr>
            <a:ln w="3492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Age!$V$32:$V$55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Age!$AB$32:$AB$55</c:f>
              <c:numCache>
                <c:formatCode>General</c:formatCode>
                <c:ptCount val="24"/>
                <c:pt idx="0">
                  <c:v>62747.484149395998</c:v>
                </c:pt>
                <c:pt idx="1">
                  <c:v>44657.272737381005</c:v>
                </c:pt>
                <c:pt idx="2">
                  <c:v>30406.119258638999</c:v>
                </c:pt>
                <c:pt idx="3">
                  <c:v>27927.957530625001</c:v>
                </c:pt>
                <c:pt idx="4">
                  <c:v>31049.168359714</c:v>
                </c:pt>
                <c:pt idx="5">
                  <c:v>18555.235901631</c:v>
                </c:pt>
                <c:pt idx="6">
                  <c:v>21839.977133706998</c:v>
                </c:pt>
                <c:pt idx="7">
                  <c:v>34480.775199976</c:v>
                </c:pt>
                <c:pt idx="8">
                  <c:v>48327.825807050001</c:v>
                </c:pt>
                <c:pt idx="9">
                  <c:v>58656.672635010997</c:v>
                </c:pt>
                <c:pt idx="10">
                  <c:v>64050.797421201998</c:v>
                </c:pt>
                <c:pt idx="11">
                  <c:v>67163.460986677004</c:v>
                </c:pt>
                <c:pt idx="12">
                  <c:v>67956.690551152002</c:v>
                </c:pt>
                <c:pt idx="13">
                  <c:v>63095.883176258001</c:v>
                </c:pt>
                <c:pt idx="14">
                  <c:v>68252.025564281998</c:v>
                </c:pt>
                <c:pt idx="15">
                  <c:v>71459.630608039006</c:v>
                </c:pt>
                <c:pt idx="16">
                  <c:v>68678.592480463005</c:v>
                </c:pt>
                <c:pt idx="17">
                  <c:v>63739.518748691997</c:v>
                </c:pt>
                <c:pt idx="18">
                  <c:v>54027.367818348997</c:v>
                </c:pt>
                <c:pt idx="19">
                  <c:v>69195.912321139011</c:v>
                </c:pt>
                <c:pt idx="20">
                  <c:v>72504.338343248994</c:v>
                </c:pt>
                <c:pt idx="21">
                  <c:v>77990.749872146</c:v>
                </c:pt>
                <c:pt idx="22">
                  <c:v>81984.26906565699</c:v>
                </c:pt>
                <c:pt idx="23">
                  <c:v>80817.724479197001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784-4D89-8D1B-E94C6197966D}"/>
            </c:ext>
          </c:extLst>
        </c:ser>
        <c:ser>
          <c:idx val="2"/>
          <c:order val="2"/>
          <c:tx>
            <c:strRef>
              <c:f>Age!$AM$1</c:f>
              <c:strCache>
                <c:ptCount val="1"/>
                <c:pt idx="0">
                  <c:v>Today</c:v>
                </c:pt>
              </c:strCache>
            </c:strRef>
          </c:tx>
          <c:spPr>
            <a:ln w="3492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Age!$V$32:$V$55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Age!$AF$32:$AF$55</c:f>
              <c:numCache>
                <c:formatCode>General</c:formatCode>
                <c:ptCount val="24"/>
                <c:pt idx="0">
                  <c:v>68907.939079447999</c:v>
                </c:pt>
                <c:pt idx="1">
                  <c:v>52187.821497486999</c:v>
                </c:pt>
                <c:pt idx="2">
                  <c:v>35647.007099377995</c:v>
                </c:pt>
                <c:pt idx="3">
                  <c:v>23053.409846915001</c:v>
                </c:pt>
                <c:pt idx="4">
                  <c:v>14876.389541037001</c:v>
                </c:pt>
                <c:pt idx="5">
                  <c:v>24742.833256181999</c:v>
                </c:pt>
                <c:pt idx="6">
                  <c:v>38249.029981015003</c:v>
                </c:pt>
                <c:pt idx="7">
                  <c:v>38732.878847219996</c:v>
                </c:pt>
                <c:pt idx="8">
                  <c:v>38702.157342477003</c:v>
                </c:pt>
                <c:pt idx="9">
                  <c:v>59100.830648968004</c:v>
                </c:pt>
                <c:pt idx="10">
                  <c:v>74294.891616356006</c:v>
                </c:pt>
                <c:pt idx="11">
                  <c:v>78167.735764882993</c:v>
                </c:pt>
                <c:pt idx="12">
                  <c:v>74974.081182879003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784-4D89-8D1B-E94C61979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7006704"/>
        <c:axId val="607000464"/>
      </c:lineChart>
      <c:catAx>
        <c:axId val="6070067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dk1">
                  <a:lumMod val="15000"/>
                  <a:lumOff val="85000"/>
                  <a:alpha val="51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000464"/>
        <c:crosses val="autoZero"/>
        <c:auto val="1"/>
        <c:lblAlgn val="ctr"/>
        <c:lblOffset val="100"/>
        <c:noMultiLvlLbl val="0"/>
      </c:catAx>
      <c:valAx>
        <c:axId val="607000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0">
                    <a:solidFill>
                      <a:schemeClr val="tx1"/>
                    </a:solidFill>
                  </a:rPr>
                  <a:t>GB</a:t>
                </a:r>
              </a:p>
            </c:rich>
          </c:tx>
          <c:layout>
            <c:manualLayout>
              <c:xMode val="edge"/>
              <c:yMode val="edge"/>
              <c:x val="4.3146462763692574E-3"/>
              <c:y val="0.35807060275369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006704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3544362220078641"/>
          <c:y val="0.91039759046722746"/>
          <c:w val="0.51661716609916886"/>
          <c:h val="8.9602409532772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Age!$Z$31</c:f>
          <c:strCache>
            <c:ptCount val="1"/>
            <c:pt idx="0">
              <c:v>PS Core status [GZ &amp; KT]</c:v>
            </c:pt>
          </c:strCache>
        </c:strRef>
      </c:tx>
      <c:layout>
        <c:manualLayout>
          <c:xMode val="edge"/>
          <c:yMode val="edge"/>
          <c:x val="0.19562904019948862"/>
          <c:y val="1.90474459923278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spc="0" normalizeH="0" baseline="0">
              <a:solidFill>
                <a:schemeClr val="tx1"/>
              </a:solidFill>
              <a:latin typeface="+mn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743173804717048"/>
          <c:y val="0.14751243781094528"/>
          <c:w val="0.85404017863229764"/>
          <c:h val="0.61691738532683416"/>
        </c:manualLayout>
      </c:layout>
      <c:lineChart>
        <c:grouping val="standard"/>
        <c:varyColors val="0"/>
        <c:ser>
          <c:idx val="0"/>
          <c:order val="0"/>
          <c:tx>
            <c:strRef>
              <c:f>Age!$W$1</c:f>
              <c:strCache>
                <c:ptCount val="1"/>
                <c:pt idx="0">
                  <c:v>Day -7</c:v>
                </c:pt>
              </c:strCache>
            </c:strRef>
          </c:tx>
          <c:spPr>
            <a:ln w="3492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Age!$V$32:$V$55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Age!$Z$32:$Z$55</c:f>
              <c:numCache>
                <c:formatCode>General</c:formatCode>
                <c:ptCount val="24"/>
                <c:pt idx="0">
                  <c:v>117.280285996027</c:v>
                </c:pt>
                <c:pt idx="1">
                  <c:v>79.250941943181004</c:v>
                </c:pt>
                <c:pt idx="2">
                  <c:v>51.785594527720001</c:v>
                </c:pt>
                <c:pt idx="3">
                  <c:v>46.425400918721003</c:v>
                </c:pt>
                <c:pt idx="4">
                  <c:v>53.045292854145998</c:v>
                </c:pt>
                <c:pt idx="5">
                  <c:v>31.115916615585999</c:v>
                </c:pt>
                <c:pt idx="6">
                  <c:v>35.193468629665006</c:v>
                </c:pt>
                <c:pt idx="7">
                  <c:v>55.131996971983</c:v>
                </c:pt>
                <c:pt idx="8">
                  <c:v>79.477110016181996</c:v>
                </c:pt>
                <c:pt idx="9">
                  <c:v>101.04759637959</c:v>
                </c:pt>
                <c:pt idx="10">
                  <c:v>118.066791075637</c:v>
                </c:pt>
                <c:pt idx="11">
                  <c:v>125.228108955843</c:v>
                </c:pt>
                <c:pt idx="12">
                  <c:v>112.11099022872301</c:v>
                </c:pt>
                <c:pt idx="13">
                  <c:v>93.323797676213005</c:v>
                </c:pt>
                <c:pt idx="14">
                  <c:v>137.336525793123</c:v>
                </c:pt>
                <c:pt idx="15">
                  <c:v>139.73957786898501</c:v>
                </c:pt>
                <c:pt idx="16">
                  <c:v>126.42475231444099</c:v>
                </c:pt>
                <c:pt idx="17">
                  <c:v>113.15944599485199</c:v>
                </c:pt>
                <c:pt idx="18">
                  <c:v>96.370739987676998</c:v>
                </c:pt>
                <c:pt idx="19">
                  <c:v>141.531819237001</c:v>
                </c:pt>
                <c:pt idx="20">
                  <c:v>145.95340071417701</c:v>
                </c:pt>
                <c:pt idx="21">
                  <c:v>154.697096783202</c:v>
                </c:pt>
                <c:pt idx="22">
                  <c:v>161.692520434427</c:v>
                </c:pt>
                <c:pt idx="23">
                  <c:v>148.97219419519104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AC-47E3-936F-510640F0E0D5}"/>
            </c:ext>
          </c:extLst>
        </c:ser>
        <c:ser>
          <c:idx val="1"/>
          <c:order val="1"/>
          <c:tx>
            <c:strRef>
              <c:f>Age!$AE$1</c:f>
              <c:strCache>
                <c:ptCount val="1"/>
                <c:pt idx="0">
                  <c:v>Day -1</c:v>
                </c:pt>
              </c:strCache>
            </c:strRef>
          </c:tx>
          <c:spPr>
            <a:ln w="3492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Age!$V$32:$V$55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Age!$AD$32:$AD$55</c:f>
              <c:numCache>
                <c:formatCode>General</c:formatCode>
                <c:ptCount val="24"/>
                <c:pt idx="0">
                  <c:v>125.24249707692999</c:v>
                </c:pt>
                <c:pt idx="1">
                  <c:v>89.694428110423004</c:v>
                </c:pt>
                <c:pt idx="2">
                  <c:v>60.962632709012006</c:v>
                </c:pt>
                <c:pt idx="3">
                  <c:v>56.229296757727006</c:v>
                </c:pt>
                <c:pt idx="4">
                  <c:v>62.126650559520002</c:v>
                </c:pt>
                <c:pt idx="5">
                  <c:v>37.217916682975002</c:v>
                </c:pt>
                <c:pt idx="6">
                  <c:v>43.964569146932</c:v>
                </c:pt>
                <c:pt idx="7">
                  <c:v>69.093576597753014</c:v>
                </c:pt>
                <c:pt idx="8">
                  <c:v>96.66413851099</c:v>
                </c:pt>
                <c:pt idx="9">
                  <c:v>117.72409682155799</c:v>
                </c:pt>
                <c:pt idx="10">
                  <c:v>128.648707094516</c:v>
                </c:pt>
                <c:pt idx="11">
                  <c:v>134.582743552198</c:v>
                </c:pt>
                <c:pt idx="12">
                  <c:v>135.89039669764401</c:v>
                </c:pt>
                <c:pt idx="13">
                  <c:v>126.47347323015399</c:v>
                </c:pt>
                <c:pt idx="14">
                  <c:v>136.932420773274</c:v>
                </c:pt>
                <c:pt idx="15">
                  <c:v>143.26379680950001</c:v>
                </c:pt>
                <c:pt idx="16">
                  <c:v>137.80366093539203</c:v>
                </c:pt>
                <c:pt idx="17">
                  <c:v>127.551841423331</c:v>
                </c:pt>
                <c:pt idx="18">
                  <c:v>108.356229588034</c:v>
                </c:pt>
                <c:pt idx="19">
                  <c:v>138.22354269112702</c:v>
                </c:pt>
                <c:pt idx="20">
                  <c:v>144.95508051890698</c:v>
                </c:pt>
                <c:pt idx="21">
                  <c:v>155.49793270090501</c:v>
                </c:pt>
                <c:pt idx="22">
                  <c:v>163.24018273892901</c:v>
                </c:pt>
                <c:pt idx="23">
                  <c:v>161.40071779898301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7AC-47E3-936F-510640F0E0D5}"/>
            </c:ext>
          </c:extLst>
        </c:ser>
        <c:ser>
          <c:idx val="2"/>
          <c:order val="2"/>
          <c:tx>
            <c:strRef>
              <c:f>Age!$AM$1</c:f>
              <c:strCache>
                <c:ptCount val="1"/>
                <c:pt idx="0">
                  <c:v>Today</c:v>
                </c:pt>
              </c:strCache>
            </c:strRef>
          </c:tx>
          <c:spPr>
            <a:ln w="3492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Age!$V$32:$V$55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Age!$AH$32:$AH$55</c:f>
              <c:numCache>
                <c:formatCode>General</c:formatCode>
                <c:ptCount val="24"/>
                <c:pt idx="0">
                  <c:v>137.836943697561</c:v>
                </c:pt>
                <c:pt idx="1">
                  <c:v>104.22484217246298</c:v>
                </c:pt>
                <c:pt idx="2">
                  <c:v>71.109140188687007</c:v>
                </c:pt>
                <c:pt idx="3">
                  <c:v>46.102718047814001</c:v>
                </c:pt>
                <c:pt idx="4">
                  <c:v>29.547806395806997</c:v>
                </c:pt>
                <c:pt idx="5">
                  <c:v>49.389305654933999</c:v>
                </c:pt>
                <c:pt idx="6">
                  <c:v>76.485458230585991</c:v>
                </c:pt>
                <c:pt idx="7">
                  <c:v>77.34626913514299</c:v>
                </c:pt>
                <c:pt idx="8">
                  <c:v>77.512121530689996</c:v>
                </c:pt>
                <c:pt idx="9">
                  <c:v>118.52011910469801</c:v>
                </c:pt>
                <c:pt idx="10">
                  <c:v>148.380547574231</c:v>
                </c:pt>
                <c:pt idx="11">
                  <c:v>156.607091296861</c:v>
                </c:pt>
                <c:pt idx="12">
                  <c:v>150.348274490351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7AC-47E3-936F-510640F0E0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7006704"/>
        <c:axId val="607000464"/>
      </c:lineChart>
      <c:catAx>
        <c:axId val="6070067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dk1">
                  <a:lumMod val="15000"/>
                  <a:lumOff val="85000"/>
                  <a:alpha val="51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000464"/>
        <c:crosses val="autoZero"/>
        <c:auto val="1"/>
        <c:lblAlgn val="ctr"/>
        <c:lblOffset val="100"/>
        <c:noMultiLvlLbl val="0"/>
      </c:catAx>
      <c:valAx>
        <c:axId val="607000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0">
                    <a:solidFill>
                      <a:schemeClr val="tx1"/>
                    </a:solidFill>
                  </a:rPr>
                  <a:t>TB</a:t>
                </a:r>
              </a:p>
            </c:rich>
          </c:tx>
          <c:layout>
            <c:manualLayout>
              <c:xMode val="edge"/>
              <c:yMode val="edge"/>
              <c:x val="4.3146462763692574E-3"/>
              <c:y val="0.35807060275369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006704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3544362220078641"/>
          <c:y val="0.91039759046722746"/>
          <c:w val="0.51661716609916886"/>
          <c:h val="8.9602409532772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Age!$Y$57</c:f>
          <c:strCache>
            <c:ptCount val="1"/>
            <c:pt idx="0">
              <c:v>PS Core Status  [ 05/07/2021 00:00  To  05/14/2021 12:59 ]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ysClr val="windowText" lastClr="000000"/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accent5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Age!$W$59:$W$61</c:f>
              <c:strCache>
                <c:ptCount val="3"/>
                <c:pt idx="0">
                  <c:v>Day -7 [24 Hrs]</c:v>
                </c:pt>
                <c:pt idx="1">
                  <c:v>Day -1 [24 Hrs]</c:v>
                </c:pt>
                <c:pt idx="2">
                  <c:v>Today</c:v>
                </c:pt>
              </c:strCache>
            </c:strRef>
          </c:cat>
          <c:val>
            <c:numRef>
              <c:f>Age!$X$59:$X$61</c:f>
              <c:numCache>
                <c:formatCode>0.0</c:formatCode>
                <c:ptCount val="3"/>
                <c:pt idx="0">
                  <c:v>2464.3613661122931</c:v>
                </c:pt>
                <c:pt idx="1">
                  <c:v>2701.740529526714</c:v>
                </c:pt>
                <c:pt idx="2">
                  <c:v>1243.410637519826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42F-45EB-9C60-9A43C9DA4E00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67"/>
        <c:overlap val="-43"/>
        <c:axId val="1358498656"/>
        <c:axId val="1451034592"/>
      </c:barChart>
      <c:catAx>
        <c:axId val="13584986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cap="none" spc="0" normalizeH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1034592"/>
        <c:crosses val="autoZero"/>
        <c:auto val="1"/>
        <c:lblAlgn val="ctr"/>
        <c:lblOffset val="100"/>
        <c:noMultiLvlLbl val="0"/>
      </c:catAx>
      <c:valAx>
        <c:axId val="14510345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000" b="1">
                    <a:solidFill>
                      <a:sysClr val="windowText" lastClr="000000"/>
                    </a:solidFill>
                  </a:rPr>
                  <a:t>TB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0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8498656"/>
        <c:crosses val="autoZero"/>
        <c:crossBetween val="between"/>
        <c:majorUnit val="1000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Age!$W$65</c:f>
          <c:strCache>
            <c:ptCount val="1"/>
            <c:pt idx="0">
              <c:v>PS Core Status  [ 05/07/2021 00:00  To  05/14/2021 12:59 ]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none" spc="0" normalizeH="0" baseline="0">
              <a:solidFill>
                <a:schemeClr val="tx1"/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Age!$W$66</c:f>
              <c:strCache>
                <c:ptCount val="1"/>
                <c:pt idx="0">
                  <c:v>Day -7 [24 Hrs]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bg1">
                  <a:lumMod val="50000"/>
                </a:schemeClr>
              </a:solidFill>
            </a:ln>
            <a:effectLst/>
          </c:spPr>
          <c:invertIfNegative val="0"/>
          <c:dLbls>
            <c:spPr>
              <a:solidFill>
                <a:schemeClr val="accent1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Age!$X$65:$Y$65</c:f>
              <c:strCache>
                <c:ptCount val="2"/>
                <c:pt idx="0">
                  <c:v>2G &amp; 3G</c:v>
                </c:pt>
                <c:pt idx="1">
                  <c:v>4G</c:v>
                </c:pt>
              </c:strCache>
            </c:strRef>
          </c:cat>
          <c:val>
            <c:numRef>
              <c:f>Age!$X$66:$Y$66</c:f>
              <c:numCache>
                <c:formatCode>0.0</c:formatCode>
                <c:ptCount val="2"/>
                <c:pt idx="0">
                  <c:v>679.36199999999997</c:v>
                </c:pt>
                <c:pt idx="1">
                  <c:v>1784.999366112293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F1-4A57-9D94-E6685B4EE1D2}"/>
            </c:ext>
          </c:extLst>
        </c:ser>
        <c:ser>
          <c:idx val="1"/>
          <c:order val="1"/>
          <c:tx>
            <c:strRef>
              <c:f>Age!$W$67</c:f>
              <c:strCache>
                <c:ptCount val="1"/>
                <c:pt idx="0">
                  <c:v>Day -1 [24 Hrs]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accent1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Age!$X$65:$Y$65</c:f>
              <c:strCache>
                <c:ptCount val="2"/>
                <c:pt idx="0">
                  <c:v>2G &amp; 3G</c:v>
                </c:pt>
                <c:pt idx="1">
                  <c:v>4G</c:v>
                </c:pt>
              </c:strCache>
            </c:strRef>
          </c:cat>
          <c:val>
            <c:numRef>
              <c:f>Age!$X$67:$Y$67</c:f>
              <c:numCache>
                <c:formatCode>0.0</c:formatCode>
                <c:ptCount val="2"/>
                <c:pt idx="0">
                  <c:v>742.28399999999999</c:v>
                </c:pt>
                <c:pt idx="1">
                  <c:v>1959.4565295267139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9F1-4A57-9D94-E6685B4EE1D2}"/>
            </c:ext>
          </c:extLst>
        </c:ser>
        <c:ser>
          <c:idx val="2"/>
          <c:order val="2"/>
          <c:tx>
            <c:strRef>
              <c:f>Age!$W$68</c:f>
              <c:strCache>
                <c:ptCount val="1"/>
                <c:pt idx="0">
                  <c:v>Today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accent1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Age!$X$65:$Y$65</c:f>
              <c:strCache>
                <c:ptCount val="2"/>
                <c:pt idx="0">
                  <c:v>2G &amp; 3G</c:v>
                </c:pt>
                <c:pt idx="1">
                  <c:v>4G</c:v>
                </c:pt>
              </c:strCache>
            </c:strRef>
          </c:cat>
          <c:val>
            <c:numRef>
              <c:f>Age!$X$68:$Y$68</c:f>
              <c:numCache>
                <c:formatCode>0.0</c:formatCode>
                <c:ptCount val="2"/>
                <c:pt idx="0">
                  <c:v>348.029</c:v>
                </c:pt>
                <c:pt idx="1">
                  <c:v>895.3816375198262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9F1-4A57-9D94-E6685B4EE1D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67"/>
        <c:overlap val="-43"/>
        <c:axId val="191528671"/>
        <c:axId val="191504127"/>
      </c:barChart>
      <c:catAx>
        <c:axId val="1915286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cap="none" spc="0" normalizeH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504127"/>
        <c:crosses val="autoZero"/>
        <c:auto val="1"/>
        <c:lblAlgn val="ctr"/>
        <c:lblOffset val="100"/>
        <c:noMultiLvlLbl val="0"/>
      </c:catAx>
      <c:valAx>
        <c:axId val="1915041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>
                    <a:solidFill>
                      <a:schemeClr val="tx1"/>
                    </a:solidFill>
                  </a:rPr>
                  <a:t>TB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528671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1484624846248462"/>
          <c:y val="0.90969842746601925"/>
          <c:w val="0.6637884378843788"/>
          <c:h val="7.301050625156005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0.xml"/><Relationship Id="rId3" Type="http://schemas.openxmlformats.org/officeDocument/2006/relationships/chart" Target="../charts/chart25.xml"/><Relationship Id="rId7" Type="http://schemas.openxmlformats.org/officeDocument/2006/relationships/chart" Target="../charts/chart29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6" Type="http://schemas.openxmlformats.org/officeDocument/2006/relationships/chart" Target="../charts/chart28.xml"/><Relationship Id="rId5" Type="http://schemas.openxmlformats.org/officeDocument/2006/relationships/chart" Target="../charts/chart27.xml"/><Relationship Id="rId10" Type="http://schemas.openxmlformats.org/officeDocument/2006/relationships/chart" Target="../charts/chart32.xml"/><Relationship Id="rId4" Type="http://schemas.openxmlformats.org/officeDocument/2006/relationships/chart" Target="../charts/chart26.xml"/><Relationship Id="rId9" Type="http://schemas.openxmlformats.org/officeDocument/2006/relationships/chart" Target="../charts/chart3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600075</xdr:colOff>
      <xdr:row>12</xdr:row>
      <xdr:rowOff>105833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12</xdr:row>
      <xdr:rowOff>103189</xdr:rowOff>
    </xdr:from>
    <xdr:to>
      <xdr:col>7</xdr:col>
      <xdr:colOff>593460</xdr:colOff>
      <xdr:row>25</xdr:row>
      <xdr:rowOff>18522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0</xdr:colOff>
      <xdr:row>0</xdr:row>
      <xdr:rowOff>15875</xdr:rowOff>
    </xdr:from>
    <xdr:to>
      <xdr:col>15</xdr:col>
      <xdr:colOff>600075</xdr:colOff>
      <xdr:row>12</xdr:row>
      <xdr:rowOff>121708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603250</xdr:colOff>
      <xdr:row>12</xdr:row>
      <xdr:rowOff>95250</xdr:rowOff>
    </xdr:from>
    <xdr:to>
      <xdr:col>15</xdr:col>
      <xdr:colOff>589491</xdr:colOff>
      <xdr:row>25</xdr:row>
      <xdr:rowOff>10583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37</xdr:row>
      <xdr:rowOff>140379</xdr:rowOff>
    </xdr:from>
    <xdr:to>
      <xdr:col>12</xdr:col>
      <xdr:colOff>40063</xdr:colOff>
      <xdr:row>62</xdr:row>
      <xdr:rowOff>73479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12</xdr:col>
      <xdr:colOff>38100</xdr:colOff>
      <xdr:row>37</xdr:row>
      <xdr:rowOff>151871</xdr:rowOff>
    </xdr:from>
    <xdr:to>
      <xdr:col>23</xdr:col>
      <xdr:colOff>582385</xdr:colOff>
      <xdr:row>62</xdr:row>
      <xdr:rowOff>78921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</xdr:col>
      <xdr:colOff>603250</xdr:colOff>
      <xdr:row>10</xdr:row>
      <xdr:rowOff>74083</xdr:rowOff>
    </xdr:from>
    <xdr:to>
      <xdr:col>4</xdr:col>
      <xdr:colOff>412750</xdr:colOff>
      <xdr:row>11</xdr:row>
      <xdr:rowOff>137583</xdr:rowOff>
    </xdr:to>
    <xdr:sp macro="" textlink="">
      <xdr:nvSpPr>
        <xdr:cNvPr id="2" name="TextBox 1"/>
        <xdr:cNvSpPr txBox="1"/>
      </xdr:nvSpPr>
      <xdr:spPr>
        <a:xfrm>
          <a:off x="2444750" y="1979083"/>
          <a:ext cx="423333" cy="25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Hrs</a:t>
          </a:r>
        </a:p>
      </xdr:txBody>
    </xdr:sp>
    <xdr:clientData/>
  </xdr:twoCellAnchor>
  <xdr:twoCellAnchor>
    <xdr:from>
      <xdr:col>0</xdr:col>
      <xdr:colOff>7938</xdr:colOff>
      <xdr:row>25</xdr:row>
      <xdr:rowOff>15876</xdr:rowOff>
    </xdr:from>
    <xdr:to>
      <xdr:col>7</xdr:col>
      <xdr:colOff>592138</xdr:colOff>
      <xdr:row>37</xdr:row>
      <xdr:rowOff>111126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3970</xdr:colOff>
      <xdr:row>25</xdr:row>
      <xdr:rowOff>0</xdr:rowOff>
    </xdr:from>
    <xdr:to>
      <xdr:col>15</xdr:col>
      <xdr:colOff>587375</xdr:colOff>
      <xdr:row>37</xdr:row>
      <xdr:rowOff>105833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23</xdr:col>
      <xdr:colOff>587374</xdr:colOff>
      <xdr:row>37</xdr:row>
      <xdr:rowOff>119063</xdr:rowOff>
    </xdr:from>
    <xdr:to>
      <xdr:col>47</xdr:col>
      <xdr:colOff>571500</xdr:colOff>
      <xdr:row>62</xdr:row>
      <xdr:rowOff>68036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15</xdr:col>
      <xdr:colOff>597958</xdr:colOff>
      <xdr:row>0</xdr:row>
      <xdr:rowOff>9978</xdr:rowOff>
    </xdr:from>
    <xdr:to>
      <xdr:col>23</xdr:col>
      <xdr:colOff>578908</xdr:colOff>
      <xdr:row>12</xdr:row>
      <xdr:rowOff>105228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15</xdr:col>
      <xdr:colOff>587375</xdr:colOff>
      <xdr:row>12</xdr:row>
      <xdr:rowOff>104548</xdr:rowOff>
    </xdr:from>
    <xdr:to>
      <xdr:col>23</xdr:col>
      <xdr:colOff>578909</xdr:colOff>
      <xdr:row>25</xdr:row>
      <xdr:rowOff>9298</xdr:rowOff>
    </xdr:to>
    <xdr:graphicFrame macro="">
      <xdr:nvGraphicFramePr>
        <xdr:cNvPr id="17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23</xdr:col>
      <xdr:colOff>585788</xdr:colOff>
      <xdr:row>0</xdr:row>
      <xdr:rowOff>0</xdr:rowOff>
    </xdr:from>
    <xdr:to>
      <xdr:col>31</xdr:col>
      <xdr:colOff>574675</xdr:colOff>
      <xdr:row>12</xdr:row>
      <xdr:rowOff>95250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587376</xdr:colOff>
      <xdr:row>12</xdr:row>
      <xdr:rowOff>91848</xdr:rowOff>
    </xdr:from>
    <xdr:to>
      <xdr:col>31</xdr:col>
      <xdr:colOff>568326</xdr:colOff>
      <xdr:row>24</xdr:row>
      <xdr:rowOff>187098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571500</xdr:colOff>
      <xdr:row>0</xdr:row>
      <xdr:rowOff>0</xdr:rowOff>
    </xdr:from>
    <xdr:to>
      <xdr:col>39</xdr:col>
      <xdr:colOff>556419</xdr:colOff>
      <xdr:row>12</xdr:row>
      <xdr:rowOff>95250</xdr:rowOff>
    </xdr:to>
    <xdr:graphicFrame macro="">
      <xdr:nvGraphicFramePr>
        <xdr:cNvPr id="20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31</xdr:col>
      <xdr:colOff>571500</xdr:colOff>
      <xdr:row>12</xdr:row>
      <xdr:rowOff>89731</xdr:rowOff>
    </xdr:from>
    <xdr:to>
      <xdr:col>39</xdr:col>
      <xdr:colOff>558800</xdr:colOff>
      <xdr:row>24</xdr:row>
      <xdr:rowOff>184981</xdr:rowOff>
    </xdr:to>
    <xdr:graphicFrame macro="">
      <xdr:nvGraphicFramePr>
        <xdr:cNvPr id="21" name="Chart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555625</xdr:colOff>
      <xdr:row>0</xdr:row>
      <xdr:rowOff>6123</xdr:rowOff>
    </xdr:from>
    <xdr:to>
      <xdr:col>47</xdr:col>
      <xdr:colOff>536575</xdr:colOff>
      <xdr:row>12</xdr:row>
      <xdr:rowOff>101373</xdr:rowOff>
    </xdr:to>
    <xdr:graphicFrame macro="">
      <xdr:nvGraphicFramePr>
        <xdr:cNvPr id="22" name="Chart 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39</xdr:col>
      <xdr:colOff>555625</xdr:colOff>
      <xdr:row>12</xdr:row>
      <xdr:rowOff>101373</xdr:rowOff>
    </xdr:from>
    <xdr:to>
      <xdr:col>47</xdr:col>
      <xdr:colOff>536575</xdr:colOff>
      <xdr:row>25</xdr:row>
      <xdr:rowOff>6123</xdr:rowOff>
    </xdr:to>
    <xdr:graphicFrame macro="">
      <xdr:nvGraphicFramePr>
        <xdr:cNvPr id="23" name="Chart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15</xdr:col>
      <xdr:colOff>587375</xdr:colOff>
      <xdr:row>25</xdr:row>
      <xdr:rowOff>0</xdr:rowOff>
    </xdr:from>
    <xdr:to>
      <xdr:col>23</xdr:col>
      <xdr:colOff>568325</xdr:colOff>
      <xdr:row>37</xdr:row>
      <xdr:rowOff>95250</xdr:rowOff>
    </xdr:to>
    <xdr:graphicFrame macro="">
      <xdr:nvGraphicFramePr>
        <xdr:cNvPr id="24" name="Chart 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23</xdr:col>
      <xdr:colOff>587375</xdr:colOff>
      <xdr:row>25</xdr:row>
      <xdr:rowOff>0</xdr:rowOff>
    </xdr:from>
    <xdr:to>
      <xdr:col>31</xdr:col>
      <xdr:colOff>568325</xdr:colOff>
      <xdr:row>37</xdr:row>
      <xdr:rowOff>95250</xdr:rowOff>
    </xdr:to>
    <xdr:graphicFrame macro="">
      <xdr:nvGraphicFramePr>
        <xdr:cNvPr id="25" name="Chart 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31</xdr:col>
      <xdr:colOff>571500</xdr:colOff>
      <xdr:row>25</xdr:row>
      <xdr:rowOff>0</xdr:rowOff>
    </xdr:from>
    <xdr:to>
      <xdr:col>39</xdr:col>
      <xdr:colOff>552450</xdr:colOff>
      <xdr:row>37</xdr:row>
      <xdr:rowOff>95250</xdr:rowOff>
    </xdr:to>
    <xdr:graphicFrame macro="">
      <xdr:nvGraphicFramePr>
        <xdr:cNvPr id="26" name="Chart 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39</xdr:col>
      <xdr:colOff>555625</xdr:colOff>
      <xdr:row>25</xdr:row>
      <xdr:rowOff>0</xdr:rowOff>
    </xdr:from>
    <xdr:to>
      <xdr:col>47</xdr:col>
      <xdr:colOff>536575</xdr:colOff>
      <xdr:row>37</xdr:row>
      <xdr:rowOff>95250</xdr:rowOff>
    </xdr:to>
    <xdr:graphicFrame macro="">
      <xdr:nvGraphicFramePr>
        <xdr:cNvPr id="27" name="Chart 2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24</xdr:col>
      <xdr:colOff>0</xdr:colOff>
      <xdr:row>62</xdr:row>
      <xdr:rowOff>111125</xdr:rowOff>
    </xdr:from>
    <xdr:to>
      <xdr:col>47</xdr:col>
      <xdr:colOff>587376</xdr:colOff>
      <xdr:row>87</xdr:row>
      <xdr:rowOff>60098</xdr:rowOff>
    </xdr:to>
    <xdr:graphicFrame macro="">
      <xdr:nvGraphicFramePr>
        <xdr:cNvPr id="28" name="Chart 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0.49233</cdr:x>
      <cdr:y>0.82655</cdr:y>
    </cdr:from>
    <cdr:to>
      <cdr:x>0.57878</cdr:x>
      <cdr:y>0.93274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410883" y="1976967"/>
          <a:ext cx="423333" cy="254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 b="1"/>
            <a:t>Hrs</a:t>
          </a: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0.49233</cdr:x>
      <cdr:y>0.82655</cdr:y>
    </cdr:from>
    <cdr:to>
      <cdr:x>0.57878</cdr:x>
      <cdr:y>0.93274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410883" y="1976966"/>
          <a:ext cx="423333" cy="254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 b="1"/>
            <a:t>Hrs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0.48801</cdr:x>
      <cdr:y>0.83097</cdr:y>
    </cdr:from>
    <cdr:to>
      <cdr:x>0.57445</cdr:x>
      <cdr:y>0.93717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389717" y="1987550"/>
          <a:ext cx="423333" cy="254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 b="1"/>
            <a:t>Hrs</a:t>
          </a: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0.49233</cdr:x>
      <cdr:y>0.82655</cdr:y>
    </cdr:from>
    <cdr:to>
      <cdr:x>0.57878</cdr:x>
      <cdr:y>0.93274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410883" y="1976966"/>
          <a:ext cx="423333" cy="254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 b="1"/>
            <a:t>Hrs</a:t>
          </a: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0.49233</cdr:x>
      <cdr:y>0.82655</cdr:y>
    </cdr:from>
    <cdr:to>
      <cdr:x>0.57878</cdr:x>
      <cdr:y>0.93274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410883" y="1976966"/>
          <a:ext cx="423333" cy="254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 b="1"/>
            <a:t>Hrs</a:t>
          </a:r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0.49233</cdr:x>
      <cdr:y>0.82655</cdr:y>
    </cdr:from>
    <cdr:to>
      <cdr:x>0.57878</cdr:x>
      <cdr:y>0.93274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410883" y="1976966"/>
          <a:ext cx="423333" cy="254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 b="1"/>
            <a:t>Hrs</a:t>
          </a:r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0.49233</cdr:x>
      <cdr:y>0.82655</cdr:y>
    </cdr:from>
    <cdr:to>
      <cdr:x>0.57878</cdr:x>
      <cdr:y>0.93274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410883" y="1976966"/>
          <a:ext cx="423333" cy="254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 b="1"/>
            <a:t>Hrs</a:t>
          </a:r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0.49233</cdr:x>
      <cdr:y>0.82655</cdr:y>
    </cdr:from>
    <cdr:to>
      <cdr:x>0.57878</cdr:x>
      <cdr:y>0.93274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410883" y="1976966"/>
          <a:ext cx="423333" cy="254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 b="1"/>
            <a:t>Hrs</a:t>
          </a: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0.49233</cdr:x>
      <cdr:y>0.82655</cdr:y>
    </cdr:from>
    <cdr:to>
      <cdr:x>0.57878</cdr:x>
      <cdr:y>0.93274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410883" y="1976966"/>
          <a:ext cx="423333" cy="254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 b="1"/>
            <a:t>Hrs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0.49233</cdr:x>
      <cdr:y>0.82655</cdr:y>
    </cdr:from>
    <cdr:to>
      <cdr:x>0.57878</cdr:x>
      <cdr:y>0.93274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410883" y="1976966"/>
          <a:ext cx="423333" cy="254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 b="1"/>
            <a:t>Hrs</a:t>
          </a: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0.49233</cdr:x>
      <cdr:y>0.82655</cdr:y>
    </cdr:from>
    <cdr:to>
      <cdr:x>0.57878</cdr:x>
      <cdr:y>0.93274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410883" y="1976966"/>
          <a:ext cx="423333" cy="254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 b="1"/>
            <a:t>Hrs</a:t>
          </a:r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0.49233</cdr:x>
      <cdr:y>0.82655</cdr:y>
    </cdr:from>
    <cdr:to>
      <cdr:x>0.57878</cdr:x>
      <cdr:y>0.93274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410883" y="1976966"/>
          <a:ext cx="423333" cy="254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 b="1"/>
            <a:t>Hrs</a:t>
          </a:r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0.49233</cdr:x>
      <cdr:y>0.82655</cdr:y>
    </cdr:from>
    <cdr:to>
      <cdr:x>0.57878</cdr:x>
      <cdr:y>0.93274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410883" y="1976966"/>
          <a:ext cx="423333" cy="254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 b="1"/>
            <a:t>Hrs</a:t>
          </a:r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0.49233</cdr:x>
      <cdr:y>0.82655</cdr:y>
    </cdr:from>
    <cdr:to>
      <cdr:x>0.57878</cdr:x>
      <cdr:y>0.93274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410883" y="1976966"/>
          <a:ext cx="423333" cy="254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 b="1"/>
            <a:t>Hrs</a:t>
          </a:r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0.49233</cdr:x>
      <cdr:y>0.82655</cdr:y>
    </cdr:from>
    <cdr:to>
      <cdr:x>0.57878</cdr:x>
      <cdr:y>0.93274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410883" y="1976966"/>
          <a:ext cx="423333" cy="254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 b="1"/>
            <a:t>Hrs</a:t>
          </a:r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0.49233</cdr:x>
      <cdr:y>0.82655</cdr:y>
    </cdr:from>
    <cdr:to>
      <cdr:x>0.57878</cdr:x>
      <cdr:y>0.93274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410883" y="1976966"/>
          <a:ext cx="423333" cy="254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 b="1"/>
            <a:t>Hrs</a:t>
          </a:r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0.49233</cdr:x>
      <cdr:y>0.82655</cdr:y>
    </cdr:from>
    <cdr:to>
      <cdr:x>0.57878</cdr:x>
      <cdr:y>0.93274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410883" y="1976966"/>
          <a:ext cx="423333" cy="254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 b="1"/>
            <a:t>Hrs</a:t>
          </a:r>
        </a:p>
      </cdr:txBody>
    </cdr:sp>
  </cdr:relSizeAnchor>
</c:userShapes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</xdr:colOff>
      <xdr:row>13</xdr:row>
      <xdr:rowOff>0</xdr:rowOff>
    </xdr:from>
    <xdr:to>
      <xdr:col>8</xdr:col>
      <xdr:colOff>273844</xdr:colOff>
      <xdr:row>26</xdr:row>
      <xdr:rowOff>95250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63236</xdr:colOff>
      <xdr:row>24</xdr:row>
      <xdr:rowOff>72759</xdr:rowOff>
    </xdr:from>
    <xdr:to>
      <xdr:col>4</xdr:col>
      <xdr:colOff>479954</xdr:colOff>
      <xdr:row>25</xdr:row>
      <xdr:rowOff>93926</xdr:rowOff>
    </xdr:to>
    <xdr:sp macro="" textlink="">
      <xdr:nvSpPr>
        <xdr:cNvPr id="8" name="TextBox 7"/>
        <xdr:cNvSpPr txBox="1"/>
      </xdr:nvSpPr>
      <xdr:spPr>
        <a:xfrm>
          <a:off x="2492111" y="2168259"/>
          <a:ext cx="416718" cy="2116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 b="1">
              <a:solidFill>
                <a:schemeClr val="tx1">
                  <a:lumMod val="65000"/>
                  <a:lumOff val="35000"/>
                </a:schemeClr>
              </a:solidFill>
            </a:rPr>
            <a:t>Hrs</a:t>
          </a:r>
        </a:p>
      </xdr:txBody>
    </xdr:sp>
    <xdr:clientData/>
  </xdr:twoCellAnchor>
  <xdr:twoCellAnchor>
    <xdr:from>
      <xdr:col>0</xdr:col>
      <xdr:colOff>0</xdr:colOff>
      <xdr:row>26</xdr:row>
      <xdr:rowOff>95250</xdr:rowOff>
    </xdr:from>
    <xdr:to>
      <xdr:col>8</xdr:col>
      <xdr:colOff>273841</xdr:colOff>
      <xdr:row>40</xdr:row>
      <xdr:rowOff>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51327</xdr:colOff>
      <xdr:row>37</xdr:row>
      <xdr:rowOff>168009</xdr:rowOff>
    </xdr:from>
    <xdr:to>
      <xdr:col>4</xdr:col>
      <xdr:colOff>468045</xdr:colOff>
      <xdr:row>38</xdr:row>
      <xdr:rowOff>189176</xdr:rowOff>
    </xdr:to>
    <xdr:sp macro="" textlink="">
      <xdr:nvSpPr>
        <xdr:cNvPr id="13" name="TextBox 12"/>
        <xdr:cNvSpPr txBox="1"/>
      </xdr:nvSpPr>
      <xdr:spPr>
        <a:xfrm>
          <a:off x="2480202" y="4740009"/>
          <a:ext cx="416718" cy="2116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 b="1">
              <a:solidFill>
                <a:schemeClr val="tx1">
                  <a:lumMod val="65000"/>
                  <a:lumOff val="35000"/>
                </a:schemeClr>
              </a:solidFill>
            </a:rPr>
            <a:t>Hrs</a:t>
          </a:r>
        </a:p>
      </xdr:txBody>
    </xdr:sp>
    <xdr:clientData/>
  </xdr:twoCellAnchor>
  <xdr:twoCellAnchor>
    <xdr:from>
      <xdr:col>8</xdr:col>
      <xdr:colOff>273844</xdr:colOff>
      <xdr:row>13</xdr:row>
      <xdr:rowOff>0</xdr:rowOff>
    </xdr:from>
    <xdr:to>
      <xdr:col>16</xdr:col>
      <xdr:colOff>547685</xdr:colOff>
      <xdr:row>26</xdr:row>
      <xdr:rowOff>95250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273843</xdr:colOff>
      <xdr:row>26</xdr:row>
      <xdr:rowOff>95250</xdr:rowOff>
    </xdr:from>
    <xdr:to>
      <xdr:col>16</xdr:col>
      <xdr:colOff>547684</xdr:colOff>
      <xdr:row>40</xdr:row>
      <xdr:rowOff>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40</xdr:row>
      <xdr:rowOff>1</xdr:rowOff>
    </xdr:from>
    <xdr:to>
      <xdr:col>16</xdr:col>
      <xdr:colOff>539750</xdr:colOff>
      <xdr:row>61</xdr:row>
      <xdr:rowOff>79375</xdr:rowOff>
    </xdr:to>
    <xdr:graphicFrame macro="">
      <xdr:nvGraphicFramePr>
        <xdr:cNvPr id="20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12</xdr:col>
      <xdr:colOff>396875</xdr:colOff>
      <xdr:row>37</xdr:row>
      <xdr:rowOff>174625</xdr:rowOff>
    </xdr:from>
    <xdr:to>
      <xdr:col>13</xdr:col>
      <xdr:colOff>210343</xdr:colOff>
      <xdr:row>39</xdr:row>
      <xdr:rowOff>5292</xdr:rowOff>
    </xdr:to>
    <xdr:sp macro="" textlink="">
      <xdr:nvSpPr>
        <xdr:cNvPr id="24" name="TextBox 23"/>
        <xdr:cNvSpPr txBox="1"/>
      </xdr:nvSpPr>
      <xdr:spPr>
        <a:xfrm>
          <a:off x="7635875" y="4746625"/>
          <a:ext cx="416718" cy="2116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 b="1">
              <a:solidFill>
                <a:schemeClr val="tx1">
                  <a:lumMod val="65000"/>
                  <a:lumOff val="35000"/>
                </a:schemeClr>
              </a:solidFill>
            </a:rPr>
            <a:t>Hrs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273841</xdr:colOff>
      <xdr:row>13</xdr:row>
      <xdr:rowOff>0</xdr:rowOff>
    </xdr:to>
    <xdr:graphicFrame macro="">
      <xdr:nvGraphicFramePr>
        <xdr:cNvPr id="25" name="Chart 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51327</xdr:colOff>
      <xdr:row>10</xdr:row>
      <xdr:rowOff>168009</xdr:rowOff>
    </xdr:from>
    <xdr:to>
      <xdr:col>4</xdr:col>
      <xdr:colOff>468045</xdr:colOff>
      <xdr:row>11</xdr:row>
      <xdr:rowOff>189176</xdr:rowOff>
    </xdr:to>
    <xdr:sp macro="" textlink="">
      <xdr:nvSpPr>
        <xdr:cNvPr id="28" name="TextBox 27"/>
        <xdr:cNvSpPr txBox="1"/>
      </xdr:nvSpPr>
      <xdr:spPr>
        <a:xfrm>
          <a:off x="2464327" y="2263509"/>
          <a:ext cx="416718" cy="2116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 b="1">
              <a:solidFill>
                <a:schemeClr val="tx1">
                  <a:lumMod val="65000"/>
                  <a:lumOff val="35000"/>
                </a:schemeClr>
              </a:solidFill>
            </a:rPr>
            <a:t>Hrs</a:t>
          </a:r>
        </a:p>
      </xdr:txBody>
    </xdr:sp>
    <xdr:clientData/>
  </xdr:twoCellAnchor>
  <xdr:twoCellAnchor>
    <xdr:from>
      <xdr:col>8</xdr:col>
      <xdr:colOff>269875</xdr:colOff>
      <xdr:row>0</xdr:row>
      <xdr:rowOff>0</xdr:rowOff>
    </xdr:from>
    <xdr:to>
      <xdr:col>16</xdr:col>
      <xdr:colOff>543716</xdr:colOff>
      <xdr:row>13</xdr:row>
      <xdr:rowOff>0</xdr:rowOff>
    </xdr:to>
    <xdr:graphicFrame macro="">
      <xdr:nvGraphicFramePr>
        <xdr:cNvPr id="29" name="Chart 2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12</xdr:col>
      <xdr:colOff>321202</xdr:colOff>
      <xdr:row>10</xdr:row>
      <xdr:rowOff>168009</xdr:rowOff>
    </xdr:from>
    <xdr:to>
      <xdr:col>13</xdr:col>
      <xdr:colOff>134670</xdr:colOff>
      <xdr:row>11</xdr:row>
      <xdr:rowOff>189176</xdr:rowOff>
    </xdr:to>
    <xdr:sp macro="" textlink="">
      <xdr:nvSpPr>
        <xdr:cNvPr id="30" name="TextBox 29"/>
        <xdr:cNvSpPr txBox="1"/>
      </xdr:nvSpPr>
      <xdr:spPr>
        <a:xfrm>
          <a:off x="7560202" y="2263509"/>
          <a:ext cx="416718" cy="2116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 b="1">
              <a:solidFill>
                <a:schemeClr val="tx1">
                  <a:lumMod val="65000"/>
                  <a:lumOff val="35000"/>
                </a:schemeClr>
              </a:solidFill>
            </a:rPr>
            <a:t>Hrs</a:t>
          </a:r>
        </a:p>
      </xdr:txBody>
    </xdr:sp>
    <xdr:clientData/>
  </xdr:twoCellAnchor>
  <xdr:twoCellAnchor>
    <xdr:from>
      <xdr:col>16</xdr:col>
      <xdr:colOff>577850</xdr:colOff>
      <xdr:row>0</xdr:row>
      <xdr:rowOff>38101</xdr:rowOff>
    </xdr:from>
    <xdr:to>
      <xdr:col>28</xdr:col>
      <xdr:colOff>533400</xdr:colOff>
      <xdr:row>16</xdr:row>
      <xdr:rowOff>0</xdr:rowOff>
    </xdr:to>
    <xdr:graphicFrame macro="">
      <xdr:nvGraphicFramePr>
        <xdr:cNvPr id="33" name="Chart 3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16</xdr:col>
      <xdr:colOff>539751</xdr:colOff>
      <xdr:row>39</xdr:row>
      <xdr:rowOff>190499</xdr:rowOff>
    </xdr:from>
    <xdr:to>
      <xdr:col>33</xdr:col>
      <xdr:colOff>492125</xdr:colOff>
      <xdr:row>61</xdr:row>
      <xdr:rowOff>63500</xdr:rowOff>
    </xdr:to>
    <xdr:graphicFrame macro="">
      <xdr:nvGraphicFramePr>
        <xdr:cNvPr id="36" name="Chart 3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16</xdr:col>
      <xdr:colOff>590550</xdr:colOff>
      <xdr:row>16</xdr:row>
      <xdr:rowOff>133350</xdr:rowOff>
    </xdr:from>
    <xdr:to>
      <xdr:col>33</xdr:col>
      <xdr:colOff>552450</xdr:colOff>
      <xdr:row>39</xdr:row>
      <xdr:rowOff>158750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0.00996</cdr:x>
      <cdr:y>0.01975</cdr:y>
    </cdr:from>
    <cdr:to>
      <cdr:x>0.09167</cdr:x>
      <cdr:y>0.10206</cdr:y>
    </cdr:to>
    <cdr:sp macro="" textlink="">
      <cdr:nvSpPr>
        <cdr:cNvPr id="2" name="TextBox 7"/>
        <cdr:cNvSpPr txBox="1"/>
      </cdr:nvSpPr>
      <cdr:spPr>
        <a:xfrm xmlns:a="http://schemas.openxmlformats.org/drawingml/2006/main">
          <a:off x="50800" y="50800"/>
          <a:ext cx="416718" cy="21166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 b="1">
              <a:solidFill>
                <a:schemeClr val="tx1">
                  <a:lumMod val="65000"/>
                  <a:lumOff val="35000"/>
                </a:schemeClr>
              </a:solidFill>
            </a:rPr>
            <a:t>Hrs</a:t>
          </a:r>
        </a:p>
      </cdr:txBody>
    </cdr:sp>
  </cdr:relSizeAnchor>
  <cdr:relSizeAnchor xmlns:cdr="http://schemas.openxmlformats.org/drawingml/2006/chartDrawing">
    <cdr:from>
      <cdr:x>0.48</cdr:x>
      <cdr:y>0.84074</cdr:y>
    </cdr:from>
    <cdr:to>
      <cdr:x>0.56171</cdr:x>
      <cdr:y>0.92305</cdr:y>
    </cdr:to>
    <cdr:sp macro="" textlink="">
      <cdr:nvSpPr>
        <cdr:cNvPr id="3" name="TextBox 7"/>
        <cdr:cNvSpPr txBox="1"/>
      </cdr:nvSpPr>
      <cdr:spPr>
        <a:xfrm xmlns:a="http://schemas.openxmlformats.org/drawingml/2006/main">
          <a:off x="2447925" y="2162175"/>
          <a:ext cx="416718" cy="21166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 b="1">
              <a:solidFill>
                <a:schemeClr val="tx1">
                  <a:lumMod val="65000"/>
                  <a:lumOff val="35000"/>
                </a:schemeClr>
              </a:solidFill>
            </a:rPr>
            <a:t>Hrs</a:t>
          </a:r>
        </a:p>
      </cdr:txBody>
    </cdr:sp>
  </cdr:relSizeAnchor>
</c:userShapes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285750</xdr:colOff>
          <xdr:row>0</xdr:row>
          <xdr:rowOff>142875</xdr:rowOff>
        </xdr:from>
        <xdr:to>
          <xdr:col>6</xdr:col>
          <xdr:colOff>152400</xdr:colOff>
          <xdr:row>2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Run-CS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0</xdr:row>
          <xdr:rowOff>47625</xdr:rowOff>
        </xdr:from>
        <xdr:to>
          <xdr:col>2</xdr:col>
          <xdr:colOff>1285875</xdr:colOff>
          <xdr:row>1</xdr:row>
          <xdr:rowOff>228600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Abnormal Hrs_CS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285750</xdr:colOff>
          <xdr:row>3</xdr:row>
          <xdr:rowOff>28575</xdr:rowOff>
        </xdr:from>
        <xdr:to>
          <xdr:col>6</xdr:col>
          <xdr:colOff>152400</xdr:colOff>
          <xdr:row>5</xdr:row>
          <xdr:rowOff>66675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Run-PS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</xdr:row>
          <xdr:rowOff>76200</xdr:rowOff>
        </xdr:from>
        <xdr:to>
          <xdr:col>2</xdr:col>
          <xdr:colOff>1285875</xdr:colOff>
          <xdr:row>3</xdr:row>
          <xdr:rowOff>238125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Abnormal Hrs_PS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28575</xdr:colOff>
          <xdr:row>0</xdr:row>
          <xdr:rowOff>95250</xdr:rowOff>
        </xdr:from>
        <xdr:to>
          <xdr:col>14</xdr:col>
          <xdr:colOff>200025</xdr:colOff>
          <xdr:row>2</xdr:row>
          <xdr:rowOff>76200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Clean_History_CS&amp;PS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4</xdr:row>
          <xdr:rowOff>104775</xdr:rowOff>
        </xdr:from>
        <xdr:to>
          <xdr:col>2</xdr:col>
          <xdr:colOff>1285875</xdr:colOff>
          <xdr:row>6</xdr:row>
          <xdr:rowOff>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142875</xdr:rowOff>
        </xdr:from>
        <xdr:to>
          <xdr:col>10</xdr:col>
          <xdr:colOff>304800</xdr:colOff>
          <xdr:row>2</xdr:row>
          <xdr:rowOff>133350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On-Demand CS &amp; PS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</xdr:row>
          <xdr:rowOff>133350</xdr:rowOff>
        </xdr:from>
        <xdr:to>
          <xdr:col>10</xdr:col>
          <xdr:colOff>304800</xdr:colOff>
          <xdr:row>5</xdr:row>
          <xdr:rowOff>114300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Upload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6</xdr:row>
          <xdr:rowOff>28575</xdr:rowOff>
        </xdr:from>
        <xdr:to>
          <xdr:col>10</xdr:col>
          <xdr:colOff>304800</xdr:colOff>
          <xdr:row>8</xdr:row>
          <xdr:rowOff>19050</xdr:rowOff>
        </xdr:to>
        <xdr:sp macro="" textlink="">
          <xdr:nvSpPr>
            <xdr:cNvPr id="3086" name="Button 14" hidden="1">
              <a:extLst>
                <a:ext uri="{63B3BB69-23CF-44E3-9099-C40C66FF867C}">
                  <a14:compatExt spid="_x0000_s3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Data 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showGridLines="0" topLeftCell="A31" zoomScale="40" zoomScaleNormal="40" workbookViewId="0">
      <selection activeCell="BA41" sqref="BA41"/>
    </sheetView>
  </sheetViews>
  <sheetFormatPr defaultRowHeight="15" x14ac:dyDescent="0.25"/>
  <sheetData/>
  <dataConsolidate/>
  <pageMargins left="0.7" right="0.7" top="0.75" bottom="0.75" header="0.3" footer="0.3"/>
  <pageSetup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showGridLines="0" zoomScale="50" zoomScaleNormal="50" workbookViewId="0">
      <selection activeCell="AH12" sqref="AH12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O16"/>
  <sheetViews>
    <sheetView showGridLines="0" tabSelected="1" workbookViewId="0">
      <selection activeCell="C16" sqref="C16"/>
    </sheetView>
  </sheetViews>
  <sheetFormatPr defaultRowHeight="15" x14ac:dyDescent="0.25"/>
  <cols>
    <col min="1" max="1" width="14.5703125" customWidth="1"/>
    <col min="2" max="2" width="17.85546875" customWidth="1"/>
    <col min="3" max="3" width="22" customWidth="1"/>
    <col min="4" max="4" width="5.42578125" customWidth="1"/>
  </cols>
  <sheetData>
    <row r="1" spans="1:15" ht="14.25" customHeight="1" x14ac:dyDescent="0.25">
      <c r="A1" s="61" t="s">
        <v>96</v>
      </c>
      <c r="B1" s="62"/>
      <c r="I1" s="53"/>
      <c r="J1" s="53"/>
      <c r="K1" s="53"/>
      <c r="M1" s="55"/>
      <c r="N1" s="55"/>
      <c r="O1" s="55"/>
    </row>
    <row r="2" spans="1:15" ht="18.75" customHeight="1" x14ac:dyDescent="0.25">
      <c r="A2" s="47" t="s">
        <v>167</v>
      </c>
      <c r="B2" s="47" t="s">
        <v>167</v>
      </c>
      <c r="I2" s="53"/>
      <c r="J2" s="53"/>
      <c r="K2" s="53"/>
      <c r="M2" s="55"/>
      <c r="N2" s="55"/>
      <c r="O2" s="55"/>
    </row>
    <row r="3" spans="1:15" ht="15" customHeight="1" x14ac:dyDescent="0.25">
      <c r="A3" s="61" t="s">
        <v>97</v>
      </c>
      <c r="B3" s="62"/>
      <c r="I3" s="53"/>
      <c r="J3" s="53"/>
      <c r="K3" s="53"/>
      <c r="M3" s="55"/>
      <c r="N3" s="55"/>
      <c r="O3" s="55"/>
    </row>
    <row r="4" spans="1:15" ht="19.5" customHeight="1" x14ac:dyDescent="0.25">
      <c r="A4" s="47" t="s">
        <v>167</v>
      </c>
      <c r="B4" s="47" t="s">
        <v>167</v>
      </c>
      <c r="I4" s="53"/>
      <c r="J4" s="53"/>
      <c r="K4" s="53"/>
    </row>
    <row r="5" spans="1:15" ht="14.25" customHeight="1" thickBot="1" x14ac:dyDescent="0.3">
      <c r="A5" s="11"/>
      <c r="B5" s="12"/>
      <c r="I5" s="53"/>
      <c r="J5" s="53"/>
      <c r="K5" s="53"/>
    </row>
    <row r="6" spans="1:15" ht="20.25" customHeight="1" thickTop="1" thickBot="1" x14ac:dyDescent="0.3">
      <c r="A6" s="10" t="s">
        <v>54</v>
      </c>
      <c r="B6" s="51" t="s">
        <v>151</v>
      </c>
      <c r="C6" s="13"/>
      <c r="I6" s="53"/>
      <c r="J6" s="53"/>
      <c r="K6" s="53"/>
    </row>
    <row r="7" spans="1:15" ht="16.5" thickTop="1" thickBot="1" x14ac:dyDescent="0.3">
      <c r="I7" s="53"/>
      <c r="J7" s="53"/>
      <c r="K7" s="53"/>
    </row>
    <row r="8" spans="1:15" ht="16.5" thickTop="1" thickBot="1" x14ac:dyDescent="0.3">
      <c r="A8" s="10" t="s">
        <v>108</v>
      </c>
      <c r="B8" s="51" t="s">
        <v>120</v>
      </c>
      <c r="I8" s="53"/>
      <c r="J8" s="53"/>
      <c r="K8" s="53"/>
    </row>
    <row r="9" spans="1:15" ht="15.75" thickTop="1" x14ac:dyDescent="0.25">
      <c r="B9" s="9"/>
      <c r="I9" s="53"/>
      <c r="J9" s="53"/>
      <c r="K9" s="53"/>
    </row>
    <row r="11" spans="1:15" x14ac:dyDescent="0.25">
      <c r="A11" s="20" t="s">
        <v>36</v>
      </c>
      <c r="B11" s="20" t="s">
        <v>52</v>
      </c>
      <c r="C11" s="26" t="s">
        <v>67</v>
      </c>
      <c r="F11" s="29"/>
    </row>
    <row r="12" spans="1:15" x14ac:dyDescent="0.25">
      <c r="A12" s="48" t="s">
        <v>80</v>
      </c>
      <c r="B12" s="47">
        <v>44382</v>
      </c>
      <c r="C12" s="47" t="s">
        <v>167</v>
      </c>
    </row>
    <row r="13" spans="1:15" x14ac:dyDescent="0.25">
      <c r="A13" s="48" t="s">
        <v>81</v>
      </c>
      <c r="B13" s="47">
        <v>44382</v>
      </c>
      <c r="C13" s="47" t="s">
        <v>167</v>
      </c>
      <c r="F13" s="13"/>
    </row>
    <row r="14" spans="1:15" x14ac:dyDescent="0.25">
      <c r="A14" s="49" t="s">
        <v>37</v>
      </c>
      <c r="B14" s="49" t="s">
        <v>52</v>
      </c>
      <c r="C14" s="50" t="s">
        <v>67</v>
      </c>
    </row>
    <row r="15" spans="1:15" x14ac:dyDescent="0.25">
      <c r="A15" s="48" t="s">
        <v>57</v>
      </c>
      <c r="B15" s="47">
        <v>44382</v>
      </c>
      <c r="C15" s="47" t="s">
        <v>167</v>
      </c>
    </row>
    <row r="16" spans="1:15" x14ac:dyDescent="0.25">
      <c r="A16" s="48" t="s">
        <v>58</v>
      </c>
      <c r="B16" s="47">
        <v>44382</v>
      </c>
      <c r="C16" s="47" t="s">
        <v>167</v>
      </c>
    </row>
  </sheetData>
  <mergeCells count="2">
    <mergeCell ref="A1:B1"/>
    <mergeCell ref="A3:B3"/>
  </mergeCells>
  <dataValidations count="2">
    <dataValidation type="list" allowBlank="1" showInputMessage="1" showErrorMessage="1" sqref="B6">
      <formula1>"Today,Yesterday, Last 7 Days"</formula1>
    </dataValidation>
    <dataValidation type="list" allowBlank="1" showInputMessage="1" showErrorMessage="1" sqref="B8">
      <formula1>"Regular, On-Demand"</formula1>
    </dataValidation>
  </dataValidations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final_CS">
                <anchor moveWithCells="1" sizeWithCells="1">
                  <from>
                    <xdr:col>3</xdr:col>
                    <xdr:colOff>285750</xdr:colOff>
                    <xdr:row>0</xdr:row>
                    <xdr:rowOff>142875</xdr:rowOff>
                  </from>
                  <to>
                    <xdr:col>6</xdr:col>
                    <xdr:colOff>152400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AB_CS">
                <anchor moveWithCells="1" sizeWithCells="1">
                  <from>
                    <xdr:col>2</xdr:col>
                    <xdr:colOff>47625</xdr:colOff>
                    <xdr:row>0</xdr:row>
                    <xdr:rowOff>47625</xdr:rowOff>
                  </from>
                  <to>
                    <xdr:col>2</xdr:col>
                    <xdr:colOff>1285875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Button 5">
              <controlPr defaultSize="0" print="0" autoFill="0" autoPict="0" macro="[0]!final_PS">
                <anchor moveWithCells="1" sizeWithCells="1">
                  <from>
                    <xdr:col>3</xdr:col>
                    <xdr:colOff>285750</xdr:colOff>
                    <xdr:row>3</xdr:row>
                    <xdr:rowOff>28575</xdr:rowOff>
                  </from>
                  <to>
                    <xdr:col>6</xdr:col>
                    <xdr:colOff>152400</xdr:colOff>
                    <xdr:row>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7" name="Button 6">
              <controlPr defaultSize="0" print="0" autoFill="0" autoPict="0" macro="[0]!AB_PS">
                <anchor moveWithCells="1" sizeWithCells="1">
                  <from>
                    <xdr:col>2</xdr:col>
                    <xdr:colOff>38100</xdr:colOff>
                    <xdr:row>2</xdr:row>
                    <xdr:rowOff>76200</xdr:rowOff>
                  </from>
                  <to>
                    <xdr:col>2</xdr:col>
                    <xdr:colOff>1285875</xdr:colOff>
                    <xdr:row>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8" name="Button 7">
              <controlPr defaultSize="0" print="0" autoFill="0" autoPict="0" macro="[0]!ALL_Clean_history">
                <anchor moveWithCells="1" sizeWithCells="1">
                  <from>
                    <xdr:col>12</xdr:col>
                    <xdr:colOff>28575</xdr:colOff>
                    <xdr:row>0</xdr:row>
                    <xdr:rowOff>95250</xdr:rowOff>
                  </from>
                  <to>
                    <xdr:col>14</xdr:col>
                    <xdr:colOff>200025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9" name="Button 10">
              <controlPr defaultSize="0" print="0" autoFill="0" autoPict="0" macro="[0]!UploadUpdate_22">
                <anchor moveWithCells="1" sizeWithCells="1">
                  <from>
                    <xdr:col>2</xdr:col>
                    <xdr:colOff>47625</xdr:colOff>
                    <xdr:row>4</xdr:row>
                    <xdr:rowOff>104775</xdr:rowOff>
                  </from>
                  <to>
                    <xdr:col>2</xdr:col>
                    <xdr:colOff>1285875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10" name="Button 12">
              <controlPr defaultSize="0" print="0" autoFill="0" autoPict="0" macro="[0]!Coustomise_final">
                <anchor moveWithCells="1" sizeWithCells="1">
                  <from>
                    <xdr:col>8</xdr:col>
                    <xdr:colOff>0</xdr:colOff>
                    <xdr:row>0</xdr:row>
                    <xdr:rowOff>142875</xdr:rowOff>
                  </from>
                  <to>
                    <xdr:col>10</xdr:col>
                    <xdr:colOff>304800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11" name="Button 13">
              <controlPr defaultSize="0" print="0" autoFill="0" autoPict="0" macro="[0]!Customizess_upload">
                <anchor moveWithCells="1" sizeWithCells="1">
                  <from>
                    <xdr:col>8</xdr:col>
                    <xdr:colOff>0</xdr:colOff>
                    <xdr:row>3</xdr:row>
                    <xdr:rowOff>133350</xdr:rowOff>
                  </from>
                  <to>
                    <xdr:col>10</xdr:col>
                    <xdr:colOff>304800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12" name="Button 14">
              <controlPr defaultSize="0" print="0" autoFill="0" autoPict="0" macro="[0]!CM_ALL_Clean_history">
                <anchor moveWithCells="1" sizeWithCells="1">
                  <from>
                    <xdr:col>8</xdr:col>
                    <xdr:colOff>0</xdr:colOff>
                    <xdr:row>6</xdr:row>
                    <xdr:rowOff>28575</xdr:rowOff>
                  </from>
                  <to>
                    <xdr:col>10</xdr:col>
                    <xdr:colOff>304800</xdr:colOff>
                    <xdr:row>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L3"/>
  <sheetViews>
    <sheetView zoomScale="70" zoomScaleNormal="70" workbookViewId="0">
      <selection activeCell="H17" sqref="H17"/>
    </sheetView>
  </sheetViews>
  <sheetFormatPr defaultRowHeight="15" x14ac:dyDescent="0.25"/>
  <sheetData>
    <row r="1" spans="1:38" x14ac:dyDescent="0.25">
      <c r="B1" s="63" t="s">
        <v>99</v>
      </c>
      <c r="C1" s="63"/>
      <c r="D1" s="63"/>
      <c r="E1" s="63"/>
      <c r="F1" s="63"/>
      <c r="G1" s="64" t="s">
        <v>100</v>
      </c>
      <c r="H1" s="64"/>
      <c r="I1" s="64"/>
      <c r="J1" s="64"/>
      <c r="K1" s="64"/>
      <c r="M1" t="s">
        <v>101</v>
      </c>
      <c r="N1" s="63" t="s">
        <v>98</v>
      </c>
      <c r="O1" s="63"/>
      <c r="P1" s="63"/>
      <c r="Q1" s="63"/>
      <c r="R1" s="63"/>
      <c r="S1" s="63"/>
      <c r="T1" s="63"/>
      <c r="U1" s="63"/>
      <c r="V1" s="63"/>
      <c r="W1" s="63"/>
      <c r="X1" s="63"/>
      <c r="Z1" s="63" t="s">
        <v>104</v>
      </c>
      <c r="AA1" s="63"/>
      <c r="AB1" s="63"/>
      <c r="AC1" s="63"/>
      <c r="AD1" s="63"/>
      <c r="AE1" s="63"/>
      <c r="AF1" s="63"/>
      <c r="AG1" s="63"/>
      <c r="AH1" s="63"/>
      <c r="AI1" s="63"/>
      <c r="AJ1" s="63"/>
    </row>
    <row r="2" spans="1:38" x14ac:dyDescent="0.25">
      <c r="A2" s="2" t="s">
        <v>103</v>
      </c>
      <c r="B2" s="2" t="s">
        <v>55</v>
      </c>
      <c r="C2" s="2" t="s">
        <v>56</v>
      </c>
      <c r="D2" s="2" t="s">
        <v>44</v>
      </c>
      <c r="E2" s="2" t="s">
        <v>45</v>
      </c>
      <c r="F2" s="2" t="s">
        <v>8</v>
      </c>
      <c r="G2" s="25" t="s">
        <v>55</v>
      </c>
      <c r="H2" s="2" t="s">
        <v>56</v>
      </c>
      <c r="I2" s="2" t="s">
        <v>44</v>
      </c>
      <c r="J2" s="2" t="s">
        <v>45</v>
      </c>
      <c r="K2" s="2" t="s">
        <v>8</v>
      </c>
      <c r="L2" s="5" t="s">
        <v>8</v>
      </c>
      <c r="M2" s="5"/>
      <c r="N2" s="2" t="s">
        <v>9</v>
      </c>
      <c r="O2" s="2" t="s">
        <v>10</v>
      </c>
      <c r="P2" s="2" t="s">
        <v>11</v>
      </c>
      <c r="Q2" s="2" t="s">
        <v>12</v>
      </c>
      <c r="R2" s="2" t="s">
        <v>13</v>
      </c>
      <c r="S2" s="2" t="s">
        <v>14</v>
      </c>
      <c r="T2" s="2" t="s">
        <v>15</v>
      </c>
      <c r="U2" s="2" t="s">
        <v>16</v>
      </c>
      <c r="V2" s="2" t="s">
        <v>17</v>
      </c>
      <c r="W2" s="2" t="s">
        <v>18</v>
      </c>
      <c r="X2" s="2" t="s">
        <v>19</v>
      </c>
      <c r="Y2" s="30" t="s">
        <v>8</v>
      </c>
      <c r="Z2" s="2" t="s">
        <v>9</v>
      </c>
      <c r="AA2" s="2" t="s">
        <v>10</v>
      </c>
      <c r="AB2" s="2" t="s">
        <v>11</v>
      </c>
      <c r="AC2" s="2" t="s">
        <v>12</v>
      </c>
      <c r="AD2" s="2" t="s">
        <v>13</v>
      </c>
      <c r="AE2" s="2" t="s">
        <v>14</v>
      </c>
      <c r="AF2" s="2" t="s">
        <v>15</v>
      </c>
      <c r="AG2" s="2" t="s">
        <v>16</v>
      </c>
      <c r="AH2" s="2" t="s">
        <v>17</v>
      </c>
      <c r="AI2" s="2" t="s">
        <v>18</v>
      </c>
      <c r="AJ2" s="2" t="s">
        <v>19</v>
      </c>
      <c r="AK2" s="6" t="s">
        <v>8</v>
      </c>
      <c r="AL2" s="6" t="s">
        <v>102</v>
      </c>
    </row>
    <row r="3" spans="1:38" x14ac:dyDescent="0.25">
      <c r="N3">
        <v>437593.93999999989</v>
      </c>
      <c r="O3">
        <v>451722.6</v>
      </c>
      <c r="P3">
        <v>340223.62000000011</v>
      </c>
      <c r="Q3">
        <v>517203.48400000011</v>
      </c>
      <c r="R3">
        <v>357900.52</v>
      </c>
      <c r="S3">
        <v>295701.63999999984</v>
      </c>
      <c r="T3">
        <v>327867.98</v>
      </c>
      <c r="U3">
        <v>50752.039999999994</v>
      </c>
      <c r="V3">
        <v>529563.5360000002</v>
      </c>
      <c r="W3">
        <v>503028.11600000004</v>
      </c>
      <c r="X3">
        <v>114610.96000000004</v>
      </c>
      <c r="Z3">
        <v>208795.19</v>
      </c>
      <c r="AA3">
        <v>284160.69000000006</v>
      </c>
      <c r="AB3">
        <v>173318.82000000004</v>
      </c>
      <c r="AC3">
        <v>240107.37999999998</v>
      </c>
      <c r="AD3">
        <v>203384.24999999997</v>
      </c>
      <c r="AE3">
        <v>132221.77000000002</v>
      </c>
      <c r="AF3">
        <v>164867.68999999997</v>
      </c>
      <c r="AG3">
        <v>29261.779999999995</v>
      </c>
      <c r="AH3">
        <v>242840.11099999998</v>
      </c>
      <c r="AI3">
        <v>316906.141</v>
      </c>
      <c r="AJ3">
        <v>74604.44</v>
      </c>
    </row>
  </sheetData>
  <mergeCells count="4">
    <mergeCell ref="N1:X1"/>
    <mergeCell ref="G1:K1"/>
    <mergeCell ref="B1:F1"/>
    <mergeCell ref="Z1:AJ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X68"/>
  <sheetViews>
    <sheetView topLeftCell="L1" zoomScale="60" zoomScaleNormal="60" workbookViewId="0">
      <selection activeCell="X31" sqref="X31"/>
    </sheetView>
  </sheetViews>
  <sheetFormatPr defaultRowHeight="15" x14ac:dyDescent="0.25"/>
  <cols>
    <col min="5" max="5" width="11.5703125" bestFit="1" customWidth="1"/>
    <col min="6" max="6" width="11.140625" bestFit="1" customWidth="1"/>
    <col min="14" max="14" width="5.7109375" customWidth="1"/>
    <col min="15" max="15" width="17.140625" customWidth="1"/>
    <col min="19" max="19" width="11.5703125" customWidth="1"/>
    <col min="21" max="21" width="5" style="52" customWidth="1"/>
    <col min="23" max="23" width="10.140625" customWidth="1"/>
    <col min="25" max="25" width="12.28515625" bestFit="1" customWidth="1"/>
    <col min="47" max="47" width="5.7109375" customWidth="1"/>
    <col min="48" max="48" width="19.7109375" customWidth="1"/>
    <col min="50" max="50" width="11.42578125" customWidth="1"/>
  </cols>
  <sheetData>
    <row r="1" spans="1:50" x14ac:dyDescent="0.25">
      <c r="A1" s="8" t="s">
        <v>36</v>
      </c>
      <c r="B1" s="65" t="s">
        <v>118</v>
      </c>
      <c r="C1" s="66"/>
      <c r="D1" s="66"/>
      <c r="E1" s="67"/>
      <c r="F1" s="65" t="s">
        <v>109</v>
      </c>
      <c r="G1" s="66"/>
      <c r="H1" s="66"/>
      <c r="I1" s="67"/>
      <c r="J1" s="65" t="s">
        <v>30</v>
      </c>
      <c r="K1" s="66"/>
      <c r="L1" s="66"/>
      <c r="M1" s="67"/>
      <c r="O1" s="27" t="str">
        <f>O2&amp; "  2G &amp; 3G  [ "&amp;TEXT(P1,"mm/dd/yyyy hh:mm")&amp;"  To  " &amp; TEXT(Q1,"mm/dd/yyyy hh:mm"&amp;" ]")</f>
        <v>MO  2G &amp; 3G  [ 05/14/2021 12:00  To  05/14/2021 12:59 ]</v>
      </c>
      <c r="P1" s="47">
        <v>44330.5</v>
      </c>
      <c r="Q1" s="47">
        <v>44330.540972222225</v>
      </c>
      <c r="R1" s="22" t="str">
        <f>R2&amp; "  2G &amp; 3G  [ "&amp;TEXT(P1,"mm/dd/yyyy hh:mm")&amp;"  To  " &amp;TEXT(Q1,"mm/dd/yyyy hh:mm"&amp;" ]")</f>
        <v>MT  2G &amp; 3G  [ 05/14/2021 12:00  To  05/14/2021 12:59 ]</v>
      </c>
      <c r="S1" s="59">
        <v>44329.999305555553</v>
      </c>
      <c r="T1" s="23"/>
      <c r="V1" s="8" t="s">
        <v>37</v>
      </c>
      <c r="W1" s="65" t="s">
        <v>118</v>
      </c>
      <c r="X1" s="66"/>
      <c r="Y1" s="66"/>
      <c r="Z1" s="66"/>
      <c r="AA1" s="66"/>
      <c r="AB1" s="66"/>
      <c r="AC1" s="66"/>
      <c r="AD1" s="67"/>
      <c r="AE1" s="65" t="s">
        <v>109</v>
      </c>
      <c r="AF1" s="66"/>
      <c r="AG1" s="66"/>
      <c r="AH1" s="66"/>
      <c r="AI1" s="66"/>
      <c r="AJ1" s="66"/>
      <c r="AK1" s="66"/>
      <c r="AL1" s="67"/>
      <c r="AM1" s="65" t="s">
        <v>30</v>
      </c>
      <c r="AN1" s="66"/>
      <c r="AO1" s="66"/>
      <c r="AP1" s="66"/>
      <c r="AQ1" s="66"/>
      <c r="AR1" s="66"/>
      <c r="AS1" s="66"/>
      <c r="AT1" s="67"/>
      <c r="AV1" s="47">
        <v>44330.5</v>
      </c>
      <c r="AW1" s="47">
        <v>44330.540972222225</v>
      </c>
      <c r="AX1" s="2" t="str">
        <f>"PS Core [ "&amp;TEXT(AV1,"mm/dd/yyyy hh:mm")&amp;"  To  " &amp;TEXT(AW1,"mm/dd/yyyy hh:mm"&amp;" ]")</f>
        <v>PS Core [ 05/14/2021 12:00  To  05/14/2021 12:59 ]</v>
      </c>
    </row>
    <row r="2" spans="1:50" x14ac:dyDescent="0.25">
      <c r="A2" s="5"/>
      <c r="B2" s="2" t="s">
        <v>21</v>
      </c>
      <c r="C2" s="2" t="s">
        <v>22</v>
      </c>
      <c r="D2" s="2" t="s">
        <v>23</v>
      </c>
      <c r="E2" s="2" t="s">
        <v>24</v>
      </c>
      <c r="F2" s="2" t="s">
        <v>21</v>
      </c>
      <c r="G2" s="2" t="s">
        <v>22</v>
      </c>
      <c r="H2" s="2" t="s">
        <v>23</v>
      </c>
      <c r="I2" s="2" t="s">
        <v>24</v>
      </c>
      <c r="J2" s="2" t="s">
        <v>21</v>
      </c>
      <c r="K2" s="2" t="s">
        <v>22</v>
      </c>
      <c r="L2" s="2" t="s">
        <v>23</v>
      </c>
      <c r="M2" s="2" t="s">
        <v>24</v>
      </c>
      <c r="O2" s="6" t="s">
        <v>20</v>
      </c>
      <c r="P2" s="6" t="s">
        <v>5</v>
      </c>
      <c r="Q2" s="6" t="s">
        <v>6</v>
      </c>
      <c r="R2" s="6" t="s">
        <v>7</v>
      </c>
      <c r="S2" s="6" t="s">
        <v>5</v>
      </c>
      <c r="T2" s="6" t="s">
        <v>6</v>
      </c>
      <c r="V2" s="5"/>
      <c r="W2" s="6" t="s">
        <v>122</v>
      </c>
      <c r="X2" s="6" t="s">
        <v>121</v>
      </c>
      <c r="Y2" s="6" t="s">
        <v>123</v>
      </c>
      <c r="Z2" s="6" t="s">
        <v>124</v>
      </c>
      <c r="AA2" s="6" t="s">
        <v>111</v>
      </c>
      <c r="AB2" s="6" t="s">
        <v>113</v>
      </c>
      <c r="AC2" s="6" t="s">
        <v>112</v>
      </c>
      <c r="AD2" s="6" t="s">
        <v>114</v>
      </c>
      <c r="AE2" s="2" t="s">
        <v>125</v>
      </c>
      <c r="AF2" s="2" t="s">
        <v>42</v>
      </c>
      <c r="AG2" s="2" t="s">
        <v>40</v>
      </c>
      <c r="AH2" s="2" t="s">
        <v>41</v>
      </c>
      <c r="AI2" s="2" t="s">
        <v>48</v>
      </c>
      <c r="AJ2" s="2" t="s">
        <v>49</v>
      </c>
      <c r="AK2" s="2" t="s">
        <v>50</v>
      </c>
      <c r="AL2" s="2" t="s">
        <v>51</v>
      </c>
      <c r="AM2" s="2" t="s">
        <v>39</v>
      </c>
      <c r="AN2" s="2" t="s">
        <v>42</v>
      </c>
      <c r="AO2" s="2" t="s">
        <v>40</v>
      </c>
      <c r="AP2" s="2" t="s">
        <v>41</v>
      </c>
      <c r="AQ2" s="2" t="s">
        <v>48</v>
      </c>
      <c r="AR2" s="2" t="s">
        <v>49</v>
      </c>
      <c r="AS2" s="2" t="s">
        <v>50</v>
      </c>
      <c r="AT2" s="2" t="s">
        <v>51</v>
      </c>
      <c r="AV2" s="6" t="s">
        <v>53</v>
      </c>
      <c r="AW2" s="6" t="s">
        <v>43</v>
      </c>
      <c r="AX2" s="6" t="s">
        <v>38</v>
      </c>
    </row>
    <row r="3" spans="1:50" x14ac:dyDescent="0.25">
      <c r="A3" s="1">
        <v>0</v>
      </c>
      <c r="B3" s="22">
        <v>20132.86</v>
      </c>
      <c r="C3" s="22">
        <v>12348.8</v>
      </c>
      <c r="D3" s="22">
        <v>21672.59</v>
      </c>
      <c r="E3" s="23">
        <v>9710.5500000000011</v>
      </c>
      <c r="F3" s="22">
        <v>21731.45</v>
      </c>
      <c r="G3" s="22">
        <v>12482.420000000002</v>
      </c>
      <c r="H3" s="22">
        <v>22995.599999999995</v>
      </c>
      <c r="I3" s="23">
        <v>10595.579999999998</v>
      </c>
      <c r="J3" s="22">
        <v>34698.449999999997</v>
      </c>
      <c r="K3" s="22">
        <v>19258.000000000004</v>
      </c>
      <c r="L3" s="22">
        <v>35733.29</v>
      </c>
      <c r="M3" s="23">
        <v>16519.489999999998</v>
      </c>
      <c r="O3" s="3" t="s">
        <v>9</v>
      </c>
      <c r="P3">
        <v>12256.79</v>
      </c>
      <c r="Q3">
        <v>2501.9299999999998</v>
      </c>
      <c r="R3" s="3"/>
      <c r="S3">
        <v>11562.68</v>
      </c>
      <c r="T3">
        <v>3153.44</v>
      </c>
      <c r="V3" s="1">
        <v>0</v>
      </c>
      <c r="W3" s="1">
        <v>17434</v>
      </c>
      <c r="X3" s="1">
        <v>46022.023856148</v>
      </c>
      <c r="Y3" s="1">
        <v>14554</v>
      </c>
      <c r="Z3" s="1">
        <v>39270.262139879</v>
      </c>
      <c r="AE3" s="1">
        <v>16924</v>
      </c>
      <c r="AF3" s="1">
        <v>45571.012927534</v>
      </c>
      <c r="AG3" s="1">
        <v>17062</v>
      </c>
      <c r="AH3" s="1">
        <v>45685.484149395998</v>
      </c>
      <c r="AM3" s="1">
        <v>18946</v>
      </c>
      <c r="AN3" s="1">
        <v>49983.004618113002</v>
      </c>
      <c r="AO3" s="1">
        <v>18835</v>
      </c>
      <c r="AP3" s="1">
        <v>50072.939079447999</v>
      </c>
      <c r="AV3" s="2" t="s">
        <v>55</v>
      </c>
      <c r="AW3" s="57">
        <v>20348</v>
      </c>
      <c r="AX3" s="57">
        <v>55026.193307472</v>
      </c>
    </row>
    <row r="4" spans="1:50" x14ac:dyDescent="0.25">
      <c r="A4">
        <v>1</v>
      </c>
      <c r="B4" s="13">
        <v>8939.58</v>
      </c>
      <c r="C4" s="13">
        <v>5746.28</v>
      </c>
      <c r="D4" s="13">
        <v>9830.59</v>
      </c>
      <c r="E4" s="14">
        <v>4469.3500000000004</v>
      </c>
      <c r="F4" s="13">
        <v>10291.469999999999</v>
      </c>
      <c r="G4" s="13">
        <v>6312.0400000000009</v>
      </c>
      <c r="H4" s="13">
        <v>10986.08</v>
      </c>
      <c r="I4" s="14">
        <v>5255.4100000000008</v>
      </c>
      <c r="J4" s="13">
        <v>17225.95</v>
      </c>
      <c r="K4" s="13">
        <v>10237.049999999999</v>
      </c>
      <c r="L4" s="13">
        <v>17838.84</v>
      </c>
      <c r="M4" s="14">
        <v>8767.4800000000014</v>
      </c>
      <c r="O4" s="3" t="s">
        <v>10</v>
      </c>
      <c r="P4">
        <v>2974.75</v>
      </c>
      <c r="Q4">
        <v>1579.54</v>
      </c>
      <c r="R4" s="3"/>
      <c r="S4">
        <v>3958.48</v>
      </c>
      <c r="T4">
        <v>2261</v>
      </c>
      <c r="V4">
        <v>1</v>
      </c>
      <c r="W4" s="1">
        <v>11021</v>
      </c>
      <c r="X4" s="1">
        <v>31224.107363250001</v>
      </c>
      <c r="Y4" s="1">
        <v>9903</v>
      </c>
      <c r="Z4" s="1">
        <v>27102.834579931001</v>
      </c>
      <c r="AE4" s="1">
        <v>12050</v>
      </c>
      <c r="AF4" s="1">
        <v>32987.155373041998</v>
      </c>
      <c r="AG4" s="1">
        <v>11963</v>
      </c>
      <c r="AH4" s="1">
        <v>32694.272737381001</v>
      </c>
      <c r="AM4" s="1">
        <v>14315</v>
      </c>
      <c r="AN4" s="1">
        <v>37722.020674975996</v>
      </c>
      <c r="AO4" s="1">
        <v>14239</v>
      </c>
      <c r="AP4" s="1">
        <v>37948.821497486999</v>
      </c>
      <c r="AV4" s="2" t="s">
        <v>56</v>
      </c>
      <c r="AW4" s="57">
        <v>20051</v>
      </c>
      <c r="AX4" s="57">
        <v>54923.081182879003</v>
      </c>
    </row>
    <row r="5" spans="1:50" x14ac:dyDescent="0.25">
      <c r="A5" s="1">
        <v>2</v>
      </c>
      <c r="B5" s="13">
        <v>6555.84</v>
      </c>
      <c r="C5" s="13">
        <v>3430.1099999999997</v>
      </c>
      <c r="D5" s="13">
        <v>7021.13</v>
      </c>
      <c r="E5" s="14">
        <v>2647.4599999999996</v>
      </c>
      <c r="F5" s="13">
        <v>7917.7499999999991</v>
      </c>
      <c r="G5" s="13">
        <v>4019.28</v>
      </c>
      <c r="H5" s="13">
        <v>8292.3000000000011</v>
      </c>
      <c r="I5" s="14">
        <v>3359.5199999999995</v>
      </c>
      <c r="J5" s="13">
        <v>8993.34</v>
      </c>
      <c r="K5" s="13">
        <v>5481.9299999999994</v>
      </c>
      <c r="L5" s="13">
        <v>9431.64</v>
      </c>
      <c r="M5" s="14">
        <v>4610.09</v>
      </c>
      <c r="O5" s="3" t="s">
        <v>11</v>
      </c>
      <c r="P5">
        <v>1537.1</v>
      </c>
      <c r="Q5">
        <v>580.41</v>
      </c>
      <c r="R5" s="3"/>
      <c r="S5">
        <v>1632.11</v>
      </c>
      <c r="T5">
        <v>845.95</v>
      </c>
      <c r="V5" s="1">
        <v>2</v>
      </c>
      <c r="W5" s="1">
        <v>7073</v>
      </c>
      <c r="X5" s="1">
        <v>20294.593744064001</v>
      </c>
      <c r="Y5" s="1">
        <v>6544</v>
      </c>
      <c r="Z5" s="1">
        <v>17874.000783656</v>
      </c>
      <c r="AE5" s="1">
        <v>8152</v>
      </c>
      <c r="AF5" s="1">
        <v>22404.513450373001</v>
      </c>
      <c r="AG5" s="1">
        <v>8208</v>
      </c>
      <c r="AH5" s="1">
        <v>22198.119258638999</v>
      </c>
      <c r="AM5" s="1">
        <v>9715</v>
      </c>
      <c r="AN5" s="1">
        <v>25747.133089309002</v>
      </c>
      <c r="AO5" s="1">
        <v>9710</v>
      </c>
      <c r="AP5" s="1">
        <v>25937.007099377999</v>
      </c>
      <c r="AV5" s="2"/>
      <c r="AW5" s="57"/>
      <c r="AX5" s="57"/>
    </row>
    <row r="6" spans="1:50" x14ac:dyDescent="0.25">
      <c r="A6">
        <v>3</v>
      </c>
      <c r="B6" s="13">
        <v>18732.79</v>
      </c>
      <c r="C6" s="13">
        <v>7651.1500000000005</v>
      </c>
      <c r="D6" s="13">
        <v>18643.359999999997</v>
      </c>
      <c r="E6" s="14">
        <v>5259.79</v>
      </c>
      <c r="F6" s="13">
        <v>20104.400000000001</v>
      </c>
      <c r="G6" s="13">
        <v>7337.1500000000015</v>
      </c>
      <c r="H6" s="13">
        <v>19750.990000000002</v>
      </c>
      <c r="I6" s="14">
        <v>5776.0499999999993</v>
      </c>
      <c r="J6" s="13">
        <v>5310.18</v>
      </c>
      <c r="K6" s="13">
        <v>3036.6700000000005</v>
      </c>
      <c r="L6" s="13">
        <v>5451.8899999999994</v>
      </c>
      <c r="M6" s="14">
        <v>2633.31</v>
      </c>
      <c r="O6" s="3" t="s">
        <v>12</v>
      </c>
      <c r="P6">
        <v>21926.710999999999</v>
      </c>
      <c r="Q6">
        <v>4960.51</v>
      </c>
      <c r="R6" s="3"/>
      <c r="S6">
        <v>20607.131000000001</v>
      </c>
      <c r="T6">
        <v>5139.97</v>
      </c>
      <c r="V6">
        <v>3</v>
      </c>
      <c r="W6" s="1">
        <v>6625</v>
      </c>
      <c r="X6" s="1">
        <v>17790.160623257001</v>
      </c>
      <c r="Y6" s="1">
        <v>6236</v>
      </c>
      <c r="Z6" s="1">
        <v>15774.240295464</v>
      </c>
      <c r="AE6" s="1">
        <v>8177</v>
      </c>
      <c r="AF6" s="1">
        <v>20124.339227101998</v>
      </c>
      <c r="AG6" s="1">
        <v>8114</v>
      </c>
      <c r="AH6" s="1">
        <v>19813.957530625001</v>
      </c>
      <c r="AM6" s="1">
        <v>6351</v>
      </c>
      <c r="AN6" s="1">
        <v>16698.308200898999</v>
      </c>
      <c r="AO6" s="1">
        <v>6305</v>
      </c>
      <c r="AP6" s="1">
        <v>16748.409846915001</v>
      </c>
      <c r="AV6" s="2"/>
      <c r="AW6" s="57"/>
      <c r="AX6" s="57"/>
    </row>
    <row r="7" spans="1:50" x14ac:dyDescent="0.25">
      <c r="A7" s="1">
        <v>4</v>
      </c>
      <c r="B7" s="13">
        <v>13091.23</v>
      </c>
      <c r="C7" s="13">
        <v>6644.6099999999988</v>
      </c>
      <c r="D7" s="13">
        <v>13862.920000000002</v>
      </c>
      <c r="E7" s="14">
        <v>4337.2199999999993</v>
      </c>
      <c r="F7" s="13">
        <v>12532.81</v>
      </c>
      <c r="G7" s="13">
        <v>5722.2499999999991</v>
      </c>
      <c r="H7" s="13">
        <v>13077.239999999998</v>
      </c>
      <c r="I7" s="14">
        <v>4272.6500000000005</v>
      </c>
      <c r="J7" s="13">
        <v>5214.29</v>
      </c>
      <c r="K7" s="13">
        <v>2327.63</v>
      </c>
      <c r="L7" s="13">
        <v>5210.6099999999997</v>
      </c>
      <c r="M7" s="14">
        <v>1971.44</v>
      </c>
      <c r="O7" s="3" t="s">
        <v>13</v>
      </c>
      <c r="P7">
        <v>10596.2</v>
      </c>
      <c r="Q7">
        <v>1504.28</v>
      </c>
      <c r="R7" s="3"/>
      <c r="S7">
        <v>9417.41</v>
      </c>
      <c r="T7">
        <v>1729.36</v>
      </c>
      <c r="V7" s="1">
        <v>4</v>
      </c>
      <c r="W7" s="1">
        <v>7658</v>
      </c>
      <c r="X7" s="1">
        <v>20011.671503243</v>
      </c>
      <c r="Y7" s="1">
        <v>7428</v>
      </c>
      <c r="Z7" s="1">
        <v>17947.621350902999</v>
      </c>
      <c r="AE7" s="1">
        <v>9378</v>
      </c>
      <c r="AF7" s="1">
        <v>21699.482199806</v>
      </c>
      <c r="AG7" s="1">
        <v>9293</v>
      </c>
      <c r="AH7" s="1">
        <v>21756.168359714</v>
      </c>
      <c r="AM7" s="1">
        <v>4259</v>
      </c>
      <c r="AN7" s="1">
        <v>10412.416854769999</v>
      </c>
      <c r="AO7" s="1">
        <v>4306</v>
      </c>
      <c r="AP7" s="1">
        <v>10570.389541037001</v>
      </c>
      <c r="AV7" s="2" t="s">
        <v>8</v>
      </c>
      <c r="AW7" s="57">
        <f>SUM(AW3:AW6)</f>
        <v>40399</v>
      </c>
      <c r="AX7" s="57">
        <f>SUM(AX3:AX6)</f>
        <v>109949.274490351</v>
      </c>
    </row>
    <row r="8" spans="1:50" x14ac:dyDescent="0.25">
      <c r="A8">
        <v>5</v>
      </c>
      <c r="B8" s="13">
        <v>7044.99</v>
      </c>
      <c r="C8" s="13">
        <v>2527.3100000000004</v>
      </c>
      <c r="D8" s="13">
        <v>7178.5899999999992</v>
      </c>
      <c r="E8" s="14">
        <v>1911.5900000000001</v>
      </c>
      <c r="F8" s="13">
        <v>7588.5999999999995</v>
      </c>
      <c r="G8" s="13">
        <v>2596.9499999999998</v>
      </c>
      <c r="H8" s="13">
        <v>7873.6900000000005</v>
      </c>
      <c r="I8" s="14">
        <v>2109.3200000000002</v>
      </c>
      <c r="J8" s="13">
        <v>33252.160000000003</v>
      </c>
      <c r="K8" s="13">
        <v>10435.640000000001</v>
      </c>
      <c r="L8" s="13">
        <v>31308.380000000005</v>
      </c>
      <c r="M8" s="14">
        <v>7458.1200000000008</v>
      </c>
      <c r="O8" s="3" t="s">
        <v>14</v>
      </c>
      <c r="P8">
        <v>16292.01</v>
      </c>
      <c r="Q8">
        <v>3715.57</v>
      </c>
      <c r="R8" s="3"/>
      <c r="S8">
        <v>19810.150000000001</v>
      </c>
      <c r="T8">
        <v>5027.13</v>
      </c>
      <c r="V8">
        <v>5</v>
      </c>
      <c r="W8" s="1">
        <v>4597</v>
      </c>
      <c r="X8" s="1">
        <v>11618.618468772</v>
      </c>
      <c r="Y8" s="1">
        <v>4442</v>
      </c>
      <c r="Z8" s="1">
        <v>10458.298146814001</v>
      </c>
      <c r="AE8" s="1">
        <v>5701</v>
      </c>
      <c r="AF8" s="1">
        <v>12961.680781343999</v>
      </c>
      <c r="AG8" s="1">
        <v>5603</v>
      </c>
      <c r="AH8" s="1">
        <v>12952.235901631</v>
      </c>
      <c r="AM8" s="1">
        <v>7661</v>
      </c>
      <c r="AN8" s="1">
        <v>16985.472398752001</v>
      </c>
      <c r="AO8" s="1">
        <v>7617</v>
      </c>
      <c r="AP8" s="1">
        <v>17125.833256181999</v>
      </c>
    </row>
    <row r="9" spans="1:50" x14ac:dyDescent="0.25">
      <c r="A9" s="1">
        <v>6</v>
      </c>
      <c r="B9" s="13">
        <v>17663.830000000002</v>
      </c>
      <c r="C9" s="13">
        <v>4882.47</v>
      </c>
      <c r="D9" s="13">
        <v>17182.53</v>
      </c>
      <c r="E9" s="14">
        <v>3573.99</v>
      </c>
      <c r="F9" s="13">
        <v>19722.830000000002</v>
      </c>
      <c r="G9" s="13">
        <v>4958.08</v>
      </c>
      <c r="H9" s="13">
        <v>19392.61</v>
      </c>
      <c r="I9" s="14">
        <v>3919.3</v>
      </c>
      <c r="J9" s="13">
        <v>81461.149999999994</v>
      </c>
      <c r="K9" s="13">
        <v>25804.050000000003</v>
      </c>
      <c r="L9" s="13">
        <v>76784.649999999994</v>
      </c>
      <c r="M9" s="14">
        <v>18222.87</v>
      </c>
      <c r="O9" s="3" t="s">
        <v>15</v>
      </c>
      <c r="P9">
        <v>15011.95</v>
      </c>
      <c r="Q9">
        <v>3853.08</v>
      </c>
      <c r="R9" s="3"/>
      <c r="S9">
        <v>12727.38</v>
      </c>
      <c r="T9">
        <v>4843.03</v>
      </c>
      <c r="V9" s="1">
        <v>6</v>
      </c>
      <c r="W9" s="1">
        <v>5476</v>
      </c>
      <c r="X9" s="1">
        <v>12706.239457296</v>
      </c>
      <c r="Y9" s="1">
        <v>5326</v>
      </c>
      <c r="Z9" s="1">
        <v>11685.229172369</v>
      </c>
      <c r="AE9" s="1">
        <v>6849</v>
      </c>
      <c r="AF9" s="1">
        <v>15275.592013224999</v>
      </c>
      <c r="AG9" s="1">
        <v>6754</v>
      </c>
      <c r="AH9" s="1">
        <v>15085.977133707</v>
      </c>
      <c r="AM9" s="1">
        <v>11620</v>
      </c>
      <c r="AN9" s="1">
        <v>26616.428249570999</v>
      </c>
      <c r="AO9" s="1">
        <v>11586</v>
      </c>
      <c r="AP9" s="1">
        <v>26663.029981014999</v>
      </c>
    </row>
    <row r="10" spans="1:50" x14ac:dyDescent="0.25">
      <c r="A10">
        <v>7</v>
      </c>
      <c r="B10" s="13">
        <v>35023.86</v>
      </c>
      <c r="C10" s="13">
        <v>10297.820000000002</v>
      </c>
      <c r="D10" s="13">
        <v>33930.36</v>
      </c>
      <c r="E10" s="14">
        <v>7437.83</v>
      </c>
      <c r="F10" s="13">
        <v>40031.22</v>
      </c>
      <c r="G10" s="13">
        <v>10683.33</v>
      </c>
      <c r="H10" s="13">
        <v>39880.070000000007</v>
      </c>
      <c r="I10" s="14">
        <v>8378.58</v>
      </c>
      <c r="J10" s="13">
        <v>93720.959000000003</v>
      </c>
      <c r="K10" s="13">
        <v>30666.71</v>
      </c>
      <c r="L10" s="13">
        <v>90217.350999999995</v>
      </c>
      <c r="M10" s="14">
        <v>22563.050000000003</v>
      </c>
      <c r="O10" s="3" t="s">
        <v>16</v>
      </c>
      <c r="P10">
        <v>9870.75</v>
      </c>
      <c r="Q10">
        <v>3986.3</v>
      </c>
      <c r="R10" s="3"/>
      <c r="S10">
        <v>9809.4599999999991</v>
      </c>
      <c r="T10">
        <v>4538.1400000000003</v>
      </c>
      <c r="V10">
        <v>7</v>
      </c>
      <c r="W10" s="1">
        <v>8593</v>
      </c>
      <c r="X10" s="1">
        <v>19878.782959926</v>
      </c>
      <c r="Y10" s="1">
        <v>8288</v>
      </c>
      <c r="Z10" s="1">
        <v>18372.214012057</v>
      </c>
      <c r="AE10" s="1">
        <v>10496</v>
      </c>
      <c r="AF10" s="1">
        <v>24116.801397776999</v>
      </c>
      <c r="AG10" s="1">
        <v>10499</v>
      </c>
      <c r="AH10" s="1">
        <v>23981.775199976</v>
      </c>
      <c r="AM10" s="1">
        <v>11690</v>
      </c>
      <c r="AN10" s="1">
        <v>26923.390287923001</v>
      </c>
      <c r="AO10" s="1">
        <v>11718</v>
      </c>
      <c r="AP10" s="1">
        <v>27014.878847219999</v>
      </c>
    </row>
    <row r="11" spans="1:50" x14ac:dyDescent="0.25">
      <c r="A11" s="1">
        <v>8</v>
      </c>
      <c r="B11" s="13">
        <v>55134.149999999994</v>
      </c>
      <c r="C11" s="13">
        <v>18840.010000000002</v>
      </c>
      <c r="D11" s="13">
        <v>53747.7</v>
      </c>
      <c r="E11" s="14">
        <v>13427.32</v>
      </c>
      <c r="F11" s="13">
        <v>63017.69</v>
      </c>
      <c r="G11" s="13">
        <v>19309.620000000003</v>
      </c>
      <c r="H11" s="13">
        <v>62719.75</v>
      </c>
      <c r="I11" s="14">
        <v>15287.380000000001</v>
      </c>
      <c r="J11" s="13">
        <v>87427.069999999992</v>
      </c>
      <c r="K11" s="13">
        <v>31661.760000000002</v>
      </c>
      <c r="L11" s="13">
        <v>86586.430000000022</v>
      </c>
      <c r="M11" s="14">
        <v>23051.61</v>
      </c>
      <c r="O11" s="3" t="s">
        <v>17</v>
      </c>
      <c r="P11">
        <v>9239.7999999999993</v>
      </c>
      <c r="Q11">
        <v>6243.01</v>
      </c>
      <c r="R11" s="3"/>
      <c r="S11">
        <v>10700.66</v>
      </c>
      <c r="T11">
        <v>7439.11</v>
      </c>
      <c r="V11" s="1">
        <v>8</v>
      </c>
      <c r="W11" s="1">
        <v>12000</v>
      </c>
      <c r="X11" s="1">
        <v>29005.652389555999</v>
      </c>
      <c r="Y11" s="1">
        <v>11632</v>
      </c>
      <c r="Z11" s="1">
        <v>26839.457626626001</v>
      </c>
      <c r="AE11" s="1">
        <v>14118</v>
      </c>
      <c r="AF11" s="1">
        <v>34218.312703939999</v>
      </c>
      <c r="AG11" s="1">
        <v>14072</v>
      </c>
      <c r="AH11" s="1">
        <v>34255.825807050001</v>
      </c>
      <c r="AM11" s="1">
        <v>11743</v>
      </c>
      <c r="AN11" s="1">
        <v>27066.964188213002</v>
      </c>
      <c r="AO11" s="1">
        <v>11720</v>
      </c>
      <c r="AP11" s="1">
        <v>26982.157342476999</v>
      </c>
    </row>
    <row r="12" spans="1:50" x14ac:dyDescent="0.25">
      <c r="A12">
        <v>9</v>
      </c>
      <c r="B12" s="13">
        <v>73388.740000000005</v>
      </c>
      <c r="C12" s="13">
        <v>28843.030000000002</v>
      </c>
      <c r="D12" s="13">
        <v>72453.38</v>
      </c>
      <c r="E12" s="14">
        <v>21389.439999999999</v>
      </c>
      <c r="F12" s="13">
        <v>82349.84</v>
      </c>
      <c r="G12" s="13">
        <v>29379.13</v>
      </c>
      <c r="H12" s="13">
        <v>83091.239999999991</v>
      </c>
      <c r="I12" s="14">
        <v>23496.05</v>
      </c>
      <c r="J12" s="13">
        <v>147841.03</v>
      </c>
      <c r="K12" s="13">
        <v>59678.31</v>
      </c>
      <c r="L12" s="13">
        <v>144057.24900000001</v>
      </c>
      <c r="M12" s="14">
        <v>45096.04</v>
      </c>
      <c r="O12" s="3" t="s">
        <v>18</v>
      </c>
      <c r="P12">
        <v>12486.44</v>
      </c>
      <c r="Q12">
        <v>3793.77</v>
      </c>
      <c r="R12" s="3"/>
      <c r="S12">
        <v>10541.93</v>
      </c>
      <c r="T12">
        <v>4645.2299999999996</v>
      </c>
      <c r="V12">
        <v>9</v>
      </c>
      <c r="W12" s="1">
        <v>14713</v>
      </c>
      <c r="X12" s="1">
        <v>37270.376589687003</v>
      </c>
      <c r="Y12" s="1">
        <v>14275</v>
      </c>
      <c r="Z12" s="1">
        <v>34789.219789903</v>
      </c>
      <c r="AE12" s="1">
        <v>16686</v>
      </c>
      <c r="AF12" s="1">
        <v>42381.424186547003</v>
      </c>
      <c r="AG12" s="1">
        <v>16590</v>
      </c>
      <c r="AH12" s="1">
        <v>42066.672635010997</v>
      </c>
      <c r="AM12" s="1">
        <v>16820</v>
      </c>
      <c r="AN12" s="1">
        <v>42599.288455729999</v>
      </c>
      <c r="AO12" s="1">
        <v>16719</v>
      </c>
      <c r="AP12" s="1">
        <v>42381.830648968004</v>
      </c>
    </row>
    <row r="13" spans="1:50" x14ac:dyDescent="0.25">
      <c r="A13" s="1">
        <v>10</v>
      </c>
      <c r="B13" s="13">
        <v>84140.74</v>
      </c>
      <c r="C13" s="13">
        <v>37117.61</v>
      </c>
      <c r="D13" s="13">
        <v>84189.19</v>
      </c>
      <c r="E13" s="14">
        <v>28082.500000000004</v>
      </c>
      <c r="F13" s="13">
        <v>91915.47</v>
      </c>
      <c r="G13" s="13">
        <v>36691.020000000004</v>
      </c>
      <c r="H13" s="13">
        <v>93424.01</v>
      </c>
      <c r="I13" s="14">
        <v>30117.629999999997</v>
      </c>
      <c r="J13" s="13">
        <v>176927.44899999999</v>
      </c>
      <c r="K13" s="13">
        <v>69316.83</v>
      </c>
      <c r="L13" s="13">
        <v>171149.66999999998</v>
      </c>
      <c r="M13" s="14">
        <v>54870.26</v>
      </c>
      <c r="O13" s="3" t="s">
        <v>19</v>
      </c>
      <c r="P13">
        <v>5458.48</v>
      </c>
      <c r="Q13">
        <v>4471.95</v>
      </c>
      <c r="R13" s="3"/>
      <c r="S13">
        <v>7383.5</v>
      </c>
      <c r="T13">
        <v>5945.65</v>
      </c>
      <c r="V13" s="1">
        <v>10</v>
      </c>
      <c r="W13" s="1">
        <v>16724</v>
      </c>
      <c r="X13" s="1">
        <v>43783.334257292998</v>
      </c>
      <c r="Y13" s="1">
        <v>16376</v>
      </c>
      <c r="Z13" s="1">
        <v>41183.456818343999</v>
      </c>
      <c r="AE13" s="1">
        <v>17818</v>
      </c>
      <c r="AF13" s="1">
        <v>46779.909673314003</v>
      </c>
      <c r="AG13" s="1">
        <v>17736</v>
      </c>
      <c r="AH13" s="1">
        <v>46314.797421201998</v>
      </c>
      <c r="AM13" s="1">
        <v>20090</v>
      </c>
      <c r="AN13" s="1">
        <v>53995.655957875002</v>
      </c>
      <c r="AO13" s="1">
        <v>20014</v>
      </c>
      <c r="AP13" s="1">
        <v>54280.891616355999</v>
      </c>
    </row>
    <row r="14" spans="1:50" x14ac:dyDescent="0.25">
      <c r="A14">
        <v>11</v>
      </c>
      <c r="B14" s="13">
        <v>83386.879999999976</v>
      </c>
      <c r="C14" s="13">
        <v>39253.78</v>
      </c>
      <c r="D14" s="13">
        <v>83675.53</v>
      </c>
      <c r="E14" s="14">
        <v>30073.18</v>
      </c>
      <c r="F14" s="13">
        <v>91704.15</v>
      </c>
      <c r="G14" s="13">
        <v>39288.980000000003</v>
      </c>
      <c r="H14" s="13">
        <v>93242.67</v>
      </c>
      <c r="I14" s="14">
        <v>32579.42</v>
      </c>
      <c r="J14" s="13">
        <v>155952.88900000002</v>
      </c>
      <c r="K14" s="13">
        <v>59957.240000000005</v>
      </c>
      <c r="L14" s="13">
        <v>152873.242</v>
      </c>
      <c r="M14" s="14">
        <v>48790.71</v>
      </c>
      <c r="O14" s="2" t="s">
        <v>8</v>
      </c>
      <c r="P14" s="2">
        <f>SUM(P3:P13)</f>
        <v>117650.98099999999</v>
      </c>
      <c r="Q14" s="2">
        <f>SUM(Q3:Q13)</f>
        <v>37190.35</v>
      </c>
      <c r="R14" s="2"/>
      <c r="S14" s="2">
        <f t="shared" ref="S14:T14" si="0">SUM(S3:S13)</f>
        <v>118150.891</v>
      </c>
      <c r="T14" s="2">
        <f t="shared" si="0"/>
        <v>45568.01</v>
      </c>
      <c r="V14">
        <v>11</v>
      </c>
      <c r="W14" s="1">
        <v>17476</v>
      </c>
      <c r="X14" s="1">
        <v>46629.653894527997</v>
      </c>
      <c r="Y14" s="1">
        <v>17190</v>
      </c>
      <c r="Z14" s="1">
        <v>43932.455061314999</v>
      </c>
      <c r="AE14" s="1">
        <v>18430</v>
      </c>
      <c r="AF14" s="1">
        <v>48989.282565521004</v>
      </c>
      <c r="AG14" s="1">
        <v>18260</v>
      </c>
      <c r="AH14" s="1">
        <v>48903.460986676997</v>
      </c>
      <c r="AM14" s="1">
        <v>20937</v>
      </c>
      <c r="AN14" s="1">
        <v>57502.355531977999</v>
      </c>
      <c r="AO14" s="1">
        <v>20714</v>
      </c>
      <c r="AP14" s="1">
        <v>57453.735764883</v>
      </c>
    </row>
    <row r="15" spans="1:50" x14ac:dyDescent="0.25">
      <c r="A15" s="1">
        <v>12</v>
      </c>
      <c r="B15" s="13">
        <v>63429.469999999994</v>
      </c>
      <c r="C15" s="13">
        <v>30474.049999999996</v>
      </c>
      <c r="D15" s="13">
        <v>63965.69</v>
      </c>
      <c r="E15" s="14">
        <v>23380.68</v>
      </c>
      <c r="F15" s="13">
        <v>83535.850000000006</v>
      </c>
      <c r="G15" s="13">
        <v>37078.04</v>
      </c>
      <c r="H15" s="13">
        <v>84833.400000000009</v>
      </c>
      <c r="I15" s="14">
        <v>30830.61</v>
      </c>
      <c r="J15" s="13">
        <v>118150.891</v>
      </c>
      <c r="K15" s="13">
        <v>45568.01</v>
      </c>
      <c r="L15" s="13">
        <v>117650.98099999999</v>
      </c>
      <c r="M15" s="14">
        <v>37190.35</v>
      </c>
      <c r="V15" s="1">
        <v>12</v>
      </c>
      <c r="W15" s="1">
        <v>15700</v>
      </c>
      <c r="X15" s="1">
        <v>41557.772558226003</v>
      </c>
      <c r="Y15" s="1">
        <v>15410</v>
      </c>
      <c r="Z15" s="1">
        <v>39443.217670496997</v>
      </c>
      <c r="AE15" s="1">
        <v>18417</v>
      </c>
      <c r="AF15" s="1">
        <v>49516.706146491997</v>
      </c>
      <c r="AG15" s="1">
        <v>18397</v>
      </c>
      <c r="AH15" s="1">
        <v>49559.690551152002</v>
      </c>
      <c r="AM15" s="1">
        <v>20348</v>
      </c>
      <c r="AN15" s="1">
        <v>55026.193307472</v>
      </c>
      <c r="AO15" s="1">
        <v>20051</v>
      </c>
      <c r="AP15" s="1">
        <v>54923.081182879003</v>
      </c>
    </row>
    <row r="16" spans="1:50" x14ac:dyDescent="0.25">
      <c r="A16">
        <v>13</v>
      </c>
      <c r="B16" s="13">
        <v>45098.27</v>
      </c>
      <c r="C16" s="13">
        <v>19625.030000000002</v>
      </c>
      <c r="D16" s="13">
        <v>45154.130000000005</v>
      </c>
      <c r="E16" s="14">
        <v>14480.14</v>
      </c>
      <c r="F16" s="13">
        <v>68380.210000000006</v>
      </c>
      <c r="G16" s="13">
        <v>29866.760000000002</v>
      </c>
      <c r="H16" s="13">
        <v>68996.3</v>
      </c>
      <c r="I16" s="14">
        <v>25139.119999999999</v>
      </c>
      <c r="J16" s="13"/>
      <c r="K16" s="13"/>
      <c r="L16" s="13"/>
      <c r="M16" s="14"/>
      <c r="V16">
        <v>13</v>
      </c>
      <c r="W16" s="1">
        <v>13502</v>
      </c>
      <c r="X16" s="1">
        <v>34273.063332555997</v>
      </c>
      <c r="Y16" s="1">
        <v>13099</v>
      </c>
      <c r="Z16" s="1">
        <v>32449.734343657001</v>
      </c>
      <c r="AE16" s="1">
        <v>17307</v>
      </c>
      <c r="AF16" s="1">
        <v>46070.590053895998</v>
      </c>
      <c r="AG16" s="1">
        <v>17121</v>
      </c>
      <c r="AH16" s="1">
        <v>45974.883176258001</v>
      </c>
      <c r="AM16" s="1"/>
      <c r="AN16" s="1"/>
      <c r="AO16" s="1"/>
      <c r="AP16" s="1"/>
    </row>
    <row r="17" spans="1:42" x14ac:dyDescent="0.25">
      <c r="A17" s="1">
        <v>14</v>
      </c>
      <c r="B17" s="13">
        <v>78501.33</v>
      </c>
      <c r="C17" s="13">
        <v>36365.560000000005</v>
      </c>
      <c r="D17" s="13">
        <v>77246.73</v>
      </c>
      <c r="E17" s="14">
        <v>27904.3</v>
      </c>
      <c r="F17" s="13">
        <v>75528.289999999994</v>
      </c>
      <c r="G17" s="13">
        <v>32211.899999999998</v>
      </c>
      <c r="H17" s="13">
        <v>75497.990000000005</v>
      </c>
      <c r="I17" s="14">
        <v>26857.410000000003</v>
      </c>
      <c r="J17" s="13"/>
      <c r="K17" s="13"/>
      <c r="L17" s="13"/>
      <c r="M17" s="14"/>
      <c r="V17" s="1">
        <v>14</v>
      </c>
      <c r="W17" s="1">
        <v>19196</v>
      </c>
      <c r="X17" s="1">
        <v>50738.206342438003</v>
      </c>
      <c r="Y17" s="1">
        <v>18925</v>
      </c>
      <c r="Z17" s="1">
        <v>48477.319450684998</v>
      </c>
      <c r="AE17" s="1">
        <v>18756</v>
      </c>
      <c r="AF17" s="1">
        <v>49924.395208991999</v>
      </c>
      <c r="AG17" s="1">
        <v>18667</v>
      </c>
      <c r="AH17" s="1">
        <v>49585.025564281998</v>
      </c>
      <c r="AM17" s="1"/>
      <c r="AN17" s="1"/>
      <c r="AO17" s="1"/>
      <c r="AP17" s="1"/>
    </row>
    <row r="18" spans="1:42" x14ac:dyDescent="0.25">
      <c r="A18">
        <v>15</v>
      </c>
      <c r="B18" s="13">
        <v>76461.569999999992</v>
      </c>
      <c r="C18" s="13">
        <v>36334.620000000003</v>
      </c>
      <c r="D18" s="13">
        <v>77859.649999999994</v>
      </c>
      <c r="E18" s="14">
        <v>28388.169999999995</v>
      </c>
      <c r="F18" s="13">
        <v>82332.17</v>
      </c>
      <c r="G18" s="13">
        <v>34430.57</v>
      </c>
      <c r="H18" s="13">
        <v>81946.25</v>
      </c>
      <c r="I18" s="14">
        <v>28796.49</v>
      </c>
      <c r="J18" s="13"/>
      <c r="K18" s="13"/>
      <c r="L18" s="13"/>
      <c r="M18" s="14"/>
      <c r="V18">
        <v>15</v>
      </c>
      <c r="W18" s="1">
        <v>19450</v>
      </c>
      <c r="X18" s="1">
        <v>51532.724755255003</v>
      </c>
      <c r="Y18" s="1">
        <v>19220</v>
      </c>
      <c r="Z18" s="1">
        <v>49536.853113730001</v>
      </c>
      <c r="AE18" s="1">
        <v>19617</v>
      </c>
      <c r="AF18" s="1">
        <v>52187.166201460997</v>
      </c>
      <c r="AG18" s="1">
        <v>19470</v>
      </c>
      <c r="AH18" s="1">
        <v>51989.630608038999</v>
      </c>
      <c r="AM18" s="1"/>
      <c r="AN18" s="1"/>
      <c r="AO18" s="1"/>
      <c r="AP18" s="1"/>
    </row>
    <row r="19" spans="1:42" x14ac:dyDescent="0.25">
      <c r="A19" s="1">
        <v>16</v>
      </c>
      <c r="B19" s="13">
        <v>69269.189999999988</v>
      </c>
      <c r="C19" s="13">
        <v>33843.93</v>
      </c>
      <c r="D19" s="13">
        <v>71255.239999999991</v>
      </c>
      <c r="E19" s="14">
        <v>26631.260000000002</v>
      </c>
      <c r="F19" s="13">
        <v>81224.13</v>
      </c>
      <c r="G19" s="13">
        <v>34900.61</v>
      </c>
      <c r="H19" s="13">
        <v>81313.499999999985</v>
      </c>
      <c r="I19" s="14">
        <v>28964.199999999997</v>
      </c>
      <c r="J19" s="13"/>
      <c r="K19" s="13"/>
      <c r="L19" s="13"/>
      <c r="M19" s="14"/>
      <c r="V19" s="1">
        <v>16</v>
      </c>
      <c r="W19" s="1">
        <v>17231</v>
      </c>
      <c r="X19" s="1">
        <v>46646.833322418002</v>
      </c>
      <c r="Y19" s="1">
        <v>17144</v>
      </c>
      <c r="Z19" s="1">
        <v>45402.918992022998</v>
      </c>
      <c r="AE19" s="1">
        <v>18629</v>
      </c>
      <c r="AF19" s="1">
        <v>50496.068454929002</v>
      </c>
      <c r="AG19" s="1">
        <v>18568</v>
      </c>
      <c r="AH19" s="1">
        <v>50110.592480462998</v>
      </c>
      <c r="AM19" s="1"/>
      <c r="AN19" s="1"/>
      <c r="AO19" s="1"/>
      <c r="AP19" s="1"/>
    </row>
    <row r="20" spans="1:42" x14ac:dyDescent="0.25">
      <c r="A20">
        <v>17</v>
      </c>
      <c r="B20" s="13">
        <v>69648.86</v>
      </c>
      <c r="C20" s="13">
        <v>34299.08</v>
      </c>
      <c r="D20" s="13">
        <v>70672.5</v>
      </c>
      <c r="E20" s="14">
        <v>26754.240000000002</v>
      </c>
      <c r="F20" s="13">
        <v>81915.7</v>
      </c>
      <c r="G20" s="13">
        <v>35351.410000000003</v>
      </c>
      <c r="H20" s="13">
        <v>81938.679999999993</v>
      </c>
      <c r="I20" s="14">
        <v>29358.95</v>
      </c>
      <c r="J20" s="13"/>
      <c r="K20" s="13"/>
      <c r="L20" s="13"/>
      <c r="M20" s="14"/>
      <c r="V20">
        <v>17</v>
      </c>
      <c r="W20" s="1">
        <v>15073</v>
      </c>
      <c r="X20" s="1">
        <v>42296.485056885002</v>
      </c>
      <c r="Y20" s="1">
        <v>14854</v>
      </c>
      <c r="Z20" s="1">
        <v>40935.960937967</v>
      </c>
      <c r="AE20" s="1">
        <v>16952</v>
      </c>
      <c r="AF20" s="1">
        <v>46860.322674638999</v>
      </c>
      <c r="AG20" s="1">
        <v>16916</v>
      </c>
      <c r="AH20" s="1">
        <v>46823.518748691997</v>
      </c>
      <c r="AM20" s="1"/>
      <c r="AN20" s="1"/>
      <c r="AO20" s="1"/>
      <c r="AP20" s="1"/>
    </row>
    <row r="21" spans="1:42" x14ac:dyDescent="0.25">
      <c r="A21" s="1">
        <v>18</v>
      </c>
      <c r="B21" s="13">
        <v>52448.299999999996</v>
      </c>
      <c r="C21" s="13">
        <v>22722.489999999998</v>
      </c>
      <c r="D21" s="13">
        <v>52277.180000000015</v>
      </c>
      <c r="E21" s="14">
        <v>17520.530000000002</v>
      </c>
      <c r="F21" s="13">
        <v>63159.87000000001</v>
      </c>
      <c r="G21" s="13">
        <v>25277.520000000004</v>
      </c>
      <c r="H21" s="13">
        <v>62895.399999999994</v>
      </c>
      <c r="I21" s="14">
        <v>21129.859999999997</v>
      </c>
      <c r="J21" s="13"/>
      <c r="K21" s="13"/>
      <c r="L21" s="13"/>
      <c r="M21" s="14"/>
      <c r="V21" s="1">
        <v>18</v>
      </c>
      <c r="W21" s="1">
        <v>13014</v>
      </c>
      <c r="X21" s="1">
        <v>35694.793604735001</v>
      </c>
      <c r="Y21" s="1">
        <v>12846</v>
      </c>
      <c r="Z21" s="1">
        <v>34815.946382941998</v>
      </c>
      <c r="AE21" s="1">
        <v>14598</v>
      </c>
      <c r="AF21" s="1">
        <v>39730.861769684998</v>
      </c>
      <c r="AG21" s="1">
        <v>14477</v>
      </c>
      <c r="AH21" s="1">
        <v>39550.367818348997</v>
      </c>
      <c r="AM21" s="1"/>
      <c r="AN21" s="1"/>
      <c r="AO21" s="1"/>
      <c r="AP21" s="1"/>
    </row>
    <row r="22" spans="1:42" x14ac:dyDescent="0.25">
      <c r="A22">
        <v>19</v>
      </c>
      <c r="B22" s="13">
        <v>159922.79200000002</v>
      </c>
      <c r="C22" s="13">
        <v>67799.570000000007</v>
      </c>
      <c r="D22" s="13">
        <v>159273.701</v>
      </c>
      <c r="E22" s="14">
        <v>48730.79</v>
      </c>
      <c r="F22" s="13">
        <v>166132.96100000001</v>
      </c>
      <c r="G22" s="13">
        <v>66736.680000000008</v>
      </c>
      <c r="H22" s="13">
        <v>163752.94200000001</v>
      </c>
      <c r="I22" s="14">
        <v>53147.32</v>
      </c>
      <c r="J22" s="13"/>
      <c r="K22" s="13"/>
      <c r="L22" s="13"/>
      <c r="M22" s="14"/>
      <c r="V22">
        <v>19</v>
      </c>
      <c r="W22" s="1">
        <v>19262</v>
      </c>
      <c r="X22" s="1">
        <v>52373.572576912004</v>
      </c>
      <c r="Y22" s="1">
        <v>18891</v>
      </c>
      <c r="Z22" s="1">
        <v>51005.246660088997</v>
      </c>
      <c r="AE22" s="1">
        <v>18567</v>
      </c>
      <c r="AF22" s="1">
        <v>50460.630369988001</v>
      </c>
      <c r="AG22" s="1">
        <v>18555</v>
      </c>
      <c r="AH22" s="1">
        <v>50640.912321139003</v>
      </c>
      <c r="AM22" s="1"/>
      <c r="AN22" s="1"/>
      <c r="AO22" s="1"/>
      <c r="AP22" s="1"/>
    </row>
    <row r="23" spans="1:42" x14ac:dyDescent="0.25">
      <c r="A23" s="1">
        <v>20</v>
      </c>
      <c r="B23" s="13">
        <v>136783.58999999997</v>
      </c>
      <c r="C23" s="13">
        <v>59530.41</v>
      </c>
      <c r="D23" s="13">
        <v>139054.51</v>
      </c>
      <c r="E23" s="14">
        <v>42780.640000000007</v>
      </c>
      <c r="F23" s="13">
        <v>161558.24799999996</v>
      </c>
      <c r="G23" s="13">
        <v>65763.64</v>
      </c>
      <c r="H23" s="13">
        <v>162383.33799999999</v>
      </c>
      <c r="I23" s="14">
        <v>52434.170000000006</v>
      </c>
      <c r="J23" s="13"/>
      <c r="K23" s="13"/>
      <c r="L23" s="13"/>
      <c r="M23" s="14"/>
      <c r="V23" s="1">
        <v>20</v>
      </c>
      <c r="W23" s="1">
        <v>19891</v>
      </c>
      <c r="X23" s="1">
        <v>53641.105551408</v>
      </c>
      <c r="Y23" s="1">
        <v>19622</v>
      </c>
      <c r="Z23" s="1">
        <v>52799.295162768998</v>
      </c>
      <c r="AE23" s="1">
        <v>19541</v>
      </c>
      <c r="AF23" s="1">
        <v>52909.742175658001</v>
      </c>
      <c r="AG23" s="1">
        <v>19405</v>
      </c>
      <c r="AH23" s="1">
        <v>53099.338343249001</v>
      </c>
      <c r="AM23" s="1"/>
      <c r="AN23" s="1"/>
      <c r="AO23" s="1"/>
      <c r="AP23" s="1"/>
    </row>
    <row r="24" spans="1:42" x14ac:dyDescent="0.25">
      <c r="A24">
        <v>21</v>
      </c>
      <c r="B24" s="13">
        <v>120791.22</v>
      </c>
      <c r="C24" s="13">
        <v>53147.26</v>
      </c>
      <c r="D24" s="13">
        <v>122485.988</v>
      </c>
      <c r="E24" s="14">
        <v>38650.060000000005</v>
      </c>
      <c r="F24" s="13">
        <v>157028.80900000001</v>
      </c>
      <c r="G24" s="13">
        <v>62555.66</v>
      </c>
      <c r="H24" s="13">
        <v>156826.18899999998</v>
      </c>
      <c r="I24" s="14">
        <v>50470.31</v>
      </c>
      <c r="J24" s="13"/>
      <c r="K24" s="13"/>
      <c r="L24" s="13"/>
      <c r="M24" s="14"/>
      <c r="V24">
        <v>21</v>
      </c>
      <c r="W24" s="1">
        <v>20764</v>
      </c>
      <c r="X24" s="1">
        <v>57162.083258489001</v>
      </c>
      <c r="Y24" s="1">
        <v>20516</v>
      </c>
      <c r="Z24" s="1">
        <v>56255.013524713002</v>
      </c>
      <c r="AE24" s="1">
        <v>20764</v>
      </c>
      <c r="AF24" s="1">
        <v>56743.182828759003</v>
      </c>
      <c r="AG24" s="1">
        <v>20724</v>
      </c>
      <c r="AH24" s="1">
        <v>57266.749872146</v>
      </c>
      <c r="AM24" s="1"/>
      <c r="AN24" s="1"/>
      <c r="AO24" s="1"/>
      <c r="AP24" s="1"/>
    </row>
    <row r="25" spans="1:42" x14ac:dyDescent="0.25">
      <c r="A25" s="1">
        <v>22</v>
      </c>
      <c r="B25" s="13">
        <v>92257.87</v>
      </c>
      <c r="C25" s="13">
        <v>44976.140000000007</v>
      </c>
      <c r="D25" s="13">
        <v>94878</v>
      </c>
      <c r="E25" s="14">
        <v>34020.050000000003</v>
      </c>
      <c r="F25" s="13">
        <v>118528.6</v>
      </c>
      <c r="G25" s="13">
        <v>50703.58</v>
      </c>
      <c r="H25" s="13">
        <v>119266.15899999999</v>
      </c>
      <c r="I25" s="14">
        <v>41779.22</v>
      </c>
      <c r="J25" s="13"/>
      <c r="K25" s="13"/>
      <c r="L25" s="13"/>
      <c r="M25" s="14"/>
      <c r="V25" s="1">
        <v>22</v>
      </c>
      <c r="W25" s="1">
        <v>21774</v>
      </c>
      <c r="X25" s="1">
        <v>59243.101889726997</v>
      </c>
      <c r="Y25" s="1">
        <v>21815</v>
      </c>
      <c r="Z25" s="1">
        <v>58860.418544699998</v>
      </c>
      <c r="AE25" s="1">
        <v>21939</v>
      </c>
      <c r="AF25" s="1">
        <v>59316.913673272</v>
      </c>
      <c r="AG25" s="1">
        <v>21982</v>
      </c>
      <c r="AH25" s="1">
        <v>60002.269065656998</v>
      </c>
      <c r="AM25" s="1"/>
      <c r="AN25" s="1"/>
      <c r="AO25" s="1"/>
      <c r="AP25" s="1"/>
    </row>
    <row r="26" spans="1:42" x14ac:dyDescent="0.25">
      <c r="A26">
        <v>23</v>
      </c>
      <c r="B26" s="16">
        <v>44154.819999999992</v>
      </c>
      <c r="C26" s="16">
        <v>25094.74</v>
      </c>
      <c r="D26" s="16">
        <v>46143.54</v>
      </c>
      <c r="E26" s="17">
        <v>19466.900000000001</v>
      </c>
      <c r="F26" s="16">
        <v>67850.260000000009</v>
      </c>
      <c r="G26" s="16">
        <v>32905.020000000004</v>
      </c>
      <c r="H26" s="16">
        <v>68638.899999999994</v>
      </c>
      <c r="I26" s="17">
        <v>27826.14</v>
      </c>
      <c r="J26" s="16"/>
      <c r="K26" s="16"/>
      <c r="L26" s="16"/>
      <c r="M26" s="17"/>
      <c r="V26">
        <v>23</v>
      </c>
      <c r="W26" s="1">
        <v>20187</v>
      </c>
      <c r="X26" s="1">
        <v>53790.866137099001</v>
      </c>
      <c r="Y26" s="1">
        <v>20392</v>
      </c>
      <c r="Z26" s="1">
        <v>54602.328058092004</v>
      </c>
      <c r="AE26" s="1">
        <v>22015</v>
      </c>
      <c r="AF26" s="1">
        <v>58567.993319786001</v>
      </c>
      <c r="AG26" s="1">
        <v>21967</v>
      </c>
      <c r="AH26" s="1">
        <v>58850.724479197001</v>
      </c>
      <c r="AM26" s="1"/>
      <c r="AN26" s="1"/>
      <c r="AO26" s="1"/>
      <c r="AP26" s="1"/>
    </row>
    <row r="29" spans="1:42" x14ac:dyDescent="0.25">
      <c r="B29" t="s">
        <v>65</v>
      </c>
      <c r="C29" t="s">
        <v>66</v>
      </c>
      <c r="D29" t="s">
        <v>64</v>
      </c>
    </row>
    <row r="30" spans="1:42" x14ac:dyDescent="0.25">
      <c r="B30" s="68">
        <v>-7</v>
      </c>
      <c r="C30" s="69"/>
      <c r="D30" s="70"/>
      <c r="E30" s="68">
        <v>-1</v>
      </c>
      <c r="F30" s="69"/>
      <c r="G30" s="70"/>
      <c r="H30" s="68">
        <v>0</v>
      </c>
      <c r="I30" s="69"/>
      <c r="J30" s="70"/>
      <c r="W30" s="68">
        <v>-7</v>
      </c>
      <c r="X30" s="69"/>
      <c r="Y30" s="69"/>
      <c r="Z30" s="70"/>
      <c r="AA30" s="68">
        <v>-1</v>
      </c>
      <c r="AB30" s="69"/>
      <c r="AC30" s="69"/>
      <c r="AD30" s="70"/>
      <c r="AE30" s="68">
        <v>0</v>
      </c>
      <c r="AF30" s="69"/>
      <c r="AG30" s="69"/>
      <c r="AH30" s="70"/>
    </row>
    <row r="31" spans="1:42" x14ac:dyDescent="0.25">
      <c r="A31" s="1">
        <v>0</v>
      </c>
      <c r="B31" s="18">
        <f>B3+C3</f>
        <v>32481.66</v>
      </c>
      <c r="C31" s="13">
        <f>D3+E3</f>
        <v>31383.14</v>
      </c>
      <c r="D31" s="14">
        <f>B31+C31</f>
        <v>63864.800000000003</v>
      </c>
      <c r="E31" s="3">
        <f>IF(F3="",ERROR.TYPE(7),F3+G3)</f>
        <v>34213.870000000003</v>
      </c>
      <c r="F31" s="13">
        <f>IF(H3="",ERROR.TYPE(7),H3+I3)</f>
        <v>33591.179999999993</v>
      </c>
      <c r="G31" s="14">
        <f>E31+F31</f>
        <v>67805.049999999988</v>
      </c>
      <c r="H31" s="3">
        <f>IF(J3="",ERROR.TYPE(7),J3+K3)</f>
        <v>53956.45</v>
      </c>
      <c r="I31" s="13">
        <f>IF(L3="",ERROR.TYPE(7),L3+M3)</f>
        <v>52252.78</v>
      </c>
      <c r="J31" s="14">
        <f>H31+I31</f>
        <v>106209.23</v>
      </c>
      <c r="W31" s="3" t="s">
        <v>154</v>
      </c>
      <c r="X31" s="13" t="s">
        <v>155</v>
      </c>
      <c r="Y31" s="13" t="s">
        <v>115</v>
      </c>
      <c r="Z31" s="14" t="s">
        <v>127</v>
      </c>
      <c r="AA31" s="3" t="s">
        <v>61</v>
      </c>
      <c r="AB31" s="13" t="s">
        <v>62</v>
      </c>
      <c r="AC31" s="13" t="s">
        <v>63</v>
      </c>
      <c r="AD31" s="14" t="s">
        <v>8</v>
      </c>
      <c r="AE31" s="3" t="s">
        <v>61</v>
      </c>
      <c r="AF31" s="13" t="s">
        <v>62</v>
      </c>
      <c r="AG31" s="13" t="s">
        <v>63</v>
      </c>
      <c r="AH31" s="14" t="s">
        <v>8</v>
      </c>
    </row>
    <row r="32" spans="1:42" x14ac:dyDescent="0.25">
      <c r="A32">
        <v>1</v>
      </c>
      <c r="B32" s="18">
        <f t="shared" ref="B32:B54" si="1">B4+C4</f>
        <v>14685.86</v>
      </c>
      <c r="C32" s="13">
        <f t="shared" ref="C32:C54" si="2">D4+E4</f>
        <v>14299.94</v>
      </c>
      <c r="D32" s="14">
        <f t="shared" ref="D32:D54" si="3">B32+C32</f>
        <v>28985.800000000003</v>
      </c>
      <c r="E32" s="3">
        <f t="shared" ref="E32:E54" si="4">IF(F4="",ERROR.TYPE(7),F4+G4)</f>
        <v>16603.510000000002</v>
      </c>
      <c r="F32" s="13">
        <f t="shared" ref="F32:F54" si="5">IF(H4="",ERROR.TYPE(7),H4+I4)</f>
        <v>16241.490000000002</v>
      </c>
      <c r="G32" s="14">
        <f t="shared" ref="G32:G54" si="6">E32+F32</f>
        <v>32845</v>
      </c>
      <c r="H32" s="3">
        <f>IF(J4="",ERROR.TYPE(7),J4+K4)</f>
        <v>27463</v>
      </c>
      <c r="I32" s="13">
        <f t="shared" ref="I32:I54" si="7">IF(L4="",ERROR.TYPE(7),L4+M4)</f>
        <v>26606.32</v>
      </c>
      <c r="J32" s="14">
        <f t="shared" ref="J32:J54" si="8">H32+I32</f>
        <v>54069.32</v>
      </c>
      <c r="V32" s="1">
        <v>0</v>
      </c>
      <c r="W32" s="3">
        <f>W3+X3</f>
        <v>63456.023856148</v>
      </c>
      <c r="X32" s="13">
        <f>Y3+Z3</f>
        <v>53824.262139879</v>
      </c>
      <c r="Y32" s="13"/>
      <c r="Z32" s="14">
        <f>(W32+X32+Y32)/1000</f>
        <v>117.280285996027</v>
      </c>
      <c r="AA32" s="3">
        <f>IF(AE3="",ERROR.TYPE(7),AE3+AF3)</f>
        <v>62495.012927534</v>
      </c>
      <c r="AB32" s="13">
        <f>IF(AG3="",ERROR.TYPE(7),AG3+AH3)</f>
        <v>62747.484149395998</v>
      </c>
      <c r="AC32" s="13"/>
      <c r="AD32" s="14">
        <f>(AA32+AB32+AC32)/1000</f>
        <v>125.24249707692999</v>
      </c>
      <c r="AE32" s="3">
        <f>IF(AM3="",ERROR.TYPE(7),AM3+AN3)</f>
        <v>68929.004618113002</v>
      </c>
      <c r="AF32" s="13">
        <f t="shared" ref="AF32:AF55" si="9">IF(AO3="",ERROR.TYPE(7),AO3+AP3)</f>
        <v>68907.939079447999</v>
      </c>
      <c r="AG32" s="13"/>
      <c r="AH32" s="14">
        <f>(AE32+AF32+AG32)/1000</f>
        <v>137.836943697561</v>
      </c>
    </row>
    <row r="33" spans="1:34" x14ac:dyDescent="0.25">
      <c r="A33" s="1">
        <v>2</v>
      </c>
      <c r="B33" s="18">
        <f t="shared" si="1"/>
        <v>9985.9500000000007</v>
      </c>
      <c r="C33" s="13">
        <f t="shared" si="2"/>
        <v>9668.59</v>
      </c>
      <c r="D33" s="14">
        <f t="shared" si="3"/>
        <v>19654.54</v>
      </c>
      <c r="E33" s="3">
        <f t="shared" si="4"/>
        <v>11937.029999999999</v>
      </c>
      <c r="F33" s="13">
        <f t="shared" si="5"/>
        <v>11651.82</v>
      </c>
      <c r="G33" s="14">
        <f t="shared" si="6"/>
        <v>23588.85</v>
      </c>
      <c r="H33" s="3">
        <f t="shared" ref="H33:H54" si="10">IF(J5="",ERROR.TYPE(7),J5+K5)</f>
        <v>14475.27</v>
      </c>
      <c r="I33" s="13">
        <f t="shared" si="7"/>
        <v>14041.73</v>
      </c>
      <c r="J33" s="14">
        <f t="shared" si="8"/>
        <v>28517</v>
      </c>
      <c r="V33">
        <v>1</v>
      </c>
      <c r="W33" s="3">
        <f t="shared" ref="W33:W55" si="11">W4+X4</f>
        <v>42245.107363250005</v>
      </c>
      <c r="X33" s="13">
        <f t="shared" ref="X33:X55" si="12">Y4+Z4</f>
        <v>37005.834579931005</v>
      </c>
      <c r="Y33" s="13"/>
      <c r="Z33" s="14">
        <f t="shared" ref="Z33:Z55" si="13">(W33+X33+Y33)/1000</f>
        <v>79.250941943181004</v>
      </c>
      <c r="AA33" s="3">
        <f t="shared" ref="AA33:AA55" si="14">IF(AE4="",ERROR.TYPE(7),AE4+AF4)</f>
        <v>45037.155373041998</v>
      </c>
      <c r="AB33" s="13">
        <f t="shared" ref="AB33:AB55" si="15">IF(AG4="",ERROR.TYPE(7),AG4+AH4)</f>
        <v>44657.272737381005</v>
      </c>
      <c r="AC33" s="13"/>
      <c r="AD33" s="14">
        <f t="shared" ref="AD33:AD55" si="16">(AA33+AB33+AC33)/1000</f>
        <v>89.694428110423004</v>
      </c>
      <c r="AE33" s="3">
        <f t="shared" ref="AE33:AE55" si="17">IF(AM4="",ERROR.TYPE(7),AM4+AN4)</f>
        <v>52037.020674975996</v>
      </c>
      <c r="AF33" s="13">
        <f t="shared" si="9"/>
        <v>52187.821497486999</v>
      </c>
      <c r="AG33" s="13"/>
      <c r="AH33" s="14">
        <f t="shared" ref="AH33:AH55" si="18">(AE33+AF33+AG33)/1000</f>
        <v>104.22484217246298</v>
      </c>
    </row>
    <row r="34" spans="1:34" x14ac:dyDescent="0.25">
      <c r="A34">
        <v>3</v>
      </c>
      <c r="B34" s="18">
        <f t="shared" si="1"/>
        <v>26383.940000000002</v>
      </c>
      <c r="C34" s="13">
        <f t="shared" si="2"/>
        <v>23903.149999999998</v>
      </c>
      <c r="D34" s="14">
        <f t="shared" si="3"/>
        <v>50287.09</v>
      </c>
      <c r="E34" s="3">
        <f t="shared" si="4"/>
        <v>27441.550000000003</v>
      </c>
      <c r="F34" s="13">
        <f t="shared" si="5"/>
        <v>25527.040000000001</v>
      </c>
      <c r="G34" s="14">
        <f t="shared" si="6"/>
        <v>52968.590000000004</v>
      </c>
      <c r="H34" s="3">
        <f t="shared" si="10"/>
        <v>8346.85</v>
      </c>
      <c r="I34" s="13">
        <f t="shared" si="7"/>
        <v>8085.1999999999989</v>
      </c>
      <c r="J34" s="14">
        <f t="shared" si="8"/>
        <v>16432.05</v>
      </c>
      <c r="V34" s="1">
        <v>2</v>
      </c>
      <c r="W34" s="3">
        <f t="shared" si="11"/>
        <v>27367.593744064001</v>
      </c>
      <c r="X34" s="13">
        <f t="shared" si="12"/>
        <v>24418.000783656</v>
      </c>
      <c r="Y34" s="13"/>
      <c r="Z34" s="14">
        <f t="shared" si="13"/>
        <v>51.785594527720001</v>
      </c>
      <c r="AA34" s="3">
        <f t="shared" si="14"/>
        <v>30556.513450373001</v>
      </c>
      <c r="AB34" s="13">
        <f t="shared" si="15"/>
        <v>30406.119258638999</v>
      </c>
      <c r="AC34" s="13"/>
      <c r="AD34" s="14">
        <f t="shared" si="16"/>
        <v>60.962632709012006</v>
      </c>
      <c r="AE34" s="3">
        <f t="shared" si="17"/>
        <v>35462.133089309005</v>
      </c>
      <c r="AF34" s="13">
        <f t="shared" si="9"/>
        <v>35647.007099377995</v>
      </c>
      <c r="AG34" s="13"/>
      <c r="AH34" s="14">
        <f t="shared" si="18"/>
        <v>71.109140188687007</v>
      </c>
    </row>
    <row r="35" spans="1:34" x14ac:dyDescent="0.25">
      <c r="A35" s="1">
        <v>4</v>
      </c>
      <c r="B35" s="18">
        <f t="shared" si="1"/>
        <v>19735.839999999997</v>
      </c>
      <c r="C35" s="13">
        <f t="shared" si="2"/>
        <v>18200.14</v>
      </c>
      <c r="D35" s="14">
        <f t="shared" si="3"/>
        <v>37935.979999999996</v>
      </c>
      <c r="E35" s="3">
        <f t="shared" si="4"/>
        <v>18255.059999999998</v>
      </c>
      <c r="F35" s="13">
        <f t="shared" si="5"/>
        <v>17349.89</v>
      </c>
      <c r="G35" s="14">
        <f t="shared" si="6"/>
        <v>35604.949999999997</v>
      </c>
      <c r="H35" s="3">
        <f t="shared" si="10"/>
        <v>7541.92</v>
      </c>
      <c r="I35" s="13">
        <f t="shared" si="7"/>
        <v>7182.0499999999993</v>
      </c>
      <c r="J35" s="14">
        <f t="shared" si="8"/>
        <v>14723.97</v>
      </c>
      <c r="V35">
        <v>3</v>
      </c>
      <c r="W35" s="3">
        <f t="shared" si="11"/>
        <v>24415.160623257001</v>
      </c>
      <c r="X35" s="13">
        <f t="shared" si="12"/>
        <v>22010.240295463998</v>
      </c>
      <c r="Y35" s="13"/>
      <c r="Z35" s="14">
        <f t="shared" si="13"/>
        <v>46.425400918721003</v>
      </c>
      <c r="AA35" s="3">
        <f t="shared" si="14"/>
        <v>28301.339227101998</v>
      </c>
      <c r="AB35" s="13">
        <f t="shared" si="15"/>
        <v>27927.957530625001</v>
      </c>
      <c r="AC35" s="13"/>
      <c r="AD35" s="14">
        <f t="shared" si="16"/>
        <v>56.229296757727006</v>
      </c>
      <c r="AE35" s="3">
        <f t="shared" si="17"/>
        <v>23049.308200898999</v>
      </c>
      <c r="AF35" s="13">
        <f t="shared" si="9"/>
        <v>23053.409846915001</v>
      </c>
      <c r="AG35" s="13"/>
      <c r="AH35" s="14">
        <f t="shared" si="18"/>
        <v>46.102718047814001</v>
      </c>
    </row>
    <row r="36" spans="1:34" x14ac:dyDescent="0.25">
      <c r="A36">
        <v>5</v>
      </c>
      <c r="B36" s="18">
        <f t="shared" si="1"/>
        <v>9572.2999999999993</v>
      </c>
      <c r="C36" s="13">
        <f t="shared" si="2"/>
        <v>9090.18</v>
      </c>
      <c r="D36" s="14">
        <f t="shared" si="3"/>
        <v>18662.48</v>
      </c>
      <c r="E36" s="3">
        <f t="shared" si="4"/>
        <v>10185.549999999999</v>
      </c>
      <c r="F36" s="13">
        <f t="shared" si="5"/>
        <v>9983.01</v>
      </c>
      <c r="G36" s="14">
        <f t="shared" si="6"/>
        <v>20168.559999999998</v>
      </c>
      <c r="H36" s="3">
        <f t="shared" si="10"/>
        <v>43687.8</v>
      </c>
      <c r="I36" s="13">
        <f t="shared" si="7"/>
        <v>38766.500000000007</v>
      </c>
      <c r="J36" s="14">
        <f t="shared" si="8"/>
        <v>82454.300000000017</v>
      </c>
      <c r="V36" s="1">
        <v>4</v>
      </c>
      <c r="W36" s="3">
        <f t="shared" si="11"/>
        <v>27669.671503243</v>
      </c>
      <c r="X36" s="13">
        <f t="shared" si="12"/>
        <v>25375.621350902999</v>
      </c>
      <c r="Y36" s="13"/>
      <c r="Z36" s="14">
        <f t="shared" si="13"/>
        <v>53.045292854145998</v>
      </c>
      <c r="AA36" s="3">
        <f t="shared" si="14"/>
        <v>31077.482199806</v>
      </c>
      <c r="AB36" s="13">
        <f t="shared" si="15"/>
        <v>31049.168359714</v>
      </c>
      <c r="AC36" s="13"/>
      <c r="AD36" s="14">
        <f t="shared" si="16"/>
        <v>62.126650559520002</v>
      </c>
      <c r="AE36" s="3">
        <f t="shared" si="17"/>
        <v>14671.416854769999</v>
      </c>
      <c r="AF36" s="13">
        <f t="shared" si="9"/>
        <v>14876.389541037001</v>
      </c>
      <c r="AG36" s="13"/>
      <c r="AH36" s="14">
        <f t="shared" si="18"/>
        <v>29.547806395806997</v>
      </c>
    </row>
    <row r="37" spans="1:34" x14ac:dyDescent="0.25">
      <c r="A37" s="1">
        <v>6</v>
      </c>
      <c r="B37" s="18">
        <f t="shared" si="1"/>
        <v>22546.300000000003</v>
      </c>
      <c r="C37" s="13">
        <f t="shared" si="2"/>
        <v>20756.519999999997</v>
      </c>
      <c r="D37" s="14">
        <f t="shared" si="3"/>
        <v>43302.82</v>
      </c>
      <c r="E37" s="3">
        <f t="shared" si="4"/>
        <v>24680.910000000003</v>
      </c>
      <c r="F37" s="13">
        <f t="shared" si="5"/>
        <v>23311.91</v>
      </c>
      <c r="G37" s="14">
        <f t="shared" si="6"/>
        <v>47992.820000000007</v>
      </c>
      <c r="H37" s="3">
        <f t="shared" si="10"/>
        <v>107265.2</v>
      </c>
      <c r="I37" s="13">
        <f t="shared" si="7"/>
        <v>95007.51999999999</v>
      </c>
      <c r="J37" s="14">
        <f t="shared" si="8"/>
        <v>202272.71999999997</v>
      </c>
      <c r="V37">
        <v>5</v>
      </c>
      <c r="W37" s="3">
        <f t="shared" si="11"/>
        <v>16215.618468772</v>
      </c>
      <c r="X37" s="13">
        <f t="shared" si="12"/>
        <v>14900.298146814001</v>
      </c>
      <c r="Y37" s="13"/>
      <c r="Z37" s="14">
        <f t="shared" si="13"/>
        <v>31.115916615585999</v>
      </c>
      <c r="AA37" s="3">
        <f t="shared" si="14"/>
        <v>18662.680781343999</v>
      </c>
      <c r="AB37" s="13">
        <f t="shared" si="15"/>
        <v>18555.235901631</v>
      </c>
      <c r="AC37" s="13"/>
      <c r="AD37" s="14">
        <f t="shared" si="16"/>
        <v>37.217916682975002</v>
      </c>
      <c r="AE37" s="3">
        <f t="shared" si="17"/>
        <v>24646.472398752001</v>
      </c>
      <c r="AF37" s="13">
        <f t="shared" si="9"/>
        <v>24742.833256181999</v>
      </c>
      <c r="AG37" s="13"/>
      <c r="AH37" s="14">
        <f t="shared" si="18"/>
        <v>49.389305654933999</v>
      </c>
    </row>
    <row r="38" spans="1:34" x14ac:dyDescent="0.25">
      <c r="A38">
        <v>7</v>
      </c>
      <c r="B38" s="18">
        <f t="shared" si="1"/>
        <v>45321.68</v>
      </c>
      <c r="C38" s="13">
        <f t="shared" si="2"/>
        <v>41368.19</v>
      </c>
      <c r="D38" s="14">
        <f t="shared" si="3"/>
        <v>86689.87</v>
      </c>
      <c r="E38" s="3">
        <f t="shared" si="4"/>
        <v>50714.55</v>
      </c>
      <c r="F38" s="13">
        <f t="shared" si="5"/>
        <v>48258.650000000009</v>
      </c>
      <c r="G38" s="14">
        <f t="shared" si="6"/>
        <v>98973.200000000012</v>
      </c>
      <c r="H38" s="3">
        <f t="shared" si="10"/>
        <v>124387.66899999999</v>
      </c>
      <c r="I38" s="13">
        <f t="shared" si="7"/>
        <v>112780.401</v>
      </c>
      <c r="J38" s="14">
        <f t="shared" si="8"/>
        <v>237168.07</v>
      </c>
      <c r="V38" s="1">
        <v>6</v>
      </c>
      <c r="W38" s="3">
        <f t="shared" si="11"/>
        <v>18182.239457296</v>
      </c>
      <c r="X38" s="13">
        <f t="shared" si="12"/>
        <v>17011.229172369</v>
      </c>
      <c r="Y38" s="13"/>
      <c r="Z38" s="14">
        <f t="shared" si="13"/>
        <v>35.193468629665006</v>
      </c>
      <c r="AA38" s="3">
        <f t="shared" si="14"/>
        <v>22124.592013224999</v>
      </c>
      <c r="AB38" s="13">
        <f t="shared" si="15"/>
        <v>21839.977133706998</v>
      </c>
      <c r="AC38" s="13"/>
      <c r="AD38" s="14">
        <f t="shared" si="16"/>
        <v>43.964569146932</v>
      </c>
      <c r="AE38" s="3">
        <f t="shared" si="17"/>
        <v>38236.428249570999</v>
      </c>
      <c r="AF38" s="13">
        <f t="shared" si="9"/>
        <v>38249.029981015003</v>
      </c>
      <c r="AG38" s="13"/>
      <c r="AH38" s="14">
        <f t="shared" si="18"/>
        <v>76.485458230585991</v>
      </c>
    </row>
    <row r="39" spans="1:34" x14ac:dyDescent="0.25">
      <c r="A39" s="1">
        <v>8</v>
      </c>
      <c r="B39" s="18">
        <f t="shared" si="1"/>
        <v>73974.16</v>
      </c>
      <c r="C39" s="13">
        <f t="shared" si="2"/>
        <v>67175.01999999999</v>
      </c>
      <c r="D39" s="14">
        <f t="shared" si="3"/>
        <v>141149.18</v>
      </c>
      <c r="E39" s="3">
        <f t="shared" si="4"/>
        <v>82327.31</v>
      </c>
      <c r="F39" s="13">
        <f t="shared" si="5"/>
        <v>78007.13</v>
      </c>
      <c r="G39" s="14">
        <f t="shared" si="6"/>
        <v>160334.44</v>
      </c>
      <c r="H39" s="3">
        <f t="shared" si="10"/>
        <v>119088.82999999999</v>
      </c>
      <c r="I39" s="13">
        <f t="shared" si="7"/>
        <v>109638.04000000002</v>
      </c>
      <c r="J39" s="14">
        <f t="shared" si="8"/>
        <v>228726.87</v>
      </c>
      <c r="V39">
        <v>7</v>
      </c>
      <c r="W39" s="3">
        <f t="shared" si="11"/>
        <v>28471.782959926</v>
      </c>
      <c r="X39" s="13">
        <f t="shared" si="12"/>
        <v>26660.214012057</v>
      </c>
      <c r="Y39" s="13"/>
      <c r="Z39" s="14">
        <f t="shared" si="13"/>
        <v>55.131996971983</v>
      </c>
      <c r="AA39" s="3">
        <f t="shared" si="14"/>
        <v>34612.801397777002</v>
      </c>
      <c r="AB39" s="13">
        <f t="shared" si="15"/>
        <v>34480.775199976</v>
      </c>
      <c r="AC39" s="13"/>
      <c r="AD39" s="14">
        <f t="shared" si="16"/>
        <v>69.093576597753014</v>
      </c>
      <c r="AE39" s="3">
        <f t="shared" si="17"/>
        <v>38613.390287923001</v>
      </c>
      <c r="AF39" s="13">
        <f t="shared" si="9"/>
        <v>38732.878847219996</v>
      </c>
      <c r="AG39" s="13"/>
      <c r="AH39" s="14">
        <f t="shared" si="18"/>
        <v>77.34626913514299</v>
      </c>
    </row>
    <row r="40" spans="1:34" x14ac:dyDescent="0.25">
      <c r="A40">
        <v>9</v>
      </c>
      <c r="B40" s="18">
        <f t="shared" si="1"/>
        <v>102231.77</v>
      </c>
      <c r="C40" s="13">
        <f t="shared" si="2"/>
        <v>93842.82</v>
      </c>
      <c r="D40" s="14">
        <f t="shared" si="3"/>
        <v>196074.59000000003</v>
      </c>
      <c r="E40" s="3">
        <f t="shared" si="4"/>
        <v>111728.97</v>
      </c>
      <c r="F40" s="13">
        <f t="shared" si="5"/>
        <v>106587.29</v>
      </c>
      <c r="G40" s="14">
        <f t="shared" si="6"/>
        <v>218316.26</v>
      </c>
      <c r="H40" s="3">
        <f t="shared" si="10"/>
        <v>207519.34</v>
      </c>
      <c r="I40" s="13">
        <f t="shared" si="7"/>
        <v>189153.28900000002</v>
      </c>
      <c r="J40" s="14">
        <f t="shared" si="8"/>
        <v>396672.62900000002</v>
      </c>
      <c r="V40" s="1">
        <v>8</v>
      </c>
      <c r="W40" s="3">
        <f t="shared" si="11"/>
        <v>41005.652389555995</v>
      </c>
      <c r="X40" s="13">
        <f t="shared" si="12"/>
        <v>38471.457626625997</v>
      </c>
      <c r="Y40" s="13"/>
      <c r="Z40" s="14">
        <f t="shared" si="13"/>
        <v>79.477110016181996</v>
      </c>
      <c r="AA40" s="3">
        <f t="shared" si="14"/>
        <v>48336.312703939999</v>
      </c>
      <c r="AB40" s="13">
        <f t="shared" si="15"/>
        <v>48327.825807050001</v>
      </c>
      <c r="AC40" s="13"/>
      <c r="AD40" s="14">
        <f t="shared" si="16"/>
        <v>96.66413851099</v>
      </c>
      <c r="AE40" s="3">
        <f t="shared" si="17"/>
        <v>38809.964188213002</v>
      </c>
      <c r="AF40" s="13">
        <f t="shared" si="9"/>
        <v>38702.157342477003</v>
      </c>
      <c r="AG40" s="13"/>
      <c r="AH40" s="14">
        <f t="shared" si="18"/>
        <v>77.512121530689996</v>
      </c>
    </row>
    <row r="41" spans="1:34" x14ac:dyDescent="0.25">
      <c r="A41" s="1">
        <v>10</v>
      </c>
      <c r="B41" s="18">
        <f t="shared" si="1"/>
        <v>121258.35</v>
      </c>
      <c r="C41" s="13">
        <f t="shared" si="2"/>
        <v>112271.69</v>
      </c>
      <c r="D41" s="14">
        <f t="shared" si="3"/>
        <v>233530.04</v>
      </c>
      <c r="E41" s="3">
        <f t="shared" si="4"/>
        <v>128606.49</v>
      </c>
      <c r="F41" s="13">
        <f t="shared" si="5"/>
        <v>123541.63999999998</v>
      </c>
      <c r="G41" s="14">
        <f t="shared" si="6"/>
        <v>252148.13</v>
      </c>
      <c r="H41" s="3">
        <f t="shared" si="10"/>
        <v>246244.27899999998</v>
      </c>
      <c r="I41" s="13">
        <f t="shared" si="7"/>
        <v>226019.93</v>
      </c>
      <c r="J41" s="14">
        <f t="shared" si="8"/>
        <v>472264.20899999997</v>
      </c>
      <c r="V41">
        <v>9</v>
      </c>
      <c r="W41" s="3">
        <f t="shared" si="11"/>
        <v>51983.376589687003</v>
      </c>
      <c r="X41" s="13">
        <f t="shared" si="12"/>
        <v>49064.219789903</v>
      </c>
      <c r="Y41" s="13"/>
      <c r="Z41" s="14">
        <f t="shared" si="13"/>
        <v>101.04759637959</v>
      </c>
      <c r="AA41" s="3">
        <f t="shared" si="14"/>
        <v>59067.424186547003</v>
      </c>
      <c r="AB41" s="13">
        <f t="shared" si="15"/>
        <v>58656.672635010997</v>
      </c>
      <c r="AC41" s="13"/>
      <c r="AD41" s="14">
        <f t="shared" si="16"/>
        <v>117.72409682155799</v>
      </c>
      <c r="AE41" s="3">
        <f t="shared" si="17"/>
        <v>59419.288455729999</v>
      </c>
      <c r="AF41" s="13">
        <f t="shared" si="9"/>
        <v>59100.830648968004</v>
      </c>
      <c r="AG41" s="13"/>
      <c r="AH41" s="14">
        <f t="shared" si="18"/>
        <v>118.52011910469801</v>
      </c>
    </row>
    <row r="42" spans="1:34" x14ac:dyDescent="0.25">
      <c r="A42">
        <v>11</v>
      </c>
      <c r="B42" s="18">
        <f t="shared" si="1"/>
        <v>122640.65999999997</v>
      </c>
      <c r="C42" s="13">
        <f t="shared" si="2"/>
        <v>113748.70999999999</v>
      </c>
      <c r="D42" s="14">
        <f t="shared" si="3"/>
        <v>236389.36999999997</v>
      </c>
      <c r="E42" s="3">
        <f t="shared" si="4"/>
        <v>130993.13</v>
      </c>
      <c r="F42" s="13">
        <f t="shared" si="5"/>
        <v>125822.09</v>
      </c>
      <c r="G42" s="14">
        <f t="shared" si="6"/>
        <v>256815.22</v>
      </c>
      <c r="H42" s="3">
        <f t="shared" si="10"/>
        <v>215910.12900000002</v>
      </c>
      <c r="I42" s="13">
        <f t="shared" si="7"/>
        <v>201663.95199999999</v>
      </c>
      <c r="J42" s="14">
        <f t="shared" si="8"/>
        <v>417574.08100000001</v>
      </c>
      <c r="V42" s="1">
        <v>10</v>
      </c>
      <c r="W42" s="3">
        <f t="shared" si="11"/>
        <v>60507.334257292998</v>
      </c>
      <c r="X42" s="13">
        <f t="shared" si="12"/>
        <v>57559.456818343999</v>
      </c>
      <c r="Y42" s="13"/>
      <c r="Z42" s="14">
        <f t="shared" si="13"/>
        <v>118.066791075637</v>
      </c>
      <c r="AA42" s="3">
        <f t="shared" si="14"/>
        <v>64597.909673314003</v>
      </c>
      <c r="AB42" s="13">
        <f t="shared" si="15"/>
        <v>64050.797421201998</v>
      </c>
      <c r="AC42" s="13"/>
      <c r="AD42" s="14">
        <f t="shared" si="16"/>
        <v>128.648707094516</v>
      </c>
      <c r="AE42" s="3">
        <f t="shared" si="17"/>
        <v>74085.655957875002</v>
      </c>
      <c r="AF42" s="13">
        <f t="shared" si="9"/>
        <v>74294.891616356006</v>
      </c>
      <c r="AG42" s="13"/>
      <c r="AH42" s="14">
        <f t="shared" si="18"/>
        <v>148.380547574231</v>
      </c>
    </row>
    <row r="43" spans="1:34" x14ac:dyDescent="0.25">
      <c r="A43" s="1">
        <v>12</v>
      </c>
      <c r="B43" s="18">
        <f t="shared" si="1"/>
        <v>93903.51999999999</v>
      </c>
      <c r="C43" s="13">
        <f t="shared" si="2"/>
        <v>87346.37</v>
      </c>
      <c r="D43" s="14">
        <f t="shared" si="3"/>
        <v>181249.88999999998</v>
      </c>
      <c r="E43" s="3">
        <f t="shared" si="4"/>
        <v>120613.89000000001</v>
      </c>
      <c r="F43" s="13">
        <f t="shared" si="5"/>
        <v>115664.01000000001</v>
      </c>
      <c r="G43" s="14">
        <f t="shared" si="6"/>
        <v>236277.90000000002</v>
      </c>
      <c r="H43" s="3">
        <f t="shared" si="10"/>
        <v>163718.90100000001</v>
      </c>
      <c r="I43" s="13">
        <f t="shared" si="7"/>
        <v>154841.33099999998</v>
      </c>
      <c r="J43" s="14">
        <f t="shared" si="8"/>
        <v>318560.23199999996</v>
      </c>
      <c r="V43">
        <v>11</v>
      </c>
      <c r="W43" s="3">
        <f t="shared" si="11"/>
        <v>64105.653894527997</v>
      </c>
      <c r="X43" s="13">
        <f t="shared" si="12"/>
        <v>61122.455061314999</v>
      </c>
      <c r="Y43" s="13"/>
      <c r="Z43" s="14">
        <f t="shared" si="13"/>
        <v>125.228108955843</v>
      </c>
      <c r="AA43" s="3">
        <f t="shared" si="14"/>
        <v>67419.282565521004</v>
      </c>
      <c r="AB43" s="13">
        <f t="shared" si="15"/>
        <v>67163.460986677004</v>
      </c>
      <c r="AC43" s="13"/>
      <c r="AD43" s="14">
        <f t="shared" si="16"/>
        <v>134.582743552198</v>
      </c>
      <c r="AE43" s="3">
        <f t="shared" si="17"/>
        <v>78439.355531977999</v>
      </c>
      <c r="AF43" s="13">
        <f t="shared" si="9"/>
        <v>78167.735764882993</v>
      </c>
      <c r="AG43" s="13"/>
      <c r="AH43" s="14">
        <f t="shared" si="18"/>
        <v>156.607091296861</v>
      </c>
    </row>
    <row r="44" spans="1:34" x14ac:dyDescent="0.25">
      <c r="A44">
        <v>13</v>
      </c>
      <c r="B44" s="18">
        <f t="shared" si="1"/>
        <v>64723.3</v>
      </c>
      <c r="C44" s="13">
        <f t="shared" si="2"/>
        <v>59634.270000000004</v>
      </c>
      <c r="D44" s="14">
        <f t="shared" si="3"/>
        <v>124357.57</v>
      </c>
      <c r="E44" s="3">
        <f t="shared" si="4"/>
        <v>98246.97</v>
      </c>
      <c r="F44" s="13">
        <f t="shared" si="5"/>
        <v>94135.42</v>
      </c>
      <c r="G44" s="14">
        <f t="shared" si="6"/>
        <v>192382.39</v>
      </c>
      <c r="H44" s="3" t="e">
        <f t="shared" si="10"/>
        <v>#N/A</v>
      </c>
      <c r="I44" s="13" t="e">
        <f t="shared" si="7"/>
        <v>#N/A</v>
      </c>
      <c r="J44" s="14" t="e">
        <f t="shared" si="8"/>
        <v>#N/A</v>
      </c>
      <c r="V44" s="1">
        <v>12</v>
      </c>
      <c r="W44" s="3">
        <f t="shared" si="11"/>
        <v>57257.772558226003</v>
      </c>
      <c r="X44" s="13">
        <f t="shared" si="12"/>
        <v>54853.217670496997</v>
      </c>
      <c r="Y44" s="13"/>
      <c r="Z44" s="14">
        <f t="shared" si="13"/>
        <v>112.11099022872301</v>
      </c>
      <c r="AA44" s="3">
        <f t="shared" si="14"/>
        <v>67933.706146491997</v>
      </c>
      <c r="AB44" s="13">
        <f t="shared" si="15"/>
        <v>67956.690551152002</v>
      </c>
      <c r="AC44" s="13"/>
      <c r="AD44" s="14">
        <f t="shared" si="16"/>
        <v>135.89039669764401</v>
      </c>
      <c r="AE44" s="3">
        <f t="shared" si="17"/>
        <v>75374.193307472</v>
      </c>
      <c r="AF44" s="13">
        <f t="shared" si="9"/>
        <v>74974.081182879003</v>
      </c>
      <c r="AG44" s="13"/>
      <c r="AH44" s="14">
        <f t="shared" si="18"/>
        <v>150.348274490351</v>
      </c>
    </row>
    <row r="45" spans="1:34" x14ac:dyDescent="0.25">
      <c r="A45" s="1">
        <v>14</v>
      </c>
      <c r="B45" s="18">
        <f t="shared" si="1"/>
        <v>114866.89000000001</v>
      </c>
      <c r="C45" s="13">
        <f t="shared" si="2"/>
        <v>105151.03</v>
      </c>
      <c r="D45" s="14">
        <f t="shared" si="3"/>
        <v>220017.92000000001</v>
      </c>
      <c r="E45" s="3">
        <f t="shared" si="4"/>
        <v>107740.18999999999</v>
      </c>
      <c r="F45" s="13">
        <f t="shared" si="5"/>
        <v>102355.40000000001</v>
      </c>
      <c r="G45" s="14">
        <f t="shared" si="6"/>
        <v>210095.59</v>
      </c>
      <c r="H45" s="3" t="e">
        <f t="shared" si="10"/>
        <v>#N/A</v>
      </c>
      <c r="I45" s="13" t="e">
        <f t="shared" si="7"/>
        <v>#N/A</v>
      </c>
      <c r="J45" s="14" t="e">
        <f t="shared" si="8"/>
        <v>#N/A</v>
      </c>
      <c r="V45">
        <v>13</v>
      </c>
      <c r="W45" s="3">
        <f t="shared" si="11"/>
        <v>47775.063332555997</v>
      </c>
      <c r="X45" s="13">
        <f t="shared" si="12"/>
        <v>45548.734343657001</v>
      </c>
      <c r="Y45" s="13"/>
      <c r="Z45" s="14">
        <f t="shared" si="13"/>
        <v>93.323797676213005</v>
      </c>
      <c r="AA45" s="3">
        <f t="shared" si="14"/>
        <v>63377.590053895998</v>
      </c>
      <c r="AB45" s="13">
        <f t="shared" si="15"/>
        <v>63095.883176258001</v>
      </c>
      <c r="AC45" s="13"/>
      <c r="AD45" s="14">
        <f t="shared" si="16"/>
        <v>126.47347323015399</v>
      </c>
      <c r="AE45" s="3" t="e">
        <f t="shared" si="17"/>
        <v>#N/A</v>
      </c>
      <c r="AF45" s="13" t="e">
        <f t="shared" si="9"/>
        <v>#N/A</v>
      </c>
      <c r="AG45" s="13"/>
      <c r="AH45" s="14" t="e">
        <f t="shared" si="18"/>
        <v>#N/A</v>
      </c>
    </row>
    <row r="46" spans="1:34" x14ac:dyDescent="0.25">
      <c r="A46">
        <v>15</v>
      </c>
      <c r="B46" s="18">
        <f t="shared" si="1"/>
        <v>112796.19</v>
      </c>
      <c r="C46" s="13">
        <f t="shared" si="2"/>
        <v>106247.81999999999</v>
      </c>
      <c r="D46" s="14">
        <f t="shared" si="3"/>
        <v>219044.01</v>
      </c>
      <c r="E46" s="3">
        <f t="shared" si="4"/>
        <v>116762.73999999999</v>
      </c>
      <c r="F46" s="13">
        <f t="shared" si="5"/>
        <v>110742.74</v>
      </c>
      <c r="G46" s="14">
        <f t="shared" si="6"/>
        <v>227505.47999999998</v>
      </c>
      <c r="H46" s="3" t="e">
        <f t="shared" si="10"/>
        <v>#N/A</v>
      </c>
      <c r="I46" s="13" t="e">
        <f t="shared" si="7"/>
        <v>#N/A</v>
      </c>
      <c r="J46" s="14" t="e">
        <f t="shared" si="8"/>
        <v>#N/A</v>
      </c>
      <c r="V46" s="1">
        <v>14</v>
      </c>
      <c r="W46" s="3">
        <f t="shared" si="11"/>
        <v>69934.206342438003</v>
      </c>
      <c r="X46" s="13">
        <f t="shared" si="12"/>
        <v>67402.319450684998</v>
      </c>
      <c r="Y46" s="13"/>
      <c r="Z46" s="14">
        <f t="shared" si="13"/>
        <v>137.336525793123</v>
      </c>
      <c r="AA46" s="3">
        <f t="shared" si="14"/>
        <v>68680.395208992006</v>
      </c>
      <c r="AB46" s="13">
        <f t="shared" si="15"/>
        <v>68252.025564281998</v>
      </c>
      <c r="AC46" s="13"/>
      <c r="AD46" s="14">
        <f t="shared" si="16"/>
        <v>136.932420773274</v>
      </c>
      <c r="AE46" s="3" t="e">
        <f t="shared" si="17"/>
        <v>#N/A</v>
      </c>
      <c r="AF46" s="13" t="e">
        <f t="shared" si="9"/>
        <v>#N/A</v>
      </c>
      <c r="AG46" s="13"/>
      <c r="AH46" s="14" t="e">
        <f t="shared" si="18"/>
        <v>#N/A</v>
      </c>
    </row>
    <row r="47" spans="1:34" x14ac:dyDescent="0.25">
      <c r="A47" s="1">
        <v>16</v>
      </c>
      <c r="B47" s="18">
        <f t="shared" si="1"/>
        <v>103113.12</v>
      </c>
      <c r="C47" s="13">
        <f t="shared" si="2"/>
        <v>97886.5</v>
      </c>
      <c r="D47" s="14">
        <f t="shared" si="3"/>
        <v>200999.62</v>
      </c>
      <c r="E47" s="3">
        <f t="shared" si="4"/>
        <v>116124.74</v>
      </c>
      <c r="F47" s="13">
        <f t="shared" si="5"/>
        <v>110277.69999999998</v>
      </c>
      <c r="G47" s="14">
        <f t="shared" si="6"/>
        <v>226402.44</v>
      </c>
      <c r="H47" s="3" t="e">
        <f t="shared" si="10"/>
        <v>#N/A</v>
      </c>
      <c r="I47" s="13" t="e">
        <f t="shared" si="7"/>
        <v>#N/A</v>
      </c>
      <c r="J47" s="14" t="e">
        <f t="shared" si="8"/>
        <v>#N/A</v>
      </c>
      <c r="V47">
        <v>15</v>
      </c>
      <c r="W47" s="3">
        <f t="shared" si="11"/>
        <v>70982.724755255011</v>
      </c>
      <c r="X47" s="13">
        <f t="shared" si="12"/>
        <v>68756.853113730001</v>
      </c>
      <c r="Y47" s="13"/>
      <c r="Z47" s="14">
        <f t="shared" si="13"/>
        <v>139.73957786898501</v>
      </c>
      <c r="AA47" s="3">
        <f t="shared" si="14"/>
        <v>71804.16620146099</v>
      </c>
      <c r="AB47" s="13">
        <f t="shared" si="15"/>
        <v>71459.630608039006</v>
      </c>
      <c r="AC47" s="13"/>
      <c r="AD47" s="14">
        <f t="shared" si="16"/>
        <v>143.26379680950001</v>
      </c>
      <c r="AE47" s="3" t="e">
        <f t="shared" si="17"/>
        <v>#N/A</v>
      </c>
      <c r="AF47" s="13" t="e">
        <f t="shared" si="9"/>
        <v>#N/A</v>
      </c>
      <c r="AG47" s="13"/>
      <c r="AH47" s="14" t="e">
        <f t="shared" si="18"/>
        <v>#N/A</v>
      </c>
    </row>
    <row r="48" spans="1:34" x14ac:dyDescent="0.25">
      <c r="A48">
        <v>17</v>
      </c>
      <c r="B48" s="18">
        <f t="shared" si="1"/>
        <v>103947.94</v>
      </c>
      <c r="C48" s="13">
        <f t="shared" si="2"/>
        <v>97426.74</v>
      </c>
      <c r="D48" s="14">
        <f t="shared" si="3"/>
        <v>201374.68</v>
      </c>
      <c r="E48" s="3">
        <f t="shared" si="4"/>
        <v>117267.11</v>
      </c>
      <c r="F48" s="13">
        <f t="shared" si="5"/>
        <v>111297.62999999999</v>
      </c>
      <c r="G48" s="14">
        <f t="shared" si="6"/>
        <v>228564.74</v>
      </c>
      <c r="H48" s="3" t="e">
        <f t="shared" si="10"/>
        <v>#N/A</v>
      </c>
      <c r="I48" s="13" t="e">
        <f t="shared" si="7"/>
        <v>#N/A</v>
      </c>
      <c r="J48" s="14" t="e">
        <f t="shared" si="8"/>
        <v>#N/A</v>
      </c>
      <c r="V48" s="1">
        <v>16</v>
      </c>
      <c r="W48" s="3">
        <f t="shared" si="11"/>
        <v>63877.833322418002</v>
      </c>
      <c r="X48" s="13">
        <f t="shared" si="12"/>
        <v>62546.918992022998</v>
      </c>
      <c r="Y48" s="13"/>
      <c r="Z48" s="14">
        <f t="shared" si="13"/>
        <v>126.42475231444099</v>
      </c>
      <c r="AA48" s="3">
        <f t="shared" si="14"/>
        <v>69125.068454929002</v>
      </c>
      <c r="AB48" s="13">
        <f t="shared" si="15"/>
        <v>68678.592480463005</v>
      </c>
      <c r="AC48" s="13"/>
      <c r="AD48" s="14">
        <f t="shared" si="16"/>
        <v>137.80366093539203</v>
      </c>
      <c r="AE48" s="3" t="e">
        <f t="shared" si="17"/>
        <v>#N/A</v>
      </c>
      <c r="AF48" s="13" t="e">
        <f t="shared" si="9"/>
        <v>#N/A</v>
      </c>
      <c r="AG48" s="13"/>
      <c r="AH48" s="14" t="e">
        <f t="shared" si="18"/>
        <v>#N/A</v>
      </c>
    </row>
    <row r="49" spans="1:34" x14ac:dyDescent="0.25">
      <c r="A49" s="1">
        <v>18</v>
      </c>
      <c r="B49" s="18">
        <f t="shared" si="1"/>
        <v>75170.789999999994</v>
      </c>
      <c r="C49" s="13">
        <f t="shared" si="2"/>
        <v>69797.710000000021</v>
      </c>
      <c r="D49" s="14">
        <f t="shared" si="3"/>
        <v>144968.5</v>
      </c>
      <c r="E49" s="3">
        <f t="shared" si="4"/>
        <v>88437.390000000014</v>
      </c>
      <c r="F49" s="13">
        <f t="shared" si="5"/>
        <v>84025.26</v>
      </c>
      <c r="G49" s="14">
        <f t="shared" si="6"/>
        <v>172462.65000000002</v>
      </c>
      <c r="H49" s="3" t="e">
        <f t="shared" si="10"/>
        <v>#N/A</v>
      </c>
      <c r="I49" s="13" t="e">
        <f t="shared" si="7"/>
        <v>#N/A</v>
      </c>
      <c r="J49" s="14" t="e">
        <f t="shared" si="8"/>
        <v>#N/A</v>
      </c>
      <c r="V49">
        <v>17</v>
      </c>
      <c r="W49" s="3">
        <f t="shared" si="11"/>
        <v>57369.485056885002</v>
      </c>
      <c r="X49" s="13">
        <f t="shared" si="12"/>
        <v>55789.960937967</v>
      </c>
      <c r="Y49" s="13"/>
      <c r="Z49" s="14">
        <f t="shared" si="13"/>
        <v>113.15944599485199</v>
      </c>
      <c r="AA49" s="3">
        <f t="shared" si="14"/>
        <v>63812.322674638999</v>
      </c>
      <c r="AB49" s="13">
        <f t="shared" si="15"/>
        <v>63739.518748691997</v>
      </c>
      <c r="AC49" s="13"/>
      <c r="AD49" s="14">
        <f t="shared" si="16"/>
        <v>127.551841423331</v>
      </c>
      <c r="AE49" s="3" t="e">
        <f t="shared" si="17"/>
        <v>#N/A</v>
      </c>
      <c r="AF49" s="13" t="e">
        <f t="shared" si="9"/>
        <v>#N/A</v>
      </c>
      <c r="AG49" s="13"/>
      <c r="AH49" s="14" t="e">
        <f t="shared" si="18"/>
        <v>#N/A</v>
      </c>
    </row>
    <row r="50" spans="1:34" x14ac:dyDescent="0.25">
      <c r="A50">
        <v>19</v>
      </c>
      <c r="B50" s="18">
        <f t="shared" si="1"/>
        <v>227722.36200000002</v>
      </c>
      <c r="C50" s="13">
        <f t="shared" si="2"/>
        <v>208004.49100000001</v>
      </c>
      <c r="D50" s="14">
        <f t="shared" si="3"/>
        <v>435726.853</v>
      </c>
      <c r="E50" s="3">
        <f t="shared" si="4"/>
        <v>232869.641</v>
      </c>
      <c r="F50" s="13">
        <f t="shared" si="5"/>
        <v>216900.26200000002</v>
      </c>
      <c r="G50" s="14">
        <f t="shared" si="6"/>
        <v>449769.90300000005</v>
      </c>
      <c r="H50" s="3" t="e">
        <f t="shared" si="10"/>
        <v>#N/A</v>
      </c>
      <c r="I50" s="13" t="e">
        <f t="shared" si="7"/>
        <v>#N/A</v>
      </c>
      <c r="J50" s="14" t="e">
        <f t="shared" si="8"/>
        <v>#N/A</v>
      </c>
      <c r="V50" s="1">
        <v>18</v>
      </c>
      <c r="W50" s="3">
        <f t="shared" si="11"/>
        <v>48708.793604735001</v>
      </c>
      <c r="X50" s="13">
        <f t="shared" si="12"/>
        <v>47661.946382941998</v>
      </c>
      <c r="Y50" s="13"/>
      <c r="Z50" s="14">
        <f t="shared" si="13"/>
        <v>96.370739987676998</v>
      </c>
      <c r="AA50" s="3">
        <f t="shared" si="14"/>
        <v>54328.861769684998</v>
      </c>
      <c r="AB50" s="13">
        <f t="shared" si="15"/>
        <v>54027.367818348997</v>
      </c>
      <c r="AC50" s="13"/>
      <c r="AD50" s="14">
        <f t="shared" si="16"/>
        <v>108.356229588034</v>
      </c>
      <c r="AE50" s="3" t="e">
        <f t="shared" si="17"/>
        <v>#N/A</v>
      </c>
      <c r="AF50" s="13" t="e">
        <f t="shared" si="9"/>
        <v>#N/A</v>
      </c>
      <c r="AG50" s="13"/>
      <c r="AH50" s="14" t="e">
        <f t="shared" si="18"/>
        <v>#N/A</v>
      </c>
    </row>
    <row r="51" spans="1:34" x14ac:dyDescent="0.25">
      <c r="A51" s="1">
        <v>20</v>
      </c>
      <c r="B51" s="18">
        <f t="shared" si="1"/>
        <v>196313.99999999997</v>
      </c>
      <c r="C51" s="13">
        <f t="shared" si="2"/>
        <v>181835.15000000002</v>
      </c>
      <c r="D51" s="14">
        <f t="shared" si="3"/>
        <v>378149.15</v>
      </c>
      <c r="E51" s="3">
        <f t="shared" si="4"/>
        <v>227321.88799999998</v>
      </c>
      <c r="F51" s="13">
        <f t="shared" si="5"/>
        <v>214817.508</v>
      </c>
      <c r="G51" s="14">
        <f t="shared" si="6"/>
        <v>442139.39599999995</v>
      </c>
      <c r="H51" s="3" t="e">
        <f t="shared" si="10"/>
        <v>#N/A</v>
      </c>
      <c r="I51" s="13" t="e">
        <f t="shared" si="7"/>
        <v>#N/A</v>
      </c>
      <c r="J51" s="14" t="e">
        <f t="shared" si="8"/>
        <v>#N/A</v>
      </c>
      <c r="V51">
        <v>19</v>
      </c>
      <c r="W51" s="3">
        <f t="shared" si="11"/>
        <v>71635.572576912004</v>
      </c>
      <c r="X51" s="13">
        <f t="shared" si="12"/>
        <v>69896.246660089004</v>
      </c>
      <c r="Y51" s="13"/>
      <c r="Z51" s="14">
        <f t="shared" si="13"/>
        <v>141.531819237001</v>
      </c>
      <c r="AA51" s="3">
        <f t="shared" si="14"/>
        <v>69027.630369988008</v>
      </c>
      <c r="AB51" s="13">
        <f t="shared" si="15"/>
        <v>69195.912321139011</v>
      </c>
      <c r="AC51" s="13"/>
      <c r="AD51" s="14">
        <f t="shared" si="16"/>
        <v>138.22354269112702</v>
      </c>
      <c r="AE51" s="3" t="e">
        <f t="shared" si="17"/>
        <v>#N/A</v>
      </c>
      <c r="AF51" s="13" t="e">
        <f t="shared" si="9"/>
        <v>#N/A</v>
      </c>
      <c r="AG51" s="13"/>
      <c r="AH51" s="14" t="e">
        <f t="shared" si="18"/>
        <v>#N/A</v>
      </c>
    </row>
    <row r="52" spans="1:34" x14ac:dyDescent="0.25">
      <c r="A52">
        <v>21</v>
      </c>
      <c r="B52" s="18">
        <f t="shared" si="1"/>
        <v>173938.48</v>
      </c>
      <c r="C52" s="13">
        <f t="shared" si="2"/>
        <v>161136.04800000001</v>
      </c>
      <c r="D52" s="14">
        <f t="shared" si="3"/>
        <v>335074.52800000005</v>
      </c>
      <c r="E52" s="3">
        <f t="shared" si="4"/>
        <v>219584.46900000001</v>
      </c>
      <c r="F52" s="13">
        <f t="shared" si="5"/>
        <v>207296.49899999998</v>
      </c>
      <c r="G52" s="14">
        <f t="shared" si="6"/>
        <v>426880.96799999999</v>
      </c>
      <c r="H52" s="3" t="e">
        <f t="shared" si="10"/>
        <v>#N/A</v>
      </c>
      <c r="I52" s="13" t="e">
        <f t="shared" si="7"/>
        <v>#N/A</v>
      </c>
      <c r="J52" s="14" t="e">
        <f t="shared" si="8"/>
        <v>#N/A</v>
      </c>
      <c r="V52" s="1">
        <v>20</v>
      </c>
      <c r="W52" s="3">
        <f t="shared" si="11"/>
        <v>73532.105551407993</v>
      </c>
      <c r="X52" s="13">
        <f t="shared" si="12"/>
        <v>72421.295162769005</v>
      </c>
      <c r="Y52" s="13"/>
      <c r="Z52" s="14">
        <f t="shared" si="13"/>
        <v>145.95340071417701</v>
      </c>
      <c r="AA52" s="3">
        <f t="shared" si="14"/>
        <v>72450.742175658001</v>
      </c>
      <c r="AB52" s="13">
        <f t="shared" si="15"/>
        <v>72504.338343248994</v>
      </c>
      <c r="AC52" s="13"/>
      <c r="AD52" s="14">
        <f t="shared" si="16"/>
        <v>144.95508051890698</v>
      </c>
      <c r="AE52" s="3" t="e">
        <f t="shared" si="17"/>
        <v>#N/A</v>
      </c>
      <c r="AF52" s="13" t="e">
        <f t="shared" si="9"/>
        <v>#N/A</v>
      </c>
      <c r="AG52" s="13"/>
      <c r="AH52" s="14" t="e">
        <f t="shared" si="18"/>
        <v>#N/A</v>
      </c>
    </row>
    <row r="53" spans="1:34" x14ac:dyDescent="0.25">
      <c r="A53" s="1">
        <v>22</v>
      </c>
      <c r="B53" s="18">
        <f t="shared" si="1"/>
        <v>137234.01</v>
      </c>
      <c r="C53" s="13">
        <f t="shared" si="2"/>
        <v>128898.05</v>
      </c>
      <c r="D53" s="14">
        <f t="shared" si="3"/>
        <v>266132.06</v>
      </c>
      <c r="E53" s="3">
        <f t="shared" si="4"/>
        <v>169232.18</v>
      </c>
      <c r="F53" s="13">
        <f t="shared" si="5"/>
        <v>161045.37899999999</v>
      </c>
      <c r="G53" s="14">
        <f t="shared" si="6"/>
        <v>330277.55900000001</v>
      </c>
      <c r="H53" s="3" t="e">
        <f t="shared" si="10"/>
        <v>#N/A</v>
      </c>
      <c r="I53" s="13" t="e">
        <f t="shared" si="7"/>
        <v>#N/A</v>
      </c>
      <c r="J53" s="14" t="e">
        <f t="shared" si="8"/>
        <v>#N/A</v>
      </c>
      <c r="V53">
        <v>21</v>
      </c>
      <c r="W53" s="3">
        <f t="shared" si="11"/>
        <v>77926.083258489001</v>
      </c>
      <c r="X53" s="13">
        <f t="shared" si="12"/>
        <v>76771.013524712995</v>
      </c>
      <c r="Y53" s="13"/>
      <c r="Z53" s="14">
        <f t="shared" si="13"/>
        <v>154.697096783202</v>
      </c>
      <c r="AA53" s="3">
        <f t="shared" si="14"/>
        <v>77507.182828759003</v>
      </c>
      <c r="AB53" s="13">
        <f t="shared" si="15"/>
        <v>77990.749872146</v>
      </c>
      <c r="AC53" s="13"/>
      <c r="AD53" s="14">
        <f t="shared" si="16"/>
        <v>155.49793270090501</v>
      </c>
      <c r="AE53" s="3" t="e">
        <f t="shared" si="17"/>
        <v>#N/A</v>
      </c>
      <c r="AF53" s="13" t="e">
        <f t="shared" si="9"/>
        <v>#N/A</v>
      </c>
      <c r="AG53" s="13"/>
      <c r="AH53" s="14" t="e">
        <f t="shared" si="18"/>
        <v>#N/A</v>
      </c>
    </row>
    <row r="54" spans="1:34" x14ac:dyDescent="0.25">
      <c r="A54">
        <v>23</v>
      </c>
      <c r="B54" s="19">
        <f t="shared" si="1"/>
        <v>69249.56</v>
      </c>
      <c r="C54" s="16">
        <f t="shared" si="2"/>
        <v>65610.44</v>
      </c>
      <c r="D54" s="17">
        <f t="shared" si="3"/>
        <v>134860</v>
      </c>
      <c r="E54" s="15">
        <f t="shared" si="4"/>
        <v>100755.28000000001</v>
      </c>
      <c r="F54" s="16">
        <f t="shared" si="5"/>
        <v>96465.04</v>
      </c>
      <c r="G54" s="17">
        <f t="shared" si="6"/>
        <v>197220.32</v>
      </c>
      <c r="H54" s="15" t="e">
        <f t="shared" si="10"/>
        <v>#N/A</v>
      </c>
      <c r="I54" s="16" t="e">
        <f t="shared" si="7"/>
        <v>#N/A</v>
      </c>
      <c r="J54" s="17" t="e">
        <f t="shared" si="8"/>
        <v>#N/A</v>
      </c>
      <c r="V54" s="1">
        <v>22</v>
      </c>
      <c r="W54" s="3">
        <f t="shared" si="11"/>
        <v>81017.101889726997</v>
      </c>
      <c r="X54" s="13">
        <f t="shared" si="12"/>
        <v>80675.418544699991</v>
      </c>
      <c r="Y54" s="13"/>
      <c r="Z54" s="14">
        <f t="shared" si="13"/>
        <v>161.692520434427</v>
      </c>
      <c r="AA54" s="3">
        <f t="shared" si="14"/>
        <v>81255.913673272007</v>
      </c>
      <c r="AB54" s="13">
        <f t="shared" si="15"/>
        <v>81984.26906565699</v>
      </c>
      <c r="AC54" s="13"/>
      <c r="AD54" s="14">
        <f t="shared" si="16"/>
        <v>163.24018273892901</v>
      </c>
      <c r="AE54" s="3" t="e">
        <f t="shared" si="17"/>
        <v>#N/A</v>
      </c>
      <c r="AF54" s="13" t="e">
        <f t="shared" si="9"/>
        <v>#N/A</v>
      </c>
      <c r="AG54" s="13"/>
      <c r="AH54" s="14" t="e">
        <f t="shared" si="18"/>
        <v>#N/A</v>
      </c>
    </row>
    <row r="55" spans="1:34" x14ac:dyDescent="0.25">
      <c r="V55">
        <v>23</v>
      </c>
      <c r="W55" s="15">
        <f t="shared" si="11"/>
        <v>73977.866137099001</v>
      </c>
      <c r="X55" s="16">
        <f t="shared" si="12"/>
        <v>74994.328058092011</v>
      </c>
      <c r="Y55" s="16"/>
      <c r="Z55" s="17">
        <f t="shared" si="13"/>
        <v>148.97219419519104</v>
      </c>
      <c r="AA55" s="15">
        <f t="shared" si="14"/>
        <v>80582.993319786008</v>
      </c>
      <c r="AB55" s="16">
        <f t="shared" si="15"/>
        <v>80817.724479197001</v>
      </c>
      <c r="AC55" s="16"/>
      <c r="AD55" s="17">
        <f t="shared" si="16"/>
        <v>161.40071779898301</v>
      </c>
      <c r="AE55" s="15" t="e">
        <f t="shared" si="17"/>
        <v>#N/A</v>
      </c>
      <c r="AF55" s="16" t="e">
        <f t="shared" si="9"/>
        <v>#N/A</v>
      </c>
      <c r="AG55" s="16"/>
      <c r="AH55" s="14" t="e">
        <f t="shared" si="18"/>
        <v>#N/A</v>
      </c>
    </row>
    <row r="56" spans="1:34" x14ac:dyDescent="0.25">
      <c r="B56" s="47">
        <v>44323</v>
      </c>
      <c r="C56" s="47">
        <v>44330.540972222225</v>
      </c>
      <c r="D56" t="str">
        <f>"CS Core Status  [ "&amp;TEXT(B56,"mm/dd/yyyy hh:mm")&amp;"  To  " &amp; TEXT(C56,"mm/dd/yyyy hh:mm"&amp;" ]")</f>
        <v>CS Core Status  [ 05/07/2021 00:00  To  05/14/2021 12:59 ]</v>
      </c>
    </row>
    <row r="57" spans="1:34" x14ac:dyDescent="0.25">
      <c r="C57" t="s">
        <v>95</v>
      </c>
      <c r="D57" t="str">
        <f>LEFT(C57,2)&amp;" "&amp;TEXT(MID(C57,4,2)*30,"mmm")&amp;" Upto "&amp;RIGHT(C57,2) &amp;" Hrs CS Core Status"</f>
        <v>05 Jun Upto 16 Hrs CS Core Status</v>
      </c>
      <c r="E57" t="s">
        <v>20</v>
      </c>
      <c r="F57" t="s">
        <v>7</v>
      </c>
      <c r="W57" s="47">
        <v>44323</v>
      </c>
      <c r="X57" s="47">
        <v>44330.540972222225</v>
      </c>
      <c r="Y57" t="str">
        <f>"PS Core Status  [ "&amp;TEXT(W57,"mm/dd/yyyy hh:mm")&amp;"  To  " &amp; TEXT(X57,"mm/dd/yyyy hh:mm"&amp;" ]")</f>
        <v>PS Core Status  [ 05/07/2021 00:00  To  05/14/2021 12:59 ]</v>
      </c>
      <c r="Z57" t="s">
        <v>116</v>
      </c>
      <c r="AA57" s="60"/>
    </row>
    <row r="58" spans="1:34" x14ac:dyDescent="0.25">
      <c r="B58" t="s">
        <v>119</v>
      </c>
      <c r="D58" t="s">
        <v>94</v>
      </c>
      <c r="E58" s="56">
        <f>SUMIF(B3:C26,"&lt;&gt;#N/A")</f>
        <v>2073798.632</v>
      </c>
      <c r="F58" s="56">
        <f>SUMIF(D3:E26,"&lt;&gt;#N/A")</f>
        <v>1924682.709</v>
      </c>
      <c r="V58" t="s">
        <v>95</v>
      </c>
      <c r="W58" t="str">
        <f xml:space="preserve"> LEFT(V58,2)&amp;" "&amp;TEXT(MID(V58,4,2)*30,"mmm")&amp;" Upto "&amp;RIGHT(V58,2) &amp;" Hrs PS Core Status"</f>
        <v>05 Jun Upto 16 Hrs PS Core Status</v>
      </c>
    </row>
    <row r="59" spans="1:34" x14ac:dyDescent="0.25">
      <c r="B59" t="s">
        <v>110</v>
      </c>
      <c r="D59" t="s">
        <v>79</v>
      </c>
      <c r="E59" s="56">
        <f>SUMIF(F3:G26,"&lt;&gt;#N/A")</f>
        <v>2362644.4180000001</v>
      </c>
      <c r="F59" s="56">
        <f>SUMIF(H3:I26,"&lt;&gt;#N/A")</f>
        <v>2244895.9880000004</v>
      </c>
      <c r="W59" t="s">
        <v>119</v>
      </c>
      <c r="X59" s="56">
        <f>SUMIF(Z32:Z55,"&lt;&gt;#N/A")</f>
        <v>2464.3613661122931</v>
      </c>
    </row>
    <row r="60" spans="1:34" x14ac:dyDescent="0.25">
      <c r="B60" t="s">
        <v>30</v>
      </c>
      <c r="D60" t="s">
        <v>30</v>
      </c>
      <c r="E60" s="56">
        <f>SUMIF(J3:K26,"&lt;&gt;#N/A")</f>
        <v>1339605.6380000003</v>
      </c>
      <c r="F60" s="56">
        <f>SUMIF(L3:M26,"&lt;&gt;#N/A")</f>
        <v>1236039.0430000001</v>
      </c>
      <c r="W60" t="s">
        <v>110</v>
      </c>
      <c r="X60" s="56">
        <f>SUMIF(AD32:AD55,"&lt;&gt;#N/A")</f>
        <v>2701.740529526714</v>
      </c>
    </row>
    <row r="61" spans="1:34" x14ac:dyDescent="0.25">
      <c r="W61" t="s">
        <v>30</v>
      </c>
      <c r="X61" s="56">
        <f>SUMIF(AH32:AH55,"&lt;&gt;#N/A")</f>
        <v>1243.410637519826</v>
      </c>
    </row>
    <row r="65" spans="23:25" x14ac:dyDescent="0.25">
      <c r="W65" t="str">
        <f xml:space="preserve"> "PS Core Status  [ "&amp;TEXT(W57,"mm/dd/yyyy hh:mm")&amp;"  To  " &amp; TEXT(X57,"mm/dd/yyyy hh:mm"&amp;" ]")</f>
        <v>PS Core Status  [ 05/07/2021 00:00  To  05/14/2021 12:59 ]</v>
      </c>
      <c r="X65" t="s">
        <v>126</v>
      </c>
      <c r="Y65" t="s">
        <v>38</v>
      </c>
    </row>
    <row r="66" spans="23:25" x14ac:dyDescent="0.25">
      <c r="W66" t="s">
        <v>119</v>
      </c>
      <c r="X66" s="56">
        <f>SUM(W3:W26,Y3:Y26)/1000</f>
        <v>679.36199999999997</v>
      </c>
      <c r="Y66" s="56">
        <f>SUM(X3:X26,Z3:Z26)/1000</f>
        <v>1784.999366112293</v>
      </c>
    </row>
    <row r="67" spans="23:25" x14ac:dyDescent="0.25">
      <c r="W67" t="s">
        <v>110</v>
      </c>
      <c r="X67" s="56">
        <f>SUM(AE3:AE26,AG3:AG26)/1000</f>
        <v>742.28399999999999</v>
      </c>
      <c r="Y67" s="56">
        <f>SUM(AF3:AF26,AH3:AH26)/1000</f>
        <v>1959.4565295267139</v>
      </c>
    </row>
    <row r="68" spans="23:25" x14ac:dyDescent="0.25">
      <c r="W68" t="s">
        <v>30</v>
      </c>
      <c r="X68" s="56">
        <f>SUM(AM3:AM26,AO3:AO26)/1000</f>
        <v>348.029</v>
      </c>
      <c r="Y68" s="56">
        <f>SUM(AN3:AN26,AP3:AP26)/1000</f>
        <v>895.3816375198262</v>
      </c>
    </row>
  </sheetData>
  <dataConsolidate/>
  <mergeCells count="12">
    <mergeCell ref="AM1:AT1"/>
    <mergeCell ref="B1:E1"/>
    <mergeCell ref="F1:I1"/>
    <mergeCell ref="J1:M1"/>
    <mergeCell ref="W30:Z30"/>
    <mergeCell ref="AA30:AD30"/>
    <mergeCell ref="AE30:AH30"/>
    <mergeCell ref="W1:AD1"/>
    <mergeCell ref="AE1:AL1"/>
    <mergeCell ref="B30:D30"/>
    <mergeCell ref="E30:G30"/>
    <mergeCell ref="H30:J30"/>
  </mergeCells>
  <pageMargins left="0.7" right="0.7" top="0.75" bottom="0.75" header="0.3" footer="0.3"/>
  <pageSetup orientation="portrait" horizontalDpi="300" verticalDpi="300" r:id="rId1"/>
  <ignoredErrors>
    <ignoredError sqref="D31 G31 D32:D54 F59 G37 G32:G36 G38:G51 G52:G53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B193"/>
  <sheetViews>
    <sheetView workbookViewId="0">
      <selection activeCell="B8" sqref="B8"/>
    </sheetView>
  </sheetViews>
  <sheetFormatPr defaultRowHeight="15" x14ac:dyDescent="0.25"/>
  <sheetData>
    <row r="1" spans="1:28" x14ac:dyDescent="0.25">
      <c r="A1" s="2" t="s">
        <v>25</v>
      </c>
      <c r="B1" s="2" t="s">
        <v>26</v>
      </c>
      <c r="C1" s="2" t="s">
        <v>27</v>
      </c>
      <c r="D1" s="2" t="s">
        <v>28</v>
      </c>
      <c r="E1" s="2" t="s">
        <v>29</v>
      </c>
      <c r="G1" s="54" t="s">
        <v>82</v>
      </c>
      <c r="H1" s="54" t="s">
        <v>85</v>
      </c>
      <c r="I1" s="54" t="s">
        <v>86</v>
      </c>
      <c r="J1" s="54" t="s">
        <v>87</v>
      </c>
      <c r="K1" s="54" t="s">
        <v>83</v>
      </c>
      <c r="L1" s="54" t="s">
        <v>84</v>
      </c>
      <c r="M1" s="54" t="s">
        <v>88</v>
      </c>
      <c r="N1" s="54" t="s">
        <v>89</v>
      </c>
      <c r="P1" s="5" t="s">
        <v>90</v>
      </c>
      <c r="Q1" s="24" t="s">
        <v>93</v>
      </c>
      <c r="R1" s="24" t="s">
        <v>91</v>
      </c>
      <c r="S1" s="25" t="s">
        <v>92</v>
      </c>
      <c r="U1" s="5" t="s">
        <v>82</v>
      </c>
      <c r="V1" s="5" t="s">
        <v>85</v>
      </c>
      <c r="W1" s="5" t="s">
        <v>86</v>
      </c>
      <c r="X1" s="5" t="s">
        <v>87</v>
      </c>
      <c r="Y1" s="5" t="s">
        <v>83</v>
      </c>
      <c r="Z1" s="5" t="s">
        <v>84</v>
      </c>
      <c r="AA1" s="5" t="s">
        <v>88</v>
      </c>
      <c r="AB1" s="5" t="s">
        <v>89</v>
      </c>
    </row>
    <row r="2" spans="1:28" x14ac:dyDescent="0.25">
      <c r="A2" s="21">
        <v>0</v>
      </c>
      <c r="B2" s="22">
        <v>20132.86</v>
      </c>
      <c r="C2" s="22">
        <v>12348.8</v>
      </c>
      <c r="D2" s="22">
        <v>21672.59</v>
      </c>
      <c r="E2" s="23">
        <v>9710.5500000000011</v>
      </c>
      <c r="G2" s="21">
        <v>11036.789999999999</v>
      </c>
      <c r="H2" s="22">
        <v>6982.3200000000006</v>
      </c>
      <c r="I2" s="22">
        <v>12023.849999999999</v>
      </c>
      <c r="J2" s="23">
        <v>5415.72</v>
      </c>
      <c r="K2" s="21">
        <v>9096.07</v>
      </c>
      <c r="L2" s="22">
        <v>5366.48</v>
      </c>
      <c r="M2" s="22">
        <v>9648.74</v>
      </c>
      <c r="N2" s="23">
        <v>4294.83</v>
      </c>
      <c r="P2" s="3">
        <f>IF(U2="",ERROR.TYPE(7),U2+V2)</f>
        <v>18019.11</v>
      </c>
      <c r="Q2" s="13">
        <f>IF(W2="",ERROR.TYPE(7),W2+X2)</f>
        <v>17439.57</v>
      </c>
      <c r="R2" s="13">
        <f>IF(Y2="",ERROR.TYPE(7),Y2+Z2)</f>
        <v>14462.55</v>
      </c>
      <c r="S2" s="14">
        <f>IF(AA2="",ERROR.TYPE(7),AA2+AB2)</f>
        <v>13943.57</v>
      </c>
      <c r="U2" s="21">
        <v>11036.789999999999</v>
      </c>
      <c r="V2" s="22">
        <v>6982.3200000000006</v>
      </c>
      <c r="W2" s="22">
        <v>12023.849999999999</v>
      </c>
      <c r="X2" s="23">
        <v>5415.72</v>
      </c>
      <c r="Y2" s="21">
        <v>9096.07</v>
      </c>
      <c r="Z2" s="22">
        <v>5366.48</v>
      </c>
      <c r="AA2" s="22">
        <v>9648.74</v>
      </c>
      <c r="AB2" s="23">
        <v>4294.83</v>
      </c>
    </row>
    <row r="3" spans="1:28" x14ac:dyDescent="0.25">
      <c r="A3" s="3">
        <v>1</v>
      </c>
      <c r="B3" s="13">
        <v>8939.58</v>
      </c>
      <c r="C3" s="13">
        <v>5746.28</v>
      </c>
      <c r="D3" s="13">
        <v>9830.59</v>
      </c>
      <c r="E3" s="14">
        <v>4469.3500000000004</v>
      </c>
      <c r="G3" s="3">
        <v>5115.9000000000005</v>
      </c>
      <c r="H3" s="13">
        <v>3261.35</v>
      </c>
      <c r="I3" s="13">
        <v>5528.3600000000006</v>
      </c>
      <c r="J3" s="14">
        <v>2597.5</v>
      </c>
      <c r="K3" s="3">
        <v>3823.68</v>
      </c>
      <c r="L3" s="13">
        <v>2484.9300000000003</v>
      </c>
      <c r="M3" s="13">
        <v>4302.2300000000005</v>
      </c>
      <c r="N3" s="14">
        <v>1871.85</v>
      </c>
      <c r="P3" s="3">
        <f t="shared" ref="P3:P66" si="0">IF(U3="",ERROR.TYPE(7),U3+V3)</f>
        <v>8377.25</v>
      </c>
      <c r="Q3" s="13">
        <f t="shared" ref="Q3:Q66" si="1">IF(W3="",ERROR.TYPE(7),W3+X3)</f>
        <v>8125.8600000000006</v>
      </c>
      <c r="R3" s="13">
        <f t="shared" ref="R3:R66" si="2">IF(Y3="",ERROR.TYPE(7),Y3+Z3)</f>
        <v>6308.6100000000006</v>
      </c>
      <c r="S3" s="14">
        <f t="shared" ref="S3:S66" si="3">IF(AA3="",ERROR.TYPE(7),AA3+AB3)</f>
        <v>6174.08</v>
      </c>
      <c r="U3" s="3">
        <v>5115.9000000000005</v>
      </c>
      <c r="V3" s="13">
        <v>3261.35</v>
      </c>
      <c r="W3" s="13">
        <v>5528.3600000000006</v>
      </c>
      <c r="X3" s="14">
        <v>2597.5</v>
      </c>
      <c r="Y3" s="3">
        <v>3823.68</v>
      </c>
      <c r="Z3" s="13">
        <v>2484.9300000000003</v>
      </c>
      <c r="AA3" s="13">
        <v>4302.2300000000005</v>
      </c>
      <c r="AB3" s="14">
        <v>1871.85</v>
      </c>
    </row>
    <row r="4" spans="1:28" x14ac:dyDescent="0.25">
      <c r="A4" s="3">
        <v>2</v>
      </c>
      <c r="B4" s="13">
        <v>6555.84</v>
      </c>
      <c r="C4" s="13">
        <v>3430.1099999999997</v>
      </c>
      <c r="D4" s="13">
        <v>7021.13</v>
      </c>
      <c r="E4" s="14">
        <v>2647.4599999999996</v>
      </c>
      <c r="G4" s="3">
        <v>3934.14</v>
      </c>
      <c r="H4" s="13">
        <v>2155.77</v>
      </c>
      <c r="I4" s="13">
        <v>4011.92</v>
      </c>
      <c r="J4" s="14">
        <v>1673.55</v>
      </c>
      <c r="K4" s="3">
        <v>2621.7</v>
      </c>
      <c r="L4" s="13">
        <v>1274.3399999999999</v>
      </c>
      <c r="M4" s="13">
        <v>3009.21</v>
      </c>
      <c r="N4" s="14">
        <v>973.90999999999985</v>
      </c>
      <c r="P4" s="3">
        <f t="shared" si="0"/>
        <v>6089.91</v>
      </c>
      <c r="Q4" s="13">
        <f t="shared" si="1"/>
        <v>5685.47</v>
      </c>
      <c r="R4" s="13">
        <f t="shared" si="2"/>
        <v>3896.04</v>
      </c>
      <c r="S4" s="14">
        <f t="shared" si="3"/>
        <v>3983.12</v>
      </c>
      <c r="U4" s="3">
        <v>3934.14</v>
      </c>
      <c r="V4" s="13">
        <v>2155.77</v>
      </c>
      <c r="W4" s="13">
        <v>4011.92</v>
      </c>
      <c r="X4" s="14">
        <v>1673.55</v>
      </c>
      <c r="Y4" s="3">
        <v>2621.7</v>
      </c>
      <c r="Z4" s="13">
        <v>1274.3399999999999</v>
      </c>
      <c r="AA4" s="13">
        <v>3009.21</v>
      </c>
      <c r="AB4" s="14">
        <v>973.90999999999985</v>
      </c>
    </row>
    <row r="5" spans="1:28" x14ac:dyDescent="0.25">
      <c r="A5" s="3">
        <v>3</v>
      </c>
      <c r="B5" s="13">
        <v>18732.79</v>
      </c>
      <c r="C5" s="13">
        <v>7651.1500000000005</v>
      </c>
      <c r="D5" s="13">
        <v>18643.359999999997</v>
      </c>
      <c r="E5" s="14">
        <v>5259.79</v>
      </c>
      <c r="G5" s="3">
        <v>8517.9599999999991</v>
      </c>
      <c r="H5" s="13">
        <v>4555.38</v>
      </c>
      <c r="I5" s="13">
        <v>7571.19</v>
      </c>
      <c r="J5" s="14">
        <v>3065.05</v>
      </c>
      <c r="K5" s="3">
        <v>10214.83</v>
      </c>
      <c r="L5" s="13">
        <v>3095.77</v>
      </c>
      <c r="M5" s="13">
        <v>11072.17</v>
      </c>
      <c r="N5" s="14">
        <v>2194.7400000000002</v>
      </c>
      <c r="P5" s="3">
        <f t="shared" si="0"/>
        <v>13073.34</v>
      </c>
      <c r="Q5" s="13">
        <f t="shared" si="1"/>
        <v>10636.24</v>
      </c>
      <c r="R5" s="13">
        <f t="shared" si="2"/>
        <v>13310.6</v>
      </c>
      <c r="S5" s="14">
        <f t="shared" si="3"/>
        <v>13266.91</v>
      </c>
      <c r="U5" s="3">
        <v>8517.9599999999991</v>
      </c>
      <c r="V5" s="13">
        <v>4555.38</v>
      </c>
      <c r="W5" s="13">
        <v>7571.19</v>
      </c>
      <c r="X5" s="14">
        <v>3065.05</v>
      </c>
      <c r="Y5" s="3">
        <v>10214.83</v>
      </c>
      <c r="Z5" s="13">
        <v>3095.77</v>
      </c>
      <c r="AA5" s="13">
        <v>11072.17</v>
      </c>
      <c r="AB5" s="14">
        <v>2194.7400000000002</v>
      </c>
    </row>
    <row r="6" spans="1:28" x14ac:dyDescent="0.25">
      <c r="A6" s="3">
        <v>4</v>
      </c>
      <c r="B6" s="13">
        <v>13091.23</v>
      </c>
      <c r="C6" s="13">
        <v>6644.6099999999988</v>
      </c>
      <c r="D6" s="13">
        <v>13862.920000000002</v>
      </c>
      <c r="E6" s="14">
        <v>4337.2199999999993</v>
      </c>
      <c r="G6" s="3">
        <v>7156.920000000001</v>
      </c>
      <c r="H6" s="13">
        <v>3826.65</v>
      </c>
      <c r="I6" s="13">
        <v>6688.97</v>
      </c>
      <c r="J6" s="14">
        <v>2344.14</v>
      </c>
      <c r="K6" s="3">
        <v>5934.3099999999995</v>
      </c>
      <c r="L6" s="13">
        <v>2817.96</v>
      </c>
      <c r="M6" s="13">
        <v>7173.95</v>
      </c>
      <c r="N6" s="14">
        <v>1993.08</v>
      </c>
      <c r="P6" s="3">
        <f t="shared" si="0"/>
        <v>10983.570000000002</v>
      </c>
      <c r="Q6" s="13">
        <f t="shared" si="1"/>
        <v>9033.11</v>
      </c>
      <c r="R6" s="13">
        <f t="shared" si="2"/>
        <v>8752.27</v>
      </c>
      <c r="S6" s="14">
        <f t="shared" si="3"/>
        <v>9167.0299999999988</v>
      </c>
      <c r="U6" s="3">
        <v>7156.920000000001</v>
      </c>
      <c r="V6" s="13">
        <v>3826.65</v>
      </c>
      <c r="W6" s="13">
        <v>6688.97</v>
      </c>
      <c r="X6" s="14">
        <v>2344.14</v>
      </c>
      <c r="Y6" s="3">
        <v>5934.3099999999995</v>
      </c>
      <c r="Z6" s="13">
        <v>2817.96</v>
      </c>
      <c r="AA6" s="13">
        <v>7173.95</v>
      </c>
      <c r="AB6" s="14">
        <v>1993.08</v>
      </c>
    </row>
    <row r="7" spans="1:28" x14ac:dyDescent="0.25">
      <c r="A7" s="3">
        <v>5</v>
      </c>
      <c r="B7" s="13">
        <v>7044.99</v>
      </c>
      <c r="C7" s="13">
        <v>2527.3100000000004</v>
      </c>
      <c r="D7" s="13">
        <v>7178.5899999999992</v>
      </c>
      <c r="E7" s="14">
        <v>1911.5900000000001</v>
      </c>
      <c r="G7" s="3">
        <v>3322.1400000000003</v>
      </c>
      <c r="H7" s="13">
        <v>1315.36</v>
      </c>
      <c r="I7" s="13">
        <v>3273.04</v>
      </c>
      <c r="J7" s="14">
        <v>973.03</v>
      </c>
      <c r="K7" s="3">
        <v>3722.8500000000004</v>
      </c>
      <c r="L7" s="13">
        <v>1211.95</v>
      </c>
      <c r="M7" s="13">
        <v>3905.55</v>
      </c>
      <c r="N7" s="14">
        <v>938.56</v>
      </c>
      <c r="P7" s="3">
        <f t="shared" si="0"/>
        <v>4637.5</v>
      </c>
      <c r="Q7" s="13">
        <f t="shared" si="1"/>
        <v>4246.07</v>
      </c>
      <c r="R7" s="13">
        <f t="shared" si="2"/>
        <v>4934.8</v>
      </c>
      <c r="S7" s="14">
        <f t="shared" si="3"/>
        <v>4844.1100000000006</v>
      </c>
      <c r="U7" s="3">
        <v>3322.1400000000003</v>
      </c>
      <c r="V7" s="13">
        <v>1315.36</v>
      </c>
      <c r="W7" s="13">
        <v>3273.04</v>
      </c>
      <c r="X7" s="14">
        <v>973.03</v>
      </c>
      <c r="Y7" s="3">
        <v>3722.8500000000004</v>
      </c>
      <c r="Z7" s="13">
        <v>1211.95</v>
      </c>
      <c r="AA7" s="13">
        <v>3905.55</v>
      </c>
      <c r="AB7" s="14">
        <v>938.56</v>
      </c>
    </row>
    <row r="8" spans="1:28" x14ac:dyDescent="0.25">
      <c r="A8" s="3">
        <v>6</v>
      </c>
      <c r="B8" s="13">
        <v>17663.830000000002</v>
      </c>
      <c r="C8" s="13">
        <v>4882.47</v>
      </c>
      <c r="D8" s="13">
        <v>17182.53</v>
      </c>
      <c r="E8" s="14">
        <v>3573.99</v>
      </c>
      <c r="G8" s="3">
        <v>9441.34</v>
      </c>
      <c r="H8" s="13">
        <v>2299.5699999999997</v>
      </c>
      <c r="I8" s="13">
        <v>8866.09</v>
      </c>
      <c r="J8" s="14">
        <v>1629.44</v>
      </c>
      <c r="K8" s="3">
        <v>8222.4900000000016</v>
      </c>
      <c r="L8" s="13">
        <v>2582.9</v>
      </c>
      <c r="M8" s="13">
        <v>8316.44</v>
      </c>
      <c r="N8" s="14">
        <v>1944.5500000000002</v>
      </c>
      <c r="P8" s="3">
        <f t="shared" si="0"/>
        <v>11740.91</v>
      </c>
      <c r="Q8" s="13">
        <f t="shared" si="1"/>
        <v>10495.53</v>
      </c>
      <c r="R8" s="13">
        <f t="shared" si="2"/>
        <v>10805.390000000001</v>
      </c>
      <c r="S8" s="14">
        <f t="shared" si="3"/>
        <v>10260.990000000002</v>
      </c>
      <c r="U8" s="3">
        <v>9441.34</v>
      </c>
      <c r="V8" s="13">
        <v>2299.5699999999997</v>
      </c>
      <c r="W8" s="13">
        <v>8866.09</v>
      </c>
      <c r="X8" s="14">
        <v>1629.44</v>
      </c>
      <c r="Y8" s="3">
        <v>8222.4900000000016</v>
      </c>
      <c r="Z8" s="13">
        <v>2582.9</v>
      </c>
      <c r="AA8" s="13">
        <v>8316.44</v>
      </c>
      <c r="AB8" s="14">
        <v>1944.5500000000002</v>
      </c>
    </row>
    <row r="9" spans="1:28" x14ac:dyDescent="0.25">
      <c r="A9" s="3">
        <v>7</v>
      </c>
      <c r="B9" s="13">
        <v>35023.86</v>
      </c>
      <c r="C9" s="13">
        <v>10297.820000000002</v>
      </c>
      <c r="D9" s="13">
        <v>33930.36</v>
      </c>
      <c r="E9" s="14">
        <v>7437.83</v>
      </c>
      <c r="G9" s="3">
        <v>21172.239999999998</v>
      </c>
      <c r="H9" s="13">
        <v>7285.329999999999</v>
      </c>
      <c r="I9" s="13">
        <v>18638.54</v>
      </c>
      <c r="J9" s="14">
        <v>4879.7700000000004</v>
      </c>
      <c r="K9" s="3">
        <v>13851.619999999999</v>
      </c>
      <c r="L9" s="13">
        <v>3012.49</v>
      </c>
      <c r="M9" s="13">
        <v>15291.82</v>
      </c>
      <c r="N9" s="14">
        <v>2558.06</v>
      </c>
      <c r="P9" s="3">
        <f t="shared" si="0"/>
        <v>28457.569999999996</v>
      </c>
      <c r="Q9" s="13">
        <f t="shared" si="1"/>
        <v>23518.31</v>
      </c>
      <c r="R9" s="13">
        <f t="shared" si="2"/>
        <v>16864.11</v>
      </c>
      <c r="S9" s="14">
        <f t="shared" si="3"/>
        <v>17849.88</v>
      </c>
      <c r="U9" s="3">
        <v>21172.239999999998</v>
      </c>
      <c r="V9" s="13">
        <v>7285.329999999999</v>
      </c>
      <c r="W9" s="13">
        <v>18638.54</v>
      </c>
      <c r="X9" s="14">
        <v>4879.7700000000004</v>
      </c>
      <c r="Y9" s="3">
        <v>13851.619999999999</v>
      </c>
      <c r="Z9" s="13">
        <v>3012.49</v>
      </c>
      <c r="AA9" s="13">
        <v>15291.82</v>
      </c>
      <c r="AB9" s="14">
        <v>2558.06</v>
      </c>
    </row>
    <row r="10" spans="1:28" x14ac:dyDescent="0.25">
      <c r="A10" s="3">
        <v>8</v>
      </c>
      <c r="B10" s="13">
        <v>55134.149999999994</v>
      </c>
      <c r="C10" s="13">
        <v>18840.010000000002</v>
      </c>
      <c r="D10" s="13">
        <v>53747.7</v>
      </c>
      <c r="E10" s="14">
        <v>13427.32</v>
      </c>
      <c r="G10" s="3">
        <v>32173.62</v>
      </c>
      <c r="H10" s="13">
        <v>11731.61</v>
      </c>
      <c r="I10" s="13">
        <v>27596.34</v>
      </c>
      <c r="J10" s="14">
        <v>7607.54</v>
      </c>
      <c r="K10" s="3">
        <v>22960.53</v>
      </c>
      <c r="L10" s="13">
        <v>7108.4</v>
      </c>
      <c r="M10" s="13">
        <v>26151.360000000001</v>
      </c>
      <c r="N10" s="14">
        <v>5819.78</v>
      </c>
      <c r="P10" s="3">
        <f t="shared" si="0"/>
        <v>43905.229999999996</v>
      </c>
      <c r="Q10" s="13">
        <f t="shared" si="1"/>
        <v>35203.879999999997</v>
      </c>
      <c r="R10" s="13">
        <f t="shared" si="2"/>
        <v>30068.93</v>
      </c>
      <c r="S10" s="14">
        <f t="shared" si="3"/>
        <v>31971.14</v>
      </c>
      <c r="U10" s="3">
        <v>32173.62</v>
      </c>
      <c r="V10" s="13">
        <v>11731.61</v>
      </c>
      <c r="W10" s="13">
        <v>27596.34</v>
      </c>
      <c r="X10" s="14">
        <v>7607.54</v>
      </c>
      <c r="Y10" s="3">
        <v>22960.53</v>
      </c>
      <c r="Z10" s="13">
        <v>7108.4</v>
      </c>
      <c r="AA10" s="13">
        <v>26151.360000000001</v>
      </c>
      <c r="AB10" s="14">
        <v>5819.78</v>
      </c>
    </row>
    <row r="11" spans="1:28" x14ac:dyDescent="0.25">
      <c r="A11" s="3">
        <v>9</v>
      </c>
      <c r="B11" s="13">
        <v>73388.740000000005</v>
      </c>
      <c r="C11" s="13">
        <v>28843.030000000002</v>
      </c>
      <c r="D11" s="13">
        <v>72453.38</v>
      </c>
      <c r="E11" s="14">
        <v>21389.439999999999</v>
      </c>
      <c r="G11" s="3">
        <v>49229.4</v>
      </c>
      <c r="H11" s="13">
        <v>18115.48</v>
      </c>
      <c r="I11" s="13">
        <v>46893.55</v>
      </c>
      <c r="J11" s="14">
        <v>13413.25</v>
      </c>
      <c r="K11" s="3">
        <v>24159.34</v>
      </c>
      <c r="L11" s="13">
        <v>10727.55</v>
      </c>
      <c r="M11" s="13">
        <v>25559.829999999998</v>
      </c>
      <c r="N11" s="14">
        <v>7976.19</v>
      </c>
      <c r="P11" s="3">
        <f t="shared" si="0"/>
        <v>67344.88</v>
      </c>
      <c r="Q11" s="13">
        <f t="shared" si="1"/>
        <v>60306.8</v>
      </c>
      <c r="R11" s="13">
        <f t="shared" si="2"/>
        <v>34886.89</v>
      </c>
      <c r="S11" s="14">
        <f t="shared" si="3"/>
        <v>33536.019999999997</v>
      </c>
      <c r="U11" s="3">
        <v>49229.4</v>
      </c>
      <c r="V11" s="13">
        <v>18115.48</v>
      </c>
      <c r="W11" s="13">
        <v>46893.55</v>
      </c>
      <c r="X11" s="14">
        <v>13413.25</v>
      </c>
      <c r="Y11" s="3">
        <v>24159.34</v>
      </c>
      <c r="Z11" s="13">
        <v>10727.55</v>
      </c>
      <c r="AA11" s="13">
        <v>25559.829999999998</v>
      </c>
      <c r="AB11" s="14">
        <v>7976.19</v>
      </c>
    </row>
    <row r="12" spans="1:28" x14ac:dyDescent="0.25">
      <c r="A12" s="3">
        <v>10</v>
      </c>
      <c r="B12" s="13">
        <v>84140.74</v>
      </c>
      <c r="C12" s="13">
        <v>37117.61</v>
      </c>
      <c r="D12" s="13">
        <v>84189.19</v>
      </c>
      <c r="E12" s="14">
        <v>28082.500000000004</v>
      </c>
      <c r="G12" s="3">
        <v>50063.090000000004</v>
      </c>
      <c r="H12" s="13">
        <v>20756.91</v>
      </c>
      <c r="I12" s="13">
        <v>45348.259999999995</v>
      </c>
      <c r="J12" s="14">
        <v>15295.87</v>
      </c>
      <c r="K12" s="3">
        <v>34077.65</v>
      </c>
      <c r="L12" s="13">
        <v>16360.699999999999</v>
      </c>
      <c r="M12" s="13">
        <v>38840.93</v>
      </c>
      <c r="N12" s="14">
        <v>12786.63</v>
      </c>
      <c r="P12" s="3">
        <f t="shared" si="0"/>
        <v>70820</v>
      </c>
      <c r="Q12" s="13">
        <f t="shared" si="1"/>
        <v>60644.13</v>
      </c>
      <c r="R12" s="13">
        <f t="shared" si="2"/>
        <v>50438.35</v>
      </c>
      <c r="S12" s="14">
        <f t="shared" si="3"/>
        <v>51627.56</v>
      </c>
      <c r="U12" s="3">
        <v>50063.090000000004</v>
      </c>
      <c r="V12" s="13">
        <v>20756.91</v>
      </c>
      <c r="W12" s="13">
        <v>45348.259999999995</v>
      </c>
      <c r="X12" s="14">
        <v>15295.87</v>
      </c>
      <c r="Y12" s="3">
        <v>34077.65</v>
      </c>
      <c r="Z12" s="13">
        <v>16360.699999999999</v>
      </c>
      <c r="AA12" s="13">
        <v>38840.93</v>
      </c>
      <c r="AB12" s="14">
        <v>12786.63</v>
      </c>
    </row>
    <row r="13" spans="1:28" x14ac:dyDescent="0.25">
      <c r="A13" s="3">
        <v>11</v>
      </c>
      <c r="B13" s="13">
        <v>83386.879999999976</v>
      </c>
      <c r="C13" s="13">
        <v>39253.78</v>
      </c>
      <c r="D13" s="13">
        <v>83675.53</v>
      </c>
      <c r="E13" s="14">
        <v>30073.18</v>
      </c>
      <c r="G13" s="3">
        <v>40758.729999999996</v>
      </c>
      <c r="H13" s="13">
        <v>18242.450000000004</v>
      </c>
      <c r="I13" s="13">
        <v>45026.869999999995</v>
      </c>
      <c r="J13" s="14">
        <v>14374.92</v>
      </c>
      <c r="K13" s="3">
        <v>42628.15</v>
      </c>
      <c r="L13" s="13">
        <v>21011.33</v>
      </c>
      <c r="M13" s="13">
        <v>38648.659999999996</v>
      </c>
      <c r="N13" s="14">
        <v>15698.259999999998</v>
      </c>
      <c r="P13" s="3">
        <f t="shared" si="0"/>
        <v>59001.18</v>
      </c>
      <c r="Q13" s="13">
        <f t="shared" si="1"/>
        <v>59401.789999999994</v>
      </c>
      <c r="R13" s="13">
        <f t="shared" si="2"/>
        <v>63639.48</v>
      </c>
      <c r="S13" s="14">
        <f t="shared" si="3"/>
        <v>54346.92</v>
      </c>
      <c r="U13" s="3">
        <v>40758.729999999996</v>
      </c>
      <c r="V13" s="13">
        <v>18242.450000000004</v>
      </c>
      <c r="W13" s="13">
        <v>45026.869999999995</v>
      </c>
      <c r="X13" s="14">
        <v>14374.92</v>
      </c>
      <c r="Y13" s="3">
        <v>42628.15</v>
      </c>
      <c r="Z13" s="13">
        <v>21011.33</v>
      </c>
      <c r="AA13" s="13">
        <v>38648.659999999996</v>
      </c>
      <c r="AB13" s="14">
        <v>15698.259999999998</v>
      </c>
    </row>
    <row r="14" spans="1:28" x14ac:dyDescent="0.25">
      <c r="A14" s="3">
        <v>12</v>
      </c>
      <c r="B14" s="13">
        <v>63429.469999999994</v>
      </c>
      <c r="C14" s="13">
        <v>30474.049999999996</v>
      </c>
      <c r="D14" s="13">
        <v>63965.69</v>
      </c>
      <c r="E14" s="14">
        <v>23380.68</v>
      </c>
      <c r="G14" s="3">
        <v>37991.049999999996</v>
      </c>
      <c r="H14" s="13">
        <v>21045.62</v>
      </c>
      <c r="I14" s="13">
        <v>32514.289999999997</v>
      </c>
      <c r="J14" s="14">
        <v>15344.5</v>
      </c>
      <c r="K14" s="3">
        <v>25438.42</v>
      </c>
      <c r="L14" s="13">
        <v>9428.43</v>
      </c>
      <c r="M14" s="13">
        <v>31451.4</v>
      </c>
      <c r="N14" s="14">
        <v>8036.18</v>
      </c>
      <c r="P14" s="3">
        <f t="shared" si="0"/>
        <v>59036.67</v>
      </c>
      <c r="Q14" s="13">
        <f t="shared" si="1"/>
        <v>47858.789999999994</v>
      </c>
      <c r="R14" s="13">
        <f t="shared" si="2"/>
        <v>34866.85</v>
      </c>
      <c r="S14" s="14">
        <f t="shared" si="3"/>
        <v>39487.58</v>
      </c>
      <c r="U14" s="3">
        <v>37991.049999999996</v>
      </c>
      <c r="V14" s="13">
        <v>21045.62</v>
      </c>
      <c r="W14" s="13">
        <v>32514.289999999997</v>
      </c>
      <c r="X14" s="14">
        <v>15344.5</v>
      </c>
      <c r="Y14" s="3">
        <v>25438.42</v>
      </c>
      <c r="Z14" s="13">
        <v>9428.43</v>
      </c>
      <c r="AA14" s="13">
        <v>31451.4</v>
      </c>
      <c r="AB14" s="14">
        <v>8036.18</v>
      </c>
    </row>
    <row r="15" spans="1:28" x14ac:dyDescent="0.25">
      <c r="A15" s="3">
        <v>13</v>
      </c>
      <c r="B15" s="13">
        <v>45098.27</v>
      </c>
      <c r="C15" s="13">
        <v>19625.030000000002</v>
      </c>
      <c r="D15" s="13">
        <v>45154.130000000005</v>
      </c>
      <c r="E15" s="14">
        <v>14480.14</v>
      </c>
      <c r="G15" s="3">
        <v>27967.170000000002</v>
      </c>
      <c r="H15" s="13">
        <v>12351.05</v>
      </c>
      <c r="I15" s="13">
        <v>25361.08</v>
      </c>
      <c r="J15" s="14">
        <v>8855.0300000000007</v>
      </c>
      <c r="K15" s="3">
        <v>17131.099999999999</v>
      </c>
      <c r="L15" s="13">
        <v>7273.9800000000005</v>
      </c>
      <c r="M15" s="13">
        <v>19793.050000000003</v>
      </c>
      <c r="N15" s="14">
        <v>5625.11</v>
      </c>
      <c r="P15" s="3">
        <f t="shared" si="0"/>
        <v>40318.22</v>
      </c>
      <c r="Q15" s="13">
        <f t="shared" si="1"/>
        <v>34216.11</v>
      </c>
      <c r="R15" s="13">
        <f t="shared" si="2"/>
        <v>24405.079999999998</v>
      </c>
      <c r="S15" s="14">
        <f t="shared" si="3"/>
        <v>25418.160000000003</v>
      </c>
      <c r="U15" s="3">
        <v>27967.170000000002</v>
      </c>
      <c r="V15" s="13">
        <v>12351.05</v>
      </c>
      <c r="W15" s="13">
        <v>25361.08</v>
      </c>
      <c r="X15" s="14">
        <v>8855.0300000000007</v>
      </c>
      <c r="Y15" s="3">
        <v>17131.099999999999</v>
      </c>
      <c r="Z15" s="13">
        <v>7273.9800000000005</v>
      </c>
      <c r="AA15" s="13">
        <v>19793.050000000003</v>
      </c>
      <c r="AB15" s="14">
        <v>5625.11</v>
      </c>
    </row>
    <row r="16" spans="1:28" x14ac:dyDescent="0.25">
      <c r="A16" s="3">
        <v>14</v>
      </c>
      <c r="B16" s="13">
        <v>78501.33</v>
      </c>
      <c r="C16" s="13">
        <v>36365.560000000005</v>
      </c>
      <c r="D16" s="13">
        <v>77246.73</v>
      </c>
      <c r="E16" s="14">
        <v>27904.3</v>
      </c>
      <c r="G16" s="3">
        <v>52251.33</v>
      </c>
      <c r="H16" s="13">
        <v>25187.570000000003</v>
      </c>
      <c r="I16" s="13">
        <v>47083.469999999994</v>
      </c>
      <c r="J16" s="14">
        <v>18465.810000000001</v>
      </c>
      <c r="K16" s="3">
        <v>26250</v>
      </c>
      <c r="L16" s="13">
        <v>11177.99</v>
      </c>
      <c r="M16" s="13">
        <v>30163.260000000002</v>
      </c>
      <c r="N16" s="14">
        <v>9438.49</v>
      </c>
      <c r="P16" s="3">
        <f t="shared" si="0"/>
        <v>77438.900000000009</v>
      </c>
      <c r="Q16" s="13">
        <f t="shared" si="1"/>
        <v>65549.279999999999</v>
      </c>
      <c r="R16" s="13">
        <f t="shared" si="2"/>
        <v>37427.99</v>
      </c>
      <c r="S16" s="14">
        <f t="shared" si="3"/>
        <v>39601.75</v>
      </c>
      <c r="U16" s="3">
        <v>52251.33</v>
      </c>
      <c r="V16" s="13">
        <v>25187.570000000003</v>
      </c>
      <c r="W16" s="13">
        <v>47083.469999999994</v>
      </c>
      <c r="X16" s="14">
        <v>18465.810000000001</v>
      </c>
      <c r="Y16" s="3">
        <v>26250</v>
      </c>
      <c r="Z16" s="13">
        <v>11177.99</v>
      </c>
      <c r="AA16" s="13">
        <v>30163.260000000002</v>
      </c>
      <c r="AB16" s="14">
        <v>9438.49</v>
      </c>
    </row>
    <row r="17" spans="1:28" x14ac:dyDescent="0.25">
      <c r="A17" s="3">
        <v>15</v>
      </c>
      <c r="B17" s="13">
        <v>76461.569999999992</v>
      </c>
      <c r="C17" s="13">
        <v>36334.620000000003</v>
      </c>
      <c r="D17" s="13">
        <v>77859.649999999994</v>
      </c>
      <c r="E17" s="14">
        <v>28388.169999999995</v>
      </c>
      <c r="G17" s="3">
        <v>42324.94</v>
      </c>
      <c r="H17" s="13">
        <v>18908.72</v>
      </c>
      <c r="I17" s="13">
        <v>40626.67</v>
      </c>
      <c r="J17" s="14">
        <v>13931.92</v>
      </c>
      <c r="K17" s="3">
        <v>34136.629999999997</v>
      </c>
      <c r="L17" s="13">
        <v>17425.899999999998</v>
      </c>
      <c r="M17" s="13">
        <v>37232.979999999996</v>
      </c>
      <c r="N17" s="14">
        <v>14456.25</v>
      </c>
      <c r="P17" s="3">
        <f t="shared" si="0"/>
        <v>61233.66</v>
      </c>
      <c r="Q17" s="13">
        <f t="shared" si="1"/>
        <v>54558.59</v>
      </c>
      <c r="R17" s="13">
        <f t="shared" si="2"/>
        <v>51562.53</v>
      </c>
      <c r="S17" s="14">
        <f t="shared" si="3"/>
        <v>51689.229999999996</v>
      </c>
      <c r="U17" s="3">
        <v>42324.94</v>
      </c>
      <c r="V17" s="13">
        <v>18908.72</v>
      </c>
      <c r="W17" s="13">
        <v>40626.67</v>
      </c>
      <c r="X17" s="14">
        <v>13931.92</v>
      </c>
      <c r="Y17" s="3">
        <v>34136.629999999997</v>
      </c>
      <c r="Z17" s="13">
        <v>17425.899999999998</v>
      </c>
      <c r="AA17" s="13">
        <v>37232.979999999996</v>
      </c>
      <c r="AB17" s="14">
        <v>14456.25</v>
      </c>
    </row>
    <row r="18" spans="1:28" x14ac:dyDescent="0.25">
      <c r="A18" s="3">
        <v>16</v>
      </c>
      <c r="B18" s="13">
        <v>69269.189999999988</v>
      </c>
      <c r="C18" s="13">
        <v>33843.93</v>
      </c>
      <c r="D18" s="13">
        <v>71255.239999999991</v>
      </c>
      <c r="E18" s="14">
        <v>26631.260000000002</v>
      </c>
      <c r="G18" s="3">
        <v>35494.33</v>
      </c>
      <c r="H18" s="13">
        <v>13777.179999999998</v>
      </c>
      <c r="I18" s="13">
        <v>36346.400000000001</v>
      </c>
      <c r="J18" s="14">
        <v>10948.41</v>
      </c>
      <c r="K18" s="3">
        <v>33774.86</v>
      </c>
      <c r="L18" s="13">
        <v>20066.75</v>
      </c>
      <c r="M18" s="13">
        <v>34908.839999999997</v>
      </c>
      <c r="N18" s="14">
        <v>15682.85</v>
      </c>
      <c r="P18" s="3">
        <f t="shared" si="0"/>
        <v>49271.51</v>
      </c>
      <c r="Q18" s="13">
        <f t="shared" si="1"/>
        <v>47294.81</v>
      </c>
      <c r="R18" s="13">
        <f t="shared" si="2"/>
        <v>53841.61</v>
      </c>
      <c r="S18" s="14">
        <f t="shared" si="3"/>
        <v>50591.689999999995</v>
      </c>
      <c r="U18" s="3">
        <v>35494.33</v>
      </c>
      <c r="V18" s="13">
        <v>13777.179999999998</v>
      </c>
      <c r="W18" s="13">
        <v>36346.400000000001</v>
      </c>
      <c r="X18" s="14">
        <v>10948.41</v>
      </c>
      <c r="Y18" s="3">
        <v>33774.86</v>
      </c>
      <c r="Z18" s="13">
        <v>20066.75</v>
      </c>
      <c r="AA18" s="13">
        <v>34908.839999999997</v>
      </c>
      <c r="AB18" s="14">
        <v>15682.85</v>
      </c>
    </row>
    <row r="19" spans="1:28" x14ac:dyDescent="0.25">
      <c r="A19" s="3">
        <v>17</v>
      </c>
      <c r="B19" s="13">
        <v>69648.86</v>
      </c>
      <c r="C19" s="13">
        <v>34299.08</v>
      </c>
      <c r="D19" s="13">
        <v>70672.5</v>
      </c>
      <c r="E19" s="14">
        <v>26754.240000000002</v>
      </c>
      <c r="G19" s="3">
        <v>40052.310000000005</v>
      </c>
      <c r="H19" s="13">
        <v>20046.8</v>
      </c>
      <c r="I19" s="13">
        <v>37213.550000000003</v>
      </c>
      <c r="J19" s="14">
        <v>15400.34</v>
      </c>
      <c r="K19" s="3">
        <v>29596.55</v>
      </c>
      <c r="L19" s="13">
        <v>14252.279999999999</v>
      </c>
      <c r="M19" s="13">
        <v>33458.949999999997</v>
      </c>
      <c r="N19" s="14">
        <v>11353.9</v>
      </c>
      <c r="P19" s="3">
        <f t="shared" si="0"/>
        <v>60099.11</v>
      </c>
      <c r="Q19" s="13">
        <f t="shared" si="1"/>
        <v>52613.89</v>
      </c>
      <c r="R19" s="13">
        <f t="shared" si="2"/>
        <v>43848.83</v>
      </c>
      <c r="S19" s="14">
        <f t="shared" si="3"/>
        <v>44812.85</v>
      </c>
      <c r="U19" s="3">
        <v>40052.310000000005</v>
      </c>
      <c r="V19" s="13">
        <v>20046.8</v>
      </c>
      <c r="W19" s="13">
        <v>37213.550000000003</v>
      </c>
      <c r="X19" s="14">
        <v>15400.34</v>
      </c>
      <c r="Y19" s="3">
        <v>29596.55</v>
      </c>
      <c r="Z19" s="13">
        <v>14252.279999999999</v>
      </c>
      <c r="AA19" s="13">
        <v>33458.949999999997</v>
      </c>
      <c r="AB19" s="14">
        <v>11353.9</v>
      </c>
    </row>
    <row r="20" spans="1:28" x14ac:dyDescent="0.25">
      <c r="A20" s="3">
        <v>18</v>
      </c>
      <c r="B20" s="13">
        <v>52448.299999999996</v>
      </c>
      <c r="C20" s="13">
        <v>22722.489999999998</v>
      </c>
      <c r="D20" s="13">
        <v>52277.180000000015</v>
      </c>
      <c r="E20" s="14">
        <v>17520.530000000002</v>
      </c>
      <c r="G20" s="3">
        <v>34037.51</v>
      </c>
      <c r="H20" s="13">
        <v>12796.62</v>
      </c>
      <c r="I20" s="13">
        <v>32813.1</v>
      </c>
      <c r="J20" s="14">
        <v>9629.27</v>
      </c>
      <c r="K20" s="3">
        <v>18410.79</v>
      </c>
      <c r="L20" s="13">
        <v>9925.869999999999</v>
      </c>
      <c r="M20" s="13">
        <v>19464.080000000002</v>
      </c>
      <c r="N20" s="14">
        <v>7891.26</v>
      </c>
      <c r="P20" s="3">
        <f t="shared" si="0"/>
        <v>46834.130000000005</v>
      </c>
      <c r="Q20" s="13">
        <f t="shared" si="1"/>
        <v>42442.369999999995</v>
      </c>
      <c r="R20" s="13">
        <f t="shared" si="2"/>
        <v>28336.66</v>
      </c>
      <c r="S20" s="14">
        <f t="shared" si="3"/>
        <v>27355.340000000004</v>
      </c>
      <c r="U20" s="3">
        <v>34037.51</v>
      </c>
      <c r="V20" s="13">
        <v>12796.62</v>
      </c>
      <c r="W20" s="13">
        <v>32813.1</v>
      </c>
      <c r="X20" s="14">
        <v>9629.27</v>
      </c>
      <c r="Y20" s="3">
        <v>18410.79</v>
      </c>
      <c r="Z20" s="13">
        <v>9925.869999999999</v>
      </c>
      <c r="AA20" s="13">
        <v>19464.080000000002</v>
      </c>
      <c r="AB20" s="14">
        <v>7891.26</v>
      </c>
    </row>
    <row r="21" spans="1:28" x14ac:dyDescent="0.25">
      <c r="A21" s="3">
        <v>19</v>
      </c>
      <c r="B21" s="13">
        <v>159922.79200000002</v>
      </c>
      <c r="C21" s="13">
        <v>67799.570000000007</v>
      </c>
      <c r="D21" s="13">
        <v>159273.701</v>
      </c>
      <c r="E21" s="14">
        <v>48730.79</v>
      </c>
      <c r="G21" s="3">
        <v>103901.982</v>
      </c>
      <c r="H21" s="13">
        <v>45075.94</v>
      </c>
      <c r="I21" s="13">
        <v>94430.760999999999</v>
      </c>
      <c r="J21" s="14">
        <v>30633.170000000002</v>
      </c>
      <c r="K21" s="3">
        <v>56020.81</v>
      </c>
      <c r="L21" s="13">
        <v>22723.629999999997</v>
      </c>
      <c r="M21" s="13">
        <v>64842.94</v>
      </c>
      <c r="N21" s="14">
        <v>18097.62</v>
      </c>
      <c r="P21" s="3">
        <f t="shared" si="0"/>
        <v>148977.92200000002</v>
      </c>
      <c r="Q21" s="13">
        <f t="shared" si="1"/>
        <v>125063.931</v>
      </c>
      <c r="R21" s="13">
        <f t="shared" si="2"/>
        <v>78744.44</v>
      </c>
      <c r="S21" s="14">
        <f t="shared" si="3"/>
        <v>82940.56</v>
      </c>
      <c r="U21" s="3">
        <v>103901.982</v>
      </c>
      <c r="V21" s="13">
        <v>45075.94</v>
      </c>
      <c r="W21" s="13">
        <v>94430.760999999999</v>
      </c>
      <c r="X21" s="14">
        <v>30633.170000000002</v>
      </c>
      <c r="Y21" s="3">
        <v>56020.81</v>
      </c>
      <c r="Z21" s="13">
        <v>22723.629999999997</v>
      </c>
      <c r="AA21" s="13">
        <v>64842.94</v>
      </c>
      <c r="AB21" s="14">
        <v>18097.62</v>
      </c>
    </row>
    <row r="22" spans="1:28" x14ac:dyDescent="0.25">
      <c r="A22" s="3">
        <v>20</v>
      </c>
      <c r="B22" s="13">
        <v>136783.58999999997</v>
      </c>
      <c r="C22" s="13">
        <v>59530.41</v>
      </c>
      <c r="D22" s="13">
        <v>139054.51</v>
      </c>
      <c r="E22" s="14">
        <v>42780.640000000007</v>
      </c>
      <c r="G22" s="3">
        <v>77987.420000000013</v>
      </c>
      <c r="H22" s="13">
        <v>38402.699999999997</v>
      </c>
      <c r="I22" s="13">
        <v>65834.929999999993</v>
      </c>
      <c r="J22" s="14">
        <v>26011.29</v>
      </c>
      <c r="K22" s="3">
        <v>58796.17</v>
      </c>
      <c r="L22" s="13">
        <v>21127.71</v>
      </c>
      <c r="M22" s="13">
        <v>73219.58</v>
      </c>
      <c r="N22" s="14">
        <v>16769.349999999999</v>
      </c>
      <c r="P22" s="3">
        <f t="shared" si="0"/>
        <v>116390.12000000001</v>
      </c>
      <c r="Q22" s="13">
        <f t="shared" si="1"/>
        <v>91846.22</v>
      </c>
      <c r="R22" s="13">
        <f t="shared" si="2"/>
        <v>79923.88</v>
      </c>
      <c r="S22" s="14">
        <f t="shared" si="3"/>
        <v>89988.93</v>
      </c>
      <c r="U22" s="3">
        <v>77987.420000000013</v>
      </c>
      <c r="V22" s="13">
        <v>38402.699999999997</v>
      </c>
      <c r="W22" s="13">
        <v>65834.929999999993</v>
      </c>
      <c r="X22" s="14">
        <v>26011.29</v>
      </c>
      <c r="Y22" s="3">
        <v>58796.17</v>
      </c>
      <c r="Z22" s="13">
        <v>21127.71</v>
      </c>
      <c r="AA22" s="13">
        <v>73219.58</v>
      </c>
      <c r="AB22" s="14">
        <v>16769.349999999999</v>
      </c>
    </row>
    <row r="23" spans="1:28" x14ac:dyDescent="0.25">
      <c r="A23" s="3">
        <v>21</v>
      </c>
      <c r="B23" s="13">
        <v>120791.22</v>
      </c>
      <c r="C23" s="13">
        <v>53147.26</v>
      </c>
      <c r="D23" s="13">
        <v>122485.988</v>
      </c>
      <c r="E23" s="14">
        <v>38650.060000000005</v>
      </c>
      <c r="G23" s="3">
        <v>65075.94000000001</v>
      </c>
      <c r="H23" s="13">
        <v>31890.84</v>
      </c>
      <c r="I23" s="13">
        <v>58542.388999999996</v>
      </c>
      <c r="J23" s="14">
        <v>22480.42</v>
      </c>
      <c r="K23" s="3">
        <v>55715.28</v>
      </c>
      <c r="L23" s="13">
        <v>21256.420000000002</v>
      </c>
      <c r="M23" s="13">
        <v>63943.599000000002</v>
      </c>
      <c r="N23" s="14">
        <v>16169.64</v>
      </c>
      <c r="P23" s="3">
        <f t="shared" si="0"/>
        <v>96966.780000000013</v>
      </c>
      <c r="Q23" s="13">
        <f t="shared" si="1"/>
        <v>81022.808999999994</v>
      </c>
      <c r="R23" s="13">
        <f t="shared" si="2"/>
        <v>76971.7</v>
      </c>
      <c r="S23" s="14">
        <f t="shared" si="3"/>
        <v>80113.239000000001</v>
      </c>
      <c r="U23" s="3">
        <v>65075.94000000001</v>
      </c>
      <c r="V23" s="13">
        <v>31890.84</v>
      </c>
      <c r="W23" s="13">
        <v>58542.388999999996</v>
      </c>
      <c r="X23" s="14">
        <v>22480.42</v>
      </c>
      <c r="Y23" s="3">
        <v>55715.28</v>
      </c>
      <c r="Z23" s="13">
        <v>21256.420000000002</v>
      </c>
      <c r="AA23" s="13">
        <v>63943.599000000002</v>
      </c>
      <c r="AB23" s="14">
        <v>16169.64</v>
      </c>
    </row>
    <row r="24" spans="1:28" x14ac:dyDescent="0.25">
      <c r="A24" s="3">
        <v>22</v>
      </c>
      <c r="B24" s="13">
        <v>92257.87</v>
      </c>
      <c r="C24" s="13">
        <v>44976.140000000007</v>
      </c>
      <c r="D24" s="13">
        <v>94878</v>
      </c>
      <c r="E24" s="14">
        <v>34020.050000000003</v>
      </c>
      <c r="G24" s="3">
        <v>49506.18</v>
      </c>
      <c r="H24" s="13">
        <v>24760.1</v>
      </c>
      <c r="I24" s="13">
        <v>54821.409999999996</v>
      </c>
      <c r="J24" s="14">
        <v>19237.939999999999</v>
      </c>
      <c r="K24" s="3">
        <v>42751.69</v>
      </c>
      <c r="L24" s="13">
        <v>20216.04</v>
      </c>
      <c r="M24" s="13">
        <v>40056.589999999997</v>
      </c>
      <c r="N24" s="14">
        <v>14782.11</v>
      </c>
      <c r="P24" s="3">
        <f t="shared" si="0"/>
        <v>74266.28</v>
      </c>
      <c r="Q24" s="13">
        <f t="shared" si="1"/>
        <v>74059.349999999991</v>
      </c>
      <c r="R24" s="13">
        <f t="shared" si="2"/>
        <v>62967.73</v>
      </c>
      <c r="S24" s="14">
        <f t="shared" si="3"/>
        <v>54838.7</v>
      </c>
      <c r="U24" s="3">
        <v>49506.18</v>
      </c>
      <c r="V24" s="13">
        <v>24760.1</v>
      </c>
      <c r="W24" s="13">
        <v>54821.409999999996</v>
      </c>
      <c r="X24" s="14">
        <v>19237.939999999999</v>
      </c>
      <c r="Y24" s="3">
        <v>42751.69</v>
      </c>
      <c r="Z24" s="13">
        <v>20216.04</v>
      </c>
      <c r="AA24" s="13">
        <v>40056.589999999997</v>
      </c>
      <c r="AB24" s="14">
        <v>14782.11</v>
      </c>
    </row>
    <row r="25" spans="1:28" x14ac:dyDescent="0.25">
      <c r="A25" s="15">
        <v>23</v>
      </c>
      <c r="B25" s="16">
        <v>44154.819999999992</v>
      </c>
      <c r="C25" s="16">
        <v>25094.74</v>
      </c>
      <c r="D25" s="16">
        <v>46143.54</v>
      </c>
      <c r="E25" s="17">
        <v>19466.900000000001</v>
      </c>
      <c r="G25" s="15">
        <v>24286.79</v>
      </c>
      <c r="H25" s="16">
        <v>15086.32</v>
      </c>
      <c r="I25" s="16">
        <v>24654.739999999998</v>
      </c>
      <c r="J25" s="17">
        <v>11732.140000000001</v>
      </c>
      <c r="K25" s="15">
        <v>19868.03</v>
      </c>
      <c r="L25" s="16">
        <v>10008.42</v>
      </c>
      <c r="M25" s="16">
        <v>21488.800000000003</v>
      </c>
      <c r="N25" s="17">
        <v>7734.76</v>
      </c>
      <c r="P25" s="3">
        <f t="shared" si="0"/>
        <v>39373.11</v>
      </c>
      <c r="Q25" s="13">
        <f t="shared" si="1"/>
        <v>36386.879999999997</v>
      </c>
      <c r="R25" s="13">
        <f t="shared" si="2"/>
        <v>29876.449999999997</v>
      </c>
      <c r="S25" s="14">
        <f t="shared" si="3"/>
        <v>29223.560000000005</v>
      </c>
      <c r="U25" s="15">
        <v>24286.79</v>
      </c>
      <c r="V25" s="16">
        <v>15086.32</v>
      </c>
      <c r="W25" s="16">
        <v>24654.739999999998</v>
      </c>
      <c r="X25" s="17">
        <v>11732.140000000001</v>
      </c>
      <c r="Y25" s="15">
        <v>19868.03</v>
      </c>
      <c r="Z25" s="16">
        <v>10008.42</v>
      </c>
      <c r="AA25" s="16">
        <v>21488.800000000003</v>
      </c>
      <c r="AB25" s="17">
        <v>7734.76</v>
      </c>
    </row>
    <row r="26" spans="1:28" x14ac:dyDescent="0.25">
      <c r="A26" s="21">
        <v>0</v>
      </c>
      <c r="B26" s="22">
        <v>17988.929999999997</v>
      </c>
      <c r="C26" s="22">
        <v>11654.079999999998</v>
      </c>
      <c r="D26" s="22">
        <v>19421.239999999998</v>
      </c>
      <c r="E26" s="23">
        <v>9189.7200000000012</v>
      </c>
      <c r="G26" s="21">
        <v>12113.88</v>
      </c>
      <c r="H26" s="22">
        <v>6926.89</v>
      </c>
      <c r="I26" s="22">
        <v>12587.22</v>
      </c>
      <c r="J26" s="23">
        <v>5603.48</v>
      </c>
      <c r="K26" s="21">
        <v>5875.05</v>
      </c>
      <c r="L26" s="22">
        <v>4727.1899999999996</v>
      </c>
      <c r="M26" s="22">
        <v>6834.02</v>
      </c>
      <c r="N26" s="23">
        <v>3586.2400000000002</v>
      </c>
      <c r="P26" s="21">
        <f t="shared" si="0"/>
        <v>20815.02</v>
      </c>
      <c r="Q26" s="22">
        <f t="shared" si="1"/>
        <v>20292.57</v>
      </c>
      <c r="R26" s="22">
        <f t="shared" si="2"/>
        <v>13398.85</v>
      </c>
      <c r="S26" s="23">
        <f t="shared" si="3"/>
        <v>13298.61</v>
      </c>
      <c r="U26" s="21">
        <v>12977.199999999999</v>
      </c>
      <c r="V26" s="22">
        <v>7837.8200000000015</v>
      </c>
      <c r="W26" s="22">
        <v>13559.669999999998</v>
      </c>
      <c r="X26" s="22">
        <v>6732.9</v>
      </c>
      <c r="Y26" s="21">
        <v>8754.25</v>
      </c>
      <c r="Z26" s="22">
        <v>4644.6000000000004</v>
      </c>
      <c r="AA26" s="22">
        <v>9435.93</v>
      </c>
      <c r="AB26" s="23">
        <v>3862.6800000000003</v>
      </c>
    </row>
    <row r="27" spans="1:28" x14ac:dyDescent="0.25">
      <c r="A27" s="3">
        <v>1</v>
      </c>
      <c r="B27" s="13">
        <v>8079.33</v>
      </c>
      <c r="C27" s="13">
        <v>5407.5</v>
      </c>
      <c r="D27" s="13">
        <v>8848.64</v>
      </c>
      <c r="E27" s="14">
        <v>4193.8600000000006</v>
      </c>
      <c r="G27" s="3">
        <v>5775.29</v>
      </c>
      <c r="H27" s="13">
        <v>4056.9700000000003</v>
      </c>
      <c r="I27" s="13">
        <v>5961.92</v>
      </c>
      <c r="J27" s="14">
        <v>3123.3200000000006</v>
      </c>
      <c r="K27" s="3">
        <v>2304.04</v>
      </c>
      <c r="L27" s="13">
        <v>1350.53</v>
      </c>
      <c r="M27" s="13">
        <v>2886.72</v>
      </c>
      <c r="N27" s="14">
        <v>1070.54</v>
      </c>
      <c r="P27" s="3">
        <f t="shared" si="0"/>
        <v>10136.050000000001</v>
      </c>
      <c r="Q27" s="13">
        <f t="shared" si="1"/>
        <v>9956.81</v>
      </c>
      <c r="R27" s="13">
        <f t="shared" si="2"/>
        <v>6467.4600000000009</v>
      </c>
      <c r="S27" s="14">
        <f t="shared" si="3"/>
        <v>6284.68</v>
      </c>
      <c r="U27" s="3">
        <v>6309.85</v>
      </c>
      <c r="V27" s="13">
        <v>3826.2000000000007</v>
      </c>
      <c r="W27" s="13">
        <v>6726.18</v>
      </c>
      <c r="X27" s="13">
        <v>3230.6299999999997</v>
      </c>
      <c r="Y27" s="3">
        <v>3981.6200000000008</v>
      </c>
      <c r="Z27" s="13">
        <v>2485.8399999999997</v>
      </c>
      <c r="AA27" s="13">
        <v>4259.8999999999996</v>
      </c>
      <c r="AB27" s="14">
        <v>2024.7800000000002</v>
      </c>
    </row>
    <row r="28" spans="1:28" x14ac:dyDescent="0.25">
      <c r="A28" s="3">
        <v>2</v>
      </c>
      <c r="B28" s="13">
        <v>6009.13</v>
      </c>
      <c r="C28" s="13">
        <v>3312.32</v>
      </c>
      <c r="D28" s="13">
        <v>6523.119999999999</v>
      </c>
      <c r="E28" s="14">
        <v>2500.9799999999996</v>
      </c>
      <c r="G28" s="3">
        <v>3474.9399999999996</v>
      </c>
      <c r="H28" s="13">
        <v>1922.94</v>
      </c>
      <c r="I28" s="13">
        <v>3600.7300000000005</v>
      </c>
      <c r="J28" s="14">
        <v>1448.71</v>
      </c>
      <c r="K28" s="3">
        <v>2534.19</v>
      </c>
      <c r="L28" s="13">
        <v>1389.38</v>
      </c>
      <c r="M28" s="13">
        <v>2922.3900000000003</v>
      </c>
      <c r="N28" s="14">
        <v>1052.27</v>
      </c>
      <c r="P28" s="3">
        <f t="shared" si="0"/>
        <v>5838.24</v>
      </c>
      <c r="Q28" s="13">
        <f t="shared" si="1"/>
        <v>5901.42</v>
      </c>
      <c r="R28" s="13">
        <f t="shared" si="2"/>
        <v>6098.79</v>
      </c>
      <c r="S28" s="14">
        <f t="shared" si="3"/>
        <v>5750.4</v>
      </c>
      <c r="U28" s="3">
        <v>3684.96</v>
      </c>
      <c r="V28" s="13">
        <v>2153.2799999999997</v>
      </c>
      <c r="W28" s="13">
        <v>4078.75</v>
      </c>
      <c r="X28" s="13">
        <v>1822.6699999999998</v>
      </c>
      <c r="Y28" s="3">
        <v>4232.79</v>
      </c>
      <c r="Z28" s="13">
        <v>1866</v>
      </c>
      <c r="AA28" s="13">
        <v>4213.55</v>
      </c>
      <c r="AB28" s="14">
        <v>1536.85</v>
      </c>
    </row>
    <row r="29" spans="1:28" x14ac:dyDescent="0.25">
      <c r="A29" s="3">
        <v>3</v>
      </c>
      <c r="B29" s="13">
        <v>17685.079999999998</v>
      </c>
      <c r="C29" s="13">
        <v>7358.1799999999994</v>
      </c>
      <c r="D29" s="13">
        <v>17766.329999999998</v>
      </c>
      <c r="E29" s="14">
        <v>5064.6400000000003</v>
      </c>
      <c r="G29" s="3">
        <v>8200.42</v>
      </c>
      <c r="H29" s="13">
        <v>3565.63</v>
      </c>
      <c r="I29" s="13">
        <v>8615.35</v>
      </c>
      <c r="J29" s="14">
        <v>2608.4700000000003</v>
      </c>
      <c r="K29" s="3">
        <v>9484.6600000000017</v>
      </c>
      <c r="L29" s="13">
        <v>3792.5499999999997</v>
      </c>
      <c r="M29" s="13">
        <v>9150.98</v>
      </c>
      <c r="N29" s="14">
        <v>2456.17</v>
      </c>
      <c r="P29" s="3">
        <f t="shared" si="0"/>
        <v>13703.760000000002</v>
      </c>
      <c r="Q29" s="13">
        <f t="shared" si="1"/>
        <v>14463.060000000001</v>
      </c>
      <c r="R29" s="13">
        <f t="shared" si="2"/>
        <v>13737.79</v>
      </c>
      <c r="S29" s="14">
        <f t="shared" si="3"/>
        <v>11063.98</v>
      </c>
      <c r="U29" s="3">
        <v>10758.100000000002</v>
      </c>
      <c r="V29" s="13">
        <v>2945.66</v>
      </c>
      <c r="W29" s="13">
        <v>11968.160000000002</v>
      </c>
      <c r="X29" s="13">
        <v>2494.8999999999996</v>
      </c>
      <c r="Y29" s="3">
        <v>9346.3000000000011</v>
      </c>
      <c r="Z29" s="13">
        <v>4391.49</v>
      </c>
      <c r="AA29" s="13">
        <v>7782.83</v>
      </c>
      <c r="AB29" s="14">
        <v>3281.15</v>
      </c>
    </row>
    <row r="30" spans="1:28" x14ac:dyDescent="0.25">
      <c r="A30" s="3">
        <v>4</v>
      </c>
      <c r="B30" s="13">
        <v>11974.939999999999</v>
      </c>
      <c r="C30" s="13">
        <v>6106.5000000000009</v>
      </c>
      <c r="D30" s="13">
        <v>12849.25</v>
      </c>
      <c r="E30" s="14">
        <v>4082.65</v>
      </c>
      <c r="G30" s="3">
        <v>6494.2599999999993</v>
      </c>
      <c r="H30" s="13">
        <v>3554.3</v>
      </c>
      <c r="I30" s="13">
        <v>6870.67</v>
      </c>
      <c r="J30" s="14">
        <v>2271.96</v>
      </c>
      <c r="K30" s="3">
        <v>5480.68</v>
      </c>
      <c r="L30" s="13">
        <v>2552.1999999999998</v>
      </c>
      <c r="M30" s="13">
        <v>5978.58</v>
      </c>
      <c r="N30" s="14">
        <v>1810.6899999999996</v>
      </c>
      <c r="P30" s="3">
        <f t="shared" si="0"/>
        <v>10355.200000000001</v>
      </c>
      <c r="Q30" s="13">
        <f t="shared" si="1"/>
        <v>10100.67</v>
      </c>
      <c r="R30" s="13">
        <f t="shared" si="2"/>
        <v>7899.8600000000006</v>
      </c>
      <c r="S30" s="14">
        <f t="shared" si="3"/>
        <v>7249.2199999999993</v>
      </c>
      <c r="U30" s="3">
        <v>7609.5400000000009</v>
      </c>
      <c r="V30" s="13">
        <v>2745.6600000000003</v>
      </c>
      <c r="W30" s="13">
        <v>7970.67</v>
      </c>
      <c r="X30" s="13">
        <v>2130</v>
      </c>
      <c r="Y30" s="3">
        <v>4923.2700000000004</v>
      </c>
      <c r="Z30" s="13">
        <v>2976.5899999999997</v>
      </c>
      <c r="AA30" s="13">
        <v>5106.57</v>
      </c>
      <c r="AB30" s="14">
        <v>2142.65</v>
      </c>
    </row>
    <row r="31" spans="1:28" x14ac:dyDescent="0.25">
      <c r="A31" s="3">
        <v>5</v>
      </c>
      <c r="B31" s="13">
        <v>7091.41</v>
      </c>
      <c r="C31" s="13">
        <v>2482.17</v>
      </c>
      <c r="D31" s="13">
        <v>7281.9000000000005</v>
      </c>
      <c r="E31" s="14">
        <v>1878.5099999999998</v>
      </c>
      <c r="G31" s="3">
        <v>3317.71</v>
      </c>
      <c r="H31" s="13">
        <v>1271.22</v>
      </c>
      <c r="I31" s="13">
        <v>3627.81</v>
      </c>
      <c r="J31" s="14">
        <v>1014.6200000000001</v>
      </c>
      <c r="K31" s="3">
        <v>3773.7</v>
      </c>
      <c r="L31" s="13">
        <v>1210.95</v>
      </c>
      <c r="M31" s="13">
        <v>3654.09</v>
      </c>
      <c r="N31" s="14">
        <v>863.8900000000001</v>
      </c>
      <c r="P31" s="3">
        <f t="shared" si="0"/>
        <v>5604.16</v>
      </c>
      <c r="Q31" s="13">
        <f t="shared" si="1"/>
        <v>5194.95</v>
      </c>
      <c r="R31" s="13">
        <f t="shared" si="2"/>
        <v>4581.3899999999994</v>
      </c>
      <c r="S31" s="14">
        <f t="shared" si="3"/>
        <v>4788.0600000000004</v>
      </c>
      <c r="U31" s="3">
        <v>4098.2</v>
      </c>
      <c r="V31" s="13">
        <v>1505.96</v>
      </c>
      <c r="W31" s="13">
        <v>3976.7799999999997</v>
      </c>
      <c r="X31" s="13">
        <v>1218.17</v>
      </c>
      <c r="Y31" s="3">
        <v>3490.3999999999996</v>
      </c>
      <c r="Z31" s="13">
        <v>1090.99</v>
      </c>
      <c r="AA31" s="13">
        <v>3896.9100000000003</v>
      </c>
      <c r="AB31" s="14">
        <v>891.14999999999986</v>
      </c>
    </row>
    <row r="32" spans="1:28" x14ac:dyDescent="0.25">
      <c r="A32" s="3">
        <v>6</v>
      </c>
      <c r="B32" s="13">
        <v>18436.37</v>
      </c>
      <c r="C32" s="13">
        <v>5140.03</v>
      </c>
      <c r="D32" s="13">
        <v>17904.579999999998</v>
      </c>
      <c r="E32" s="14">
        <v>3822.5000000000009</v>
      </c>
      <c r="G32" s="3">
        <v>10830.880000000001</v>
      </c>
      <c r="H32" s="13">
        <v>3395.58</v>
      </c>
      <c r="I32" s="13">
        <v>10114.75</v>
      </c>
      <c r="J32" s="14">
        <v>2472.6099999999997</v>
      </c>
      <c r="K32" s="3">
        <v>7605.4900000000007</v>
      </c>
      <c r="L32" s="13">
        <v>1744.4499999999998</v>
      </c>
      <c r="M32" s="13">
        <v>7789.829999999999</v>
      </c>
      <c r="N32" s="14">
        <v>1349.89</v>
      </c>
      <c r="P32" s="3">
        <f t="shared" si="0"/>
        <v>16214.95</v>
      </c>
      <c r="Q32" s="13">
        <f t="shared" si="1"/>
        <v>15135.9</v>
      </c>
      <c r="R32" s="13">
        <f t="shared" si="2"/>
        <v>8465.9600000000009</v>
      </c>
      <c r="S32" s="14">
        <f t="shared" si="3"/>
        <v>8176.01</v>
      </c>
      <c r="U32" s="3">
        <v>13061.59</v>
      </c>
      <c r="V32" s="13">
        <v>3153.36</v>
      </c>
      <c r="W32" s="13">
        <v>12633.08</v>
      </c>
      <c r="X32" s="13">
        <v>2502.8200000000002</v>
      </c>
      <c r="Y32" s="3">
        <v>6661.2400000000007</v>
      </c>
      <c r="Z32" s="13">
        <v>1804.7200000000003</v>
      </c>
      <c r="AA32" s="13">
        <v>6759.5300000000007</v>
      </c>
      <c r="AB32" s="14">
        <v>1416.48</v>
      </c>
    </row>
    <row r="33" spans="1:28" x14ac:dyDescent="0.25">
      <c r="A33" s="3">
        <v>7</v>
      </c>
      <c r="B33" s="13">
        <v>33852.76</v>
      </c>
      <c r="C33" s="13">
        <v>10021.949999999999</v>
      </c>
      <c r="D33" s="13">
        <v>32992.210000000006</v>
      </c>
      <c r="E33" s="14">
        <v>7387.6900000000005</v>
      </c>
      <c r="G33" s="3">
        <v>19986.2</v>
      </c>
      <c r="H33" s="13">
        <v>6062.81</v>
      </c>
      <c r="I33" s="13">
        <v>18398.32</v>
      </c>
      <c r="J33" s="14">
        <v>4380.74</v>
      </c>
      <c r="K33" s="3">
        <v>13866.560000000001</v>
      </c>
      <c r="L33" s="13">
        <v>3959.14</v>
      </c>
      <c r="M33" s="13">
        <v>14593.89</v>
      </c>
      <c r="N33" s="14">
        <v>3006.95</v>
      </c>
      <c r="P33" s="3">
        <f t="shared" si="0"/>
        <v>31983.450000000004</v>
      </c>
      <c r="Q33" s="13">
        <f t="shared" si="1"/>
        <v>31948.270000000004</v>
      </c>
      <c r="R33" s="13">
        <f t="shared" si="2"/>
        <v>18731.099999999999</v>
      </c>
      <c r="S33" s="14">
        <f t="shared" si="3"/>
        <v>16310.380000000001</v>
      </c>
      <c r="U33" s="3">
        <v>24931.760000000002</v>
      </c>
      <c r="V33" s="13">
        <v>7051.6900000000005</v>
      </c>
      <c r="W33" s="13">
        <v>26335.710000000003</v>
      </c>
      <c r="X33" s="13">
        <v>5612.5599999999995</v>
      </c>
      <c r="Y33" s="3">
        <v>15099.46</v>
      </c>
      <c r="Z33" s="13">
        <v>3631.6399999999994</v>
      </c>
      <c r="AA33" s="13">
        <v>13544.36</v>
      </c>
      <c r="AB33" s="14">
        <v>2766.02</v>
      </c>
    </row>
    <row r="34" spans="1:28" x14ac:dyDescent="0.25">
      <c r="A34" s="3">
        <v>8</v>
      </c>
      <c r="B34" s="13">
        <v>52463.22</v>
      </c>
      <c r="C34" s="13">
        <v>17988.509999999998</v>
      </c>
      <c r="D34" s="13">
        <v>52198.659999999996</v>
      </c>
      <c r="E34" s="14">
        <v>13513.75</v>
      </c>
      <c r="G34" s="3">
        <v>26854.679999999997</v>
      </c>
      <c r="H34" s="13">
        <v>9546.119999999999</v>
      </c>
      <c r="I34" s="13">
        <v>26188.059999999998</v>
      </c>
      <c r="J34" s="14">
        <v>6914.2</v>
      </c>
      <c r="K34" s="3">
        <v>25608.54</v>
      </c>
      <c r="L34" s="13">
        <v>8442.39</v>
      </c>
      <c r="M34" s="13">
        <v>26010.600000000002</v>
      </c>
      <c r="N34" s="14">
        <v>6599.55</v>
      </c>
      <c r="P34" s="3">
        <f t="shared" si="0"/>
        <v>46341.610000000008</v>
      </c>
      <c r="Q34" s="13">
        <f t="shared" si="1"/>
        <v>43441.919999999991</v>
      </c>
      <c r="R34" s="13">
        <f t="shared" si="2"/>
        <v>35985.699999999997</v>
      </c>
      <c r="S34" s="14">
        <f t="shared" si="3"/>
        <v>34565.21</v>
      </c>
      <c r="U34" s="3">
        <v>36302.710000000006</v>
      </c>
      <c r="V34" s="13">
        <v>10038.9</v>
      </c>
      <c r="W34" s="13">
        <v>35593.149999999994</v>
      </c>
      <c r="X34" s="13">
        <v>7848.7699999999986</v>
      </c>
      <c r="Y34" s="3">
        <v>26714.98</v>
      </c>
      <c r="Z34" s="13">
        <v>9270.7199999999993</v>
      </c>
      <c r="AA34" s="13">
        <v>27126.6</v>
      </c>
      <c r="AB34" s="14">
        <v>7438.6100000000006</v>
      </c>
    </row>
    <row r="35" spans="1:28" x14ac:dyDescent="0.25">
      <c r="A35" s="3">
        <v>9</v>
      </c>
      <c r="B35" s="13">
        <v>69874.509999999995</v>
      </c>
      <c r="C35" s="13">
        <v>27935.96</v>
      </c>
      <c r="D35" s="13">
        <v>70274.26999999999</v>
      </c>
      <c r="E35" s="14">
        <v>21619.78</v>
      </c>
      <c r="G35" s="3">
        <v>36417.370000000003</v>
      </c>
      <c r="H35" s="13">
        <v>13066.449999999999</v>
      </c>
      <c r="I35" s="13">
        <v>39011.1</v>
      </c>
      <c r="J35" s="14">
        <v>10237.24</v>
      </c>
      <c r="K35" s="3">
        <v>33457.14</v>
      </c>
      <c r="L35" s="13">
        <v>14869.51</v>
      </c>
      <c r="M35" s="13">
        <v>31263.170000000002</v>
      </c>
      <c r="N35" s="14">
        <v>11382.54</v>
      </c>
      <c r="P35" s="3">
        <f t="shared" si="0"/>
        <v>53869.850000000006</v>
      </c>
      <c r="Q35" s="13">
        <f t="shared" si="1"/>
        <v>54010.889999999992</v>
      </c>
      <c r="R35" s="13">
        <f t="shared" si="2"/>
        <v>57859.12</v>
      </c>
      <c r="S35" s="14">
        <f t="shared" si="3"/>
        <v>52576.399999999994</v>
      </c>
      <c r="U35" s="3">
        <v>39974.230000000003</v>
      </c>
      <c r="V35" s="13">
        <v>13895.619999999999</v>
      </c>
      <c r="W35" s="13">
        <v>42497.639999999992</v>
      </c>
      <c r="X35" s="13">
        <v>11513.25</v>
      </c>
      <c r="Y35" s="3">
        <v>42375.61</v>
      </c>
      <c r="Z35" s="13">
        <v>15483.510000000002</v>
      </c>
      <c r="AA35" s="13">
        <v>40593.599999999991</v>
      </c>
      <c r="AB35" s="14">
        <v>11982.800000000001</v>
      </c>
    </row>
    <row r="36" spans="1:28" x14ac:dyDescent="0.25">
      <c r="A36" s="3">
        <v>10</v>
      </c>
      <c r="B36" s="13">
        <v>80195.099999999991</v>
      </c>
      <c r="C36" s="13">
        <v>36822.409999999996</v>
      </c>
      <c r="D36" s="13">
        <v>82307.400000000009</v>
      </c>
      <c r="E36" s="14">
        <v>29373.420000000002</v>
      </c>
      <c r="G36" s="3">
        <v>39098.07</v>
      </c>
      <c r="H36" s="13">
        <v>19333.16</v>
      </c>
      <c r="I36" s="13">
        <v>41335.17</v>
      </c>
      <c r="J36" s="14">
        <v>15891</v>
      </c>
      <c r="K36" s="3">
        <v>41097.03</v>
      </c>
      <c r="L36" s="13">
        <v>17489.25</v>
      </c>
      <c r="M36" s="13">
        <v>40972.230000000003</v>
      </c>
      <c r="N36" s="14">
        <v>13482.419999999998</v>
      </c>
      <c r="P36" s="3">
        <f t="shared" si="0"/>
        <v>79791.849999999991</v>
      </c>
      <c r="Q36" s="13">
        <f t="shared" si="1"/>
        <v>74152.11</v>
      </c>
      <c r="R36" s="13">
        <f t="shared" si="2"/>
        <v>48814.64</v>
      </c>
      <c r="S36" s="14">
        <f t="shared" si="3"/>
        <v>49389.53</v>
      </c>
      <c r="U36" s="3">
        <v>57930.419999999991</v>
      </c>
      <c r="V36" s="13">
        <v>21861.43</v>
      </c>
      <c r="W36" s="13">
        <v>55962.94</v>
      </c>
      <c r="X36" s="13">
        <v>18189.170000000002</v>
      </c>
      <c r="Y36" s="3">
        <v>33985.050000000003</v>
      </c>
      <c r="Z36" s="13">
        <v>14829.59</v>
      </c>
      <c r="AA36" s="13">
        <v>37461.07</v>
      </c>
      <c r="AB36" s="14">
        <v>11928.46</v>
      </c>
    </row>
    <row r="37" spans="1:28" x14ac:dyDescent="0.25">
      <c r="A37" s="3">
        <v>11</v>
      </c>
      <c r="B37" s="13">
        <v>82191.91</v>
      </c>
      <c r="C37" s="13">
        <v>40081.730000000003</v>
      </c>
      <c r="D37" s="13">
        <v>84309.510000000009</v>
      </c>
      <c r="E37" s="14">
        <v>32735.560000000005</v>
      </c>
      <c r="G37" s="3">
        <v>47105.69</v>
      </c>
      <c r="H37" s="13">
        <v>22869.940000000002</v>
      </c>
      <c r="I37" s="13">
        <v>50041.4</v>
      </c>
      <c r="J37" s="14">
        <v>19264.940000000002</v>
      </c>
      <c r="K37" s="3">
        <v>35086.22</v>
      </c>
      <c r="L37" s="13">
        <v>17211.79</v>
      </c>
      <c r="M37" s="13">
        <v>34268.11</v>
      </c>
      <c r="N37" s="14">
        <v>13470.62</v>
      </c>
      <c r="P37" s="3">
        <f t="shared" si="0"/>
        <v>77795.539999999994</v>
      </c>
      <c r="Q37" s="13">
        <f t="shared" si="1"/>
        <v>68931.03</v>
      </c>
      <c r="R37" s="13">
        <f t="shared" si="2"/>
        <v>53197.59</v>
      </c>
      <c r="S37" s="14">
        <f t="shared" si="3"/>
        <v>56891.06</v>
      </c>
      <c r="U37" s="3">
        <v>52324.06</v>
      </c>
      <c r="V37" s="13">
        <v>25471.48</v>
      </c>
      <c r="W37" s="13">
        <v>48759.61</v>
      </c>
      <c r="X37" s="13">
        <v>20171.420000000002</v>
      </c>
      <c r="Y37" s="3">
        <v>39380.089999999997</v>
      </c>
      <c r="Z37" s="13">
        <v>13817.500000000002</v>
      </c>
      <c r="AA37" s="13">
        <v>44483.06</v>
      </c>
      <c r="AB37" s="14">
        <v>12408</v>
      </c>
    </row>
    <row r="38" spans="1:28" x14ac:dyDescent="0.25">
      <c r="A38" s="3">
        <v>12</v>
      </c>
      <c r="B38" s="13">
        <v>76750.25</v>
      </c>
      <c r="C38" s="13">
        <v>38614.350000000006</v>
      </c>
      <c r="D38" s="13">
        <v>78622.75</v>
      </c>
      <c r="E38" s="14">
        <v>31596.789999999997</v>
      </c>
      <c r="G38" s="3">
        <v>45335.209999999992</v>
      </c>
      <c r="H38" s="13">
        <v>26090.44</v>
      </c>
      <c r="I38" s="13">
        <v>42316.39</v>
      </c>
      <c r="J38" s="14">
        <v>20683.159999999996</v>
      </c>
      <c r="K38" s="3">
        <v>31415.040000000001</v>
      </c>
      <c r="L38" s="13">
        <v>12523.91</v>
      </c>
      <c r="M38" s="13">
        <v>36306.36</v>
      </c>
      <c r="N38" s="14">
        <v>10913.630000000001</v>
      </c>
      <c r="P38" s="3">
        <f t="shared" si="0"/>
        <v>67316.950000000012</v>
      </c>
      <c r="Q38" s="13">
        <f t="shared" si="1"/>
        <v>64532.250000000007</v>
      </c>
      <c r="R38" s="13">
        <f t="shared" si="2"/>
        <v>53296.94</v>
      </c>
      <c r="S38" s="14">
        <f t="shared" si="3"/>
        <v>51131.759999999995</v>
      </c>
      <c r="U38" s="3">
        <v>44061.000000000007</v>
      </c>
      <c r="V38" s="13">
        <v>23255.949999999997</v>
      </c>
      <c r="W38" s="13">
        <v>45036.110000000008</v>
      </c>
      <c r="X38" s="13">
        <v>19496.14</v>
      </c>
      <c r="Y38" s="3">
        <v>39474.85</v>
      </c>
      <c r="Z38" s="13">
        <v>13822.09</v>
      </c>
      <c r="AA38" s="13">
        <v>39797.289999999994</v>
      </c>
      <c r="AB38" s="14">
        <v>11334.470000000001</v>
      </c>
    </row>
    <row r="39" spans="1:28" x14ac:dyDescent="0.25">
      <c r="A39" s="3">
        <v>13</v>
      </c>
      <c r="B39" s="13">
        <v>68623.94</v>
      </c>
      <c r="C39" s="13">
        <v>34021.799999999996</v>
      </c>
      <c r="D39" s="13">
        <v>69447.91</v>
      </c>
      <c r="E39" s="14">
        <v>27333.049999999996</v>
      </c>
      <c r="G39" s="3">
        <v>44837.490000000005</v>
      </c>
      <c r="H39" s="13">
        <v>23450.659999999996</v>
      </c>
      <c r="I39" s="13">
        <v>41128.949999999997</v>
      </c>
      <c r="J39" s="14">
        <v>18444.84</v>
      </c>
      <c r="K39" s="3">
        <v>23786.45</v>
      </c>
      <c r="L39" s="13">
        <v>10571.140000000001</v>
      </c>
      <c r="M39" s="13">
        <v>28318.959999999999</v>
      </c>
      <c r="N39" s="14">
        <v>8888.2099999999991</v>
      </c>
      <c r="P39" s="3">
        <f t="shared" si="0"/>
        <v>49690.130000000005</v>
      </c>
      <c r="Q39" s="13">
        <f t="shared" si="1"/>
        <v>46496.319999999992</v>
      </c>
      <c r="R39" s="13">
        <f t="shared" si="2"/>
        <v>48556.840000000004</v>
      </c>
      <c r="S39" s="14">
        <f t="shared" si="3"/>
        <v>47639.100000000006</v>
      </c>
      <c r="U39" s="3">
        <v>31761.090000000004</v>
      </c>
      <c r="V39" s="13">
        <v>17929.039999999997</v>
      </c>
      <c r="W39" s="13">
        <v>31490.559999999998</v>
      </c>
      <c r="X39" s="13">
        <v>15005.759999999998</v>
      </c>
      <c r="Y39" s="3">
        <v>36619.120000000003</v>
      </c>
      <c r="Z39" s="13">
        <v>11937.720000000001</v>
      </c>
      <c r="AA39" s="13">
        <v>37505.740000000005</v>
      </c>
      <c r="AB39" s="14">
        <v>10133.36</v>
      </c>
    </row>
    <row r="40" spans="1:28" x14ac:dyDescent="0.25">
      <c r="A40" s="3">
        <v>14</v>
      </c>
      <c r="B40" s="13">
        <v>70903.429999999993</v>
      </c>
      <c r="C40" s="13">
        <v>34489.629999999997</v>
      </c>
      <c r="D40" s="13">
        <v>72676.02</v>
      </c>
      <c r="E40" s="14">
        <v>28491.93</v>
      </c>
      <c r="G40" s="3">
        <v>37366.840000000004</v>
      </c>
      <c r="H40" s="13">
        <v>23047.359999999997</v>
      </c>
      <c r="I40" s="13">
        <v>31690.920000000002</v>
      </c>
      <c r="J40" s="14">
        <v>18180.810000000001</v>
      </c>
      <c r="K40" s="3">
        <v>33536.590000000004</v>
      </c>
      <c r="L40" s="13">
        <v>11442.27</v>
      </c>
      <c r="M40" s="13">
        <v>40985.1</v>
      </c>
      <c r="N40" s="14">
        <v>10311.119999999999</v>
      </c>
      <c r="P40" s="3">
        <f t="shared" si="0"/>
        <v>47969.869999999995</v>
      </c>
      <c r="Q40" s="13">
        <f t="shared" si="1"/>
        <v>47137.34</v>
      </c>
      <c r="R40" s="13">
        <f t="shared" si="2"/>
        <v>59770.32</v>
      </c>
      <c r="S40" s="14">
        <f t="shared" si="3"/>
        <v>55218.060000000005</v>
      </c>
      <c r="U40" s="3">
        <v>32467.33</v>
      </c>
      <c r="V40" s="13">
        <v>15502.539999999997</v>
      </c>
      <c r="W40" s="13">
        <v>34155.61</v>
      </c>
      <c r="X40" s="13">
        <v>12981.73</v>
      </c>
      <c r="Y40" s="3">
        <v>43060.959999999999</v>
      </c>
      <c r="Z40" s="13">
        <v>16709.36</v>
      </c>
      <c r="AA40" s="13">
        <v>41342.380000000005</v>
      </c>
      <c r="AB40" s="14">
        <v>13875.68</v>
      </c>
    </row>
    <row r="41" spans="1:28" x14ac:dyDescent="0.25">
      <c r="A41" s="3">
        <v>15</v>
      </c>
      <c r="B41" s="13">
        <v>70156.679999999993</v>
      </c>
      <c r="C41" s="13">
        <v>34388.28</v>
      </c>
      <c r="D41" s="13">
        <v>72747.009999999995</v>
      </c>
      <c r="E41" s="14">
        <v>28184.61</v>
      </c>
      <c r="G41" s="3">
        <v>35604.5</v>
      </c>
      <c r="H41" s="13">
        <v>18546.399999999998</v>
      </c>
      <c r="I41" s="13">
        <v>38951.58</v>
      </c>
      <c r="J41" s="14">
        <v>15512.910000000002</v>
      </c>
      <c r="K41" s="3">
        <v>34552.18</v>
      </c>
      <c r="L41" s="13">
        <v>15841.880000000001</v>
      </c>
      <c r="M41" s="13">
        <v>33795.43</v>
      </c>
      <c r="N41" s="14">
        <v>12671.7</v>
      </c>
      <c r="P41" s="3">
        <f t="shared" si="0"/>
        <v>68356.959999999992</v>
      </c>
      <c r="Q41" s="13">
        <f t="shared" si="1"/>
        <v>58649.09</v>
      </c>
      <c r="R41" s="13">
        <f t="shared" si="2"/>
        <v>48405.78</v>
      </c>
      <c r="S41" s="14">
        <f t="shared" si="3"/>
        <v>52093.650000000009</v>
      </c>
      <c r="U41" s="3">
        <v>46111.729999999996</v>
      </c>
      <c r="V41" s="13">
        <v>22245.230000000003</v>
      </c>
      <c r="W41" s="13">
        <v>40506.39</v>
      </c>
      <c r="X41" s="13">
        <v>18142.699999999997</v>
      </c>
      <c r="Y41" s="3">
        <v>36220.44</v>
      </c>
      <c r="Z41" s="13">
        <v>12185.34</v>
      </c>
      <c r="AA41" s="13">
        <v>41439.860000000008</v>
      </c>
      <c r="AB41" s="14">
        <v>10653.79</v>
      </c>
    </row>
    <row r="42" spans="1:28" x14ac:dyDescent="0.25">
      <c r="A42" s="3">
        <v>16</v>
      </c>
      <c r="B42" s="13">
        <v>65986.28</v>
      </c>
      <c r="C42" s="13">
        <v>32879.78</v>
      </c>
      <c r="D42" s="13">
        <v>68394.73000000001</v>
      </c>
      <c r="E42" s="14">
        <v>26788.68</v>
      </c>
      <c r="G42" s="3">
        <v>37071.17</v>
      </c>
      <c r="H42" s="13">
        <v>18635.59</v>
      </c>
      <c r="I42" s="13">
        <v>40068.509999999995</v>
      </c>
      <c r="J42" s="14">
        <v>15742.75</v>
      </c>
      <c r="K42" s="3">
        <v>28915.109999999997</v>
      </c>
      <c r="L42" s="13">
        <v>14244.189999999999</v>
      </c>
      <c r="M42" s="13">
        <v>28326.22</v>
      </c>
      <c r="N42" s="14">
        <v>11045.93</v>
      </c>
      <c r="P42" s="3">
        <f t="shared" si="0"/>
        <v>72875.14</v>
      </c>
      <c r="Q42" s="13">
        <f t="shared" si="1"/>
        <v>67361.45</v>
      </c>
      <c r="R42" s="13">
        <f t="shared" si="2"/>
        <v>43249.599999999999</v>
      </c>
      <c r="S42" s="14">
        <f t="shared" si="3"/>
        <v>42916.25</v>
      </c>
      <c r="U42" s="3">
        <v>51881.53</v>
      </c>
      <c r="V42" s="13">
        <v>20993.61</v>
      </c>
      <c r="W42" s="13">
        <v>49559.35</v>
      </c>
      <c r="X42" s="13">
        <v>17802.099999999999</v>
      </c>
      <c r="Y42" s="3">
        <v>29342.6</v>
      </c>
      <c r="Z42" s="13">
        <v>13907</v>
      </c>
      <c r="AA42" s="13">
        <v>31754.15</v>
      </c>
      <c r="AB42" s="14">
        <v>11162.1</v>
      </c>
    </row>
    <row r="43" spans="1:28" x14ac:dyDescent="0.25">
      <c r="A43" s="3">
        <v>17</v>
      </c>
      <c r="B43" s="13">
        <v>67536</v>
      </c>
      <c r="C43" s="13">
        <v>33719.049999999996</v>
      </c>
      <c r="D43" s="13">
        <v>68784.87</v>
      </c>
      <c r="E43" s="14">
        <v>27043.11</v>
      </c>
      <c r="G43" s="3">
        <v>33649.600000000006</v>
      </c>
      <c r="H43" s="13">
        <v>15509.990000000002</v>
      </c>
      <c r="I43" s="13">
        <v>37119.19</v>
      </c>
      <c r="J43" s="14">
        <v>12665.240000000002</v>
      </c>
      <c r="K43" s="3">
        <v>33886.400000000001</v>
      </c>
      <c r="L43" s="13">
        <v>18209.059999999998</v>
      </c>
      <c r="M43" s="13">
        <v>31665.68</v>
      </c>
      <c r="N43" s="14">
        <v>14377.869999999999</v>
      </c>
      <c r="P43" s="3">
        <f t="shared" si="0"/>
        <v>68963.430000000008</v>
      </c>
      <c r="Q43" s="13">
        <f t="shared" si="1"/>
        <v>66324.350000000006</v>
      </c>
      <c r="R43" s="13">
        <f t="shared" si="2"/>
        <v>48303.68</v>
      </c>
      <c r="S43" s="14">
        <f t="shared" si="3"/>
        <v>44973.279999999999</v>
      </c>
      <c r="U43" s="3">
        <v>51086.62</v>
      </c>
      <c r="V43" s="13">
        <v>17876.810000000001</v>
      </c>
      <c r="W43" s="13">
        <v>51209.01</v>
      </c>
      <c r="X43" s="13">
        <v>15115.34</v>
      </c>
      <c r="Y43" s="3">
        <v>30829.08</v>
      </c>
      <c r="Z43" s="13">
        <v>17474.599999999999</v>
      </c>
      <c r="AA43" s="13">
        <v>30729.670000000002</v>
      </c>
      <c r="AB43" s="14">
        <v>14243.61</v>
      </c>
    </row>
    <row r="44" spans="1:28" x14ac:dyDescent="0.25">
      <c r="A44" s="3">
        <v>18</v>
      </c>
      <c r="B44" s="13">
        <v>53393.649999999994</v>
      </c>
      <c r="C44" s="13">
        <v>23534.920000000002</v>
      </c>
      <c r="D44" s="13">
        <v>53646.75</v>
      </c>
      <c r="E44" s="14">
        <v>18355.870000000003</v>
      </c>
      <c r="G44" s="3">
        <v>32415.72</v>
      </c>
      <c r="H44" s="13">
        <v>15551.6</v>
      </c>
      <c r="I44" s="13">
        <v>28795.72</v>
      </c>
      <c r="J44" s="14">
        <v>11489.93</v>
      </c>
      <c r="K44" s="3">
        <v>20977.93</v>
      </c>
      <c r="L44" s="13">
        <v>7983.32</v>
      </c>
      <c r="M44" s="13">
        <v>24851.03</v>
      </c>
      <c r="N44" s="14">
        <v>6865.94</v>
      </c>
      <c r="P44" s="3">
        <f t="shared" si="0"/>
        <v>49792.06</v>
      </c>
      <c r="Q44" s="13">
        <f t="shared" si="1"/>
        <v>46001.689999999995</v>
      </c>
      <c r="R44" s="13">
        <f t="shared" si="2"/>
        <v>38645.33</v>
      </c>
      <c r="S44" s="14">
        <f t="shared" si="3"/>
        <v>38023.570000000007</v>
      </c>
      <c r="U44" s="3">
        <v>35344.639999999999</v>
      </c>
      <c r="V44" s="13">
        <v>14447.419999999998</v>
      </c>
      <c r="W44" s="13">
        <v>33950.649999999994</v>
      </c>
      <c r="X44" s="13">
        <v>12051.039999999999</v>
      </c>
      <c r="Y44" s="3">
        <v>27815.230000000003</v>
      </c>
      <c r="Z44" s="13">
        <v>10830.1</v>
      </c>
      <c r="AA44" s="13">
        <v>28944.750000000004</v>
      </c>
      <c r="AB44" s="14">
        <v>9078.82</v>
      </c>
    </row>
    <row r="45" spans="1:28" x14ac:dyDescent="0.25">
      <c r="A45" s="3">
        <v>19</v>
      </c>
      <c r="B45" s="13">
        <v>156176.13799999998</v>
      </c>
      <c r="C45" s="13">
        <v>66827.33</v>
      </c>
      <c r="D45" s="13">
        <v>156186.24000000002</v>
      </c>
      <c r="E45" s="14">
        <v>49043.040000000008</v>
      </c>
      <c r="G45" s="3">
        <v>94422.488000000012</v>
      </c>
      <c r="H45" s="13">
        <v>40152.74</v>
      </c>
      <c r="I45" s="13">
        <v>86822.080000000002</v>
      </c>
      <c r="J45" s="14">
        <v>28502.590000000004</v>
      </c>
      <c r="K45" s="3">
        <v>61753.65</v>
      </c>
      <c r="L45" s="13">
        <v>26674.589999999997</v>
      </c>
      <c r="M45" s="13">
        <v>69364.159999999989</v>
      </c>
      <c r="N45" s="14">
        <v>20540.45</v>
      </c>
      <c r="P45" s="3">
        <f t="shared" si="0"/>
        <v>145393.93099999998</v>
      </c>
      <c r="Q45" s="13">
        <f t="shared" si="1"/>
        <v>134279.46099999998</v>
      </c>
      <c r="R45" s="13">
        <f t="shared" si="2"/>
        <v>87475.709999999992</v>
      </c>
      <c r="S45" s="14">
        <f t="shared" si="3"/>
        <v>82620.801000000007</v>
      </c>
      <c r="U45" s="3">
        <v>105424.52099999999</v>
      </c>
      <c r="V45" s="13">
        <v>39969.410000000003</v>
      </c>
      <c r="W45" s="13">
        <v>102093.06099999999</v>
      </c>
      <c r="X45" s="13">
        <v>32186.400000000001</v>
      </c>
      <c r="Y45" s="3">
        <v>60708.44</v>
      </c>
      <c r="Z45" s="13">
        <v>26767.269999999997</v>
      </c>
      <c r="AA45" s="13">
        <v>61659.881000000001</v>
      </c>
      <c r="AB45" s="14">
        <v>20960.919999999998</v>
      </c>
    </row>
    <row r="46" spans="1:28" x14ac:dyDescent="0.25">
      <c r="A46" s="3">
        <v>20</v>
      </c>
      <c r="B46" s="13">
        <v>137122.74100000001</v>
      </c>
      <c r="C46" s="13">
        <v>59988.590000000004</v>
      </c>
      <c r="D46" s="13">
        <v>139328.80900000001</v>
      </c>
      <c r="E46" s="14">
        <v>43544.999999999993</v>
      </c>
      <c r="G46" s="3">
        <v>74156.510000000009</v>
      </c>
      <c r="H46" s="13">
        <v>35398.94</v>
      </c>
      <c r="I46" s="13">
        <v>70558.918999999994</v>
      </c>
      <c r="J46" s="14">
        <v>24521.140000000003</v>
      </c>
      <c r="K46" s="3">
        <v>62966.231000000007</v>
      </c>
      <c r="L46" s="13">
        <v>24589.65</v>
      </c>
      <c r="M46" s="13">
        <v>68769.89</v>
      </c>
      <c r="N46" s="14">
        <v>19023.86</v>
      </c>
      <c r="P46" s="3">
        <f t="shared" si="0"/>
        <v>130914.228</v>
      </c>
      <c r="Q46" s="13">
        <f t="shared" si="1"/>
        <v>127258.999</v>
      </c>
      <c r="R46" s="13">
        <f t="shared" si="2"/>
        <v>96407.66</v>
      </c>
      <c r="S46" s="14">
        <f t="shared" si="3"/>
        <v>87558.509000000005</v>
      </c>
      <c r="U46" s="3">
        <v>91952.157999999996</v>
      </c>
      <c r="V46" s="13">
        <v>38962.07</v>
      </c>
      <c r="W46" s="13">
        <v>95170.388999999996</v>
      </c>
      <c r="X46" s="13">
        <v>32088.61</v>
      </c>
      <c r="Y46" s="3">
        <v>69606.09</v>
      </c>
      <c r="Z46" s="13">
        <v>26801.57</v>
      </c>
      <c r="AA46" s="13">
        <v>67212.949000000008</v>
      </c>
      <c r="AB46" s="14">
        <v>20345.560000000001</v>
      </c>
    </row>
    <row r="47" spans="1:28" x14ac:dyDescent="0.25">
      <c r="A47" s="3">
        <v>21</v>
      </c>
      <c r="B47" s="13">
        <v>127120.579</v>
      </c>
      <c r="C47" s="13">
        <v>55015.350000000006</v>
      </c>
      <c r="D47" s="13">
        <v>128571.27800000001</v>
      </c>
      <c r="E47" s="14">
        <v>40857.209999999992</v>
      </c>
      <c r="G47" s="3">
        <v>66155.068999999989</v>
      </c>
      <c r="H47" s="13">
        <v>22760.16</v>
      </c>
      <c r="I47" s="13">
        <v>74760.64899999999</v>
      </c>
      <c r="J47" s="14">
        <v>18023.890000000003</v>
      </c>
      <c r="K47" s="3">
        <v>60965.509999999995</v>
      </c>
      <c r="L47" s="13">
        <v>32255.19</v>
      </c>
      <c r="M47" s="13">
        <v>53810.629000000001</v>
      </c>
      <c r="N47" s="14">
        <v>22833.320000000003</v>
      </c>
      <c r="P47" s="3">
        <f t="shared" si="0"/>
        <v>132217.06900000002</v>
      </c>
      <c r="Q47" s="13">
        <f t="shared" si="1"/>
        <v>120832.69899999998</v>
      </c>
      <c r="R47" s="13">
        <f t="shared" si="2"/>
        <v>87367.4</v>
      </c>
      <c r="S47" s="14">
        <f t="shared" si="3"/>
        <v>86463.8</v>
      </c>
      <c r="U47" s="3">
        <v>95763.289000000004</v>
      </c>
      <c r="V47" s="13">
        <v>36453.78</v>
      </c>
      <c r="W47" s="13">
        <v>90809.66899999998</v>
      </c>
      <c r="X47" s="13">
        <v>30023.030000000002</v>
      </c>
      <c r="Y47" s="3">
        <v>61265.52</v>
      </c>
      <c r="Z47" s="13">
        <v>26101.88</v>
      </c>
      <c r="AA47" s="13">
        <v>66016.52</v>
      </c>
      <c r="AB47" s="14">
        <v>20447.280000000002</v>
      </c>
    </row>
    <row r="48" spans="1:28" x14ac:dyDescent="0.25">
      <c r="A48" s="3">
        <v>22</v>
      </c>
      <c r="B48" s="13">
        <v>100424.44</v>
      </c>
      <c r="C48" s="13">
        <v>47414.380000000005</v>
      </c>
      <c r="D48" s="13">
        <v>103025.60999999999</v>
      </c>
      <c r="E48" s="14">
        <v>36269.689999999995</v>
      </c>
      <c r="G48" s="3">
        <v>59305.57</v>
      </c>
      <c r="H48" s="13">
        <v>24148.97</v>
      </c>
      <c r="I48" s="13">
        <v>59393.07</v>
      </c>
      <c r="J48" s="14">
        <v>18311.72</v>
      </c>
      <c r="K48" s="3">
        <v>41118.869999999995</v>
      </c>
      <c r="L48" s="13">
        <v>23265.410000000003</v>
      </c>
      <c r="M48" s="13">
        <v>43632.539999999994</v>
      </c>
      <c r="N48" s="14">
        <v>17957.97</v>
      </c>
      <c r="P48" s="3">
        <f t="shared" si="0"/>
        <v>95361.68</v>
      </c>
      <c r="Q48" s="13">
        <f t="shared" si="1"/>
        <v>92828.068999999989</v>
      </c>
      <c r="R48" s="13">
        <f t="shared" si="2"/>
        <v>73870.5</v>
      </c>
      <c r="S48" s="14">
        <f t="shared" si="3"/>
        <v>68217.31</v>
      </c>
      <c r="U48" s="3">
        <v>68141.069999999992</v>
      </c>
      <c r="V48" s="13">
        <v>27220.61</v>
      </c>
      <c r="W48" s="13">
        <v>70263.868999999992</v>
      </c>
      <c r="X48" s="13">
        <v>22564.2</v>
      </c>
      <c r="Y48" s="3">
        <v>50387.53</v>
      </c>
      <c r="Z48" s="13">
        <v>23482.97</v>
      </c>
      <c r="AA48" s="13">
        <v>49002.29</v>
      </c>
      <c r="AB48" s="14">
        <v>19215.02</v>
      </c>
    </row>
    <row r="49" spans="1:28" x14ac:dyDescent="0.25">
      <c r="A49" s="15">
        <v>23</v>
      </c>
      <c r="B49" s="16">
        <v>49338.83</v>
      </c>
      <c r="C49" s="16">
        <v>26670.77</v>
      </c>
      <c r="D49" s="16">
        <v>51339.8</v>
      </c>
      <c r="E49" s="17">
        <v>20952.47</v>
      </c>
      <c r="G49" s="3">
        <v>23901.200000000001</v>
      </c>
      <c r="H49" s="13">
        <v>12877.97</v>
      </c>
      <c r="I49" s="13">
        <v>25379.839999999997</v>
      </c>
      <c r="J49" s="14">
        <v>10139.029999999999</v>
      </c>
      <c r="K49" s="3">
        <v>25437.63</v>
      </c>
      <c r="L49" s="13">
        <v>13792.8</v>
      </c>
      <c r="M49" s="13">
        <v>25959.960000000003</v>
      </c>
      <c r="N49" s="14">
        <v>10813.439999999999</v>
      </c>
      <c r="P49" s="3">
        <f t="shared" si="0"/>
        <v>58154.619999999995</v>
      </c>
      <c r="Q49" s="13">
        <f t="shared" si="1"/>
        <v>55334.75</v>
      </c>
      <c r="R49" s="13">
        <f t="shared" si="2"/>
        <v>42600.659999999996</v>
      </c>
      <c r="S49" s="14">
        <f t="shared" si="3"/>
        <v>41130.29</v>
      </c>
      <c r="U49" s="15">
        <v>39356.199999999997</v>
      </c>
      <c r="V49" s="16">
        <v>18798.419999999998</v>
      </c>
      <c r="W49" s="16">
        <v>39329.730000000003</v>
      </c>
      <c r="X49" s="16">
        <v>16005.02</v>
      </c>
      <c r="Y49" s="15">
        <v>28494.059999999998</v>
      </c>
      <c r="Z49" s="16">
        <v>14106.6</v>
      </c>
      <c r="AA49" s="16">
        <v>29309.170000000002</v>
      </c>
      <c r="AB49" s="17">
        <v>11821.119999999999</v>
      </c>
    </row>
    <row r="50" spans="1:28" x14ac:dyDescent="0.25">
      <c r="A50" s="21">
        <v>0</v>
      </c>
      <c r="B50" s="22">
        <v>20263.86</v>
      </c>
      <c r="C50" s="22">
        <v>12322.089999999998</v>
      </c>
      <c r="D50" s="22">
        <v>21769.51</v>
      </c>
      <c r="E50" s="23">
        <v>9800.35</v>
      </c>
      <c r="G50" s="21">
        <v>13782.02</v>
      </c>
      <c r="H50" s="22">
        <v>9123.1299999999992</v>
      </c>
      <c r="I50" s="22">
        <v>14311.39</v>
      </c>
      <c r="J50" s="22">
        <v>7282.57</v>
      </c>
      <c r="K50" s="21">
        <v>6481.8399999999983</v>
      </c>
      <c r="L50" s="22">
        <v>3198.96</v>
      </c>
      <c r="M50" s="22">
        <v>7458.12</v>
      </c>
      <c r="N50" s="23">
        <v>2517.7800000000002</v>
      </c>
      <c r="P50" s="21">
        <f t="shared" si="0"/>
        <v>31956.199999999997</v>
      </c>
      <c r="Q50" s="22">
        <f t="shared" si="1"/>
        <v>30898.399999999998</v>
      </c>
      <c r="R50" s="22">
        <f t="shared" si="2"/>
        <v>22000.25</v>
      </c>
      <c r="S50" s="23">
        <f t="shared" si="3"/>
        <v>21354.38</v>
      </c>
      <c r="U50" s="21">
        <v>19419.36</v>
      </c>
      <c r="V50" s="22">
        <v>12536.839999999998</v>
      </c>
      <c r="W50" s="22">
        <v>19943.66</v>
      </c>
      <c r="X50" s="22">
        <v>10954.739999999998</v>
      </c>
      <c r="Y50" s="21">
        <v>15279.09</v>
      </c>
      <c r="Z50" s="22">
        <v>6721.1600000000008</v>
      </c>
      <c r="AA50" s="22">
        <v>15789.630000000001</v>
      </c>
      <c r="AB50" s="23">
        <v>5564.75</v>
      </c>
    </row>
    <row r="51" spans="1:28" x14ac:dyDescent="0.25">
      <c r="A51" s="3">
        <v>1</v>
      </c>
      <c r="B51" s="13">
        <v>8577.82</v>
      </c>
      <c r="C51" s="13">
        <v>5525.66</v>
      </c>
      <c r="D51" s="13">
        <v>9518.7800000000007</v>
      </c>
      <c r="E51" s="14">
        <v>4441.28</v>
      </c>
      <c r="G51" s="3">
        <v>4376.25</v>
      </c>
      <c r="H51" s="13">
        <v>2972.8300000000004</v>
      </c>
      <c r="I51" s="13">
        <v>5042.7900000000009</v>
      </c>
      <c r="J51" s="13">
        <v>2482.62</v>
      </c>
      <c r="K51" s="3">
        <v>4201.57</v>
      </c>
      <c r="L51" s="13">
        <v>2552.83</v>
      </c>
      <c r="M51" s="13">
        <v>4475.99</v>
      </c>
      <c r="N51" s="14">
        <v>1958.66</v>
      </c>
      <c r="P51" s="3">
        <f t="shared" si="0"/>
        <v>13578.6</v>
      </c>
      <c r="Q51" s="13">
        <f t="shared" si="1"/>
        <v>13161.73</v>
      </c>
      <c r="R51" s="13">
        <f t="shared" si="2"/>
        <v>13884.399999999998</v>
      </c>
      <c r="S51" s="14">
        <f t="shared" si="3"/>
        <v>13444.59</v>
      </c>
      <c r="U51" s="3">
        <v>8869.84</v>
      </c>
      <c r="V51" s="13">
        <v>4708.76</v>
      </c>
      <c r="W51" s="13">
        <v>9049.99</v>
      </c>
      <c r="X51" s="13">
        <v>4111.74</v>
      </c>
      <c r="Y51" s="3">
        <v>8356.1099999999988</v>
      </c>
      <c r="Z51" s="13">
        <v>5528.29</v>
      </c>
      <c r="AA51" s="13">
        <v>8788.85</v>
      </c>
      <c r="AB51" s="14">
        <v>4655.74</v>
      </c>
    </row>
    <row r="52" spans="1:28" x14ac:dyDescent="0.25">
      <c r="A52" s="3">
        <v>2</v>
      </c>
      <c r="B52" s="13">
        <v>6430.4500000000007</v>
      </c>
      <c r="C52" s="13">
        <v>3388.15</v>
      </c>
      <c r="D52" s="13">
        <v>6990.2100000000009</v>
      </c>
      <c r="E52" s="14">
        <v>2632.9</v>
      </c>
      <c r="G52" s="3">
        <v>3874.8599999999997</v>
      </c>
      <c r="H52" s="13">
        <v>1890.5100000000002</v>
      </c>
      <c r="I52" s="13">
        <v>4384.18</v>
      </c>
      <c r="J52" s="13">
        <v>1513.88</v>
      </c>
      <c r="K52" s="3">
        <v>2555.59</v>
      </c>
      <c r="L52" s="13">
        <v>1497.6399999999999</v>
      </c>
      <c r="M52" s="13">
        <v>2606.0300000000002</v>
      </c>
      <c r="N52" s="14">
        <v>1119.02</v>
      </c>
      <c r="P52" s="3">
        <f t="shared" si="0"/>
        <v>6551.6299999999992</v>
      </c>
      <c r="Q52" s="13">
        <f t="shared" si="1"/>
        <v>6289.45</v>
      </c>
      <c r="R52" s="13">
        <f t="shared" si="2"/>
        <v>7923.64</v>
      </c>
      <c r="S52" s="14">
        <f t="shared" si="3"/>
        <v>7752.2800000000007</v>
      </c>
      <c r="U52" s="3">
        <v>4057.3299999999995</v>
      </c>
      <c r="V52" s="13">
        <v>2494.3000000000002</v>
      </c>
      <c r="W52" s="13">
        <v>4211.96</v>
      </c>
      <c r="X52" s="13">
        <v>2077.4899999999998</v>
      </c>
      <c r="Y52" s="3">
        <v>4936.01</v>
      </c>
      <c r="Z52" s="13">
        <v>2987.63</v>
      </c>
      <c r="AA52" s="13">
        <v>5219.68</v>
      </c>
      <c r="AB52" s="14">
        <v>2532.6</v>
      </c>
    </row>
    <row r="53" spans="1:28" x14ac:dyDescent="0.25">
      <c r="A53" s="3">
        <v>3</v>
      </c>
      <c r="B53" s="13">
        <v>19029.350000000002</v>
      </c>
      <c r="C53" s="13">
        <v>7664.4100000000008</v>
      </c>
      <c r="D53" s="13">
        <v>18925.900000000001</v>
      </c>
      <c r="E53" s="14">
        <v>5397.8900000000012</v>
      </c>
      <c r="G53" s="3">
        <v>11780.08</v>
      </c>
      <c r="H53" s="13">
        <v>4793.92</v>
      </c>
      <c r="I53" s="13">
        <v>11107.779999999999</v>
      </c>
      <c r="J53" s="13">
        <v>3251.62</v>
      </c>
      <c r="K53" s="3">
        <v>7249.2699999999995</v>
      </c>
      <c r="L53" s="13">
        <v>2870.49</v>
      </c>
      <c r="M53" s="13">
        <v>7818.119999999999</v>
      </c>
      <c r="N53" s="14">
        <v>2146.27</v>
      </c>
      <c r="P53" s="3">
        <f t="shared" si="0"/>
        <v>4126.3099999999995</v>
      </c>
      <c r="Q53" s="13">
        <f t="shared" si="1"/>
        <v>4026.3500000000004</v>
      </c>
      <c r="R53" s="13">
        <f t="shared" si="2"/>
        <v>4220.54</v>
      </c>
      <c r="S53" s="14">
        <f t="shared" si="3"/>
        <v>4058.8500000000004</v>
      </c>
      <c r="U53" s="3">
        <v>2935.87</v>
      </c>
      <c r="V53" s="13">
        <v>1190.44</v>
      </c>
      <c r="W53" s="13">
        <v>2965.05</v>
      </c>
      <c r="X53" s="13">
        <v>1061.3000000000002</v>
      </c>
      <c r="Y53" s="3">
        <v>2374.31</v>
      </c>
      <c r="Z53" s="13">
        <v>1846.23</v>
      </c>
      <c r="AA53" s="13">
        <v>2486.84</v>
      </c>
      <c r="AB53" s="14">
        <v>1572.01</v>
      </c>
    </row>
    <row r="54" spans="1:28" x14ac:dyDescent="0.25">
      <c r="A54" s="3">
        <v>4</v>
      </c>
      <c r="B54" s="13">
        <v>12256.600000000002</v>
      </c>
      <c r="C54" s="13">
        <v>6056.65</v>
      </c>
      <c r="D54" s="13">
        <v>12963.18</v>
      </c>
      <c r="E54" s="14">
        <v>4139.26</v>
      </c>
      <c r="G54" s="3">
        <v>8297.09</v>
      </c>
      <c r="H54" s="13">
        <v>3944.05</v>
      </c>
      <c r="I54" s="13">
        <v>8370.51</v>
      </c>
      <c r="J54" s="13">
        <v>2652.9700000000003</v>
      </c>
      <c r="K54" s="3">
        <v>3959.5099999999998</v>
      </c>
      <c r="L54" s="13">
        <v>2112.6</v>
      </c>
      <c r="M54" s="13">
        <v>4592.67</v>
      </c>
      <c r="N54" s="14">
        <v>1486.29</v>
      </c>
      <c r="P54" s="3">
        <f t="shared" si="0"/>
        <v>4503.74</v>
      </c>
      <c r="Q54" s="13">
        <f t="shared" si="1"/>
        <v>4316.9000000000005</v>
      </c>
      <c r="R54" s="13">
        <f t="shared" si="2"/>
        <v>3038.18</v>
      </c>
      <c r="S54" s="14">
        <f t="shared" si="3"/>
        <v>2865.1499999999996</v>
      </c>
      <c r="U54" s="3">
        <v>3001.59</v>
      </c>
      <c r="V54" s="13">
        <v>1502.1499999999999</v>
      </c>
      <c r="W54" s="13">
        <v>3053.3700000000003</v>
      </c>
      <c r="X54" s="13">
        <v>1263.5300000000002</v>
      </c>
      <c r="Y54" s="3">
        <v>2212.6999999999998</v>
      </c>
      <c r="Z54" s="13">
        <v>825.48</v>
      </c>
      <c r="AA54" s="13">
        <v>2157.2399999999998</v>
      </c>
      <c r="AB54" s="14">
        <v>707.91000000000008</v>
      </c>
    </row>
    <row r="55" spans="1:28" x14ac:dyDescent="0.25">
      <c r="A55" s="3">
        <v>5</v>
      </c>
      <c r="B55" s="13">
        <v>7739.89</v>
      </c>
      <c r="C55" s="13">
        <v>2605.41</v>
      </c>
      <c r="D55" s="13">
        <v>7836.85</v>
      </c>
      <c r="E55" s="14">
        <v>1994.8700000000003</v>
      </c>
      <c r="G55" s="3">
        <v>4870.6200000000008</v>
      </c>
      <c r="H55" s="13">
        <v>1642.85</v>
      </c>
      <c r="I55" s="13">
        <v>4707.21</v>
      </c>
      <c r="J55" s="13">
        <v>1216.6200000000001</v>
      </c>
      <c r="K55" s="3">
        <v>2869.27</v>
      </c>
      <c r="L55" s="13">
        <v>962.56</v>
      </c>
      <c r="M55" s="13">
        <v>3129.6400000000003</v>
      </c>
      <c r="N55" s="14">
        <v>778.25</v>
      </c>
      <c r="P55" s="3">
        <f t="shared" si="0"/>
        <v>25535.38</v>
      </c>
      <c r="Q55" s="13">
        <f t="shared" si="1"/>
        <v>23258.21</v>
      </c>
      <c r="R55" s="13">
        <f t="shared" si="2"/>
        <v>18152.419999999998</v>
      </c>
      <c r="S55" s="14">
        <f t="shared" si="3"/>
        <v>15508.289999999999</v>
      </c>
      <c r="U55" s="3">
        <v>18847.68</v>
      </c>
      <c r="V55" s="13">
        <v>6687.7000000000007</v>
      </c>
      <c r="W55" s="13">
        <v>18261.669999999998</v>
      </c>
      <c r="X55" s="13">
        <v>4996.5400000000009</v>
      </c>
      <c r="Y55" s="3">
        <v>14404.48</v>
      </c>
      <c r="Z55" s="13">
        <v>3747.94</v>
      </c>
      <c r="AA55" s="13">
        <v>13046.71</v>
      </c>
      <c r="AB55" s="14">
        <v>2461.58</v>
      </c>
    </row>
    <row r="56" spans="1:28" x14ac:dyDescent="0.25">
      <c r="A56" s="3">
        <v>6</v>
      </c>
      <c r="B56" s="13">
        <v>20354.71</v>
      </c>
      <c r="C56" s="13">
        <v>5597.18</v>
      </c>
      <c r="D56" s="13">
        <v>19698.749999999996</v>
      </c>
      <c r="E56" s="14">
        <v>4129.4400000000005</v>
      </c>
      <c r="G56" s="3">
        <v>13138.91</v>
      </c>
      <c r="H56" s="13">
        <v>3525.2799999999997</v>
      </c>
      <c r="I56" s="13">
        <v>12338.699999999999</v>
      </c>
      <c r="J56" s="13">
        <v>2584.7800000000002</v>
      </c>
      <c r="K56" s="3">
        <v>7215.8</v>
      </c>
      <c r="L56" s="13">
        <v>2071.9</v>
      </c>
      <c r="M56" s="13">
        <v>7360.0499999999993</v>
      </c>
      <c r="N56" s="14">
        <v>1544.6599999999999</v>
      </c>
      <c r="P56" s="3">
        <f t="shared" si="0"/>
        <v>63465.389999999992</v>
      </c>
      <c r="Q56" s="13">
        <f t="shared" si="1"/>
        <v>55073.120000000003</v>
      </c>
      <c r="R56" s="13">
        <f t="shared" si="2"/>
        <v>43799.81</v>
      </c>
      <c r="S56" s="14">
        <f t="shared" si="3"/>
        <v>39934.399999999994</v>
      </c>
      <c r="U56" s="3">
        <v>49563.409999999996</v>
      </c>
      <c r="V56" s="13">
        <v>13901.979999999998</v>
      </c>
      <c r="W56" s="13">
        <v>45688.630000000005</v>
      </c>
      <c r="X56" s="13">
        <v>9384.49</v>
      </c>
      <c r="Y56" s="3">
        <v>31897.739999999998</v>
      </c>
      <c r="Z56" s="13">
        <v>11902.07</v>
      </c>
      <c r="AA56" s="13">
        <v>31096.019999999997</v>
      </c>
      <c r="AB56" s="14">
        <v>8838.3799999999992</v>
      </c>
    </row>
    <row r="57" spans="1:28" x14ac:dyDescent="0.25">
      <c r="A57" s="3">
        <v>7</v>
      </c>
      <c r="B57" s="13">
        <v>36866.899999999994</v>
      </c>
      <c r="C57" s="13">
        <v>10830.670000000002</v>
      </c>
      <c r="D57" s="13">
        <v>35848.49</v>
      </c>
      <c r="E57" s="14">
        <v>8051.5999999999995</v>
      </c>
      <c r="G57" s="3">
        <v>21336</v>
      </c>
      <c r="H57" s="13">
        <v>5630.24</v>
      </c>
      <c r="I57" s="13">
        <v>20608.260000000002</v>
      </c>
      <c r="J57" s="13">
        <v>4198.63</v>
      </c>
      <c r="K57" s="3">
        <v>15530.900000000001</v>
      </c>
      <c r="L57" s="13">
        <v>5200.43</v>
      </c>
      <c r="M57" s="13">
        <v>15240.23</v>
      </c>
      <c r="N57" s="14">
        <v>3852.9700000000003</v>
      </c>
      <c r="P57" s="3">
        <f t="shared" si="0"/>
        <v>49290.57</v>
      </c>
      <c r="Q57" s="13">
        <f t="shared" si="1"/>
        <v>47224.91</v>
      </c>
      <c r="R57" s="13">
        <f t="shared" si="2"/>
        <v>75097.099000000002</v>
      </c>
      <c r="S57" s="14">
        <f t="shared" si="3"/>
        <v>65555.491000000009</v>
      </c>
      <c r="U57" s="3">
        <v>35948.71</v>
      </c>
      <c r="V57" s="13">
        <v>13341.86</v>
      </c>
      <c r="W57" s="13">
        <v>37361.47</v>
      </c>
      <c r="X57" s="13">
        <v>9863.44</v>
      </c>
      <c r="Y57" s="3">
        <v>57772.249000000003</v>
      </c>
      <c r="Z57" s="13">
        <v>17324.850000000002</v>
      </c>
      <c r="AA57" s="13">
        <v>52855.881000000008</v>
      </c>
      <c r="AB57" s="14">
        <v>12699.61</v>
      </c>
    </row>
    <row r="58" spans="1:28" x14ac:dyDescent="0.25">
      <c r="A58" s="3">
        <v>8</v>
      </c>
      <c r="B58" s="13">
        <v>54935.460000000006</v>
      </c>
      <c r="C58" s="13">
        <v>19157.400000000001</v>
      </c>
      <c r="D58" s="13">
        <v>54819.450000000004</v>
      </c>
      <c r="E58" s="14">
        <v>14611.429999999998</v>
      </c>
      <c r="G58" s="3">
        <v>28157.14</v>
      </c>
      <c r="H58" s="13">
        <v>10524.61</v>
      </c>
      <c r="I58" s="13">
        <v>30016.41</v>
      </c>
      <c r="J58" s="13">
        <v>8245.34</v>
      </c>
      <c r="K58" s="3">
        <v>26778.32</v>
      </c>
      <c r="L58" s="13">
        <v>8632.7900000000009</v>
      </c>
      <c r="M58" s="13">
        <v>24803.039999999997</v>
      </c>
      <c r="N58" s="14">
        <v>6366.09</v>
      </c>
      <c r="P58" s="3">
        <f t="shared" si="0"/>
        <v>65593.87</v>
      </c>
      <c r="Q58" s="13">
        <f t="shared" si="1"/>
        <v>56635.659999999996</v>
      </c>
      <c r="R58" s="13">
        <f t="shared" si="2"/>
        <v>53494.96</v>
      </c>
      <c r="S58" s="14">
        <f t="shared" si="3"/>
        <v>53002.380000000005</v>
      </c>
      <c r="U58" s="3">
        <v>48323.79</v>
      </c>
      <c r="V58" s="13">
        <v>17270.079999999998</v>
      </c>
      <c r="W58" s="13">
        <v>43915.31</v>
      </c>
      <c r="X58" s="13">
        <v>12720.35</v>
      </c>
      <c r="Y58" s="3">
        <v>39103.279999999999</v>
      </c>
      <c r="Z58" s="13">
        <v>14391.68</v>
      </c>
      <c r="AA58" s="13">
        <v>42671.12</v>
      </c>
      <c r="AB58" s="14">
        <v>10331.26</v>
      </c>
    </row>
    <row r="59" spans="1:28" x14ac:dyDescent="0.25">
      <c r="A59" s="3">
        <v>9</v>
      </c>
      <c r="B59" s="13">
        <v>71743.960000000006</v>
      </c>
      <c r="C59" s="13">
        <v>29482.45</v>
      </c>
      <c r="D59" s="13">
        <v>72588.37</v>
      </c>
      <c r="E59" s="14">
        <v>23233.760000000002</v>
      </c>
      <c r="G59" s="3">
        <v>43466.69</v>
      </c>
      <c r="H59" s="13">
        <v>17249.240000000002</v>
      </c>
      <c r="I59" s="13">
        <v>41828.730000000003</v>
      </c>
      <c r="J59" s="13">
        <v>13717.46</v>
      </c>
      <c r="K59" s="3">
        <v>28277.269999999997</v>
      </c>
      <c r="L59" s="13">
        <v>12233.21</v>
      </c>
      <c r="M59" s="13">
        <v>30759.640000000003</v>
      </c>
      <c r="N59" s="14">
        <v>9516.2999999999993</v>
      </c>
      <c r="P59" s="3">
        <f t="shared" si="0"/>
        <v>121502.04999999999</v>
      </c>
      <c r="Q59" s="13">
        <f t="shared" si="1"/>
        <v>94497.710999999996</v>
      </c>
      <c r="R59" s="13">
        <f t="shared" si="2"/>
        <v>86017.29</v>
      </c>
      <c r="S59" s="14">
        <f t="shared" si="3"/>
        <v>94655.578000000009</v>
      </c>
      <c r="U59" s="3">
        <v>82672.349999999991</v>
      </c>
      <c r="V59" s="13">
        <v>38829.699999999997</v>
      </c>
      <c r="W59" s="13">
        <v>66956.630999999994</v>
      </c>
      <c r="X59" s="13">
        <v>27541.08</v>
      </c>
      <c r="Y59" s="3">
        <v>65168.679999999993</v>
      </c>
      <c r="Z59" s="13">
        <v>20848.609999999997</v>
      </c>
      <c r="AA59" s="13">
        <v>77100.618000000002</v>
      </c>
      <c r="AB59" s="14">
        <v>17554.960000000003</v>
      </c>
    </row>
    <row r="60" spans="1:28" x14ac:dyDescent="0.25">
      <c r="A60" s="3">
        <v>10</v>
      </c>
      <c r="B60" s="13">
        <v>81814.83</v>
      </c>
      <c r="C60" s="13">
        <v>38395.019999999997</v>
      </c>
      <c r="D60" s="13">
        <v>83699.38</v>
      </c>
      <c r="E60" s="14">
        <v>31318.139999999996</v>
      </c>
      <c r="G60" s="3">
        <v>45952.49</v>
      </c>
      <c r="H60" s="13">
        <v>24455.460000000003</v>
      </c>
      <c r="I60" s="13">
        <v>47022.51</v>
      </c>
      <c r="J60" s="13">
        <v>19820.22</v>
      </c>
      <c r="K60" s="3">
        <v>35862.339999999997</v>
      </c>
      <c r="L60" s="13">
        <v>13939.560000000001</v>
      </c>
      <c r="M60" s="13">
        <v>36676.870000000003</v>
      </c>
      <c r="N60" s="14">
        <v>11497.920000000002</v>
      </c>
      <c r="P60" s="3">
        <f t="shared" si="0"/>
        <v>165880.12900000002</v>
      </c>
      <c r="Q60" s="13">
        <f t="shared" si="1"/>
        <v>155238.44099999999</v>
      </c>
      <c r="R60" s="13">
        <f t="shared" si="2"/>
        <v>80364.149999999994</v>
      </c>
      <c r="S60" s="14">
        <f t="shared" si="3"/>
        <v>70781.489000000001</v>
      </c>
      <c r="U60" s="3">
        <v>124741.429</v>
      </c>
      <c r="V60" s="13">
        <v>41138.699999999997</v>
      </c>
      <c r="W60" s="13">
        <v>122103.031</v>
      </c>
      <c r="X60" s="13">
        <v>33135.409999999996</v>
      </c>
      <c r="Y60" s="3">
        <v>52186.02</v>
      </c>
      <c r="Z60" s="13">
        <v>28178.13</v>
      </c>
      <c r="AA60" s="13">
        <v>49046.638999999996</v>
      </c>
      <c r="AB60" s="14">
        <v>21734.85</v>
      </c>
    </row>
    <row r="61" spans="1:28" x14ac:dyDescent="0.25">
      <c r="A61" s="3">
        <v>11</v>
      </c>
      <c r="B61" s="13">
        <v>81964.22</v>
      </c>
      <c r="C61" s="13">
        <v>41445.93</v>
      </c>
      <c r="D61" s="13">
        <v>84137.58</v>
      </c>
      <c r="E61" s="14">
        <v>34449.419999999991</v>
      </c>
      <c r="G61" s="3">
        <v>53378.869999999995</v>
      </c>
      <c r="H61" s="13">
        <v>27919.73</v>
      </c>
      <c r="I61" s="13">
        <v>52089.11</v>
      </c>
      <c r="J61" s="13">
        <v>22680.66</v>
      </c>
      <c r="K61" s="3">
        <v>28585.35</v>
      </c>
      <c r="L61" s="13">
        <v>13526.199999999999</v>
      </c>
      <c r="M61" s="13">
        <v>32048.47</v>
      </c>
      <c r="N61" s="14">
        <v>11768.76</v>
      </c>
      <c r="P61" s="3">
        <f t="shared" si="0"/>
        <v>126571.05900000001</v>
      </c>
      <c r="Q61" s="13">
        <f t="shared" si="1"/>
        <v>114141.94099999999</v>
      </c>
      <c r="R61" s="13">
        <f t="shared" si="2"/>
        <v>89339.07</v>
      </c>
      <c r="S61" s="14">
        <f t="shared" si="3"/>
        <v>87522.010999999999</v>
      </c>
      <c r="U61" s="3">
        <v>94028.548999999999</v>
      </c>
      <c r="V61" s="13">
        <v>32542.510000000002</v>
      </c>
      <c r="W61" s="13">
        <v>87555.690999999992</v>
      </c>
      <c r="X61" s="13">
        <v>26586.25</v>
      </c>
      <c r="Y61" s="3">
        <v>61924.34</v>
      </c>
      <c r="Z61" s="13">
        <v>27414.730000000003</v>
      </c>
      <c r="AA61" s="13">
        <v>65317.551000000007</v>
      </c>
      <c r="AB61" s="14">
        <v>22204.46</v>
      </c>
    </row>
    <row r="62" spans="1:28" x14ac:dyDescent="0.25">
      <c r="A62" s="3">
        <v>12</v>
      </c>
      <c r="B62" s="13">
        <v>75476.7</v>
      </c>
      <c r="C62" s="13">
        <v>39341.259999999995</v>
      </c>
      <c r="D62" s="13">
        <v>77883.509999999995</v>
      </c>
      <c r="E62" s="14">
        <v>33043.11</v>
      </c>
      <c r="G62" s="3">
        <v>39374.33</v>
      </c>
      <c r="H62" s="13">
        <v>25525.919999999998</v>
      </c>
      <c r="I62" s="13">
        <v>39300.15</v>
      </c>
      <c r="J62" s="13">
        <v>21303.579999999998</v>
      </c>
      <c r="K62" s="3">
        <v>36102.370000000003</v>
      </c>
      <c r="L62" s="13">
        <v>13815.34</v>
      </c>
      <c r="M62" s="13">
        <v>38583.360000000001</v>
      </c>
      <c r="N62" s="14">
        <v>11739.53</v>
      </c>
      <c r="P62" s="3">
        <f t="shared" si="0"/>
        <v>82611.19</v>
      </c>
      <c r="Q62" s="13">
        <f t="shared" si="1"/>
        <v>81139.87</v>
      </c>
      <c r="R62" s="13">
        <f t="shared" si="2"/>
        <v>81107.71100000001</v>
      </c>
      <c r="S62" s="14">
        <f t="shared" si="3"/>
        <v>73701.460999999996</v>
      </c>
      <c r="U62" s="3">
        <v>57155.32</v>
      </c>
      <c r="V62" s="13">
        <v>25455.87</v>
      </c>
      <c r="W62" s="13">
        <v>60179.89</v>
      </c>
      <c r="X62" s="13">
        <v>20959.98</v>
      </c>
      <c r="Y62" s="3">
        <v>60995.571000000004</v>
      </c>
      <c r="Z62" s="13">
        <v>20112.14</v>
      </c>
      <c r="AA62" s="13">
        <v>57471.091</v>
      </c>
      <c r="AB62" s="14">
        <v>16230.369999999999</v>
      </c>
    </row>
    <row r="63" spans="1:28" x14ac:dyDescent="0.25">
      <c r="A63" s="3">
        <v>13</v>
      </c>
      <c r="B63" s="13">
        <v>66249.27</v>
      </c>
      <c r="C63" s="13">
        <v>34221.619999999995</v>
      </c>
      <c r="D63" s="13">
        <v>67344.45</v>
      </c>
      <c r="E63" s="14">
        <v>28358.86</v>
      </c>
      <c r="G63" s="3">
        <v>36165.550000000003</v>
      </c>
      <c r="H63" s="13">
        <v>20188.13</v>
      </c>
      <c r="I63" s="13">
        <v>33381.29</v>
      </c>
      <c r="J63" s="13">
        <v>16375.24</v>
      </c>
      <c r="K63" s="3">
        <v>30083.719999999998</v>
      </c>
      <c r="L63" s="13">
        <v>14033.49</v>
      </c>
      <c r="M63" s="13">
        <v>33963.160000000003</v>
      </c>
      <c r="N63" s="14">
        <v>11983.62</v>
      </c>
      <c r="P63" s="3" t="e">
        <f t="shared" si="0"/>
        <v>#N/A</v>
      </c>
      <c r="Q63" s="13" t="e">
        <f t="shared" si="1"/>
        <v>#N/A</v>
      </c>
      <c r="R63" s="13" t="e">
        <f t="shared" si="2"/>
        <v>#N/A</v>
      </c>
      <c r="S63" s="14" t="e">
        <f t="shared" si="3"/>
        <v>#N/A</v>
      </c>
      <c r="U63" s="3"/>
      <c r="V63" s="13"/>
      <c r="W63" s="13"/>
      <c r="X63" s="13"/>
      <c r="Y63" s="3"/>
      <c r="Z63" s="13"/>
      <c r="AA63" s="13"/>
      <c r="AB63" s="14"/>
    </row>
    <row r="64" spans="1:28" x14ac:dyDescent="0.25">
      <c r="A64" s="3">
        <v>14</v>
      </c>
      <c r="B64" s="13">
        <v>70950.599999999991</v>
      </c>
      <c r="C64" s="13">
        <v>35451.06</v>
      </c>
      <c r="D64" s="13">
        <v>72373.719999999987</v>
      </c>
      <c r="E64" s="14">
        <v>29863.979999999996</v>
      </c>
      <c r="G64" s="3">
        <v>40224.909999999996</v>
      </c>
      <c r="H64" s="13">
        <v>20305.86</v>
      </c>
      <c r="I64" s="13">
        <v>42379.65</v>
      </c>
      <c r="J64" s="13">
        <v>17533.440000000002</v>
      </c>
      <c r="K64" s="3">
        <v>30725.690000000002</v>
      </c>
      <c r="L64" s="13">
        <v>15145.199999999999</v>
      </c>
      <c r="M64" s="13">
        <v>29994.07</v>
      </c>
      <c r="N64" s="14">
        <v>12330.54</v>
      </c>
      <c r="P64" s="3" t="e">
        <f t="shared" si="0"/>
        <v>#N/A</v>
      </c>
      <c r="Q64" s="13" t="e">
        <f t="shared" si="1"/>
        <v>#N/A</v>
      </c>
      <c r="R64" s="13" t="e">
        <f t="shared" si="2"/>
        <v>#N/A</v>
      </c>
      <c r="S64" s="14" t="e">
        <f t="shared" si="3"/>
        <v>#N/A</v>
      </c>
      <c r="U64" s="3"/>
      <c r="V64" s="13"/>
      <c r="W64" s="13"/>
      <c r="X64" s="13"/>
      <c r="Y64" s="3"/>
      <c r="Z64" s="13"/>
      <c r="AA64" s="13"/>
      <c r="AB64" s="14"/>
    </row>
    <row r="65" spans="1:28" x14ac:dyDescent="0.25">
      <c r="A65" s="3">
        <v>15</v>
      </c>
      <c r="B65" s="13">
        <v>74621.489999999991</v>
      </c>
      <c r="C65" s="13">
        <v>37117.880000000005</v>
      </c>
      <c r="D65" s="13">
        <v>77023.13</v>
      </c>
      <c r="E65" s="14">
        <v>30806.07</v>
      </c>
      <c r="G65" s="3">
        <v>42581.66</v>
      </c>
      <c r="H65" s="13">
        <v>20535.28</v>
      </c>
      <c r="I65" s="13">
        <v>42069.179999999993</v>
      </c>
      <c r="J65" s="13">
        <v>16863.989999999998</v>
      </c>
      <c r="K65" s="3">
        <v>32039.829999999998</v>
      </c>
      <c r="L65" s="13">
        <v>16582.599999999999</v>
      </c>
      <c r="M65" s="13">
        <v>34953.949999999997</v>
      </c>
      <c r="N65" s="14">
        <v>13942.08</v>
      </c>
      <c r="P65" s="3" t="e">
        <f t="shared" si="0"/>
        <v>#N/A</v>
      </c>
      <c r="Q65" s="13" t="e">
        <f t="shared" si="1"/>
        <v>#N/A</v>
      </c>
      <c r="R65" s="13" t="e">
        <f t="shared" si="2"/>
        <v>#N/A</v>
      </c>
      <c r="S65" s="14" t="e">
        <f t="shared" si="3"/>
        <v>#N/A</v>
      </c>
      <c r="U65" s="3"/>
      <c r="V65" s="13"/>
      <c r="W65" s="13"/>
      <c r="X65" s="13"/>
      <c r="Y65" s="3"/>
      <c r="Z65" s="13"/>
      <c r="AA65" s="13"/>
      <c r="AB65" s="14"/>
    </row>
    <row r="66" spans="1:28" x14ac:dyDescent="0.25">
      <c r="A66" s="3">
        <v>16</v>
      </c>
      <c r="B66" s="13">
        <v>71554.98000000001</v>
      </c>
      <c r="C66" s="13">
        <v>35566.83</v>
      </c>
      <c r="D66" s="13">
        <v>74255.59</v>
      </c>
      <c r="E66" s="14">
        <v>29375.589999999997</v>
      </c>
      <c r="G66" s="3">
        <v>35733.839999999997</v>
      </c>
      <c r="H66" s="13">
        <v>18034.21</v>
      </c>
      <c r="I66" s="13">
        <v>39121.729999999996</v>
      </c>
      <c r="J66" s="13">
        <v>15217.89</v>
      </c>
      <c r="K66" s="3">
        <v>35821.14</v>
      </c>
      <c r="L66" s="13">
        <v>17532.62</v>
      </c>
      <c r="M66" s="13">
        <v>35133.86</v>
      </c>
      <c r="N66" s="14">
        <v>14157.7</v>
      </c>
      <c r="P66" s="3" t="e">
        <f t="shared" si="0"/>
        <v>#N/A</v>
      </c>
      <c r="Q66" s="13" t="e">
        <f t="shared" si="1"/>
        <v>#N/A</v>
      </c>
      <c r="R66" s="13" t="e">
        <f t="shared" si="2"/>
        <v>#N/A</v>
      </c>
      <c r="S66" s="14" t="e">
        <f t="shared" si="3"/>
        <v>#N/A</v>
      </c>
      <c r="U66" s="3"/>
      <c r="V66" s="13"/>
      <c r="W66" s="13"/>
      <c r="X66" s="13"/>
      <c r="Y66" s="3"/>
      <c r="Z66" s="13"/>
      <c r="AA66" s="13"/>
      <c r="AB66" s="14"/>
    </row>
    <row r="67" spans="1:28" x14ac:dyDescent="0.25">
      <c r="A67" s="3">
        <v>17</v>
      </c>
      <c r="B67" s="13">
        <v>74266.67</v>
      </c>
      <c r="C67" s="13">
        <v>36025.379999999997</v>
      </c>
      <c r="D67" s="13">
        <v>75908.740000000005</v>
      </c>
      <c r="E67" s="14">
        <v>29232.730000000003</v>
      </c>
      <c r="G67" s="3">
        <v>45056.92</v>
      </c>
      <c r="H67" s="13">
        <v>21633.14</v>
      </c>
      <c r="I67" s="13">
        <v>43473.56</v>
      </c>
      <c r="J67" s="13">
        <v>17390.550000000003</v>
      </c>
      <c r="K67" s="3">
        <v>29209.75</v>
      </c>
      <c r="L67" s="13">
        <v>14392.239999999998</v>
      </c>
      <c r="M67" s="13">
        <v>32435.18</v>
      </c>
      <c r="N67" s="14">
        <v>11842.18</v>
      </c>
      <c r="P67" s="3" t="e">
        <f t="shared" ref="P67:P73" si="4">IF(U67="",ERROR.TYPE(7),U67+V67)</f>
        <v>#N/A</v>
      </c>
      <c r="Q67" s="13" t="e">
        <f t="shared" ref="Q67:Q73" si="5">IF(W67="",ERROR.TYPE(7),W67+X67)</f>
        <v>#N/A</v>
      </c>
      <c r="R67" s="13" t="e">
        <f t="shared" ref="R67:R73" si="6">IF(Y67="",ERROR.TYPE(7),Y67+Z67)</f>
        <v>#N/A</v>
      </c>
      <c r="S67" s="14" t="e">
        <f t="shared" ref="S67:S73" si="7">IF(AA67="",ERROR.TYPE(7),AA67+AB67)</f>
        <v>#N/A</v>
      </c>
      <c r="U67" s="3"/>
      <c r="V67" s="13"/>
      <c r="W67" s="13"/>
      <c r="X67" s="13"/>
      <c r="Y67" s="3"/>
      <c r="Z67" s="13"/>
      <c r="AA67" s="13"/>
      <c r="AB67" s="14"/>
    </row>
    <row r="68" spans="1:28" x14ac:dyDescent="0.25">
      <c r="A68" s="3">
        <v>18</v>
      </c>
      <c r="B68" s="13">
        <v>58744.09</v>
      </c>
      <c r="C68" s="13">
        <v>24859.599999999999</v>
      </c>
      <c r="D68" s="13">
        <v>59745.71</v>
      </c>
      <c r="E68" s="14">
        <v>19868.52</v>
      </c>
      <c r="G68" s="3">
        <v>39381.379999999997</v>
      </c>
      <c r="H68" s="13">
        <v>15628.15</v>
      </c>
      <c r="I68" s="13">
        <v>38712.81</v>
      </c>
      <c r="J68" s="13">
        <v>12391.250000000002</v>
      </c>
      <c r="K68" s="3">
        <v>19362.71</v>
      </c>
      <c r="L68" s="13">
        <v>9231.4499999999989</v>
      </c>
      <c r="M68" s="13">
        <v>21032.9</v>
      </c>
      <c r="N68" s="14">
        <v>7477.27</v>
      </c>
      <c r="P68" s="3" t="e">
        <f t="shared" si="4"/>
        <v>#N/A</v>
      </c>
      <c r="Q68" s="13" t="e">
        <f t="shared" si="5"/>
        <v>#N/A</v>
      </c>
      <c r="R68" s="13" t="e">
        <f t="shared" si="6"/>
        <v>#N/A</v>
      </c>
      <c r="S68" s="14" t="e">
        <f t="shared" si="7"/>
        <v>#N/A</v>
      </c>
      <c r="U68" s="3"/>
      <c r="V68" s="13"/>
      <c r="W68" s="13"/>
      <c r="X68" s="13"/>
      <c r="Y68" s="3"/>
      <c r="Z68" s="13"/>
      <c r="AA68" s="13"/>
      <c r="AB68" s="14"/>
    </row>
    <row r="69" spans="1:28" x14ac:dyDescent="0.25">
      <c r="A69" s="3">
        <v>19</v>
      </c>
      <c r="B69" s="13">
        <v>168022.09999999998</v>
      </c>
      <c r="C69" s="13">
        <v>70043.3</v>
      </c>
      <c r="D69" s="13">
        <v>168876.75800000003</v>
      </c>
      <c r="E69" s="14">
        <v>51481.080000000009</v>
      </c>
      <c r="G69" s="3">
        <v>90101.368999999992</v>
      </c>
      <c r="H69" s="13">
        <v>36396.049999999996</v>
      </c>
      <c r="I69" s="13">
        <v>81807.929000000004</v>
      </c>
      <c r="J69" s="13">
        <v>25174.5</v>
      </c>
      <c r="K69" s="3">
        <v>77920.731</v>
      </c>
      <c r="L69" s="13">
        <v>33647.25</v>
      </c>
      <c r="M69" s="13">
        <v>87068.828999999983</v>
      </c>
      <c r="N69" s="14">
        <v>26306.58</v>
      </c>
      <c r="P69" s="3" t="e">
        <f t="shared" si="4"/>
        <v>#N/A</v>
      </c>
      <c r="Q69" s="13" t="e">
        <f t="shared" si="5"/>
        <v>#N/A</v>
      </c>
      <c r="R69" s="13" t="e">
        <f t="shared" si="6"/>
        <v>#N/A</v>
      </c>
      <c r="S69" s="14" t="e">
        <f t="shared" si="7"/>
        <v>#N/A</v>
      </c>
      <c r="U69" s="3"/>
      <c r="V69" s="13"/>
      <c r="W69" s="13"/>
      <c r="X69" s="13"/>
      <c r="Y69" s="3"/>
      <c r="Z69" s="13"/>
      <c r="AA69" s="13"/>
      <c r="AB69" s="14"/>
    </row>
    <row r="70" spans="1:28" x14ac:dyDescent="0.25">
      <c r="A70" s="3">
        <v>20</v>
      </c>
      <c r="B70" s="13">
        <v>132088.48200000002</v>
      </c>
      <c r="C70" s="13">
        <v>57050.380000000005</v>
      </c>
      <c r="D70" s="13">
        <v>135342.15799999997</v>
      </c>
      <c r="E70" s="14">
        <v>41886.35</v>
      </c>
      <c r="G70" s="3">
        <v>66783.070999999996</v>
      </c>
      <c r="H70" s="13">
        <v>26898.04</v>
      </c>
      <c r="I70" s="13">
        <v>74747.959000000003</v>
      </c>
      <c r="J70" s="13">
        <v>20204.690000000002</v>
      </c>
      <c r="K70" s="3">
        <v>65305.411000000007</v>
      </c>
      <c r="L70" s="13">
        <v>30152.34</v>
      </c>
      <c r="M70" s="13">
        <v>60594.199000000001</v>
      </c>
      <c r="N70" s="14">
        <v>21681.660000000003</v>
      </c>
      <c r="P70" s="3" t="e">
        <f t="shared" si="4"/>
        <v>#N/A</v>
      </c>
      <c r="Q70" s="13" t="e">
        <f t="shared" si="5"/>
        <v>#N/A</v>
      </c>
      <c r="R70" s="13" t="e">
        <f t="shared" si="6"/>
        <v>#N/A</v>
      </c>
      <c r="S70" s="14" t="e">
        <f t="shared" si="7"/>
        <v>#N/A</v>
      </c>
      <c r="U70" s="3"/>
      <c r="V70" s="13"/>
      <c r="W70" s="13"/>
      <c r="X70" s="13"/>
      <c r="Y70" s="3"/>
      <c r="Z70" s="13"/>
      <c r="AA70" s="13"/>
      <c r="AB70" s="14"/>
    </row>
    <row r="71" spans="1:28" x14ac:dyDescent="0.25">
      <c r="A71" s="3">
        <v>21</v>
      </c>
      <c r="B71" s="13">
        <v>88669.251000000018</v>
      </c>
      <c r="C71" s="13">
        <v>40310.639999999999</v>
      </c>
      <c r="D71" s="13">
        <v>90603.080000000016</v>
      </c>
      <c r="E71" s="14">
        <v>30028.420000000006</v>
      </c>
      <c r="G71" s="3">
        <v>55075.521000000008</v>
      </c>
      <c r="H71" s="13">
        <v>28358.019999999997</v>
      </c>
      <c r="I71" s="13">
        <v>49338.97</v>
      </c>
      <c r="J71" s="13">
        <v>20450.41</v>
      </c>
      <c r="K71" s="3">
        <v>33593.730000000003</v>
      </c>
      <c r="L71" s="13">
        <v>11952.619999999999</v>
      </c>
      <c r="M71" s="13">
        <v>41264.11</v>
      </c>
      <c r="N71" s="14">
        <v>9578.01</v>
      </c>
      <c r="P71" s="3" t="e">
        <f t="shared" si="4"/>
        <v>#N/A</v>
      </c>
      <c r="Q71" s="13" t="e">
        <f t="shared" si="5"/>
        <v>#N/A</v>
      </c>
      <c r="R71" s="13" t="e">
        <f t="shared" si="6"/>
        <v>#N/A</v>
      </c>
      <c r="S71" s="14" t="e">
        <f t="shared" si="7"/>
        <v>#N/A</v>
      </c>
      <c r="U71" s="3"/>
      <c r="V71" s="13"/>
      <c r="W71" s="13"/>
      <c r="X71" s="13"/>
      <c r="Y71" s="3"/>
      <c r="Z71" s="13"/>
      <c r="AA71" s="13"/>
      <c r="AB71" s="14"/>
    </row>
    <row r="72" spans="1:28" x14ac:dyDescent="0.25">
      <c r="A72" s="3">
        <v>22</v>
      </c>
      <c r="B72" s="13">
        <v>73689.310000000012</v>
      </c>
      <c r="C72" s="13">
        <v>36347.820000000007</v>
      </c>
      <c r="D72" s="13">
        <v>75821</v>
      </c>
      <c r="E72" s="14">
        <v>27990.379999999997</v>
      </c>
      <c r="G72" s="3">
        <v>45167.170000000006</v>
      </c>
      <c r="H72" s="13">
        <v>24557.97</v>
      </c>
      <c r="I72" s="13">
        <v>42715.64</v>
      </c>
      <c r="J72" s="13">
        <v>18227.449999999997</v>
      </c>
      <c r="K72" s="3">
        <v>28522.140000000003</v>
      </c>
      <c r="L72" s="13">
        <v>11789.85</v>
      </c>
      <c r="M72" s="13">
        <v>33105.360000000001</v>
      </c>
      <c r="N72" s="14">
        <v>9762.93</v>
      </c>
      <c r="P72" s="3" t="e">
        <f t="shared" si="4"/>
        <v>#N/A</v>
      </c>
      <c r="Q72" s="13" t="e">
        <f t="shared" si="5"/>
        <v>#N/A</v>
      </c>
      <c r="R72" s="13" t="e">
        <f t="shared" si="6"/>
        <v>#N/A</v>
      </c>
      <c r="S72" s="14" t="e">
        <f t="shared" si="7"/>
        <v>#N/A</v>
      </c>
      <c r="U72" s="3"/>
      <c r="V72" s="13"/>
      <c r="W72" s="13"/>
      <c r="X72" s="13"/>
      <c r="Y72" s="3"/>
      <c r="Z72" s="13"/>
      <c r="AA72" s="13"/>
      <c r="AB72" s="14"/>
    </row>
    <row r="73" spans="1:28" x14ac:dyDescent="0.25">
      <c r="A73" s="15">
        <v>23</v>
      </c>
      <c r="B73" s="16">
        <v>48777.440000000002</v>
      </c>
      <c r="C73" s="16">
        <v>26489.820000000003</v>
      </c>
      <c r="D73" s="16">
        <v>50022.84</v>
      </c>
      <c r="E73" s="17">
        <v>20745.05</v>
      </c>
      <c r="G73" s="15">
        <v>26816.47</v>
      </c>
      <c r="H73" s="16">
        <v>16812.82</v>
      </c>
      <c r="I73" s="16">
        <v>27402.719999999998</v>
      </c>
      <c r="J73" s="16">
        <v>13303.85</v>
      </c>
      <c r="K73" s="15">
        <v>21960.97</v>
      </c>
      <c r="L73" s="16">
        <v>9677</v>
      </c>
      <c r="M73" s="16">
        <v>22620.12</v>
      </c>
      <c r="N73" s="17">
        <v>7441.2</v>
      </c>
      <c r="P73" s="15" t="e">
        <f t="shared" si="4"/>
        <v>#N/A</v>
      </c>
      <c r="Q73" s="16" t="e">
        <f t="shared" si="5"/>
        <v>#N/A</v>
      </c>
      <c r="R73" s="16" t="e">
        <f t="shared" si="6"/>
        <v>#N/A</v>
      </c>
      <c r="S73" s="17" t="e">
        <f t="shared" si="7"/>
        <v>#N/A</v>
      </c>
      <c r="U73" s="15"/>
      <c r="V73" s="16"/>
      <c r="W73" s="16"/>
      <c r="X73" s="16"/>
      <c r="Y73" s="15"/>
      <c r="Z73" s="16"/>
      <c r="AA73" s="16"/>
      <c r="AB73" s="17"/>
    </row>
    <row r="74" spans="1:28" x14ac:dyDescent="0.25">
      <c r="A74" s="21">
        <v>0</v>
      </c>
      <c r="B74" s="22">
        <v>22767.179999999997</v>
      </c>
      <c r="C74" s="22">
        <v>13781.669999999998</v>
      </c>
      <c r="D74" s="22">
        <v>23938.46</v>
      </c>
      <c r="E74" s="23">
        <v>10835.42</v>
      </c>
      <c r="G74" s="21">
        <v>11949.49</v>
      </c>
      <c r="H74" s="22">
        <v>8633.15</v>
      </c>
      <c r="I74" s="22">
        <v>12225.910000000002</v>
      </c>
      <c r="J74" s="22">
        <v>6773.68</v>
      </c>
      <c r="K74" s="21">
        <v>10817.689999999999</v>
      </c>
      <c r="L74" s="22">
        <v>5148.5200000000004</v>
      </c>
      <c r="M74" s="22">
        <v>11712.55</v>
      </c>
      <c r="N74" s="23">
        <v>4061.74</v>
      </c>
    </row>
    <row r="75" spans="1:28" x14ac:dyDescent="0.25">
      <c r="A75" s="3">
        <v>1</v>
      </c>
      <c r="B75" s="13">
        <v>10315.279999999999</v>
      </c>
      <c r="C75" s="13">
        <v>6441.7900000000009</v>
      </c>
      <c r="D75" s="13">
        <v>11049.149999999998</v>
      </c>
      <c r="E75" s="14">
        <v>5074.0400000000009</v>
      </c>
      <c r="G75" s="3">
        <v>4147.57</v>
      </c>
      <c r="H75" s="13">
        <v>2356.3999999999996</v>
      </c>
      <c r="I75" s="13">
        <v>4784.1499999999996</v>
      </c>
      <c r="J75" s="13">
        <v>1868.7799999999997</v>
      </c>
      <c r="K75" s="3">
        <v>6167.7100000000009</v>
      </c>
      <c r="L75" s="13">
        <v>4085.3900000000003</v>
      </c>
      <c r="M75" s="13">
        <v>6265</v>
      </c>
      <c r="N75" s="14">
        <v>3205.2599999999998</v>
      </c>
    </row>
    <row r="76" spans="1:28" x14ac:dyDescent="0.25">
      <c r="A76" s="3">
        <v>2</v>
      </c>
      <c r="B76" s="13">
        <v>7484.75</v>
      </c>
      <c r="C76" s="13">
        <v>3995.5099999999998</v>
      </c>
      <c r="D76" s="13">
        <v>7914.43</v>
      </c>
      <c r="E76" s="14">
        <v>3063.82</v>
      </c>
      <c r="G76" s="3">
        <v>4415.09</v>
      </c>
      <c r="H76" s="13">
        <v>2366.5</v>
      </c>
      <c r="I76" s="13">
        <v>4819.1099999999997</v>
      </c>
      <c r="J76" s="13">
        <v>1873.23</v>
      </c>
      <c r="K76" s="3">
        <v>3069.6600000000003</v>
      </c>
      <c r="L76" s="13">
        <v>1629.01</v>
      </c>
      <c r="M76" s="13">
        <v>3095.3199999999997</v>
      </c>
      <c r="N76" s="14">
        <v>1190.5900000000001</v>
      </c>
    </row>
    <row r="77" spans="1:28" x14ac:dyDescent="0.25">
      <c r="A77" s="3">
        <v>3</v>
      </c>
      <c r="B77" s="13">
        <v>19369.29</v>
      </c>
      <c r="C77" s="13">
        <v>8129.5199999999995</v>
      </c>
      <c r="D77" s="13">
        <v>19199.97</v>
      </c>
      <c r="E77" s="14">
        <v>5719.92</v>
      </c>
      <c r="G77" s="3">
        <v>7830.38</v>
      </c>
      <c r="H77" s="13">
        <v>3807.0999999999995</v>
      </c>
      <c r="I77" s="13">
        <v>8211.33</v>
      </c>
      <c r="J77" s="13">
        <v>2816.3900000000003</v>
      </c>
      <c r="K77" s="3">
        <v>11538.91</v>
      </c>
      <c r="L77" s="13">
        <v>4322.42</v>
      </c>
      <c r="M77" s="13">
        <v>10988.64</v>
      </c>
      <c r="N77" s="14">
        <v>2903.53</v>
      </c>
    </row>
    <row r="78" spans="1:28" x14ac:dyDescent="0.25">
      <c r="A78" s="3">
        <v>4</v>
      </c>
      <c r="B78" s="13">
        <v>11430.890000000001</v>
      </c>
      <c r="C78" s="13">
        <v>5829.9100000000008</v>
      </c>
      <c r="D78" s="13">
        <v>12063.860000000002</v>
      </c>
      <c r="E78" s="14">
        <v>3997.46</v>
      </c>
      <c r="G78" s="3">
        <v>7277.99</v>
      </c>
      <c r="H78" s="13">
        <v>3782.03</v>
      </c>
      <c r="I78" s="13">
        <v>6822.1100000000015</v>
      </c>
      <c r="J78" s="13">
        <v>2417.4300000000003</v>
      </c>
      <c r="K78" s="3">
        <v>4152.8999999999996</v>
      </c>
      <c r="L78" s="13">
        <v>2047.88</v>
      </c>
      <c r="M78" s="13">
        <v>5241.75</v>
      </c>
      <c r="N78" s="14">
        <v>1580.03</v>
      </c>
    </row>
    <row r="79" spans="1:28" x14ac:dyDescent="0.25">
      <c r="A79" s="3">
        <v>5</v>
      </c>
      <c r="B79" s="13">
        <v>7524.9299999999994</v>
      </c>
      <c r="C79" s="13">
        <v>2624.7200000000003</v>
      </c>
      <c r="D79" s="13">
        <v>7629.35</v>
      </c>
      <c r="E79" s="14">
        <v>1989.0199999999998</v>
      </c>
      <c r="G79" s="3">
        <v>4402.71</v>
      </c>
      <c r="H79" s="13">
        <v>1635.21</v>
      </c>
      <c r="I79" s="13">
        <v>4165.79</v>
      </c>
      <c r="J79" s="13">
        <v>1195.98</v>
      </c>
      <c r="K79" s="3">
        <v>3122.2200000000003</v>
      </c>
      <c r="L79" s="13">
        <v>989.51</v>
      </c>
      <c r="M79" s="13">
        <v>3463.5600000000004</v>
      </c>
      <c r="N79" s="14">
        <v>793.04</v>
      </c>
    </row>
    <row r="80" spans="1:28" x14ac:dyDescent="0.25">
      <c r="A80" s="3">
        <v>6</v>
      </c>
      <c r="B80" s="13">
        <v>20143.429999999997</v>
      </c>
      <c r="C80" s="13">
        <v>5527.02</v>
      </c>
      <c r="D80" s="13">
        <v>19547.36</v>
      </c>
      <c r="E80" s="14">
        <v>4107.67</v>
      </c>
      <c r="G80" s="3">
        <v>8832.8700000000008</v>
      </c>
      <c r="H80" s="13">
        <v>2648.56</v>
      </c>
      <c r="I80" s="13">
        <v>7480.83</v>
      </c>
      <c r="J80" s="13">
        <v>1859.18</v>
      </c>
      <c r="K80" s="3">
        <v>11310.560000000001</v>
      </c>
      <c r="L80" s="13">
        <v>2878.46</v>
      </c>
      <c r="M80" s="13">
        <v>12066.530000000002</v>
      </c>
      <c r="N80" s="14">
        <v>2248.4900000000002</v>
      </c>
    </row>
    <row r="81" spans="1:14" x14ac:dyDescent="0.25">
      <c r="A81" s="3">
        <v>7</v>
      </c>
      <c r="B81" s="13">
        <v>37049.550000000003</v>
      </c>
      <c r="C81" s="13">
        <v>10756.89</v>
      </c>
      <c r="D81" s="13">
        <v>35928.21</v>
      </c>
      <c r="E81" s="14">
        <v>8086.26</v>
      </c>
      <c r="G81" s="3">
        <v>19283.669999999998</v>
      </c>
      <c r="H81" s="13">
        <v>6024.01</v>
      </c>
      <c r="I81" s="13">
        <v>19951.670000000002</v>
      </c>
      <c r="J81" s="13">
        <v>4652.1400000000003</v>
      </c>
      <c r="K81" s="3">
        <v>17765.88</v>
      </c>
      <c r="L81" s="13">
        <v>4732.88</v>
      </c>
      <c r="M81" s="13">
        <v>15976.54</v>
      </c>
      <c r="N81" s="14">
        <v>3434.12</v>
      </c>
    </row>
    <row r="82" spans="1:14" x14ac:dyDescent="0.25">
      <c r="A82" s="3">
        <v>8</v>
      </c>
      <c r="B82" s="13">
        <v>55609.21</v>
      </c>
      <c r="C82" s="13">
        <v>18778.939999999999</v>
      </c>
      <c r="D82" s="13">
        <v>55577.960000000006</v>
      </c>
      <c r="E82" s="14">
        <v>14490.779999999999</v>
      </c>
      <c r="G82" s="3">
        <v>31063.41</v>
      </c>
      <c r="H82" s="13">
        <v>8647.8799999999992</v>
      </c>
      <c r="I82" s="13">
        <v>34298.130000000005</v>
      </c>
      <c r="J82" s="13">
        <v>7287.2800000000007</v>
      </c>
      <c r="K82" s="3">
        <v>24545.8</v>
      </c>
      <c r="L82" s="13">
        <v>10131.06</v>
      </c>
      <c r="M82" s="13">
        <v>21279.83</v>
      </c>
      <c r="N82" s="14">
        <v>7203.5</v>
      </c>
    </row>
    <row r="83" spans="1:14" x14ac:dyDescent="0.25">
      <c r="A83" s="3">
        <v>9</v>
      </c>
      <c r="B83" s="13">
        <v>72564.23</v>
      </c>
      <c r="C83" s="13">
        <v>28852.15</v>
      </c>
      <c r="D83" s="13">
        <v>73303.61</v>
      </c>
      <c r="E83" s="14">
        <v>22591.18</v>
      </c>
      <c r="G83" s="3">
        <v>44179.99</v>
      </c>
      <c r="H83" s="13">
        <v>15938.77</v>
      </c>
      <c r="I83" s="13">
        <v>49318.369999999995</v>
      </c>
      <c r="J83" s="13">
        <v>12903.5</v>
      </c>
      <c r="K83" s="3">
        <v>28384.239999999998</v>
      </c>
      <c r="L83" s="13">
        <v>12913.380000000001</v>
      </c>
      <c r="M83" s="13">
        <v>23985.239999999998</v>
      </c>
      <c r="N83" s="14">
        <v>9687.68</v>
      </c>
    </row>
    <row r="84" spans="1:14" x14ac:dyDescent="0.25">
      <c r="A84" s="3">
        <v>10</v>
      </c>
      <c r="B84" s="13">
        <v>83803.91</v>
      </c>
      <c r="C84" s="13">
        <v>37638.009999999995</v>
      </c>
      <c r="D84" s="13">
        <v>85143.099999999991</v>
      </c>
      <c r="E84" s="14">
        <v>30077.499999999996</v>
      </c>
      <c r="G84" s="3">
        <v>47056.45</v>
      </c>
      <c r="H84" s="13">
        <v>23850.269999999997</v>
      </c>
      <c r="I84" s="13">
        <v>41978.25</v>
      </c>
      <c r="J84" s="13">
        <v>18263.43</v>
      </c>
      <c r="K84" s="3">
        <v>36747.460000000006</v>
      </c>
      <c r="L84" s="13">
        <v>13787.74</v>
      </c>
      <c r="M84" s="13">
        <v>43164.850000000006</v>
      </c>
      <c r="N84" s="14">
        <v>11814.07</v>
      </c>
    </row>
    <row r="85" spans="1:14" x14ac:dyDescent="0.25">
      <c r="A85" s="3">
        <v>11</v>
      </c>
      <c r="B85" s="13">
        <v>84195.33</v>
      </c>
      <c r="C85" s="13">
        <v>40905.679999999993</v>
      </c>
      <c r="D85" s="13">
        <v>85923.94</v>
      </c>
      <c r="E85" s="14">
        <v>33201.660000000003</v>
      </c>
      <c r="G85" s="3">
        <v>49537.87</v>
      </c>
      <c r="H85" s="13">
        <v>24135.21</v>
      </c>
      <c r="I85" s="13">
        <v>48118.810000000005</v>
      </c>
      <c r="J85" s="13">
        <v>19483.77</v>
      </c>
      <c r="K85" s="3">
        <v>34657.46</v>
      </c>
      <c r="L85" s="13">
        <v>16770.47</v>
      </c>
      <c r="M85" s="13">
        <v>37805.130000000005</v>
      </c>
      <c r="N85" s="14">
        <v>13717.89</v>
      </c>
    </row>
    <row r="86" spans="1:14" x14ac:dyDescent="0.25">
      <c r="A86" s="3">
        <v>12</v>
      </c>
      <c r="B86" s="13">
        <v>78025.989999999991</v>
      </c>
      <c r="C86" s="13">
        <v>39352.050000000003</v>
      </c>
      <c r="D86" s="13">
        <v>79756.11</v>
      </c>
      <c r="E86" s="14">
        <v>32284.15</v>
      </c>
      <c r="G86" s="3">
        <v>45799.93</v>
      </c>
      <c r="H86" s="13">
        <v>27060.510000000002</v>
      </c>
      <c r="I86" s="13">
        <v>41220.47</v>
      </c>
      <c r="J86" s="13">
        <v>21564.89</v>
      </c>
      <c r="K86" s="3">
        <v>32226.059999999998</v>
      </c>
      <c r="L86" s="13">
        <v>12291.539999999999</v>
      </c>
      <c r="M86" s="13">
        <v>38535.64</v>
      </c>
      <c r="N86" s="14">
        <v>10719.26</v>
      </c>
    </row>
    <row r="87" spans="1:14" x14ac:dyDescent="0.25">
      <c r="A87" s="3">
        <v>13</v>
      </c>
      <c r="B87" s="13">
        <v>69000.01999999999</v>
      </c>
      <c r="C87" s="13">
        <v>34276.680000000008</v>
      </c>
      <c r="D87" s="13">
        <v>69945.61</v>
      </c>
      <c r="E87" s="14">
        <v>27793.87</v>
      </c>
      <c r="G87" s="3">
        <v>36370.269999999997</v>
      </c>
      <c r="H87" s="13">
        <v>17180.690000000002</v>
      </c>
      <c r="I87" s="13">
        <v>38663.579999999994</v>
      </c>
      <c r="J87" s="13">
        <v>14576.249999999998</v>
      </c>
      <c r="K87" s="3">
        <v>32629.75</v>
      </c>
      <c r="L87" s="13">
        <v>17095.990000000002</v>
      </c>
      <c r="M87" s="13">
        <v>31282.03</v>
      </c>
      <c r="N87" s="14">
        <v>13217.62</v>
      </c>
    </row>
    <row r="88" spans="1:14" x14ac:dyDescent="0.25">
      <c r="A88" s="3">
        <v>14</v>
      </c>
      <c r="B88" s="13">
        <v>71175.05</v>
      </c>
      <c r="C88" s="13">
        <v>34587.72</v>
      </c>
      <c r="D88" s="13">
        <v>72314.41</v>
      </c>
      <c r="E88" s="14">
        <v>28898.42</v>
      </c>
      <c r="G88" s="3">
        <v>40514.11</v>
      </c>
      <c r="H88" s="13">
        <v>14539.96</v>
      </c>
      <c r="I88" s="13">
        <v>42069.42</v>
      </c>
      <c r="J88" s="13">
        <v>12439.29</v>
      </c>
      <c r="K88" s="3">
        <v>30660.94</v>
      </c>
      <c r="L88" s="13">
        <v>20047.760000000002</v>
      </c>
      <c r="M88" s="13">
        <v>30244.989999999998</v>
      </c>
      <c r="N88" s="14">
        <v>16459.130000000005</v>
      </c>
    </row>
    <row r="89" spans="1:14" x14ac:dyDescent="0.25">
      <c r="A89" s="3">
        <v>15</v>
      </c>
      <c r="B89" s="13">
        <v>71621.149999999994</v>
      </c>
      <c r="C89" s="13">
        <v>34961.670000000006</v>
      </c>
      <c r="D89" s="13">
        <v>73577.609999999986</v>
      </c>
      <c r="E89" s="14">
        <v>28799.279999999999</v>
      </c>
      <c r="G89" s="3">
        <v>43378.119999999995</v>
      </c>
      <c r="H89" s="13">
        <v>23747.739999999998</v>
      </c>
      <c r="I89" s="13">
        <v>40438.79</v>
      </c>
      <c r="J89" s="13">
        <v>18848.579999999998</v>
      </c>
      <c r="K89" s="3">
        <v>28243.03</v>
      </c>
      <c r="L89" s="13">
        <v>11213.93</v>
      </c>
      <c r="M89" s="13">
        <v>33138.82</v>
      </c>
      <c r="N89" s="14">
        <v>9950.7000000000007</v>
      </c>
    </row>
    <row r="90" spans="1:14" x14ac:dyDescent="0.25">
      <c r="A90" s="3">
        <v>16</v>
      </c>
      <c r="B90" s="13">
        <v>68914.350000000006</v>
      </c>
      <c r="C90" s="13">
        <v>34114.97</v>
      </c>
      <c r="D90" s="13">
        <v>71049.609999999986</v>
      </c>
      <c r="E90" s="14">
        <v>28055</v>
      </c>
      <c r="G90" s="3">
        <v>41265.32</v>
      </c>
      <c r="H90" s="13">
        <v>20036.41</v>
      </c>
      <c r="I90" s="13">
        <v>40630.94</v>
      </c>
      <c r="J90" s="13">
        <v>16348.789999999999</v>
      </c>
      <c r="K90" s="3">
        <v>27649.03</v>
      </c>
      <c r="L90" s="13">
        <v>14078.560000000001</v>
      </c>
      <c r="M90" s="13">
        <v>30418.670000000002</v>
      </c>
      <c r="N90" s="14">
        <v>11706.21</v>
      </c>
    </row>
    <row r="91" spans="1:14" x14ac:dyDescent="0.25">
      <c r="A91" s="3">
        <v>17</v>
      </c>
      <c r="B91" s="13">
        <v>71526.7</v>
      </c>
      <c r="C91" s="13">
        <v>35298.639999999999</v>
      </c>
      <c r="D91" s="13">
        <v>73042.62999999999</v>
      </c>
      <c r="E91" s="14">
        <v>28722.780000000002</v>
      </c>
      <c r="G91" s="3">
        <v>40654.89</v>
      </c>
      <c r="H91" s="13">
        <v>19875.97</v>
      </c>
      <c r="I91" s="13">
        <v>44440.31</v>
      </c>
      <c r="J91" s="13">
        <v>16705.11</v>
      </c>
      <c r="K91" s="3">
        <v>30871.809999999998</v>
      </c>
      <c r="L91" s="13">
        <v>15422.670000000002</v>
      </c>
      <c r="M91" s="13">
        <v>28602.319999999996</v>
      </c>
      <c r="N91" s="14">
        <v>12017.67</v>
      </c>
    </row>
    <row r="92" spans="1:14" x14ac:dyDescent="0.25">
      <c r="A92" s="3">
        <v>18</v>
      </c>
      <c r="B92" s="13">
        <v>57607.020000000004</v>
      </c>
      <c r="C92" s="13">
        <v>25184.27</v>
      </c>
      <c r="D92" s="13">
        <v>57674.099999999991</v>
      </c>
      <c r="E92" s="14">
        <v>20082.550000000003</v>
      </c>
      <c r="G92" s="3">
        <v>29166.1</v>
      </c>
      <c r="H92" s="13">
        <v>11666.99</v>
      </c>
      <c r="I92" s="13">
        <v>31905.53</v>
      </c>
      <c r="J92" s="13">
        <v>9672.8100000000013</v>
      </c>
      <c r="K92" s="3">
        <v>28440.92</v>
      </c>
      <c r="L92" s="13">
        <v>13517.279999999999</v>
      </c>
      <c r="M92" s="13">
        <v>25768.57</v>
      </c>
      <c r="N92" s="14">
        <v>10409.740000000002</v>
      </c>
    </row>
    <row r="93" spans="1:14" x14ac:dyDescent="0.25">
      <c r="A93" s="3">
        <v>19</v>
      </c>
      <c r="B93" s="13">
        <v>156176.05900000001</v>
      </c>
      <c r="C93" s="13">
        <v>66363.850000000006</v>
      </c>
      <c r="D93" s="13">
        <v>155755.50900000002</v>
      </c>
      <c r="E93" s="14">
        <v>50046.46</v>
      </c>
      <c r="G93" s="3">
        <v>81578.109999999986</v>
      </c>
      <c r="H93" s="13">
        <v>35719.910000000003</v>
      </c>
      <c r="I93" s="13">
        <v>74022.068999999989</v>
      </c>
      <c r="J93" s="13">
        <v>26072.57</v>
      </c>
      <c r="K93" s="3">
        <v>74597.948999999993</v>
      </c>
      <c r="L93" s="13">
        <v>30643.940000000002</v>
      </c>
      <c r="M93" s="13">
        <v>81733.440000000002</v>
      </c>
      <c r="N93" s="14">
        <v>23973.89</v>
      </c>
    </row>
    <row r="94" spans="1:14" x14ac:dyDescent="0.25">
      <c r="A94" s="3">
        <v>20</v>
      </c>
      <c r="B94" s="13">
        <v>135223.26</v>
      </c>
      <c r="C94" s="13">
        <v>58654.740000000005</v>
      </c>
      <c r="D94" s="13">
        <v>137359.432</v>
      </c>
      <c r="E94" s="14">
        <v>44127.12</v>
      </c>
      <c r="G94" s="3">
        <v>85134.2</v>
      </c>
      <c r="H94" s="13">
        <v>35125.22</v>
      </c>
      <c r="I94" s="13">
        <v>82092.481</v>
      </c>
      <c r="J94" s="13">
        <v>26763.190000000002</v>
      </c>
      <c r="K94" s="3">
        <v>50089.060000000005</v>
      </c>
      <c r="L94" s="13">
        <v>23529.52</v>
      </c>
      <c r="M94" s="13">
        <v>55266.951000000001</v>
      </c>
      <c r="N94" s="14">
        <v>17363.93</v>
      </c>
    </row>
    <row r="95" spans="1:14" x14ac:dyDescent="0.25">
      <c r="A95" s="3">
        <v>21</v>
      </c>
      <c r="B95" s="13">
        <v>121367.08900000001</v>
      </c>
      <c r="C95" s="13">
        <v>52879.56</v>
      </c>
      <c r="D95" s="13">
        <v>122905.54800000001</v>
      </c>
      <c r="E95" s="14">
        <v>40207.06</v>
      </c>
      <c r="G95" s="3">
        <v>79118.088999999993</v>
      </c>
      <c r="H95" s="13">
        <v>35161.819999999992</v>
      </c>
      <c r="I95" s="13">
        <v>76381.158999999985</v>
      </c>
      <c r="J95" s="13">
        <v>26342.129999999997</v>
      </c>
      <c r="K95" s="3">
        <v>42249</v>
      </c>
      <c r="L95" s="13">
        <v>17717.740000000002</v>
      </c>
      <c r="M95" s="13">
        <v>46524.389000000003</v>
      </c>
      <c r="N95" s="14">
        <v>13864.93</v>
      </c>
    </row>
    <row r="96" spans="1:14" x14ac:dyDescent="0.25">
      <c r="A96" s="3">
        <v>22</v>
      </c>
      <c r="B96" s="13">
        <v>91595.361000000004</v>
      </c>
      <c r="C96" s="13">
        <v>43884.800000000003</v>
      </c>
      <c r="D96" s="13">
        <v>93977.2</v>
      </c>
      <c r="E96" s="14">
        <v>34416.810000000005</v>
      </c>
      <c r="G96" s="3">
        <v>50602.33</v>
      </c>
      <c r="H96" s="13">
        <v>27802.550000000003</v>
      </c>
      <c r="I96" s="13">
        <v>51777.99</v>
      </c>
      <c r="J96" s="13">
        <v>22215.309999999998</v>
      </c>
      <c r="K96" s="3">
        <v>40993.031000000003</v>
      </c>
      <c r="L96" s="13">
        <v>16082.25</v>
      </c>
      <c r="M96" s="13">
        <v>42199.21</v>
      </c>
      <c r="N96" s="14">
        <v>12201.5</v>
      </c>
    </row>
    <row r="97" spans="1:14" x14ac:dyDescent="0.25">
      <c r="A97" s="15">
        <v>23</v>
      </c>
      <c r="B97" s="16">
        <v>45872.000000000007</v>
      </c>
      <c r="C97" s="16">
        <v>25402.120000000006</v>
      </c>
      <c r="D97" s="16">
        <v>47547.78</v>
      </c>
      <c r="E97" s="17">
        <v>20480.169999999998</v>
      </c>
      <c r="G97" s="15">
        <v>22181.05</v>
      </c>
      <c r="H97" s="16">
        <v>10481.119999999999</v>
      </c>
      <c r="I97" s="16">
        <v>23105.16</v>
      </c>
      <c r="J97" s="16">
        <v>8410.16</v>
      </c>
      <c r="K97" s="15">
        <v>23690.949999999997</v>
      </c>
      <c r="L97" s="16">
        <v>14921</v>
      </c>
      <c r="M97" s="16">
        <v>24442.62</v>
      </c>
      <c r="N97" s="17">
        <v>12070.01</v>
      </c>
    </row>
    <row r="98" spans="1:14" x14ac:dyDescent="0.25">
      <c r="A98" s="21">
        <v>0</v>
      </c>
      <c r="B98" s="22">
        <v>20002.96</v>
      </c>
      <c r="C98" s="22">
        <v>12302.130000000001</v>
      </c>
      <c r="D98" s="22">
        <v>21174.329999999998</v>
      </c>
      <c r="E98" s="23">
        <v>10065.44</v>
      </c>
      <c r="G98" s="21">
        <v>10408.369999999999</v>
      </c>
      <c r="H98" s="22">
        <v>6493.66</v>
      </c>
      <c r="I98" s="22">
        <v>11148.6</v>
      </c>
      <c r="J98" s="22">
        <v>5407.09</v>
      </c>
      <c r="K98" s="21">
        <v>9594.59</v>
      </c>
      <c r="L98" s="22">
        <v>5808.4699999999993</v>
      </c>
      <c r="M98" s="22">
        <v>10025.730000000001</v>
      </c>
      <c r="N98" s="23">
        <v>4658.3500000000004</v>
      </c>
    </row>
    <row r="99" spans="1:14" x14ac:dyDescent="0.25">
      <c r="A99" s="3">
        <v>1</v>
      </c>
      <c r="B99" s="13">
        <v>9245.4600000000009</v>
      </c>
      <c r="C99" s="13">
        <v>5912.47</v>
      </c>
      <c r="D99" s="13">
        <v>10021.92</v>
      </c>
      <c r="E99" s="14">
        <v>4729.4199999999992</v>
      </c>
      <c r="G99" s="3">
        <v>6223.1799999999994</v>
      </c>
      <c r="H99" s="13">
        <v>3583.73</v>
      </c>
      <c r="I99" s="13">
        <v>6508.57</v>
      </c>
      <c r="J99" s="13">
        <v>2952.5599999999995</v>
      </c>
      <c r="K99" s="3">
        <v>3022.2799999999997</v>
      </c>
      <c r="L99" s="13">
        <v>2328.7399999999998</v>
      </c>
      <c r="M99" s="13">
        <v>3513.35</v>
      </c>
      <c r="N99" s="14">
        <v>1776.8600000000001</v>
      </c>
    </row>
    <row r="100" spans="1:14" x14ac:dyDescent="0.25">
      <c r="A100" s="3">
        <v>2</v>
      </c>
      <c r="B100" s="13">
        <v>7006.9000000000005</v>
      </c>
      <c r="C100" s="13">
        <v>3634.1500000000005</v>
      </c>
      <c r="D100" s="13">
        <v>7299.96</v>
      </c>
      <c r="E100" s="14">
        <v>2910.8700000000003</v>
      </c>
      <c r="G100" s="3">
        <v>3938.85</v>
      </c>
      <c r="H100" s="13">
        <v>1891.81</v>
      </c>
      <c r="I100" s="13">
        <v>4217.7700000000004</v>
      </c>
      <c r="J100" s="13">
        <v>1541.6799999999998</v>
      </c>
      <c r="K100" s="3">
        <v>3068.05</v>
      </c>
      <c r="L100" s="13">
        <v>1742.3400000000001</v>
      </c>
      <c r="M100" s="13">
        <v>3082.1899999999996</v>
      </c>
      <c r="N100" s="14">
        <v>1369.1899999999998</v>
      </c>
    </row>
    <row r="101" spans="1:14" x14ac:dyDescent="0.25">
      <c r="A101" s="3">
        <v>3</v>
      </c>
      <c r="B101" s="13">
        <v>18675.850000000002</v>
      </c>
      <c r="C101" s="13">
        <v>7809.26</v>
      </c>
      <c r="D101" s="13">
        <v>18436.2</v>
      </c>
      <c r="E101" s="14">
        <v>5559.5699999999988</v>
      </c>
      <c r="G101" s="3">
        <v>11600.2</v>
      </c>
      <c r="H101" s="13">
        <v>4596.1499999999996</v>
      </c>
      <c r="I101" s="13">
        <v>10931.09</v>
      </c>
      <c r="J101" s="13">
        <v>3298.8199999999997</v>
      </c>
      <c r="K101" s="3">
        <v>7075.65</v>
      </c>
      <c r="L101" s="13">
        <v>3213.1099999999997</v>
      </c>
      <c r="M101" s="13">
        <v>7505.1100000000006</v>
      </c>
      <c r="N101" s="14">
        <v>2260.75</v>
      </c>
    </row>
    <row r="102" spans="1:14" x14ac:dyDescent="0.25">
      <c r="A102" s="3">
        <v>4</v>
      </c>
      <c r="B102" s="13">
        <v>12376.29</v>
      </c>
      <c r="C102" s="13">
        <v>6134.9400000000005</v>
      </c>
      <c r="D102" s="13">
        <v>12951.050000000001</v>
      </c>
      <c r="E102" s="14">
        <v>4284.74</v>
      </c>
      <c r="G102" s="3">
        <v>6253.13</v>
      </c>
      <c r="H102" s="13">
        <v>3315.08</v>
      </c>
      <c r="I102" s="13">
        <v>6901.0199999999986</v>
      </c>
      <c r="J102" s="13">
        <v>2422.81</v>
      </c>
      <c r="K102" s="3">
        <v>6123.16</v>
      </c>
      <c r="L102" s="13">
        <v>2819.8599999999997</v>
      </c>
      <c r="M102" s="13">
        <v>6050.0300000000007</v>
      </c>
      <c r="N102" s="14">
        <v>1861.9299999999998</v>
      </c>
    </row>
    <row r="103" spans="1:14" x14ac:dyDescent="0.25">
      <c r="A103" s="3">
        <v>5</v>
      </c>
      <c r="B103" s="13">
        <v>8057.27</v>
      </c>
      <c r="C103" s="13">
        <v>2962.26</v>
      </c>
      <c r="D103" s="13">
        <v>8100.6299999999992</v>
      </c>
      <c r="E103" s="14">
        <v>2349.8500000000004</v>
      </c>
      <c r="G103" s="3">
        <v>4954.41</v>
      </c>
      <c r="H103" s="13">
        <v>1954.8400000000001</v>
      </c>
      <c r="I103" s="13">
        <v>4778.04</v>
      </c>
      <c r="J103" s="13">
        <v>1555.6800000000003</v>
      </c>
      <c r="K103" s="3">
        <v>3102.86</v>
      </c>
      <c r="L103" s="13">
        <v>1007.4200000000001</v>
      </c>
      <c r="M103" s="13">
        <v>3322.5899999999997</v>
      </c>
      <c r="N103" s="14">
        <v>794.17000000000007</v>
      </c>
    </row>
    <row r="104" spans="1:14" x14ac:dyDescent="0.25">
      <c r="A104" s="3">
        <v>6</v>
      </c>
      <c r="B104" s="13">
        <v>19456.300000000003</v>
      </c>
      <c r="C104" s="13">
        <v>5546.75</v>
      </c>
      <c r="D104" s="13">
        <v>18864.059999999998</v>
      </c>
      <c r="E104" s="14">
        <v>4231.4800000000005</v>
      </c>
      <c r="G104" s="3">
        <v>10754.220000000001</v>
      </c>
      <c r="H104" s="13">
        <v>3271.25</v>
      </c>
      <c r="I104" s="13">
        <v>9897.6299999999992</v>
      </c>
      <c r="J104" s="13">
        <v>2498.1</v>
      </c>
      <c r="K104" s="3">
        <v>8702.08</v>
      </c>
      <c r="L104" s="13">
        <v>2275.5</v>
      </c>
      <c r="M104" s="13">
        <v>8966.43</v>
      </c>
      <c r="N104" s="14">
        <v>1733.38</v>
      </c>
    </row>
    <row r="105" spans="1:14" x14ac:dyDescent="0.25">
      <c r="A105" s="3">
        <v>7</v>
      </c>
      <c r="B105" s="13">
        <v>36711.710000000006</v>
      </c>
      <c r="C105" s="13">
        <v>10661.849999999999</v>
      </c>
      <c r="D105" s="13">
        <v>35599.99</v>
      </c>
      <c r="E105" s="14">
        <v>8004.2100000000009</v>
      </c>
      <c r="G105" s="3">
        <v>19852.45</v>
      </c>
      <c r="H105" s="13">
        <v>5766.72</v>
      </c>
      <c r="I105" s="13">
        <v>20116.100000000002</v>
      </c>
      <c r="J105" s="13">
        <v>4513.0599999999995</v>
      </c>
      <c r="K105" s="3">
        <v>16859.259999999998</v>
      </c>
      <c r="L105" s="13">
        <v>4895.13</v>
      </c>
      <c r="M105" s="13">
        <v>15483.89</v>
      </c>
      <c r="N105" s="14">
        <v>3491.1499999999996</v>
      </c>
    </row>
    <row r="106" spans="1:14" x14ac:dyDescent="0.25">
      <c r="A106" s="3">
        <v>8</v>
      </c>
      <c r="B106" s="13">
        <v>55990.250000000007</v>
      </c>
      <c r="C106" s="13">
        <v>18810.02</v>
      </c>
      <c r="D106" s="13">
        <v>56010.96</v>
      </c>
      <c r="E106" s="14">
        <v>14563.950000000003</v>
      </c>
      <c r="G106" s="3">
        <v>33074.720000000001</v>
      </c>
      <c r="H106" s="13">
        <v>9905.42</v>
      </c>
      <c r="I106" s="13">
        <v>33051.14</v>
      </c>
      <c r="J106" s="13">
        <v>7522.84</v>
      </c>
      <c r="K106" s="3">
        <v>22915.53</v>
      </c>
      <c r="L106" s="13">
        <v>8904.6</v>
      </c>
      <c r="M106" s="13">
        <v>22959.82</v>
      </c>
      <c r="N106" s="14">
        <v>7041.1100000000006</v>
      </c>
    </row>
    <row r="107" spans="1:14" x14ac:dyDescent="0.25">
      <c r="A107" s="3">
        <v>9</v>
      </c>
      <c r="B107" s="13">
        <v>74196.66</v>
      </c>
      <c r="C107" s="13">
        <v>29342.090000000007</v>
      </c>
      <c r="D107" s="13">
        <v>74680.160000000003</v>
      </c>
      <c r="E107" s="14">
        <v>23393.79</v>
      </c>
      <c r="G107" s="3">
        <v>43290.92</v>
      </c>
      <c r="H107" s="13">
        <v>17800.87</v>
      </c>
      <c r="I107" s="13">
        <v>41439.979999999996</v>
      </c>
      <c r="J107" s="13">
        <v>14125.07</v>
      </c>
      <c r="K107" s="3">
        <v>30905.74</v>
      </c>
      <c r="L107" s="13">
        <v>11541.220000000001</v>
      </c>
      <c r="M107" s="13">
        <v>33240.18</v>
      </c>
      <c r="N107" s="14">
        <v>9268.7200000000012</v>
      </c>
    </row>
    <row r="108" spans="1:14" x14ac:dyDescent="0.25">
      <c r="A108" s="3">
        <v>10</v>
      </c>
      <c r="B108" s="13">
        <v>85893.25</v>
      </c>
      <c r="C108" s="13">
        <v>38535.359999999993</v>
      </c>
      <c r="D108" s="13">
        <v>87165.4</v>
      </c>
      <c r="E108" s="14">
        <v>31775.969999999998</v>
      </c>
      <c r="G108" s="3">
        <v>47825.619999999995</v>
      </c>
      <c r="H108" s="13">
        <v>24799.86</v>
      </c>
      <c r="I108" s="13">
        <v>47972.51999999999</v>
      </c>
      <c r="J108" s="13">
        <v>20469.600000000002</v>
      </c>
      <c r="K108" s="3">
        <v>38067.630000000005</v>
      </c>
      <c r="L108" s="13">
        <v>13735.5</v>
      </c>
      <c r="M108" s="13">
        <v>39192.879999999997</v>
      </c>
      <c r="N108" s="14">
        <v>11306.37</v>
      </c>
    </row>
    <row r="109" spans="1:14" x14ac:dyDescent="0.25">
      <c r="A109" s="3">
        <v>11</v>
      </c>
      <c r="B109" s="13">
        <v>86375.55</v>
      </c>
      <c r="C109" s="13">
        <v>41953.49</v>
      </c>
      <c r="D109" s="13">
        <v>87923.69</v>
      </c>
      <c r="E109" s="14">
        <v>35100.559999999998</v>
      </c>
      <c r="G109" s="3">
        <v>44056.44</v>
      </c>
      <c r="H109" s="13">
        <v>16312.55</v>
      </c>
      <c r="I109" s="13">
        <v>48837.120000000003</v>
      </c>
      <c r="J109" s="13">
        <v>14147.52</v>
      </c>
      <c r="K109" s="3">
        <v>42319.11</v>
      </c>
      <c r="L109" s="13">
        <v>25640.940000000002</v>
      </c>
      <c r="M109" s="13">
        <v>39086.57</v>
      </c>
      <c r="N109" s="14">
        <v>20953.04</v>
      </c>
    </row>
    <row r="110" spans="1:14" x14ac:dyDescent="0.25">
      <c r="A110" s="3">
        <v>12</v>
      </c>
      <c r="B110" s="13">
        <v>82156.08</v>
      </c>
      <c r="C110" s="13">
        <v>40838.43</v>
      </c>
      <c r="D110" s="13">
        <v>83762.929999999978</v>
      </c>
      <c r="E110" s="14">
        <v>34754.97</v>
      </c>
      <c r="G110" s="3">
        <v>34861.22</v>
      </c>
      <c r="H110" s="13">
        <v>14330.27</v>
      </c>
      <c r="I110" s="13">
        <v>38655.97</v>
      </c>
      <c r="J110" s="13">
        <v>12649.279999999999</v>
      </c>
      <c r="K110" s="3">
        <v>47294.860000000008</v>
      </c>
      <c r="L110" s="13">
        <v>26508.16</v>
      </c>
      <c r="M110" s="13">
        <v>45106.96</v>
      </c>
      <c r="N110" s="14">
        <v>22105.690000000002</v>
      </c>
    </row>
    <row r="111" spans="1:14" x14ac:dyDescent="0.25">
      <c r="A111" s="3">
        <v>13</v>
      </c>
      <c r="B111" s="13">
        <v>75254.709999999992</v>
      </c>
      <c r="C111" s="13">
        <v>37248.06</v>
      </c>
      <c r="D111" s="13">
        <v>75826.179999999993</v>
      </c>
      <c r="E111" s="14">
        <v>31335.519999999997</v>
      </c>
      <c r="G111" s="3">
        <v>40277.620000000003</v>
      </c>
      <c r="H111" s="13">
        <v>18504.559999999998</v>
      </c>
      <c r="I111" s="13">
        <v>43497.39</v>
      </c>
      <c r="J111" s="13">
        <v>15974.64</v>
      </c>
      <c r="K111" s="3">
        <v>34977.089999999997</v>
      </c>
      <c r="L111" s="13">
        <v>18743.5</v>
      </c>
      <c r="M111" s="13">
        <v>32328.79</v>
      </c>
      <c r="N111" s="14">
        <v>15360.88</v>
      </c>
    </row>
    <row r="112" spans="1:14" x14ac:dyDescent="0.25">
      <c r="A112" s="3">
        <v>14</v>
      </c>
      <c r="B112" s="13">
        <v>81327.520000000004</v>
      </c>
      <c r="C112" s="13">
        <v>39352.89</v>
      </c>
      <c r="D112" s="13">
        <v>81811.849999999991</v>
      </c>
      <c r="E112" s="14">
        <v>33292.51</v>
      </c>
      <c r="G112" s="3">
        <v>56880.930000000008</v>
      </c>
      <c r="H112" s="13">
        <v>27143.090000000004</v>
      </c>
      <c r="I112" s="13">
        <v>54999.259999999995</v>
      </c>
      <c r="J112" s="13">
        <v>22950.33</v>
      </c>
      <c r="K112" s="3">
        <v>24446.59</v>
      </c>
      <c r="L112" s="13">
        <v>12209.8</v>
      </c>
      <c r="M112" s="13">
        <v>26812.590000000004</v>
      </c>
      <c r="N112" s="14">
        <v>10342.18</v>
      </c>
    </row>
    <row r="113" spans="1:14" x14ac:dyDescent="0.25">
      <c r="A113" s="3">
        <v>15</v>
      </c>
      <c r="B113" s="13">
        <v>85512.84</v>
      </c>
      <c r="C113" s="13">
        <v>41064.93</v>
      </c>
      <c r="D113" s="13">
        <v>86481.46</v>
      </c>
      <c r="E113" s="14">
        <v>34367.39</v>
      </c>
      <c r="G113" s="3">
        <v>55833.319999999992</v>
      </c>
      <c r="H113" s="13">
        <v>25212.870000000003</v>
      </c>
      <c r="I113" s="13">
        <v>55395.850000000006</v>
      </c>
      <c r="J113" s="13">
        <v>21188.45</v>
      </c>
      <c r="K113" s="3">
        <v>29679.52</v>
      </c>
      <c r="L113" s="13">
        <v>15852.06</v>
      </c>
      <c r="M113" s="13">
        <v>31085.610000000004</v>
      </c>
      <c r="N113" s="14">
        <v>13178.939999999999</v>
      </c>
    </row>
    <row r="114" spans="1:14" x14ac:dyDescent="0.25">
      <c r="A114" s="3">
        <v>16</v>
      </c>
      <c r="B114" s="13">
        <v>85984.551000000007</v>
      </c>
      <c r="C114" s="13">
        <v>40408.900000000009</v>
      </c>
      <c r="D114" s="13">
        <v>86790.090000000026</v>
      </c>
      <c r="E114" s="14">
        <v>33436.649999999994</v>
      </c>
      <c r="G114" s="3">
        <v>42702.86</v>
      </c>
      <c r="H114" s="13">
        <v>20133.23</v>
      </c>
      <c r="I114" s="13">
        <v>44686.45</v>
      </c>
      <c r="J114" s="13">
        <v>16941.52</v>
      </c>
      <c r="K114" s="3">
        <v>43281.690999999999</v>
      </c>
      <c r="L114" s="13">
        <v>20275.670000000002</v>
      </c>
      <c r="M114" s="13">
        <v>42103.64</v>
      </c>
      <c r="N114" s="14">
        <v>16495.13</v>
      </c>
    </row>
    <row r="115" spans="1:14" x14ac:dyDescent="0.25">
      <c r="A115" s="3">
        <v>17</v>
      </c>
      <c r="B115" s="13">
        <v>91105.680000000008</v>
      </c>
      <c r="C115" s="13">
        <v>40566.33</v>
      </c>
      <c r="D115" s="13">
        <v>90425.950000000012</v>
      </c>
      <c r="E115" s="14">
        <v>33183.440000000002</v>
      </c>
      <c r="G115" s="3">
        <v>37324.03</v>
      </c>
      <c r="H115" s="13">
        <v>13969.02</v>
      </c>
      <c r="I115" s="13">
        <v>41311.61</v>
      </c>
      <c r="J115" s="13">
        <v>11880.449999999999</v>
      </c>
      <c r="K115" s="3">
        <v>53781.65</v>
      </c>
      <c r="L115" s="13">
        <v>26597.309999999998</v>
      </c>
      <c r="M115" s="13">
        <v>49114.340000000004</v>
      </c>
      <c r="N115" s="14">
        <v>21302.989999999998</v>
      </c>
    </row>
    <row r="116" spans="1:14" x14ac:dyDescent="0.25">
      <c r="A116" s="3">
        <v>18</v>
      </c>
      <c r="B116" s="13">
        <v>70409.919999999998</v>
      </c>
      <c r="C116" s="13">
        <v>27707.77</v>
      </c>
      <c r="D116" s="13">
        <v>69289.610000000015</v>
      </c>
      <c r="E116" s="14">
        <v>22581.059999999998</v>
      </c>
      <c r="G116" s="3">
        <v>41606.83</v>
      </c>
      <c r="H116" s="13">
        <v>15958.68</v>
      </c>
      <c r="I116" s="13">
        <v>39192.94</v>
      </c>
      <c r="J116" s="13">
        <v>13021.82</v>
      </c>
      <c r="K116" s="3">
        <v>28803.09</v>
      </c>
      <c r="L116" s="13">
        <v>11749.09</v>
      </c>
      <c r="M116" s="13">
        <v>30096.670000000002</v>
      </c>
      <c r="N116" s="14">
        <v>9559.24</v>
      </c>
    </row>
    <row r="117" spans="1:14" x14ac:dyDescent="0.25">
      <c r="A117" s="3">
        <v>19</v>
      </c>
      <c r="B117" s="13">
        <v>165901.81900000002</v>
      </c>
      <c r="C117" s="13">
        <v>65085.960000000006</v>
      </c>
      <c r="D117" s="13">
        <v>163302.20000000001</v>
      </c>
      <c r="E117" s="14">
        <v>51098.74</v>
      </c>
      <c r="G117" s="3">
        <v>104509.53899999999</v>
      </c>
      <c r="H117" s="13">
        <v>44250.32</v>
      </c>
      <c r="I117" s="13">
        <v>94818.168999999994</v>
      </c>
      <c r="J117" s="13">
        <v>33992.47</v>
      </c>
      <c r="K117" s="3">
        <v>61392.28</v>
      </c>
      <c r="L117" s="13">
        <v>20835.64</v>
      </c>
      <c r="M117" s="13">
        <v>68484.031000000003</v>
      </c>
      <c r="N117" s="14">
        <v>17106.269999999997</v>
      </c>
    </row>
    <row r="118" spans="1:14" x14ac:dyDescent="0.25">
      <c r="A118" s="3">
        <v>20</v>
      </c>
      <c r="B118" s="13">
        <v>130730.57</v>
      </c>
      <c r="C118" s="13">
        <v>55272.229999999996</v>
      </c>
      <c r="D118" s="13">
        <v>132055.01</v>
      </c>
      <c r="E118" s="14">
        <v>42856.130000000005</v>
      </c>
      <c r="G118" s="3">
        <v>67685.259999999995</v>
      </c>
      <c r="H118" s="13">
        <v>33340.869999999995</v>
      </c>
      <c r="I118" s="13">
        <v>68460.59</v>
      </c>
      <c r="J118" s="13">
        <v>26081.030000000002</v>
      </c>
      <c r="K118" s="3">
        <v>63045.31</v>
      </c>
      <c r="L118" s="13">
        <v>21931.360000000001</v>
      </c>
      <c r="M118" s="13">
        <v>63594.42</v>
      </c>
      <c r="N118" s="14">
        <v>16775.099999999999</v>
      </c>
    </row>
    <row r="119" spans="1:14" x14ac:dyDescent="0.25">
      <c r="A119" s="3">
        <v>21</v>
      </c>
      <c r="B119" s="13">
        <v>106812.73</v>
      </c>
      <c r="C119" s="13">
        <v>46527.360000000001</v>
      </c>
      <c r="D119" s="13">
        <v>107376.24999999999</v>
      </c>
      <c r="E119" s="14">
        <v>36930.01</v>
      </c>
      <c r="G119" s="3">
        <v>52659.001000000004</v>
      </c>
      <c r="H119" s="13">
        <v>22694.58</v>
      </c>
      <c r="I119" s="13">
        <v>56887.94</v>
      </c>
      <c r="J119" s="13">
        <v>17995.78</v>
      </c>
      <c r="K119" s="3">
        <v>54153.728999999992</v>
      </c>
      <c r="L119" s="13">
        <v>23832.780000000002</v>
      </c>
      <c r="M119" s="13">
        <v>50488.31</v>
      </c>
      <c r="N119" s="14">
        <v>18934.23</v>
      </c>
    </row>
    <row r="120" spans="1:14" x14ac:dyDescent="0.25">
      <c r="A120" s="3">
        <v>22</v>
      </c>
      <c r="B120" s="13">
        <v>79218.62</v>
      </c>
      <c r="C120" s="13">
        <v>37524.480000000003</v>
      </c>
      <c r="D120" s="13">
        <v>80275.219999999987</v>
      </c>
      <c r="E120" s="14">
        <v>30945.46</v>
      </c>
      <c r="G120" s="3">
        <v>42770.42</v>
      </c>
      <c r="H120" s="13">
        <v>22157.38</v>
      </c>
      <c r="I120" s="13">
        <v>41266.870000000003</v>
      </c>
      <c r="J120" s="13">
        <v>18184.03</v>
      </c>
      <c r="K120" s="3">
        <v>36448.199999999997</v>
      </c>
      <c r="L120" s="13">
        <v>15367.100000000002</v>
      </c>
      <c r="M120" s="13">
        <v>39008.349999999991</v>
      </c>
      <c r="N120" s="14">
        <v>12761.43</v>
      </c>
    </row>
    <row r="121" spans="1:14" x14ac:dyDescent="0.25">
      <c r="A121" s="15">
        <v>23</v>
      </c>
      <c r="B121" s="16">
        <v>40914.639999999999</v>
      </c>
      <c r="C121" s="16">
        <v>22300.31</v>
      </c>
      <c r="D121" s="16">
        <v>42049.200000000004</v>
      </c>
      <c r="E121" s="17">
        <v>18674.460000000003</v>
      </c>
      <c r="G121" s="15">
        <v>29357.17</v>
      </c>
      <c r="H121" s="16">
        <v>14318.03</v>
      </c>
      <c r="I121" s="16">
        <v>29337.940000000002</v>
      </c>
      <c r="J121" s="16">
        <v>12239.54</v>
      </c>
      <c r="K121" s="15">
        <v>11557.470000000001</v>
      </c>
      <c r="L121" s="16">
        <v>7982.28</v>
      </c>
      <c r="M121" s="16">
        <v>12711.260000000002</v>
      </c>
      <c r="N121" s="17">
        <v>6434.92</v>
      </c>
    </row>
    <row r="122" spans="1:14" x14ac:dyDescent="0.25">
      <c r="A122" s="21">
        <v>0</v>
      </c>
      <c r="B122" s="22">
        <v>19183.559999999998</v>
      </c>
      <c r="C122" s="22">
        <v>11525.769999999999</v>
      </c>
      <c r="D122" s="22">
        <v>20188.989999999998</v>
      </c>
      <c r="E122" s="23">
        <v>9656.49</v>
      </c>
      <c r="G122" s="21">
        <v>12730.990000000002</v>
      </c>
      <c r="H122" s="22">
        <v>6710.71</v>
      </c>
      <c r="I122" s="22">
        <v>13027.130000000001</v>
      </c>
      <c r="J122" s="22">
        <v>5715.97</v>
      </c>
      <c r="K122" s="21">
        <v>6452.5700000000006</v>
      </c>
      <c r="L122" s="22">
        <v>4815.0600000000004</v>
      </c>
      <c r="M122" s="22">
        <v>7161.8600000000006</v>
      </c>
      <c r="N122" s="23">
        <v>3940.5200000000004</v>
      </c>
    </row>
    <row r="123" spans="1:14" x14ac:dyDescent="0.25">
      <c r="A123" s="3">
        <v>1</v>
      </c>
      <c r="B123" s="13">
        <v>9818.01</v>
      </c>
      <c r="C123" s="13">
        <v>5983.34</v>
      </c>
      <c r="D123" s="13">
        <v>10412.690000000002</v>
      </c>
      <c r="E123" s="14">
        <v>4919.7600000000011</v>
      </c>
      <c r="G123" s="3">
        <v>6365.8700000000008</v>
      </c>
      <c r="H123" s="13">
        <v>4045.59</v>
      </c>
      <c r="I123" s="13">
        <v>6700.4699999999993</v>
      </c>
      <c r="J123" s="13">
        <v>3373.88</v>
      </c>
      <c r="K123" s="3">
        <v>3452.14</v>
      </c>
      <c r="L123" s="13">
        <v>1937.75</v>
      </c>
      <c r="M123" s="13">
        <v>3712.2200000000003</v>
      </c>
      <c r="N123" s="14">
        <v>1545.8799999999999</v>
      </c>
    </row>
    <row r="124" spans="1:14" x14ac:dyDescent="0.25">
      <c r="A124" s="3">
        <v>2</v>
      </c>
      <c r="B124" s="13">
        <v>8311.8900000000012</v>
      </c>
      <c r="C124" s="13">
        <v>4081.4100000000003</v>
      </c>
      <c r="D124" s="13">
        <v>8498.98</v>
      </c>
      <c r="E124" s="14">
        <v>3347.69</v>
      </c>
      <c r="G124" s="3">
        <v>3472.13</v>
      </c>
      <c r="H124" s="13">
        <v>2414.88</v>
      </c>
      <c r="I124" s="13">
        <v>3545.4700000000003</v>
      </c>
      <c r="J124" s="13">
        <v>1965.62</v>
      </c>
      <c r="K124" s="3">
        <v>4839.76</v>
      </c>
      <c r="L124" s="13">
        <v>1666.5300000000002</v>
      </c>
      <c r="M124" s="13">
        <v>4953.51</v>
      </c>
      <c r="N124" s="14">
        <v>1382.07</v>
      </c>
    </row>
    <row r="125" spans="1:14" x14ac:dyDescent="0.25">
      <c r="A125" s="3">
        <v>3</v>
      </c>
      <c r="B125" s="13">
        <v>21899.980000000003</v>
      </c>
      <c r="C125" s="13">
        <v>8413.9500000000007</v>
      </c>
      <c r="D125" s="13">
        <v>21323.53</v>
      </c>
      <c r="E125" s="14">
        <v>6567.58</v>
      </c>
      <c r="G125" s="3">
        <v>11897.669999999998</v>
      </c>
      <c r="H125" s="13">
        <v>4852.4399999999996</v>
      </c>
      <c r="I125" s="13">
        <v>10819.97</v>
      </c>
      <c r="J125" s="13">
        <v>3705.17</v>
      </c>
      <c r="K125" s="3">
        <v>10002.31</v>
      </c>
      <c r="L125" s="13">
        <v>3561.51</v>
      </c>
      <c r="M125" s="13">
        <v>10503.560000000001</v>
      </c>
      <c r="N125" s="14">
        <v>2862.41</v>
      </c>
    </row>
    <row r="126" spans="1:14" x14ac:dyDescent="0.25">
      <c r="A126" s="3">
        <v>4</v>
      </c>
      <c r="B126" s="13">
        <v>13795.44</v>
      </c>
      <c r="C126" s="13">
        <v>6408.51</v>
      </c>
      <c r="D126" s="13">
        <v>14184.18</v>
      </c>
      <c r="E126" s="14">
        <v>4838.9399999999996</v>
      </c>
      <c r="G126" s="3">
        <v>7899.7300000000005</v>
      </c>
      <c r="H126" s="13">
        <v>3746.7400000000007</v>
      </c>
      <c r="I126" s="13">
        <v>8476.93</v>
      </c>
      <c r="J126" s="13">
        <v>2943.65</v>
      </c>
      <c r="K126" s="3">
        <v>5895.71</v>
      </c>
      <c r="L126" s="13">
        <v>2661.7700000000004</v>
      </c>
      <c r="M126" s="13">
        <v>5707.25</v>
      </c>
      <c r="N126" s="14">
        <v>1895.2900000000002</v>
      </c>
    </row>
    <row r="127" spans="1:14" x14ac:dyDescent="0.25">
      <c r="A127" s="3">
        <v>5</v>
      </c>
      <c r="B127" s="13">
        <v>9756.34</v>
      </c>
      <c r="C127" s="13">
        <v>3358.08</v>
      </c>
      <c r="D127" s="13">
        <v>9545.8700000000026</v>
      </c>
      <c r="E127" s="14">
        <v>2707.7000000000003</v>
      </c>
      <c r="G127" s="3">
        <v>5059.6099999999997</v>
      </c>
      <c r="H127" s="13">
        <v>1462.73</v>
      </c>
      <c r="I127" s="13">
        <v>5201.6400000000003</v>
      </c>
      <c r="J127" s="13">
        <v>1208.92</v>
      </c>
      <c r="K127" s="3">
        <v>4696.7300000000005</v>
      </c>
      <c r="L127" s="13">
        <v>1895.3500000000004</v>
      </c>
      <c r="M127" s="13">
        <v>4344.2299999999996</v>
      </c>
      <c r="N127" s="14">
        <v>1498.78</v>
      </c>
    </row>
    <row r="128" spans="1:14" x14ac:dyDescent="0.25">
      <c r="A128" s="3">
        <v>6</v>
      </c>
      <c r="B128" s="13">
        <v>24342.47</v>
      </c>
      <c r="C128" s="13">
        <v>6617.4000000000005</v>
      </c>
      <c r="D128" s="13">
        <v>23118.83</v>
      </c>
      <c r="E128" s="14">
        <v>5235.7299999999996</v>
      </c>
      <c r="G128" s="3">
        <v>14859.68</v>
      </c>
      <c r="H128" s="13">
        <v>3447.62</v>
      </c>
      <c r="I128" s="13">
        <v>13789.38</v>
      </c>
      <c r="J128" s="13">
        <v>2794.62</v>
      </c>
      <c r="K128" s="3">
        <v>9482.7899999999991</v>
      </c>
      <c r="L128" s="13">
        <v>3169.78</v>
      </c>
      <c r="M128" s="13">
        <v>9329.4499999999989</v>
      </c>
      <c r="N128" s="14">
        <v>2441.11</v>
      </c>
    </row>
    <row r="129" spans="1:14" x14ac:dyDescent="0.25">
      <c r="A129" s="3">
        <v>7</v>
      </c>
      <c r="B129" s="13">
        <v>45491.110000000008</v>
      </c>
      <c r="C129" s="13">
        <v>13206.19</v>
      </c>
      <c r="D129" s="13">
        <v>43330.860000000008</v>
      </c>
      <c r="E129" s="14">
        <v>10228.48</v>
      </c>
      <c r="G129" s="3">
        <v>24447.699999999997</v>
      </c>
      <c r="H129" s="13">
        <v>7594.89</v>
      </c>
      <c r="I129" s="13">
        <v>21317.84</v>
      </c>
      <c r="J129" s="13">
        <v>5557.9800000000005</v>
      </c>
      <c r="K129" s="3">
        <v>21043.410000000003</v>
      </c>
      <c r="L129" s="13">
        <v>5611.3</v>
      </c>
      <c r="M129" s="13">
        <v>22013.02</v>
      </c>
      <c r="N129" s="14">
        <v>4670.5</v>
      </c>
    </row>
    <row r="130" spans="1:14" x14ac:dyDescent="0.25">
      <c r="A130" s="3">
        <v>8</v>
      </c>
      <c r="B130" s="13">
        <v>66216.800000000003</v>
      </c>
      <c r="C130" s="13">
        <v>21974.020000000004</v>
      </c>
      <c r="D130" s="13">
        <v>64881.94000000001</v>
      </c>
      <c r="E130" s="14">
        <v>17389.740000000002</v>
      </c>
      <c r="G130" s="3">
        <v>34636.519999999997</v>
      </c>
      <c r="H130" s="13">
        <v>12542.7</v>
      </c>
      <c r="I130" s="13">
        <v>34404.959999999999</v>
      </c>
      <c r="J130" s="13">
        <v>9903.86</v>
      </c>
      <c r="K130" s="3">
        <v>31580.28</v>
      </c>
      <c r="L130" s="13">
        <v>9431.32</v>
      </c>
      <c r="M130" s="13">
        <v>30476.980000000003</v>
      </c>
      <c r="N130" s="14">
        <v>7485.880000000001</v>
      </c>
    </row>
    <row r="131" spans="1:14" x14ac:dyDescent="0.25">
      <c r="A131" s="3">
        <v>9</v>
      </c>
      <c r="B131" s="13">
        <v>82969.859999999986</v>
      </c>
      <c r="C131" s="13">
        <v>31704.51</v>
      </c>
      <c r="D131" s="13">
        <v>81712.86</v>
      </c>
      <c r="E131" s="14">
        <v>25378.42</v>
      </c>
      <c r="G131" s="3">
        <v>40575.780000000006</v>
      </c>
      <c r="H131" s="13">
        <v>16102.149999999998</v>
      </c>
      <c r="I131" s="13">
        <v>41265.519999999997</v>
      </c>
      <c r="J131" s="13">
        <v>13087.72</v>
      </c>
      <c r="K131" s="3">
        <v>42394.080000000002</v>
      </c>
      <c r="L131" s="13">
        <v>15602.36</v>
      </c>
      <c r="M131" s="13">
        <v>40447.339999999997</v>
      </c>
      <c r="N131" s="14">
        <v>12290.7</v>
      </c>
    </row>
    <row r="132" spans="1:14" x14ac:dyDescent="0.25">
      <c r="A132" s="3">
        <v>10</v>
      </c>
      <c r="B132" s="13">
        <v>91674.950000000012</v>
      </c>
      <c r="C132" s="13">
        <v>39680.319999999992</v>
      </c>
      <c r="D132" s="13">
        <v>91835.99</v>
      </c>
      <c r="E132" s="14">
        <v>32553.929999999997</v>
      </c>
      <c r="G132" s="3">
        <v>46929.390000000007</v>
      </c>
      <c r="H132" s="13">
        <v>18888.580000000002</v>
      </c>
      <c r="I132" s="13">
        <v>49718</v>
      </c>
      <c r="J132" s="13">
        <v>15709.5</v>
      </c>
      <c r="K132" s="3">
        <v>44745.560000000005</v>
      </c>
      <c r="L132" s="13">
        <v>20791.739999999998</v>
      </c>
      <c r="M132" s="13">
        <v>42117.990000000005</v>
      </c>
      <c r="N132" s="14">
        <v>16844.43</v>
      </c>
    </row>
    <row r="133" spans="1:14" x14ac:dyDescent="0.25">
      <c r="A133" s="3">
        <v>11</v>
      </c>
      <c r="B133" s="13">
        <v>91310.530999999988</v>
      </c>
      <c r="C133" s="13">
        <v>42119.520000000004</v>
      </c>
      <c r="D133" s="13">
        <v>91432.3</v>
      </c>
      <c r="E133" s="14">
        <v>35018.379999999997</v>
      </c>
      <c r="G133" s="3">
        <v>51169.11</v>
      </c>
      <c r="H133" s="13">
        <v>21961.710000000003</v>
      </c>
      <c r="I133" s="13">
        <v>54002.170000000006</v>
      </c>
      <c r="J133" s="13">
        <v>18697.189999999999</v>
      </c>
      <c r="K133" s="3">
        <v>40141.421000000002</v>
      </c>
      <c r="L133" s="13">
        <v>20157.809999999998</v>
      </c>
      <c r="M133" s="13">
        <v>37430.130000000005</v>
      </c>
      <c r="N133" s="14">
        <v>16321.190000000002</v>
      </c>
    </row>
    <row r="134" spans="1:14" x14ac:dyDescent="0.25">
      <c r="A134" s="3">
        <v>12</v>
      </c>
      <c r="B134" s="13">
        <v>85110.309999999983</v>
      </c>
      <c r="C134" s="13">
        <v>40232.299999999996</v>
      </c>
      <c r="D134" s="13">
        <v>85923.22</v>
      </c>
      <c r="E134" s="14">
        <v>33855.960000000006</v>
      </c>
      <c r="G134" s="3">
        <v>54546.7</v>
      </c>
      <c r="H134" s="13">
        <v>27099.55</v>
      </c>
      <c r="I134" s="13">
        <v>51282.21</v>
      </c>
      <c r="J134" s="13">
        <v>22573.69</v>
      </c>
      <c r="K134" s="3">
        <v>30563.61</v>
      </c>
      <c r="L134" s="13">
        <v>13132.75</v>
      </c>
      <c r="M134" s="13">
        <v>34641.01</v>
      </c>
      <c r="N134" s="14">
        <v>11282.27</v>
      </c>
    </row>
    <row r="135" spans="1:14" x14ac:dyDescent="0.25">
      <c r="A135" s="3">
        <v>13</v>
      </c>
      <c r="B135" s="13">
        <v>71629.63</v>
      </c>
      <c r="C135" s="13">
        <v>33527.159999999996</v>
      </c>
      <c r="D135" s="13">
        <v>71924.59</v>
      </c>
      <c r="E135" s="14">
        <v>28370.229999999996</v>
      </c>
      <c r="G135" s="3">
        <v>38412.47</v>
      </c>
      <c r="H135" s="13">
        <v>20834.18</v>
      </c>
      <c r="I135" s="13">
        <v>38919.17</v>
      </c>
      <c r="J135" s="13">
        <v>17803.14</v>
      </c>
      <c r="K135" s="3">
        <v>33217.159999999996</v>
      </c>
      <c r="L135" s="13">
        <v>12692.98</v>
      </c>
      <c r="M135" s="13">
        <v>33005.42</v>
      </c>
      <c r="N135" s="14">
        <v>10567.09</v>
      </c>
    </row>
    <row r="136" spans="1:14" x14ac:dyDescent="0.25">
      <c r="A136" s="3">
        <v>14</v>
      </c>
      <c r="B136" s="13">
        <v>76754.23000000001</v>
      </c>
      <c r="C136" s="13">
        <v>34776.879999999997</v>
      </c>
      <c r="D136" s="13">
        <v>76778.97</v>
      </c>
      <c r="E136" s="14">
        <v>29505.21</v>
      </c>
      <c r="G136" s="3">
        <v>41976.220000000008</v>
      </c>
      <c r="H136" s="13">
        <v>17896.13</v>
      </c>
      <c r="I136" s="13">
        <v>45275.5</v>
      </c>
      <c r="J136" s="13">
        <v>15810.32</v>
      </c>
      <c r="K136" s="3">
        <v>34778.01</v>
      </c>
      <c r="L136" s="13">
        <v>16880.75</v>
      </c>
      <c r="M136" s="13">
        <v>31503.47</v>
      </c>
      <c r="N136" s="14">
        <v>13694.890000000001</v>
      </c>
    </row>
    <row r="137" spans="1:14" x14ac:dyDescent="0.25">
      <c r="A137" s="3">
        <v>15</v>
      </c>
      <c r="B137" s="13">
        <v>78076.070000000007</v>
      </c>
      <c r="C137" s="13">
        <v>35095.94</v>
      </c>
      <c r="D137" s="13">
        <v>78180.740000000005</v>
      </c>
      <c r="E137" s="14">
        <v>29274.440000000002</v>
      </c>
      <c r="G137" s="3">
        <v>37242.159999999996</v>
      </c>
      <c r="H137" s="13">
        <v>14207.06</v>
      </c>
      <c r="I137" s="13">
        <v>36540.880000000005</v>
      </c>
      <c r="J137" s="13">
        <v>11613.02</v>
      </c>
      <c r="K137" s="3">
        <v>40833.910000000003</v>
      </c>
      <c r="L137" s="13">
        <v>20888.88</v>
      </c>
      <c r="M137" s="13">
        <v>41639.86</v>
      </c>
      <c r="N137" s="14">
        <v>17661.419999999998</v>
      </c>
    </row>
    <row r="138" spans="1:14" x14ac:dyDescent="0.25">
      <c r="A138" s="3">
        <v>16</v>
      </c>
      <c r="B138" s="13">
        <v>74617.209999999992</v>
      </c>
      <c r="C138" s="13">
        <v>34284.370000000003</v>
      </c>
      <c r="D138" s="13">
        <v>75352.650000000009</v>
      </c>
      <c r="E138" s="14">
        <v>28451.97</v>
      </c>
      <c r="G138" s="3">
        <v>37201.950000000004</v>
      </c>
      <c r="H138" s="13">
        <v>18696.93</v>
      </c>
      <c r="I138" s="13">
        <v>39568.42</v>
      </c>
      <c r="J138" s="13">
        <v>15783.720000000001</v>
      </c>
      <c r="K138" s="3">
        <v>37415.26</v>
      </c>
      <c r="L138" s="13">
        <v>15587.439999999999</v>
      </c>
      <c r="M138" s="13">
        <v>35784.230000000003</v>
      </c>
      <c r="N138" s="14">
        <v>12668.25</v>
      </c>
    </row>
    <row r="139" spans="1:14" x14ac:dyDescent="0.25">
      <c r="A139" s="3">
        <v>17</v>
      </c>
      <c r="B139" s="13">
        <v>75273.459999999992</v>
      </c>
      <c r="C139" s="13">
        <v>34984.449999999997</v>
      </c>
      <c r="D139" s="13">
        <v>75422.350000000006</v>
      </c>
      <c r="E139" s="14">
        <v>29076.510000000002</v>
      </c>
      <c r="G139" s="3">
        <v>43034.49</v>
      </c>
      <c r="H139" s="13">
        <v>22400.559999999998</v>
      </c>
      <c r="I139" s="13">
        <v>38914.629999999997</v>
      </c>
      <c r="J139" s="13">
        <v>18320.46</v>
      </c>
      <c r="K139" s="3">
        <v>32238.97</v>
      </c>
      <c r="L139" s="13">
        <v>12583.89</v>
      </c>
      <c r="M139" s="13">
        <v>36507.72</v>
      </c>
      <c r="N139" s="14">
        <v>10756.05</v>
      </c>
    </row>
    <row r="140" spans="1:14" x14ac:dyDescent="0.25">
      <c r="A140" s="3">
        <v>18</v>
      </c>
      <c r="B140" s="13">
        <v>57656.15</v>
      </c>
      <c r="C140" s="13">
        <v>24102.909999999996</v>
      </c>
      <c r="D140" s="13">
        <v>57514.73</v>
      </c>
      <c r="E140" s="14">
        <v>20233.3</v>
      </c>
      <c r="G140" s="3">
        <v>39675.160000000003</v>
      </c>
      <c r="H140" s="13">
        <v>15144.93</v>
      </c>
      <c r="I140" s="13">
        <v>37918.33</v>
      </c>
      <c r="J140" s="13">
        <v>12843.16</v>
      </c>
      <c r="K140" s="3">
        <v>17980.990000000002</v>
      </c>
      <c r="L140" s="13">
        <v>8957.98</v>
      </c>
      <c r="M140" s="13">
        <v>19596.400000000001</v>
      </c>
      <c r="N140" s="14">
        <v>7390.1399999999994</v>
      </c>
    </row>
    <row r="141" spans="1:14" x14ac:dyDescent="0.25">
      <c r="A141" s="3">
        <v>19</v>
      </c>
      <c r="B141" s="13">
        <v>151958.27100000004</v>
      </c>
      <c r="C141" s="13">
        <v>61403.819999999992</v>
      </c>
      <c r="D141" s="13">
        <v>150290.91899999999</v>
      </c>
      <c r="E141" s="14">
        <v>48802.33</v>
      </c>
      <c r="G141" s="3">
        <v>81515.25</v>
      </c>
      <c r="H141" s="13">
        <v>36689.339999999997</v>
      </c>
      <c r="I141" s="13">
        <v>71198.248999999996</v>
      </c>
      <c r="J141" s="13">
        <v>28306.65</v>
      </c>
      <c r="K141" s="3">
        <v>70443.021000000008</v>
      </c>
      <c r="L141" s="13">
        <v>24714.479999999996</v>
      </c>
      <c r="M141" s="13">
        <v>79092.67</v>
      </c>
      <c r="N141" s="14">
        <v>20495.68</v>
      </c>
    </row>
    <row r="142" spans="1:14" x14ac:dyDescent="0.25">
      <c r="A142" s="3">
        <v>20</v>
      </c>
      <c r="B142" s="13">
        <v>133763.53099999999</v>
      </c>
      <c r="C142" s="13">
        <v>55206.33</v>
      </c>
      <c r="D142" s="13">
        <v>135170.87099999998</v>
      </c>
      <c r="E142" s="14">
        <v>43343.92</v>
      </c>
      <c r="G142" s="3">
        <v>79235.100000000006</v>
      </c>
      <c r="H142" s="13">
        <v>32673.53</v>
      </c>
      <c r="I142" s="13">
        <v>79623.631000000008</v>
      </c>
      <c r="J142" s="13">
        <v>24977.55</v>
      </c>
      <c r="K142" s="3">
        <v>54528.430999999997</v>
      </c>
      <c r="L142" s="13">
        <v>22532.800000000003</v>
      </c>
      <c r="M142" s="13">
        <v>55547.240000000005</v>
      </c>
      <c r="N142" s="14">
        <v>18366.370000000003</v>
      </c>
    </row>
    <row r="143" spans="1:14" x14ac:dyDescent="0.25">
      <c r="A143" s="3">
        <v>21</v>
      </c>
      <c r="B143" s="13">
        <v>119805.54</v>
      </c>
      <c r="C143" s="13">
        <v>49322.21</v>
      </c>
      <c r="D143" s="13">
        <v>120042.981</v>
      </c>
      <c r="E143" s="14">
        <v>39498.869999999995</v>
      </c>
      <c r="G143" s="3">
        <v>68965.67</v>
      </c>
      <c r="H143" s="13">
        <v>29876.71</v>
      </c>
      <c r="I143" s="13">
        <v>66521.481</v>
      </c>
      <c r="J143" s="13">
        <v>23870.32</v>
      </c>
      <c r="K143" s="3">
        <v>50839.87</v>
      </c>
      <c r="L143" s="13">
        <v>19445.5</v>
      </c>
      <c r="M143" s="13">
        <v>53521.5</v>
      </c>
      <c r="N143" s="14">
        <v>15628.55</v>
      </c>
    </row>
    <row r="144" spans="1:14" x14ac:dyDescent="0.25">
      <c r="A144" s="3">
        <v>22</v>
      </c>
      <c r="B144" s="13">
        <v>95520.33</v>
      </c>
      <c r="C144" s="13">
        <v>41785.79</v>
      </c>
      <c r="D144" s="13">
        <v>97088.46</v>
      </c>
      <c r="E144" s="14">
        <v>34547.160000000003</v>
      </c>
      <c r="G144" s="3">
        <v>54406.290000000008</v>
      </c>
      <c r="H144" s="13">
        <v>22668.739999999998</v>
      </c>
      <c r="I144" s="13">
        <v>53143.539999999994</v>
      </c>
      <c r="J144" s="13">
        <v>18935.919999999998</v>
      </c>
      <c r="K144" s="3">
        <v>41114.04</v>
      </c>
      <c r="L144" s="13">
        <v>19117.050000000003</v>
      </c>
      <c r="M144" s="13">
        <v>43944.92</v>
      </c>
      <c r="N144" s="14">
        <v>15611.240000000002</v>
      </c>
    </row>
    <row r="145" spans="1:14" x14ac:dyDescent="0.25">
      <c r="A145" s="15">
        <v>23</v>
      </c>
      <c r="B145" s="16">
        <v>49270.19</v>
      </c>
      <c r="C145" s="16">
        <v>24870.629999999997</v>
      </c>
      <c r="D145" s="16">
        <v>50668.619999999988</v>
      </c>
      <c r="E145" s="17">
        <v>20816.82</v>
      </c>
      <c r="G145" s="15">
        <v>26861.39</v>
      </c>
      <c r="H145" s="16">
        <v>15645.74</v>
      </c>
      <c r="I145" s="16">
        <v>27275.88</v>
      </c>
      <c r="J145" s="16">
        <v>13193.02</v>
      </c>
      <c r="K145" s="15">
        <v>22408.799999999999</v>
      </c>
      <c r="L145" s="16">
        <v>9224.89</v>
      </c>
      <c r="M145" s="16">
        <v>23392.739999999998</v>
      </c>
      <c r="N145" s="17">
        <v>7623.8</v>
      </c>
    </row>
    <row r="146" spans="1:14" x14ac:dyDescent="0.25">
      <c r="A146" s="21">
        <v>0</v>
      </c>
      <c r="B146" s="22">
        <v>21731.45</v>
      </c>
      <c r="C146" s="22">
        <v>12482.420000000002</v>
      </c>
      <c r="D146" s="22">
        <v>22995.599999999995</v>
      </c>
      <c r="E146" s="23">
        <v>10595.579999999998</v>
      </c>
      <c r="G146" s="21">
        <v>12977.199999999999</v>
      </c>
      <c r="H146" s="22">
        <v>7837.8200000000015</v>
      </c>
      <c r="I146" s="22">
        <v>13559.669999999998</v>
      </c>
      <c r="J146" s="22">
        <v>6732.9</v>
      </c>
      <c r="K146" s="21">
        <v>8754.25</v>
      </c>
      <c r="L146" s="22">
        <v>4644.6000000000004</v>
      </c>
      <c r="M146" s="22">
        <v>9435.93</v>
      </c>
      <c r="N146" s="23">
        <v>3862.6800000000003</v>
      </c>
    </row>
    <row r="147" spans="1:14" x14ac:dyDescent="0.25">
      <c r="A147" s="3">
        <v>1</v>
      </c>
      <c r="B147" s="13">
        <v>10291.469999999999</v>
      </c>
      <c r="C147" s="13">
        <v>6312.0400000000009</v>
      </c>
      <c r="D147" s="13">
        <v>10986.08</v>
      </c>
      <c r="E147" s="14">
        <v>5255.4100000000008</v>
      </c>
      <c r="G147" s="3">
        <v>6309.85</v>
      </c>
      <c r="H147" s="13">
        <v>3826.2000000000007</v>
      </c>
      <c r="I147" s="13">
        <v>6726.18</v>
      </c>
      <c r="J147" s="13">
        <v>3230.6299999999997</v>
      </c>
      <c r="K147" s="3">
        <v>3981.6200000000008</v>
      </c>
      <c r="L147" s="13">
        <v>2485.8399999999997</v>
      </c>
      <c r="M147" s="13">
        <v>4259.8999999999996</v>
      </c>
      <c r="N147" s="14">
        <v>2024.7800000000002</v>
      </c>
    </row>
    <row r="148" spans="1:14" x14ac:dyDescent="0.25">
      <c r="A148" s="3">
        <v>2</v>
      </c>
      <c r="B148" s="13">
        <v>7917.7499999999991</v>
      </c>
      <c r="C148" s="13">
        <v>4019.28</v>
      </c>
      <c r="D148" s="13">
        <v>8292.3000000000011</v>
      </c>
      <c r="E148" s="14">
        <v>3359.5199999999995</v>
      </c>
      <c r="G148" s="3">
        <v>3684.96</v>
      </c>
      <c r="H148" s="13">
        <v>2153.2799999999997</v>
      </c>
      <c r="I148" s="13">
        <v>4078.75</v>
      </c>
      <c r="J148" s="13">
        <v>1822.6699999999998</v>
      </c>
      <c r="K148" s="3">
        <v>4232.79</v>
      </c>
      <c r="L148" s="13">
        <v>1866</v>
      </c>
      <c r="M148" s="13">
        <v>4213.55</v>
      </c>
      <c r="N148" s="14">
        <v>1536.85</v>
      </c>
    </row>
    <row r="149" spans="1:14" x14ac:dyDescent="0.25">
      <c r="A149" s="3">
        <v>3</v>
      </c>
      <c r="B149" s="13">
        <v>20104.400000000001</v>
      </c>
      <c r="C149" s="13">
        <v>7337.1500000000015</v>
      </c>
      <c r="D149" s="13">
        <v>19750.990000000002</v>
      </c>
      <c r="E149" s="14">
        <v>5776.0499999999993</v>
      </c>
      <c r="G149" s="3">
        <v>10758.100000000002</v>
      </c>
      <c r="H149" s="13">
        <v>2945.66</v>
      </c>
      <c r="I149" s="13">
        <v>11968.160000000002</v>
      </c>
      <c r="J149" s="13">
        <v>2494.8999999999996</v>
      </c>
      <c r="K149" s="3">
        <v>9346.3000000000011</v>
      </c>
      <c r="L149" s="13">
        <v>4391.49</v>
      </c>
      <c r="M149" s="13">
        <v>7782.83</v>
      </c>
      <c r="N149" s="14">
        <v>3281.15</v>
      </c>
    </row>
    <row r="150" spans="1:14" x14ac:dyDescent="0.25">
      <c r="A150" s="3">
        <v>4</v>
      </c>
      <c r="B150" s="13">
        <v>12532.81</v>
      </c>
      <c r="C150" s="13">
        <v>5722.2499999999991</v>
      </c>
      <c r="D150" s="13">
        <v>13077.239999999998</v>
      </c>
      <c r="E150" s="14">
        <v>4272.6500000000005</v>
      </c>
      <c r="G150" s="3">
        <v>7609.5400000000009</v>
      </c>
      <c r="H150" s="13">
        <v>2745.6600000000003</v>
      </c>
      <c r="I150" s="13">
        <v>7970.67</v>
      </c>
      <c r="J150" s="13">
        <v>2130</v>
      </c>
      <c r="K150" s="3">
        <v>4923.2700000000004</v>
      </c>
      <c r="L150" s="13">
        <v>2976.5899999999997</v>
      </c>
      <c r="M150" s="13">
        <v>5106.57</v>
      </c>
      <c r="N150" s="14">
        <v>2142.65</v>
      </c>
    </row>
    <row r="151" spans="1:14" x14ac:dyDescent="0.25">
      <c r="A151" s="3">
        <v>5</v>
      </c>
      <c r="B151" s="13">
        <v>7588.5999999999995</v>
      </c>
      <c r="C151" s="13">
        <v>2596.9499999999998</v>
      </c>
      <c r="D151" s="13">
        <v>7873.6900000000005</v>
      </c>
      <c r="E151" s="14">
        <v>2109.3200000000002</v>
      </c>
      <c r="G151" s="3">
        <v>4098.2</v>
      </c>
      <c r="H151" s="13">
        <v>1505.96</v>
      </c>
      <c r="I151" s="13">
        <v>3976.7799999999997</v>
      </c>
      <c r="J151" s="13">
        <v>1218.17</v>
      </c>
      <c r="K151" s="3">
        <v>3490.3999999999996</v>
      </c>
      <c r="L151" s="13">
        <v>1090.99</v>
      </c>
      <c r="M151" s="13">
        <v>3896.9100000000003</v>
      </c>
      <c r="N151" s="14">
        <v>891.14999999999986</v>
      </c>
    </row>
    <row r="152" spans="1:14" x14ac:dyDescent="0.25">
      <c r="A152" s="3">
        <v>6</v>
      </c>
      <c r="B152" s="13">
        <v>19722.830000000002</v>
      </c>
      <c r="C152" s="13">
        <v>4958.08</v>
      </c>
      <c r="D152" s="13">
        <v>19392.61</v>
      </c>
      <c r="E152" s="14">
        <v>3919.3</v>
      </c>
      <c r="G152" s="3">
        <v>13061.59</v>
      </c>
      <c r="H152" s="13">
        <v>3153.36</v>
      </c>
      <c r="I152" s="13">
        <v>12633.08</v>
      </c>
      <c r="J152" s="13">
        <v>2502.8200000000002</v>
      </c>
      <c r="K152" s="3">
        <v>6661.2400000000007</v>
      </c>
      <c r="L152" s="13">
        <v>1804.7200000000003</v>
      </c>
      <c r="M152" s="13">
        <v>6759.5300000000007</v>
      </c>
      <c r="N152" s="14">
        <v>1416.48</v>
      </c>
    </row>
    <row r="153" spans="1:14" x14ac:dyDescent="0.25">
      <c r="A153" s="3">
        <v>7</v>
      </c>
      <c r="B153" s="13">
        <v>40031.22</v>
      </c>
      <c r="C153" s="13">
        <v>10683.33</v>
      </c>
      <c r="D153" s="13">
        <v>39880.070000000007</v>
      </c>
      <c r="E153" s="14">
        <v>8378.58</v>
      </c>
      <c r="G153" s="3">
        <v>24931.760000000002</v>
      </c>
      <c r="H153" s="13">
        <v>7051.6900000000005</v>
      </c>
      <c r="I153" s="13">
        <v>26335.710000000003</v>
      </c>
      <c r="J153" s="13">
        <v>5612.5599999999995</v>
      </c>
      <c r="K153" s="3">
        <v>15099.46</v>
      </c>
      <c r="L153" s="13">
        <v>3631.6399999999994</v>
      </c>
      <c r="M153" s="13">
        <v>13544.36</v>
      </c>
      <c r="N153" s="14">
        <v>2766.02</v>
      </c>
    </row>
    <row r="154" spans="1:14" x14ac:dyDescent="0.25">
      <c r="A154" s="3">
        <v>8</v>
      </c>
      <c r="B154" s="13">
        <v>63017.69</v>
      </c>
      <c r="C154" s="13">
        <v>19309.620000000003</v>
      </c>
      <c r="D154" s="13">
        <v>62719.75</v>
      </c>
      <c r="E154" s="14">
        <v>15287.380000000001</v>
      </c>
      <c r="G154" s="3">
        <v>36302.710000000006</v>
      </c>
      <c r="H154" s="13">
        <v>10038.9</v>
      </c>
      <c r="I154" s="13">
        <v>35593.149999999994</v>
      </c>
      <c r="J154" s="13">
        <v>7848.7699999999986</v>
      </c>
      <c r="K154" s="3">
        <v>26714.98</v>
      </c>
      <c r="L154" s="13">
        <v>9270.7199999999993</v>
      </c>
      <c r="M154" s="13">
        <v>27126.6</v>
      </c>
      <c r="N154" s="14">
        <v>7438.6100000000006</v>
      </c>
    </row>
    <row r="155" spans="1:14" x14ac:dyDescent="0.25">
      <c r="A155" s="3">
        <v>9</v>
      </c>
      <c r="B155" s="13">
        <v>82349.84</v>
      </c>
      <c r="C155" s="13">
        <v>29379.13</v>
      </c>
      <c r="D155" s="13">
        <v>83091.239999999991</v>
      </c>
      <c r="E155" s="14">
        <v>23496.05</v>
      </c>
      <c r="G155" s="3">
        <v>39974.230000000003</v>
      </c>
      <c r="H155" s="13">
        <v>13895.619999999999</v>
      </c>
      <c r="I155" s="13">
        <v>42497.639999999992</v>
      </c>
      <c r="J155" s="13">
        <v>11513.25</v>
      </c>
      <c r="K155" s="3">
        <v>42375.61</v>
      </c>
      <c r="L155" s="13">
        <v>15483.510000000002</v>
      </c>
      <c r="M155" s="13">
        <v>40593.599999999991</v>
      </c>
      <c r="N155" s="14">
        <v>11982.800000000001</v>
      </c>
    </row>
    <row r="156" spans="1:14" x14ac:dyDescent="0.25">
      <c r="A156" s="3">
        <v>10</v>
      </c>
      <c r="B156" s="13">
        <v>91915.47</v>
      </c>
      <c r="C156" s="13">
        <v>36691.020000000004</v>
      </c>
      <c r="D156" s="13">
        <v>93424.01</v>
      </c>
      <c r="E156" s="14">
        <v>30117.629999999997</v>
      </c>
      <c r="G156" s="3">
        <v>57930.419999999991</v>
      </c>
      <c r="H156" s="13">
        <v>21861.43</v>
      </c>
      <c r="I156" s="13">
        <v>55962.94</v>
      </c>
      <c r="J156" s="13">
        <v>18189.170000000002</v>
      </c>
      <c r="K156" s="3">
        <v>33985.050000000003</v>
      </c>
      <c r="L156" s="13">
        <v>14829.59</v>
      </c>
      <c r="M156" s="13">
        <v>37461.07</v>
      </c>
      <c r="N156" s="14">
        <v>11928.46</v>
      </c>
    </row>
    <row r="157" spans="1:14" x14ac:dyDescent="0.25">
      <c r="A157" s="3">
        <v>11</v>
      </c>
      <c r="B157" s="13">
        <v>91704.15</v>
      </c>
      <c r="C157" s="13">
        <v>39288.980000000003</v>
      </c>
      <c r="D157" s="13">
        <v>93242.67</v>
      </c>
      <c r="E157" s="14">
        <v>32579.42</v>
      </c>
      <c r="G157" s="3">
        <v>52324.06</v>
      </c>
      <c r="H157" s="13">
        <v>25471.48</v>
      </c>
      <c r="I157" s="13">
        <v>48759.61</v>
      </c>
      <c r="J157" s="13">
        <v>20171.420000000002</v>
      </c>
      <c r="K157" s="3">
        <v>39380.089999999997</v>
      </c>
      <c r="L157" s="13">
        <v>13817.500000000002</v>
      </c>
      <c r="M157" s="13">
        <v>44483.06</v>
      </c>
      <c r="N157" s="14">
        <v>12408</v>
      </c>
    </row>
    <row r="158" spans="1:14" x14ac:dyDescent="0.25">
      <c r="A158" s="3">
        <v>12</v>
      </c>
      <c r="B158" s="13">
        <v>83535.850000000006</v>
      </c>
      <c r="C158" s="13">
        <v>37078.04</v>
      </c>
      <c r="D158" s="13">
        <v>84833.400000000009</v>
      </c>
      <c r="E158" s="14">
        <v>30830.61</v>
      </c>
      <c r="G158" s="3">
        <v>44061.000000000007</v>
      </c>
      <c r="H158" s="13">
        <v>23255.949999999997</v>
      </c>
      <c r="I158" s="13">
        <v>45036.110000000008</v>
      </c>
      <c r="J158" s="13">
        <v>19496.14</v>
      </c>
      <c r="K158" s="3">
        <v>39474.85</v>
      </c>
      <c r="L158" s="13">
        <v>13822.09</v>
      </c>
      <c r="M158" s="13">
        <v>39797.289999999994</v>
      </c>
      <c r="N158" s="14">
        <v>11334.470000000001</v>
      </c>
    </row>
    <row r="159" spans="1:14" x14ac:dyDescent="0.25">
      <c r="A159" s="3">
        <v>13</v>
      </c>
      <c r="B159" s="13">
        <v>68380.210000000006</v>
      </c>
      <c r="C159" s="13">
        <v>29866.760000000002</v>
      </c>
      <c r="D159" s="13">
        <v>68996.3</v>
      </c>
      <c r="E159" s="14">
        <v>25139.119999999999</v>
      </c>
      <c r="G159" s="3">
        <v>31761.090000000004</v>
      </c>
      <c r="H159" s="13">
        <v>17929.039999999997</v>
      </c>
      <c r="I159" s="13">
        <v>31490.559999999998</v>
      </c>
      <c r="J159" s="13">
        <v>15005.759999999998</v>
      </c>
      <c r="K159" s="3">
        <v>36619.120000000003</v>
      </c>
      <c r="L159" s="13">
        <v>11937.720000000001</v>
      </c>
      <c r="M159" s="13">
        <v>37505.740000000005</v>
      </c>
      <c r="N159" s="14">
        <v>10133.36</v>
      </c>
    </row>
    <row r="160" spans="1:14" x14ac:dyDescent="0.25">
      <c r="A160" s="3">
        <v>14</v>
      </c>
      <c r="B160" s="13">
        <v>75528.289999999994</v>
      </c>
      <c r="C160" s="13">
        <v>32211.899999999998</v>
      </c>
      <c r="D160" s="13">
        <v>75497.990000000005</v>
      </c>
      <c r="E160" s="14">
        <v>26857.410000000003</v>
      </c>
      <c r="G160" s="3">
        <v>32467.33</v>
      </c>
      <c r="H160" s="13">
        <v>15502.539999999997</v>
      </c>
      <c r="I160" s="13">
        <v>34155.61</v>
      </c>
      <c r="J160" s="13">
        <v>12981.73</v>
      </c>
      <c r="K160" s="3">
        <v>43060.959999999999</v>
      </c>
      <c r="L160" s="13">
        <v>16709.36</v>
      </c>
      <c r="M160" s="13">
        <v>41342.380000000005</v>
      </c>
      <c r="N160" s="14">
        <v>13875.68</v>
      </c>
    </row>
    <row r="161" spans="1:14" x14ac:dyDescent="0.25">
      <c r="A161" s="3">
        <v>15</v>
      </c>
      <c r="B161" s="13">
        <v>82332.17</v>
      </c>
      <c r="C161" s="13">
        <v>34430.57</v>
      </c>
      <c r="D161" s="13">
        <v>81946.25</v>
      </c>
      <c r="E161" s="14">
        <v>28796.49</v>
      </c>
      <c r="G161" s="3">
        <v>46111.729999999996</v>
      </c>
      <c r="H161" s="13">
        <v>22245.230000000003</v>
      </c>
      <c r="I161" s="13">
        <v>40506.39</v>
      </c>
      <c r="J161" s="13">
        <v>18142.699999999997</v>
      </c>
      <c r="K161" s="3">
        <v>36220.44</v>
      </c>
      <c r="L161" s="13">
        <v>12185.34</v>
      </c>
      <c r="M161" s="13">
        <v>41439.860000000008</v>
      </c>
      <c r="N161" s="14">
        <v>10653.79</v>
      </c>
    </row>
    <row r="162" spans="1:14" x14ac:dyDescent="0.25">
      <c r="A162" s="3">
        <v>16</v>
      </c>
      <c r="B162" s="13">
        <v>81224.13</v>
      </c>
      <c r="C162" s="13">
        <v>34900.61</v>
      </c>
      <c r="D162" s="13">
        <v>81313.499999999985</v>
      </c>
      <c r="E162" s="14">
        <v>28964.199999999997</v>
      </c>
      <c r="G162" s="3">
        <v>51881.53</v>
      </c>
      <c r="H162" s="13">
        <v>20993.61</v>
      </c>
      <c r="I162" s="13">
        <v>49559.35</v>
      </c>
      <c r="J162" s="13">
        <v>17802.099999999999</v>
      </c>
      <c r="K162" s="3">
        <v>29342.6</v>
      </c>
      <c r="L162" s="13">
        <v>13907</v>
      </c>
      <c r="M162" s="13">
        <v>31754.15</v>
      </c>
      <c r="N162" s="14">
        <v>11162.1</v>
      </c>
    </row>
    <row r="163" spans="1:14" x14ac:dyDescent="0.25">
      <c r="A163" s="3">
        <v>17</v>
      </c>
      <c r="B163" s="13">
        <v>81915.7</v>
      </c>
      <c r="C163" s="13">
        <v>35351.410000000003</v>
      </c>
      <c r="D163" s="13">
        <v>81938.679999999993</v>
      </c>
      <c r="E163" s="14">
        <v>29358.95</v>
      </c>
      <c r="G163" s="3">
        <v>51086.62</v>
      </c>
      <c r="H163" s="13">
        <v>17876.810000000001</v>
      </c>
      <c r="I163" s="13">
        <v>51209.01</v>
      </c>
      <c r="J163" s="13">
        <v>15115.34</v>
      </c>
      <c r="K163" s="3">
        <v>30829.08</v>
      </c>
      <c r="L163" s="13">
        <v>17474.599999999999</v>
      </c>
      <c r="M163" s="13">
        <v>30729.670000000002</v>
      </c>
      <c r="N163" s="14">
        <v>14243.61</v>
      </c>
    </row>
    <row r="164" spans="1:14" x14ac:dyDescent="0.25">
      <c r="A164" s="3">
        <v>18</v>
      </c>
      <c r="B164" s="13">
        <v>63159.87000000001</v>
      </c>
      <c r="C164" s="13">
        <v>25277.520000000004</v>
      </c>
      <c r="D164" s="13">
        <v>62895.399999999994</v>
      </c>
      <c r="E164" s="14">
        <v>21129.859999999997</v>
      </c>
      <c r="G164" s="3">
        <v>35344.639999999999</v>
      </c>
      <c r="H164" s="13">
        <v>14447.419999999998</v>
      </c>
      <c r="I164" s="13">
        <v>33950.649999999994</v>
      </c>
      <c r="J164" s="13">
        <v>12051.039999999999</v>
      </c>
      <c r="K164" s="3">
        <v>27815.230000000003</v>
      </c>
      <c r="L164" s="13">
        <v>10830.1</v>
      </c>
      <c r="M164" s="13">
        <v>28944.750000000004</v>
      </c>
      <c r="N164" s="14">
        <v>9078.82</v>
      </c>
    </row>
    <row r="165" spans="1:14" x14ac:dyDescent="0.25">
      <c r="A165" s="3">
        <v>19</v>
      </c>
      <c r="B165" s="13">
        <v>166132.96100000001</v>
      </c>
      <c r="C165" s="13">
        <v>66736.680000000008</v>
      </c>
      <c r="D165" s="13">
        <v>163752.94200000001</v>
      </c>
      <c r="E165" s="14">
        <v>53147.32</v>
      </c>
      <c r="G165" s="3">
        <v>105424.52099999999</v>
      </c>
      <c r="H165" s="13">
        <v>39969.410000000003</v>
      </c>
      <c r="I165" s="13">
        <v>102093.06099999999</v>
      </c>
      <c r="J165" s="13">
        <v>32186.400000000001</v>
      </c>
      <c r="K165" s="3">
        <v>60708.44</v>
      </c>
      <c r="L165" s="13">
        <v>26767.269999999997</v>
      </c>
      <c r="M165" s="13">
        <v>61659.881000000001</v>
      </c>
      <c r="N165" s="14">
        <v>20960.919999999998</v>
      </c>
    </row>
    <row r="166" spans="1:14" x14ac:dyDescent="0.25">
      <c r="A166" s="3">
        <v>20</v>
      </c>
      <c r="B166" s="13">
        <v>161558.24799999996</v>
      </c>
      <c r="C166" s="13">
        <v>65763.64</v>
      </c>
      <c r="D166" s="13">
        <v>162383.33799999999</v>
      </c>
      <c r="E166" s="14">
        <v>52434.170000000006</v>
      </c>
      <c r="G166" s="3">
        <v>91952.157999999996</v>
      </c>
      <c r="H166" s="13">
        <v>38962.07</v>
      </c>
      <c r="I166" s="13">
        <v>95170.388999999996</v>
      </c>
      <c r="J166" s="13">
        <v>32088.61</v>
      </c>
      <c r="K166" s="3">
        <v>69606.09</v>
      </c>
      <c r="L166" s="13">
        <v>26801.57</v>
      </c>
      <c r="M166" s="13">
        <v>67212.949000000008</v>
      </c>
      <c r="N166" s="14">
        <v>20345.560000000001</v>
      </c>
    </row>
    <row r="167" spans="1:14" x14ac:dyDescent="0.25">
      <c r="A167" s="3">
        <v>21</v>
      </c>
      <c r="B167" s="13">
        <v>157028.80900000001</v>
      </c>
      <c r="C167" s="13">
        <v>62555.66</v>
      </c>
      <c r="D167" s="13">
        <v>156826.18899999998</v>
      </c>
      <c r="E167" s="14">
        <v>50470.31</v>
      </c>
      <c r="G167" s="3">
        <v>95763.289000000004</v>
      </c>
      <c r="H167" s="13">
        <v>36453.78</v>
      </c>
      <c r="I167" s="13">
        <v>90809.66899999998</v>
      </c>
      <c r="J167" s="13">
        <v>30023.030000000002</v>
      </c>
      <c r="K167" s="3">
        <v>61265.52</v>
      </c>
      <c r="L167" s="13">
        <v>26101.88</v>
      </c>
      <c r="M167" s="13">
        <v>66016.52</v>
      </c>
      <c r="N167" s="14">
        <v>20447.280000000002</v>
      </c>
    </row>
    <row r="168" spans="1:14" x14ac:dyDescent="0.25">
      <c r="A168" s="3">
        <v>22</v>
      </c>
      <c r="B168" s="13">
        <v>118528.6</v>
      </c>
      <c r="C168" s="13">
        <v>50703.58</v>
      </c>
      <c r="D168" s="13">
        <v>119266.15899999999</v>
      </c>
      <c r="E168" s="14">
        <v>41779.22</v>
      </c>
      <c r="G168" s="3">
        <v>68141.069999999992</v>
      </c>
      <c r="H168" s="13">
        <v>27220.61</v>
      </c>
      <c r="I168" s="13">
        <v>70263.868999999992</v>
      </c>
      <c r="J168" s="13">
        <v>22564.2</v>
      </c>
      <c r="K168" s="3">
        <v>50387.53</v>
      </c>
      <c r="L168" s="13">
        <v>23482.97</v>
      </c>
      <c r="M168" s="13">
        <v>49002.29</v>
      </c>
      <c r="N168" s="14">
        <v>19215.02</v>
      </c>
    </row>
    <row r="169" spans="1:14" x14ac:dyDescent="0.25">
      <c r="A169" s="15">
        <v>23</v>
      </c>
      <c r="B169" s="16">
        <v>67850.260000000009</v>
      </c>
      <c r="C169" s="16">
        <v>32905.020000000004</v>
      </c>
      <c r="D169" s="16">
        <v>68638.899999999994</v>
      </c>
      <c r="E169" s="17">
        <v>27826.14</v>
      </c>
      <c r="G169" s="15">
        <v>39356.199999999997</v>
      </c>
      <c r="H169" s="16">
        <v>18798.419999999998</v>
      </c>
      <c r="I169" s="16">
        <v>39329.730000000003</v>
      </c>
      <c r="J169" s="16">
        <v>16005.02</v>
      </c>
      <c r="K169" s="15">
        <v>28494.059999999998</v>
      </c>
      <c r="L169" s="16">
        <v>14106.6</v>
      </c>
      <c r="M169" s="16">
        <v>29309.170000000002</v>
      </c>
      <c r="N169" s="17">
        <v>11821.119999999999</v>
      </c>
    </row>
    <row r="170" spans="1:14" x14ac:dyDescent="0.25">
      <c r="A170" s="21">
        <v>0</v>
      </c>
      <c r="B170" s="22">
        <v>34698.449999999997</v>
      </c>
      <c r="C170" s="22">
        <v>19258.000000000004</v>
      </c>
      <c r="D170" s="22">
        <v>35733.29</v>
      </c>
      <c r="E170" s="23">
        <v>16519.489999999998</v>
      </c>
      <c r="G170" s="21">
        <v>19419.36</v>
      </c>
      <c r="H170" s="22">
        <v>12536.839999999998</v>
      </c>
      <c r="I170" s="22">
        <v>19943.66</v>
      </c>
      <c r="J170" s="22">
        <v>10954.739999999998</v>
      </c>
      <c r="K170" s="21">
        <v>15279.09</v>
      </c>
      <c r="L170" s="22">
        <v>6721.1600000000008</v>
      </c>
      <c r="M170" s="22">
        <v>15789.630000000001</v>
      </c>
      <c r="N170" s="23">
        <v>5564.75</v>
      </c>
    </row>
    <row r="171" spans="1:14" x14ac:dyDescent="0.25">
      <c r="A171" s="3">
        <v>1</v>
      </c>
      <c r="B171" s="13">
        <v>17225.95</v>
      </c>
      <c r="C171" s="13">
        <v>10237.049999999999</v>
      </c>
      <c r="D171" s="13">
        <v>17838.84</v>
      </c>
      <c r="E171" s="14">
        <v>8767.4800000000014</v>
      </c>
      <c r="G171" s="3">
        <v>8869.84</v>
      </c>
      <c r="H171" s="13">
        <v>4708.76</v>
      </c>
      <c r="I171" s="13">
        <v>9049.99</v>
      </c>
      <c r="J171" s="13">
        <v>4111.74</v>
      </c>
      <c r="K171" s="3">
        <v>8356.1099999999988</v>
      </c>
      <c r="L171" s="13">
        <v>5528.29</v>
      </c>
      <c r="M171" s="13">
        <v>8788.85</v>
      </c>
      <c r="N171" s="14">
        <v>4655.74</v>
      </c>
    </row>
    <row r="172" spans="1:14" x14ac:dyDescent="0.25">
      <c r="A172" s="3">
        <v>2</v>
      </c>
      <c r="B172" s="13">
        <v>8993.34</v>
      </c>
      <c r="C172" s="13">
        <v>5481.9299999999994</v>
      </c>
      <c r="D172" s="13">
        <v>9431.64</v>
      </c>
      <c r="E172" s="14">
        <v>4610.09</v>
      </c>
      <c r="G172" s="3">
        <v>4057.3299999999995</v>
      </c>
      <c r="H172" s="13">
        <v>2494.3000000000002</v>
      </c>
      <c r="I172" s="13">
        <v>4211.96</v>
      </c>
      <c r="J172" s="13">
        <v>2077.4899999999998</v>
      </c>
      <c r="K172" s="3">
        <v>4936.01</v>
      </c>
      <c r="L172" s="13">
        <v>2987.63</v>
      </c>
      <c r="M172" s="13">
        <v>5219.68</v>
      </c>
      <c r="N172" s="14">
        <v>2532.6</v>
      </c>
    </row>
    <row r="173" spans="1:14" x14ac:dyDescent="0.25">
      <c r="A173" s="3">
        <v>3</v>
      </c>
      <c r="B173" s="13">
        <v>5310.18</v>
      </c>
      <c r="C173" s="13">
        <v>3036.6700000000005</v>
      </c>
      <c r="D173" s="13">
        <v>5451.8899999999994</v>
      </c>
      <c r="E173" s="14">
        <v>2633.31</v>
      </c>
      <c r="G173" s="3">
        <v>2935.87</v>
      </c>
      <c r="H173" s="13">
        <v>1190.44</v>
      </c>
      <c r="I173" s="13">
        <v>2965.05</v>
      </c>
      <c r="J173" s="13">
        <v>1061.3000000000002</v>
      </c>
      <c r="K173" s="3">
        <v>2374.31</v>
      </c>
      <c r="L173" s="13">
        <v>1846.23</v>
      </c>
      <c r="M173" s="13">
        <v>2486.84</v>
      </c>
      <c r="N173" s="14">
        <v>1572.01</v>
      </c>
    </row>
    <row r="174" spans="1:14" x14ac:dyDescent="0.25">
      <c r="A174" s="3">
        <v>4</v>
      </c>
      <c r="B174" s="13">
        <v>5214.29</v>
      </c>
      <c r="C174" s="13">
        <v>2327.63</v>
      </c>
      <c r="D174" s="13">
        <v>5210.6099999999997</v>
      </c>
      <c r="E174" s="14">
        <v>1971.44</v>
      </c>
      <c r="G174" s="3">
        <v>3001.59</v>
      </c>
      <c r="H174" s="13">
        <v>1502.1499999999999</v>
      </c>
      <c r="I174" s="13">
        <v>3053.3700000000003</v>
      </c>
      <c r="J174" s="13">
        <v>1263.5300000000002</v>
      </c>
      <c r="K174" s="3">
        <v>2212.6999999999998</v>
      </c>
      <c r="L174" s="13">
        <v>825.48</v>
      </c>
      <c r="M174" s="13">
        <v>2157.2399999999998</v>
      </c>
      <c r="N174" s="14">
        <v>707.91000000000008</v>
      </c>
    </row>
    <row r="175" spans="1:14" x14ac:dyDescent="0.25">
      <c r="A175" s="3">
        <v>5</v>
      </c>
      <c r="B175" s="13">
        <v>33252.160000000003</v>
      </c>
      <c r="C175" s="13">
        <v>10435.640000000001</v>
      </c>
      <c r="D175" s="13">
        <v>31308.380000000005</v>
      </c>
      <c r="E175" s="14">
        <v>7458.1200000000008</v>
      </c>
      <c r="G175" s="3">
        <v>18847.68</v>
      </c>
      <c r="H175" s="13">
        <v>6687.7000000000007</v>
      </c>
      <c r="I175" s="13">
        <v>18261.669999999998</v>
      </c>
      <c r="J175" s="13">
        <v>4996.5400000000009</v>
      </c>
      <c r="K175" s="3">
        <v>14404.48</v>
      </c>
      <c r="L175" s="13">
        <v>3747.94</v>
      </c>
      <c r="M175" s="13">
        <v>13046.71</v>
      </c>
      <c r="N175" s="14">
        <v>2461.58</v>
      </c>
    </row>
    <row r="176" spans="1:14" x14ac:dyDescent="0.25">
      <c r="A176" s="3">
        <v>6</v>
      </c>
      <c r="B176" s="13">
        <v>81461.149999999994</v>
      </c>
      <c r="C176" s="13">
        <v>25804.050000000003</v>
      </c>
      <c r="D176" s="13">
        <v>76784.649999999994</v>
      </c>
      <c r="E176" s="14">
        <v>18222.87</v>
      </c>
      <c r="G176" s="3">
        <v>49563.409999999996</v>
      </c>
      <c r="H176" s="13">
        <v>13901.979999999998</v>
      </c>
      <c r="I176" s="13">
        <v>45688.630000000005</v>
      </c>
      <c r="J176" s="13">
        <v>9384.49</v>
      </c>
      <c r="K176" s="3">
        <v>31897.739999999998</v>
      </c>
      <c r="L176" s="13">
        <v>11902.07</v>
      </c>
      <c r="M176" s="13">
        <v>31096.019999999997</v>
      </c>
      <c r="N176" s="14">
        <v>8838.3799999999992</v>
      </c>
    </row>
    <row r="177" spans="1:14" x14ac:dyDescent="0.25">
      <c r="A177" s="3">
        <v>7</v>
      </c>
      <c r="B177" s="13">
        <v>93720.959000000003</v>
      </c>
      <c r="C177" s="13">
        <v>30666.71</v>
      </c>
      <c r="D177" s="13">
        <v>90217.350999999995</v>
      </c>
      <c r="E177" s="14">
        <v>22563.050000000003</v>
      </c>
      <c r="G177" s="3">
        <v>35948.71</v>
      </c>
      <c r="H177" s="13">
        <v>13341.86</v>
      </c>
      <c r="I177" s="13">
        <v>37361.47</v>
      </c>
      <c r="J177" s="13">
        <v>9863.44</v>
      </c>
      <c r="K177" s="3">
        <v>57772.249000000003</v>
      </c>
      <c r="L177" s="13">
        <v>17324.850000000002</v>
      </c>
      <c r="M177" s="13">
        <v>52855.881000000008</v>
      </c>
      <c r="N177" s="14">
        <v>12699.61</v>
      </c>
    </row>
    <row r="178" spans="1:14" x14ac:dyDescent="0.25">
      <c r="A178" s="3">
        <v>8</v>
      </c>
      <c r="B178" s="13">
        <v>87427.069999999992</v>
      </c>
      <c r="C178" s="13">
        <v>31661.760000000002</v>
      </c>
      <c r="D178" s="13">
        <v>86586.430000000022</v>
      </c>
      <c r="E178" s="14">
        <v>23051.61</v>
      </c>
      <c r="G178" s="3">
        <v>48323.79</v>
      </c>
      <c r="H178" s="13">
        <v>17270.079999999998</v>
      </c>
      <c r="I178" s="13">
        <v>43915.31</v>
      </c>
      <c r="J178" s="13">
        <v>12720.35</v>
      </c>
      <c r="K178" s="3">
        <v>39103.279999999999</v>
      </c>
      <c r="L178" s="13">
        <v>14391.68</v>
      </c>
      <c r="M178" s="13">
        <v>42671.12</v>
      </c>
      <c r="N178" s="14">
        <v>10331.26</v>
      </c>
    </row>
    <row r="179" spans="1:14" x14ac:dyDescent="0.25">
      <c r="A179" s="3">
        <v>9</v>
      </c>
      <c r="B179" s="13">
        <v>147841.03</v>
      </c>
      <c r="C179" s="13">
        <v>59678.31</v>
      </c>
      <c r="D179" s="13">
        <v>144057.24900000001</v>
      </c>
      <c r="E179" s="14">
        <v>45096.04</v>
      </c>
      <c r="G179" s="3">
        <v>82672.349999999991</v>
      </c>
      <c r="H179" s="13">
        <v>38829.699999999997</v>
      </c>
      <c r="I179" s="13">
        <v>66956.630999999994</v>
      </c>
      <c r="J179" s="13">
        <v>27541.08</v>
      </c>
      <c r="K179" s="3">
        <v>65168.679999999993</v>
      </c>
      <c r="L179" s="13">
        <v>20848.609999999997</v>
      </c>
      <c r="M179" s="13">
        <v>77100.618000000002</v>
      </c>
      <c r="N179" s="14">
        <v>17554.960000000003</v>
      </c>
    </row>
    <row r="180" spans="1:14" x14ac:dyDescent="0.25">
      <c r="A180" s="3">
        <v>10</v>
      </c>
      <c r="B180" s="13">
        <v>176927.44899999999</v>
      </c>
      <c r="C180" s="13">
        <v>69316.83</v>
      </c>
      <c r="D180" s="13">
        <v>171149.66999999998</v>
      </c>
      <c r="E180" s="14">
        <v>54870.26</v>
      </c>
      <c r="G180" s="3">
        <v>124741.429</v>
      </c>
      <c r="H180" s="13">
        <v>41138.699999999997</v>
      </c>
      <c r="I180" s="13">
        <v>122103.031</v>
      </c>
      <c r="J180" s="13">
        <v>33135.409999999996</v>
      </c>
      <c r="K180" s="3">
        <v>52186.02</v>
      </c>
      <c r="L180" s="13">
        <v>28178.13</v>
      </c>
      <c r="M180" s="13">
        <v>49046.638999999996</v>
      </c>
      <c r="N180" s="14">
        <v>21734.85</v>
      </c>
    </row>
    <row r="181" spans="1:14" x14ac:dyDescent="0.25">
      <c r="A181" s="3">
        <v>11</v>
      </c>
      <c r="B181" s="13">
        <v>155952.88900000002</v>
      </c>
      <c r="C181" s="13">
        <v>59957.240000000005</v>
      </c>
      <c r="D181" s="13">
        <v>152873.242</v>
      </c>
      <c r="E181" s="14">
        <v>48790.71</v>
      </c>
      <c r="G181" s="3">
        <v>94028.548999999999</v>
      </c>
      <c r="H181" s="13">
        <v>32542.510000000002</v>
      </c>
      <c r="I181" s="13">
        <v>87555.690999999992</v>
      </c>
      <c r="J181" s="13">
        <v>26586.25</v>
      </c>
      <c r="K181" s="3">
        <v>61924.34</v>
      </c>
      <c r="L181" s="13">
        <v>27414.730000000003</v>
      </c>
      <c r="M181" s="13">
        <v>65317.551000000007</v>
      </c>
      <c r="N181" s="14">
        <v>22204.46</v>
      </c>
    </row>
    <row r="182" spans="1:14" x14ac:dyDescent="0.25">
      <c r="A182" s="3">
        <v>12</v>
      </c>
      <c r="B182" s="13">
        <v>118150.891</v>
      </c>
      <c r="C182" s="13">
        <v>45568.01</v>
      </c>
      <c r="D182" s="13">
        <v>117650.98099999999</v>
      </c>
      <c r="E182" s="14">
        <v>37190.35</v>
      </c>
      <c r="G182" s="3">
        <v>57155.32</v>
      </c>
      <c r="H182" s="13">
        <v>25455.87</v>
      </c>
      <c r="I182" s="13">
        <v>60179.89</v>
      </c>
      <c r="J182" s="13">
        <v>20959.98</v>
      </c>
      <c r="K182" s="3">
        <v>60995.571000000004</v>
      </c>
      <c r="L182" s="13">
        <v>20112.14</v>
      </c>
      <c r="M182" s="13">
        <v>57471.091</v>
      </c>
      <c r="N182" s="14">
        <v>16230.369999999999</v>
      </c>
    </row>
    <row r="183" spans="1:14" x14ac:dyDescent="0.25">
      <c r="A183" s="3">
        <v>13</v>
      </c>
      <c r="B183" s="13"/>
      <c r="C183" s="13"/>
      <c r="D183" s="13"/>
      <c r="E183" s="14"/>
      <c r="G183" s="3"/>
      <c r="H183" s="13"/>
      <c r="I183" s="13"/>
      <c r="J183" s="13"/>
      <c r="K183" s="3"/>
      <c r="L183" s="13"/>
      <c r="M183" s="13"/>
      <c r="N183" s="14"/>
    </row>
    <row r="184" spans="1:14" x14ac:dyDescent="0.25">
      <c r="A184" s="3">
        <v>14</v>
      </c>
      <c r="B184" s="13"/>
      <c r="C184" s="13"/>
      <c r="D184" s="13"/>
      <c r="E184" s="14"/>
      <c r="G184" s="3"/>
      <c r="H184" s="13"/>
      <c r="I184" s="13"/>
      <c r="J184" s="13"/>
      <c r="K184" s="3"/>
      <c r="L184" s="13"/>
      <c r="M184" s="13"/>
      <c r="N184" s="14"/>
    </row>
    <row r="185" spans="1:14" x14ac:dyDescent="0.25">
      <c r="A185" s="3">
        <v>15</v>
      </c>
      <c r="B185" s="13"/>
      <c r="C185" s="13"/>
      <c r="D185" s="13"/>
      <c r="E185" s="14"/>
      <c r="G185" s="3"/>
      <c r="H185" s="13"/>
      <c r="I185" s="13"/>
      <c r="J185" s="13"/>
      <c r="K185" s="3"/>
      <c r="L185" s="13"/>
      <c r="M185" s="13"/>
      <c r="N185" s="14"/>
    </row>
    <row r="186" spans="1:14" x14ac:dyDescent="0.25">
      <c r="A186" s="3">
        <v>16</v>
      </c>
      <c r="B186" s="13"/>
      <c r="C186" s="13"/>
      <c r="D186" s="13"/>
      <c r="E186" s="14"/>
      <c r="G186" s="3"/>
      <c r="H186" s="13"/>
      <c r="I186" s="13"/>
      <c r="J186" s="13"/>
      <c r="K186" s="3"/>
      <c r="L186" s="13"/>
      <c r="M186" s="13"/>
      <c r="N186" s="14"/>
    </row>
    <row r="187" spans="1:14" x14ac:dyDescent="0.25">
      <c r="A187" s="3">
        <v>17</v>
      </c>
      <c r="B187" s="13"/>
      <c r="C187" s="13"/>
      <c r="D187" s="13"/>
      <c r="E187" s="14"/>
      <c r="G187" s="3"/>
      <c r="H187" s="13"/>
      <c r="I187" s="13"/>
      <c r="J187" s="13"/>
      <c r="K187" s="3"/>
      <c r="L187" s="13"/>
      <c r="M187" s="13"/>
      <c r="N187" s="14"/>
    </row>
    <row r="188" spans="1:14" x14ac:dyDescent="0.25">
      <c r="A188" s="3">
        <v>18</v>
      </c>
      <c r="B188" s="13"/>
      <c r="C188" s="13"/>
      <c r="D188" s="13"/>
      <c r="E188" s="14"/>
      <c r="G188" s="3"/>
      <c r="H188" s="13"/>
      <c r="I188" s="13"/>
      <c r="J188" s="13"/>
      <c r="K188" s="3"/>
      <c r="L188" s="13"/>
      <c r="M188" s="13"/>
      <c r="N188" s="14"/>
    </row>
    <row r="189" spans="1:14" x14ac:dyDescent="0.25">
      <c r="A189" s="3">
        <v>19</v>
      </c>
      <c r="B189" s="13"/>
      <c r="C189" s="13"/>
      <c r="D189" s="13"/>
      <c r="E189" s="14"/>
      <c r="G189" s="3"/>
      <c r="H189" s="13"/>
      <c r="I189" s="13"/>
      <c r="J189" s="13"/>
      <c r="K189" s="3"/>
      <c r="L189" s="13"/>
      <c r="M189" s="13"/>
      <c r="N189" s="14"/>
    </row>
    <row r="190" spans="1:14" x14ac:dyDescent="0.25">
      <c r="A190" s="3">
        <v>20</v>
      </c>
      <c r="B190" s="13"/>
      <c r="C190" s="13"/>
      <c r="D190" s="13"/>
      <c r="E190" s="14"/>
      <c r="G190" s="3"/>
      <c r="H190" s="13"/>
      <c r="I190" s="13"/>
      <c r="J190" s="13"/>
      <c r="K190" s="3"/>
      <c r="L190" s="13"/>
      <c r="M190" s="13"/>
      <c r="N190" s="14"/>
    </row>
    <row r="191" spans="1:14" x14ac:dyDescent="0.25">
      <c r="A191" s="3">
        <v>21</v>
      </c>
      <c r="B191" s="13"/>
      <c r="C191" s="13"/>
      <c r="D191" s="13"/>
      <c r="E191" s="14"/>
      <c r="G191" s="3"/>
      <c r="H191" s="13"/>
      <c r="I191" s="13"/>
      <c r="J191" s="13"/>
      <c r="K191" s="3"/>
      <c r="L191" s="13"/>
      <c r="M191" s="13"/>
      <c r="N191" s="14"/>
    </row>
    <row r="192" spans="1:14" x14ac:dyDescent="0.25">
      <c r="A192" s="3">
        <v>22</v>
      </c>
      <c r="B192" s="13"/>
      <c r="C192" s="13"/>
      <c r="D192" s="13"/>
      <c r="E192" s="14"/>
      <c r="G192" s="3"/>
      <c r="H192" s="13"/>
      <c r="I192" s="13"/>
      <c r="J192" s="13"/>
      <c r="K192" s="3"/>
      <c r="L192" s="13"/>
      <c r="M192" s="13"/>
      <c r="N192" s="14"/>
    </row>
    <row r="193" spans="1:14" x14ac:dyDescent="0.25">
      <c r="A193" s="15">
        <v>23</v>
      </c>
      <c r="B193" s="16"/>
      <c r="C193" s="16"/>
      <c r="D193" s="16"/>
      <c r="E193" s="17"/>
      <c r="G193" s="15"/>
      <c r="H193" s="16"/>
      <c r="I193" s="16"/>
      <c r="J193" s="16"/>
      <c r="K193" s="15"/>
      <c r="L193" s="16"/>
      <c r="M193" s="16"/>
      <c r="N193" s="17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433"/>
  <sheetViews>
    <sheetView workbookViewId="0">
      <selection activeCell="A154" sqref="A154"/>
    </sheetView>
  </sheetViews>
  <sheetFormatPr defaultRowHeight="15" x14ac:dyDescent="0.25"/>
  <cols>
    <col min="1" max="1" width="15.7109375" customWidth="1"/>
    <col min="5" max="5" width="12" bestFit="1" customWidth="1"/>
    <col min="7" max="7" width="15.7109375" customWidth="1"/>
  </cols>
  <sheetData>
    <row r="1" spans="1:7" x14ac:dyDescent="0.25">
      <c r="A1" t="s">
        <v>0</v>
      </c>
      <c r="B1" t="s">
        <v>35</v>
      </c>
      <c r="C1" t="s">
        <v>38</v>
      </c>
    </row>
    <row r="2" spans="1:7" x14ac:dyDescent="0.25">
      <c r="A2" s="7">
        <v>44323</v>
      </c>
      <c r="B2" s="1">
        <v>14554</v>
      </c>
      <c r="C2" s="1">
        <v>39270.262139879</v>
      </c>
      <c r="G2" s="7"/>
    </row>
    <row r="3" spans="1:7" x14ac:dyDescent="0.25">
      <c r="A3" s="7">
        <v>44323.041666666664</v>
      </c>
      <c r="B3" s="1">
        <v>9903</v>
      </c>
      <c r="C3" s="1">
        <v>27102.834579931001</v>
      </c>
      <c r="G3" s="7"/>
    </row>
    <row r="4" spans="1:7" x14ac:dyDescent="0.25">
      <c r="A4" s="7">
        <v>44323.083333333336</v>
      </c>
      <c r="B4" s="1">
        <v>6544</v>
      </c>
      <c r="C4" s="1">
        <v>17874.000783656</v>
      </c>
      <c r="G4" s="7"/>
    </row>
    <row r="5" spans="1:7" x14ac:dyDescent="0.25">
      <c r="A5" s="7">
        <v>44323.125</v>
      </c>
      <c r="B5" s="1">
        <v>6236</v>
      </c>
      <c r="C5" s="1">
        <v>15774.240295464</v>
      </c>
      <c r="G5" s="7"/>
    </row>
    <row r="6" spans="1:7" x14ac:dyDescent="0.25">
      <c r="A6" s="7">
        <v>44323.166666666664</v>
      </c>
      <c r="B6" s="1">
        <v>7428</v>
      </c>
      <c r="C6" s="1">
        <v>17947.621350902999</v>
      </c>
      <c r="G6" s="7"/>
    </row>
    <row r="7" spans="1:7" x14ac:dyDescent="0.25">
      <c r="A7" s="7">
        <v>44323.208333333336</v>
      </c>
      <c r="B7" s="1">
        <v>4442</v>
      </c>
      <c r="C7" s="1">
        <v>10458.298146814001</v>
      </c>
      <c r="G7" s="7"/>
    </row>
    <row r="8" spans="1:7" x14ac:dyDescent="0.25">
      <c r="A8" s="7">
        <v>44323.25</v>
      </c>
      <c r="B8" s="1">
        <v>5326</v>
      </c>
      <c r="C8" s="1">
        <v>11685.229172369</v>
      </c>
      <c r="G8" s="7"/>
    </row>
    <row r="9" spans="1:7" x14ac:dyDescent="0.25">
      <c r="A9" s="7">
        <v>44323.291666666664</v>
      </c>
      <c r="B9" s="1">
        <v>8288</v>
      </c>
      <c r="C9" s="1">
        <v>18372.214012057</v>
      </c>
      <c r="G9" s="7"/>
    </row>
    <row r="10" spans="1:7" x14ac:dyDescent="0.25">
      <c r="A10" s="7">
        <v>44323.333333333336</v>
      </c>
      <c r="B10" s="1">
        <v>11632</v>
      </c>
      <c r="C10" s="1">
        <v>26839.457626626001</v>
      </c>
      <c r="G10" s="7"/>
    </row>
    <row r="11" spans="1:7" x14ac:dyDescent="0.25">
      <c r="A11" s="7">
        <v>44323.375</v>
      </c>
      <c r="B11" s="1">
        <v>14275</v>
      </c>
      <c r="C11" s="1">
        <v>34789.219789903</v>
      </c>
      <c r="G11" s="7"/>
    </row>
    <row r="12" spans="1:7" x14ac:dyDescent="0.25">
      <c r="A12" s="7">
        <v>44323.416666666664</v>
      </c>
      <c r="B12" s="1">
        <v>16376</v>
      </c>
      <c r="C12" s="1">
        <v>41183.456818343999</v>
      </c>
      <c r="G12" s="7"/>
    </row>
    <row r="13" spans="1:7" x14ac:dyDescent="0.25">
      <c r="A13" s="7">
        <v>44323.458333333336</v>
      </c>
      <c r="B13" s="1">
        <v>17190</v>
      </c>
      <c r="C13" s="1">
        <v>43932.455061314999</v>
      </c>
      <c r="G13" s="7"/>
    </row>
    <row r="14" spans="1:7" x14ac:dyDescent="0.25">
      <c r="A14" s="7">
        <v>44323.5</v>
      </c>
      <c r="B14" s="1">
        <v>15410</v>
      </c>
      <c r="C14" s="1">
        <v>39443.217670496997</v>
      </c>
      <c r="G14" s="7"/>
    </row>
    <row r="15" spans="1:7" x14ac:dyDescent="0.25">
      <c r="A15" s="7">
        <v>44323.541666666664</v>
      </c>
      <c r="B15" s="1">
        <v>13099</v>
      </c>
      <c r="C15" s="1">
        <v>32449.734343657001</v>
      </c>
      <c r="G15" s="7"/>
    </row>
    <row r="16" spans="1:7" x14ac:dyDescent="0.25">
      <c r="A16" s="7">
        <v>44323.583333333336</v>
      </c>
      <c r="B16" s="1">
        <v>18925</v>
      </c>
      <c r="C16" s="1">
        <v>48477.319450684998</v>
      </c>
      <c r="G16" s="7"/>
    </row>
    <row r="17" spans="1:7" x14ac:dyDescent="0.25">
      <c r="A17" s="7">
        <v>44323.625</v>
      </c>
      <c r="B17" s="1">
        <v>19220</v>
      </c>
      <c r="C17" s="1">
        <v>49536.853113730001</v>
      </c>
      <c r="G17" s="7"/>
    </row>
    <row r="18" spans="1:7" x14ac:dyDescent="0.25">
      <c r="A18" s="7">
        <v>44323.666666666664</v>
      </c>
      <c r="B18" s="1">
        <v>17144</v>
      </c>
      <c r="C18" s="1">
        <v>45402.918992022998</v>
      </c>
      <c r="G18" s="7"/>
    </row>
    <row r="19" spans="1:7" x14ac:dyDescent="0.25">
      <c r="A19" s="7">
        <v>44323.708333333336</v>
      </c>
      <c r="B19" s="1">
        <v>14854</v>
      </c>
      <c r="C19" s="1">
        <v>40935.960937967</v>
      </c>
      <c r="G19" s="7"/>
    </row>
    <row r="20" spans="1:7" x14ac:dyDescent="0.25">
      <c r="A20" s="7">
        <v>44323.75</v>
      </c>
      <c r="B20" s="1">
        <v>12846</v>
      </c>
      <c r="C20" s="1">
        <v>34815.946382941998</v>
      </c>
      <c r="G20" s="7"/>
    </row>
    <row r="21" spans="1:7" x14ac:dyDescent="0.25">
      <c r="A21" s="7">
        <v>44323.791666666664</v>
      </c>
      <c r="B21" s="1">
        <v>18891</v>
      </c>
      <c r="C21" s="1">
        <v>51005.246660088997</v>
      </c>
      <c r="G21" s="7"/>
    </row>
    <row r="22" spans="1:7" x14ac:dyDescent="0.25">
      <c r="A22" s="7">
        <v>44323.833333333336</v>
      </c>
      <c r="B22" s="1">
        <v>19622</v>
      </c>
      <c r="C22" s="1">
        <v>52799.295162768998</v>
      </c>
      <c r="G22" s="7"/>
    </row>
    <row r="23" spans="1:7" x14ac:dyDescent="0.25">
      <c r="A23" s="7">
        <v>44323.875</v>
      </c>
      <c r="B23" s="1">
        <v>20516</v>
      </c>
      <c r="C23" s="1">
        <v>56255.013524713002</v>
      </c>
      <c r="G23" s="7"/>
    </row>
    <row r="24" spans="1:7" x14ac:dyDescent="0.25">
      <c r="A24" s="7">
        <v>44323.916666666664</v>
      </c>
      <c r="B24" s="1">
        <v>21815</v>
      </c>
      <c r="C24" s="1">
        <v>58860.418544699998</v>
      </c>
      <c r="G24" s="7"/>
    </row>
    <row r="25" spans="1:7" x14ac:dyDescent="0.25">
      <c r="A25" s="7">
        <v>44323.958333333336</v>
      </c>
      <c r="B25" s="1">
        <v>20392</v>
      </c>
      <c r="C25" s="1">
        <v>54602.328058092004</v>
      </c>
      <c r="G25" s="7"/>
    </row>
    <row r="26" spans="1:7" x14ac:dyDescent="0.25">
      <c r="A26" s="7">
        <v>44324</v>
      </c>
      <c r="B26" s="1">
        <v>15051</v>
      </c>
      <c r="C26" s="1">
        <v>40792.572558829997</v>
      </c>
      <c r="G26" s="7"/>
    </row>
    <row r="27" spans="1:7" x14ac:dyDescent="0.25">
      <c r="A27" s="7">
        <v>44324.041666666664</v>
      </c>
      <c r="B27" s="1">
        <v>9792</v>
      </c>
      <c r="C27" s="1">
        <v>27472.520739151001</v>
      </c>
      <c r="G27" s="7"/>
    </row>
    <row r="28" spans="1:7" x14ac:dyDescent="0.25">
      <c r="A28" s="7">
        <v>44324.083333333336</v>
      </c>
      <c r="B28" s="1">
        <v>6358</v>
      </c>
      <c r="C28" s="1">
        <v>18113.024055325001</v>
      </c>
      <c r="G28" s="7"/>
    </row>
    <row r="29" spans="1:7" x14ac:dyDescent="0.25">
      <c r="A29" s="7">
        <v>44324.125</v>
      </c>
      <c r="B29" s="1">
        <v>6157</v>
      </c>
      <c r="C29" s="1">
        <v>16174.673710479001</v>
      </c>
      <c r="G29" s="7"/>
    </row>
    <row r="30" spans="1:7" x14ac:dyDescent="0.25">
      <c r="A30" s="7">
        <v>44324.166666666664</v>
      </c>
      <c r="B30" s="1">
        <v>7091</v>
      </c>
      <c r="C30" s="1">
        <v>18025.568177749999</v>
      </c>
      <c r="G30" s="7"/>
    </row>
    <row r="31" spans="1:7" x14ac:dyDescent="0.25">
      <c r="A31" s="7">
        <v>44324.208333333336</v>
      </c>
      <c r="B31" s="1">
        <v>4282</v>
      </c>
      <c r="C31" s="1">
        <v>10317.733835884999</v>
      </c>
      <c r="G31" s="7"/>
    </row>
    <row r="32" spans="1:7" x14ac:dyDescent="0.25">
      <c r="A32" s="7">
        <v>44324.25</v>
      </c>
      <c r="B32" s="1">
        <v>5281</v>
      </c>
      <c r="C32" s="1">
        <v>12245.759474412</v>
      </c>
      <c r="G32" s="7"/>
    </row>
    <row r="33" spans="1:7" x14ac:dyDescent="0.25">
      <c r="A33" s="7">
        <v>44324.291666666664</v>
      </c>
      <c r="B33" s="1">
        <v>8230</v>
      </c>
      <c r="C33" s="1">
        <v>18934.481212717001</v>
      </c>
      <c r="G33" s="7"/>
    </row>
    <row r="34" spans="1:7" x14ac:dyDescent="0.25">
      <c r="A34" s="7">
        <v>44324.333333333336</v>
      </c>
      <c r="B34" s="1">
        <v>11066</v>
      </c>
      <c r="C34" s="1">
        <v>26770.779467865999</v>
      </c>
      <c r="G34" s="7"/>
    </row>
    <row r="35" spans="1:7" x14ac:dyDescent="0.25">
      <c r="A35" s="7">
        <v>44324.375</v>
      </c>
      <c r="B35" s="1">
        <v>13411</v>
      </c>
      <c r="C35" s="1">
        <v>34110.696887683</v>
      </c>
      <c r="G35" s="7"/>
    </row>
    <row r="36" spans="1:7" x14ac:dyDescent="0.25">
      <c r="A36" s="7">
        <v>44324.416666666664</v>
      </c>
      <c r="B36" s="1">
        <v>15146</v>
      </c>
      <c r="C36" s="1">
        <v>39195.547157073001</v>
      </c>
      <c r="G36" s="7"/>
    </row>
    <row r="37" spans="1:7" x14ac:dyDescent="0.25">
      <c r="A37" s="7">
        <v>44324.458333333336</v>
      </c>
      <c r="B37" s="1">
        <v>16115</v>
      </c>
      <c r="C37" s="1">
        <v>42514.905577209996</v>
      </c>
      <c r="G37" s="7"/>
    </row>
    <row r="38" spans="1:7" x14ac:dyDescent="0.25">
      <c r="A38" s="7">
        <v>44324.5</v>
      </c>
      <c r="B38" s="1">
        <v>16416</v>
      </c>
      <c r="C38" s="1">
        <v>43765.646799012997</v>
      </c>
      <c r="G38" s="7"/>
    </row>
    <row r="39" spans="1:7" x14ac:dyDescent="0.25">
      <c r="A39" s="7">
        <v>44324.541666666664</v>
      </c>
      <c r="B39" s="1">
        <v>15578</v>
      </c>
      <c r="C39" s="1">
        <v>41591.287516092998</v>
      </c>
      <c r="G39" s="7"/>
    </row>
    <row r="40" spans="1:7" x14ac:dyDescent="0.25">
      <c r="A40" s="7">
        <v>44324.583333333336</v>
      </c>
      <c r="B40" s="1">
        <v>17154</v>
      </c>
      <c r="C40" s="1">
        <v>45747.733456647999</v>
      </c>
      <c r="G40" s="7"/>
    </row>
    <row r="41" spans="1:7" x14ac:dyDescent="0.25">
      <c r="A41" s="7">
        <v>44324.625</v>
      </c>
      <c r="B41" s="1">
        <v>17515</v>
      </c>
      <c r="C41" s="1">
        <v>46621.533547052997</v>
      </c>
      <c r="G41" s="7"/>
    </row>
    <row r="42" spans="1:7" x14ac:dyDescent="0.25">
      <c r="A42" s="7">
        <v>44324.666666666664</v>
      </c>
      <c r="B42" s="1">
        <v>16138</v>
      </c>
      <c r="C42" s="1">
        <v>43884.813997664001</v>
      </c>
      <c r="G42" s="7"/>
    </row>
    <row r="43" spans="1:7" x14ac:dyDescent="0.25">
      <c r="A43" s="7">
        <v>44324.708333333336</v>
      </c>
      <c r="B43" s="1">
        <v>14541</v>
      </c>
      <c r="C43" s="1">
        <v>40859.811312268997</v>
      </c>
      <c r="G43" s="7"/>
    </row>
    <row r="44" spans="1:7" x14ac:dyDescent="0.25">
      <c r="A44" s="7">
        <v>44324.75</v>
      </c>
      <c r="B44" s="1">
        <v>13109</v>
      </c>
      <c r="C44" s="1">
        <v>36131.189405484998</v>
      </c>
      <c r="G44" s="7"/>
    </row>
    <row r="45" spans="1:7" x14ac:dyDescent="0.25">
      <c r="A45" s="7">
        <v>44324.791666666664</v>
      </c>
      <c r="B45" s="1">
        <v>19267</v>
      </c>
      <c r="C45" s="1">
        <v>53035.954533238</v>
      </c>
      <c r="G45" s="7"/>
    </row>
    <row r="46" spans="1:7" x14ac:dyDescent="0.25">
      <c r="A46" s="7">
        <v>44324.833333333336</v>
      </c>
      <c r="B46" s="1">
        <v>20069</v>
      </c>
      <c r="C46" s="1">
        <v>54860.885863115996</v>
      </c>
      <c r="G46" s="7"/>
    </row>
    <row r="47" spans="1:7" x14ac:dyDescent="0.25">
      <c r="A47" s="7">
        <v>44324.875</v>
      </c>
      <c r="B47" s="1">
        <v>21226</v>
      </c>
      <c r="C47" s="1">
        <v>58696.819241680001</v>
      </c>
      <c r="G47" s="7"/>
    </row>
    <row r="48" spans="1:7" x14ac:dyDescent="0.25">
      <c r="A48" s="7">
        <v>44324.916666666664</v>
      </c>
      <c r="B48" s="1">
        <v>22430</v>
      </c>
      <c r="C48" s="1">
        <v>60599.269208131002</v>
      </c>
      <c r="G48" s="7"/>
    </row>
    <row r="49" spans="1:7" x14ac:dyDescent="0.25">
      <c r="A49" s="7">
        <v>44324.958333333336</v>
      </c>
      <c r="B49" s="1">
        <v>21330</v>
      </c>
      <c r="C49" s="1">
        <v>57324.318017208003</v>
      </c>
      <c r="G49" s="7"/>
    </row>
    <row r="50" spans="1:7" x14ac:dyDescent="0.25">
      <c r="A50" s="7">
        <v>44325</v>
      </c>
      <c r="B50" s="1">
        <v>16019</v>
      </c>
      <c r="C50" s="1">
        <v>43660.215087736004</v>
      </c>
      <c r="G50" s="7"/>
    </row>
    <row r="51" spans="1:7" x14ac:dyDescent="0.25">
      <c r="A51" s="7">
        <v>44325.041666666664</v>
      </c>
      <c r="B51" s="1">
        <v>10435</v>
      </c>
      <c r="C51" s="1">
        <v>29240.831310275</v>
      </c>
      <c r="G51" s="7"/>
    </row>
    <row r="52" spans="1:7" x14ac:dyDescent="0.25">
      <c r="A52" s="7">
        <v>44325.083333333336</v>
      </c>
      <c r="B52" s="1">
        <v>6692</v>
      </c>
      <c r="C52" s="1">
        <v>18671.656325870001</v>
      </c>
      <c r="G52" s="7"/>
    </row>
    <row r="53" spans="1:7" x14ac:dyDescent="0.25">
      <c r="A53" s="7">
        <v>44325.125</v>
      </c>
      <c r="B53" s="1">
        <v>6435</v>
      </c>
      <c r="C53" s="1">
        <v>16903.540715399999</v>
      </c>
      <c r="G53" s="7"/>
    </row>
    <row r="54" spans="1:7" x14ac:dyDescent="0.25">
      <c r="A54" s="7">
        <v>44325.166666666664</v>
      </c>
      <c r="B54" s="1">
        <v>7324</v>
      </c>
      <c r="C54" s="1">
        <v>18406.647653652999</v>
      </c>
      <c r="G54" s="7"/>
    </row>
    <row r="55" spans="1:7" x14ac:dyDescent="0.25">
      <c r="A55" s="7">
        <v>44325.208333333336</v>
      </c>
      <c r="B55" s="1">
        <v>4397</v>
      </c>
      <c r="C55" s="1">
        <v>10623.564785246999</v>
      </c>
      <c r="G55" s="7"/>
    </row>
    <row r="56" spans="1:7" x14ac:dyDescent="0.25">
      <c r="A56" s="7">
        <v>44325.25</v>
      </c>
      <c r="B56" s="1">
        <v>5511</v>
      </c>
      <c r="C56" s="1">
        <v>12769.701663203001</v>
      </c>
      <c r="G56" s="7"/>
    </row>
    <row r="57" spans="1:7" x14ac:dyDescent="0.25">
      <c r="A57" s="7">
        <v>44325.291666666664</v>
      </c>
      <c r="B57" s="1">
        <v>8604</v>
      </c>
      <c r="C57" s="1">
        <v>19850.870287348</v>
      </c>
      <c r="G57" s="7"/>
    </row>
    <row r="58" spans="1:7" x14ac:dyDescent="0.25">
      <c r="A58" s="7">
        <v>44325.333333333336</v>
      </c>
      <c r="B58" s="1">
        <v>11639</v>
      </c>
      <c r="C58" s="1">
        <v>28062.384675295001</v>
      </c>
      <c r="G58" s="7"/>
    </row>
    <row r="59" spans="1:7" x14ac:dyDescent="0.25">
      <c r="A59" s="7">
        <v>44325.375</v>
      </c>
      <c r="B59" s="1">
        <v>13733</v>
      </c>
      <c r="C59" s="1">
        <v>34834.512323590003</v>
      </c>
      <c r="G59" s="7"/>
    </row>
    <row r="60" spans="1:7" x14ac:dyDescent="0.25">
      <c r="A60" s="7">
        <v>44325.416666666664</v>
      </c>
      <c r="B60" s="1">
        <v>15162</v>
      </c>
      <c r="C60" s="1">
        <v>39350.596349642998</v>
      </c>
      <c r="G60" s="7"/>
    </row>
    <row r="61" spans="1:7" x14ac:dyDescent="0.25">
      <c r="A61" s="7">
        <v>44325.458333333336</v>
      </c>
      <c r="B61" s="1">
        <v>15838</v>
      </c>
      <c r="C61" s="1">
        <v>42034.884089402003</v>
      </c>
      <c r="G61" s="7"/>
    </row>
    <row r="62" spans="1:7" x14ac:dyDescent="0.25">
      <c r="A62" s="7">
        <v>44325.5</v>
      </c>
      <c r="B62" s="1">
        <v>15907</v>
      </c>
      <c r="C62" s="1">
        <v>42622.110727396001</v>
      </c>
      <c r="G62" s="7"/>
    </row>
    <row r="63" spans="1:7" x14ac:dyDescent="0.25">
      <c r="A63" s="7">
        <v>44325.541666666664</v>
      </c>
      <c r="B63" s="1">
        <v>14475</v>
      </c>
      <c r="C63" s="1">
        <v>39448.424716562004</v>
      </c>
      <c r="G63" s="7"/>
    </row>
    <row r="64" spans="1:7" x14ac:dyDescent="0.25">
      <c r="A64" s="7">
        <v>44325.583333333336</v>
      </c>
      <c r="B64" s="1">
        <v>16387</v>
      </c>
      <c r="C64" s="1">
        <v>43870.724308924997</v>
      </c>
      <c r="G64" s="7"/>
    </row>
    <row r="65" spans="1:7" x14ac:dyDescent="0.25">
      <c r="A65" s="7">
        <v>44325.625</v>
      </c>
      <c r="B65" s="1">
        <v>16999</v>
      </c>
      <c r="C65" s="1">
        <v>46086.259606006002</v>
      </c>
      <c r="G65" s="7"/>
    </row>
    <row r="66" spans="1:7" x14ac:dyDescent="0.25">
      <c r="A66" s="7">
        <v>44325.666666666664</v>
      </c>
      <c r="B66" s="1">
        <v>15781</v>
      </c>
      <c r="C66" s="1">
        <v>43930.950286234998</v>
      </c>
      <c r="G66" s="7"/>
    </row>
    <row r="67" spans="1:7" x14ac:dyDescent="0.25">
      <c r="A67" s="7">
        <v>44325.708333333336</v>
      </c>
      <c r="B67" s="1">
        <v>14075</v>
      </c>
      <c r="C67" s="1">
        <v>41334.443880696999</v>
      </c>
      <c r="G67" s="7"/>
    </row>
    <row r="68" spans="1:7" x14ac:dyDescent="0.25">
      <c r="A68" s="7">
        <v>44325.75</v>
      </c>
      <c r="B68" s="1">
        <v>13028</v>
      </c>
      <c r="C68" s="1">
        <v>36288.879399459998</v>
      </c>
      <c r="G68" s="7"/>
    </row>
    <row r="69" spans="1:7" x14ac:dyDescent="0.25">
      <c r="A69" s="7">
        <v>44325.791666666664</v>
      </c>
      <c r="B69" s="1">
        <v>18690</v>
      </c>
      <c r="C69" s="1">
        <v>51456.12057228</v>
      </c>
      <c r="G69" s="7"/>
    </row>
    <row r="70" spans="1:7" x14ac:dyDescent="0.25">
      <c r="A70" s="7">
        <v>44325.833333333336</v>
      </c>
      <c r="B70" s="1">
        <v>18037</v>
      </c>
      <c r="C70" s="1">
        <v>47957.690669363001</v>
      </c>
      <c r="G70" s="7"/>
    </row>
    <row r="71" spans="1:7" x14ac:dyDescent="0.25">
      <c r="A71" s="7">
        <v>44325.875</v>
      </c>
      <c r="B71" s="1">
        <v>17820</v>
      </c>
      <c r="C71" s="1">
        <v>48095.882974346998</v>
      </c>
      <c r="G71" s="7"/>
    </row>
    <row r="72" spans="1:7" x14ac:dyDescent="0.25">
      <c r="A72" s="7">
        <v>44325.916666666664</v>
      </c>
      <c r="B72" s="1">
        <v>19134</v>
      </c>
      <c r="C72" s="1">
        <v>51849.068548878</v>
      </c>
      <c r="G72" s="7"/>
    </row>
    <row r="73" spans="1:7" x14ac:dyDescent="0.25">
      <c r="A73" s="7">
        <v>44325.958333333336</v>
      </c>
      <c r="B73" s="1">
        <v>19127</v>
      </c>
      <c r="C73" s="1">
        <v>50648.00786872</v>
      </c>
      <c r="G73" s="7"/>
    </row>
    <row r="74" spans="1:7" x14ac:dyDescent="0.25">
      <c r="A74" s="7">
        <v>44326</v>
      </c>
      <c r="B74" s="1">
        <v>14832</v>
      </c>
      <c r="C74" s="1">
        <v>39753.565733746</v>
      </c>
      <c r="G74" s="7"/>
    </row>
    <row r="75" spans="1:7" x14ac:dyDescent="0.25">
      <c r="A75" s="7">
        <v>44326.041666666664</v>
      </c>
      <c r="B75" s="1">
        <v>9996</v>
      </c>
      <c r="C75" s="1">
        <v>27931.395940080001</v>
      </c>
      <c r="G75" s="7"/>
    </row>
    <row r="76" spans="1:7" x14ac:dyDescent="0.25">
      <c r="A76" s="7">
        <v>44326.083333333336</v>
      </c>
      <c r="B76" s="1">
        <v>6756</v>
      </c>
      <c r="C76" s="1">
        <v>18914.308804502001</v>
      </c>
      <c r="G76" s="7"/>
    </row>
    <row r="77" spans="1:7" x14ac:dyDescent="0.25">
      <c r="A77" s="7">
        <v>44326.125</v>
      </c>
      <c r="B77" s="1">
        <v>6265</v>
      </c>
      <c r="C77" s="1">
        <v>16555.619392962999</v>
      </c>
      <c r="G77" s="7"/>
    </row>
    <row r="78" spans="1:7" x14ac:dyDescent="0.25">
      <c r="A78" s="7">
        <v>44326.166666666664</v>
      </c>
      <c r="B78" s="1">
        <v>6813</v>
      </c>
      <c r="C78" s="1">
        <v>17180.894362966999</v>
      </c>
      <c r="G78" s="7"/>
    </row>
    <row r="79" spans="1:7" x14ac:dyDescent="0.25">
      <c r="A79" s="7">
        <v>44326.208333333336</v>
      </c>
      <c r="B79" s="1">
        <v>4180</v>
      </c>
      <c r="C79" s="1">
        <v>10184.644426583</v>
      </c>
      <c r="G79" s="7"/>
    </row>
    <row r="80" spans="1:7" x14ac:dyDescent="0.25">
      <c r="A80" s="7">
        <v>44326.25</v>
      </c>
      <c r="B80" s="1">
        <v>5251</v>
      </c>
      <c r="C80" s="1">
        <v>12163.389217196</v>
      </c>
      <c r="G80" s="7"/>
    </row>
    <row r="81" spans="1:7" x14ac:dyDescent="0.25">
      <c r="A81" s="7">
        <v>44326.291666666664</v>
      </c>
      <c r="B81" s="1">
        <v>8279</v>
      </c>
      <c r="C81" s="1">
        <v>18928.358725598999</v>
      </c>
      <c r="G81" s="7"/>
    </row>
    <row r="82" spans="1:7" x14ac:dyDescent="0.25">
      <c r="A82" s="7">
        <v>44326.333333333336</v>
      </c>
      <c r="B82" s="1">
        <v>11326</v>
      </c>
      <c r="C82" s="1">
        <v>27160.728830494001</v>
      </c>
      <c r="G82" s="7"/>
    </row>
    <row r="83" spans="1:7" x14ac:dyDescent="0.25">
      <c r="A83" s="7">
        <v>44326.375</v>
      </c>
      <c r="B83" s="1">
        <v>13759</v>
      </c>
      <c r="C83" s="1">
        <v>34471.015674016999</v>
      </c>
      <c r="G83" s="7"/>
    </row>
    <row r="84" spans="1:7" x14ac:dyDescent="0.25">
      <c r="A84" s="7">
        <v>44326.416666666664</v>
      </c>
      <c r="B84" s="1">
        <v>15321</v>
      </c>
      <c r="C84" s="1">
        <v>39563.416043384001</v>
      </c>
      <c r="G84" s="7"/>
    </row>
    <row r="85" spans="1:7" x14ac:dyDescent="0.25">
      <c r="A85" s="7">
        <v>44326.458333333336</v>
      </c>
      <c r="B85" s="1">
        <v>16212</v>
      </c>
      <c r="C85" s="1">
        <v>42583.366339531</v>
      </c>
      <c r="G85" s="7"/>
    </row>
    <row r="86" spans="1:7" x14ac:dyDescent="0.25">
      <c r="A86" s="7">
        <v>44326.5</v>
      </c>
      <c r="B86" s="1">
        <v>16437</v>
      </c>
      <c r="C86" s="1">
        <v>43872.842123693001</v>
      </c>
      <c r="G86" s="7"/>
    </row>
    <row r="87" spans="1:7" x14ac:dyDescent="0.25">
      <c r="A87" s="7">
        <v>44326.541666666664</v>
      </c>
      <c r="B87" s="1">
        <v>15324</v>
      </c>
      <c r="C87" s="1">
        <v>41174.986324678997</v>
      </c>
      <c r="G87" s="7"/>
    </row>
    <row r="88" spans="1:7" x14ac:dyDescent="0.25">
      <c r="A88" s="7">
        <v>44326.583333333336</v>
      </c>
      <c r="B88" s="1">
        <v>16961</v>
      </c>
      <c r="C88" s="1">
        <v>45274.213430595999</v>
      </c>
      <c r="G88" s="7"/>
    </row>
    <row r="89" spans="1:7" x14ac:dyDescent="0.25">
      <c r="A89" s="7">
        <v>44326.625</v>
      </c>
      <c r="B89" s="1">
        <v>17496</v>
      </c>
      <c r="C89" s="1">
        <v>46848.165242504001</v>
      </c>
      <c r="G89" s="7"/>
    </row>
    <row r="90" spans="1:7" x14ac:dyDescent="0.25">
      <c r="A90" s="7">
        <v>44326.666666666664</v>
      </c>
      <c r="B90" s="1">
        <v>15984</v>
      </c>
      <c r="C90" s="1">
        <v>43737.533691402998</v>
      </c>
      <c r="G90" s="7"/>
    </row>
    <row r="91" spans="1:7" x14ac:dyDescent="0.25">
      <c r="A91" s="7">
        <v>44326.708333333336</v>
      </c>
      <c r="B91" s="1">
        <v>14376</v>
      </c>
      <c r="C91" s="1">
        <v>40419.630386240002</v>
      </c>
      <c r="G91" s="7"/>
    </row>
    <row r="92" spans="1:7" x14ac:dyDescent="0.25">
      <c r="A92" s="7">
        <v>44326.75</v>
      </c>
      <c r="B92" s="1">
        <v>12749</v>
      </c>
      <c r="C92" s="1">
        <v>35119.430670114998</v>
      </c>
      <c r="G92" s="7"/>
    </row>
    <row r="93" spans="1:7" x14ac:dyDescent="0.25">
      <c r="A93" s="7">
        <v>44326.791666666664</v>
      </c>
      <c r="B93" s="1">
        <v>18347</v>
      </c>
      <c r="C93" s="1">
        <v>50237.235737552997</v>
      </c>
      <c r="G93" s="7"/>
    </row>
    <row r="94" spans="1:7" x14ac:dyDescent="0.25">
      <c r="A94" s="7">
        <v>44326.833333333336</v>
      </c>
      <c r="B94" s="1">
        <v>19086</v>
      </c>
      <c r="C94" s="1">
        <v>52375.099140370003</v>
      </c>
      <c r="G94" s="7"/>
    </row>
    <row r="95" spans="1:7" x14ac:dyDescent="0.25">
      <c r="A95" s="7">
        <v>44326.875</v>
      </c>
      <c r="B95" s="1">
        <v>19773</v>
      </c>
      <c r="C95" s="1">
        <v>56198.801837780004</v>
      </c>
      <c r="G95" s="7"/>
    </row>
    <row r="96" spans="1:7" x14ac:dyDescent="0.25">
      <c r="A96" s="7">
        <v>44326.916666666664</v>
      </c>
      <c r="B96" s="1">
        <v>20829</v>
      </c>
      <c r="C96" s="1">
        <v>58110.619272083997</v>
      </c>
      <c r="G96" s="7"/>
    </row>
    <row r="97" spans="1:7" x14ac:dyDescent="0.25">
      <c r="A97" s="7">
        <v>44326.958333333336</v>
      </c>
      <c r="B97" s="1">
        <v>19681</v>
      </c>
      <c r="C97" s="1">
        <v>54204.462106323997</v>
      </c>
      <c r="G97" s="7"/>
    </row>
    <row r="98" spans="1:7" x14ac:dyDescent="0.25">
      <c r="A98" s="7">
        <v>44327</v>
      </c>
      <c r="B98" s="1">
        <v>15087</v>
      </c>
      <c r="C98" s="1">
        <v>41906.134219086001</v>
      </c>
    </row>
    <row r="99" spans="1:7" x14ac:dyDescent="0.25">
      <c r="A99" s="7">
        <v>44327.041666666664</v>
      </c>
      <c r="B99" s="1">
        <v>10159</v>
      </c>
      <c r="C99" s="1">
        <v>28867.760015420001</v>
      </c>
    </row>
    <row r="100" spans="1:7" x14ac:dyDescent="0.25">
      <c r="A100" s="7">
        <v>44327.083333333336</v>
      </c>
      <c r="B100" s="1">
        <v>6685</v>
      </c>
      <c r="C100" s="1">
        <v>19119.4599929</v>
      </c>
    </row>
    <row r="101" spans="1:7" x14ac:dyDescent="0.25">
      <c r="A101" s="7">
        <v>44327.125</v>
      </c>
      <c r="B101" s="1">
        <v>6548</v>
      </c>
      <c r="C101" s="1">
        <v>17069.854365801999</v>
      </c>
    </row>
    <row r="102" spans="1:7" x14ac:dyDescent="0.25">
      <c r="A102" s="7">
        <v>44327.166666666664</v>
      </c>
      <c r="B102" s="1">
        <v>7309</v>
      </c>
      <c r="C102" s="1">
        <v>18386.789318253999</v>
      </c>
    </row>
    <row r="103" spans="1:7" x14ac:dyDescent="0.25">
      <c r="A103" s="7">
        <v>44327.208333333336</v>
      </c>
      <c r="B103" s="1">
        <v>4489</v>
      </c>
      <c r="C103" s="1">
        <v>11074.417469765</v>
      </c>
    </row>
    <row r="104" spans="1:7" x14ac:dyDescent="0.25">
      <c r="A104" s="7">
        <v>44327.25</v>
      </c>
      <c r="B104" s="1">
        <v>5495</v>
      </c>
      <c r="C104" s="1">
        <v>12955.606397236001</v>
      </c>
    </row>
    <row r="105" spans="1:7" x14ac:dyDescent="0.25">
      <c r="A105" s="7">
        <v>44327.291666666664</v>
      </c>
      <c r="B105" s="1">
        <v>8320</v>
      </c>
      <c r="C105" s="1">
        <v>19550.754923303</v>
      </c>
    </row>
    <row r="106" spans="1:7" x14ac:dyDescent="0.25">
      <c r="A106" s="7">
        <v>44327.333333333336</v>
      </c>
      <c r="B106" s="1">
        <v>11136</v>
      </c>
      <c r="C106" s="1">
        <v>27787.371038090001</v>
      </c>
    </row>
    <row r="107" spans="1:7" x14ac:dyDescent="0.25">
      <c r="A107" s="7">
        <v>44327.375</v>
      </c>
      <c r="B107" s="1">
        <v>13310</v>
      </c>
      <c r="C107" s="1">
        <v>34698.189689810999</v>
      </c>
    </row>
    <row r="108" spans="1:7" x14ac:dyDescent="0.25">
      <c r="A108" s="7">
        <v>44327.416666666664</v>
      </c>
      <c r="B108" s="1">
        <v>15187</v>
      </c>
      <c r="C108" s="1">
        <v>40130.526713505998</v>
      </c>
    </row>
    <row r="109" spans="1:7" x14ac:dyDescent="0.25">
      <c r="A109" s="7">
        <v>44327.458333333336</v>
      </c>
      <c r="B109" s="1">
        <v>15901</v>
      </c>
      <c r="C109" s="1">
        <v>42955.557187580001</v>
      </c>
    </row>
    <row r="110" spans="1:7" x14ac:dyDescent="0.25">
      <c r="A110" s="7">
        <v>44327.5</v>
      </c>
      <c r="B110" s="1">
        <v>16210</v>
      </c>
      <c r="C110" s="1">
        <v>43882.906633662999</v>
      </c>
    </row>
    <row r="111" spans="1:7" x14ac:dyDescent="0.25">
      <c r="A111" s="7">
        <v>44327.541666666664</v>
      </c>
      <c r="B111" s="1">
        <v>15273</v>
      </c>
      <c r="C111" s="1">
        <v>41359.086755269003</v>
      </c>
    </row>
    <row r="112" spans="1:7" x14ac:dyDescent="0.25">
      <c r="A112" s="7">
        <v>44327.583333333336</v>
      </c>
      <c r="B112" s="1">
        <v>16681</v>
      </c>
      <c r="C112" s="1">
        <v>45203.442675915998</v>
      </c>
    </row>
    <row r="113" spans="1:3" x14ac:dyDescent="0.25">
      <c r="A113" s="7">
        <v>44327.625</v>
      </c>
      <c r="B113" s="1">
        <v>17291</v>
      </c>
      <c r="C113" s="1">
        <v>47082.836562452998</v>
      </c>
    </row>
    <row r="114" spans="1:3" x14ac:dyDescent="0.25">
      <c r="A114" s="7">
        <v>44327.666666666664</v>
      </c>
      <c r="B114" s="1">
        <v>16853</v>
      </c>
      <c r="C114" s="1">
        <v>46819.178671255002</v>
      </c>
    </row>
    <row r="115" spans="1:3" x14ac:dyDescent="0.25">
      <c r="A115" s="7">
        <v>44327.708333333336</v>
      </c>
      <c r="B115" s="1">
        <v>17071</v>
      </c>
      <c r="C115" s="1">
        <v>47678.638816762003</v>
      </c>
    </row>
    <row r="116" spans="1:3" x14ac:dyDescent="0.25">
      <c r="A116" s="7">
        <v>44327.75</v>
      </c>
      <c r="B116" s="1">
        <v>15492</v>
      </c>
      <c r="C116" s="1">
        <v>42058.214580293003</v>
      </c>
    </row>
    <row r="117" spans="1:3" x14ac:dyDescent="0.25">
      <c r="A117" s="7">
        <v>44327.791666666664</v>
      </c>
      <c r="B117" s="1">
        <v>19862</v>
      </c>
      <c r="C117" s="1">
        <v>54298.950521070001</v>
      </c>
    </row>
    <row r="118" spans="1:3" x14ac:dyDescent="0.25">
      <c r="A118" s="7">
        <v>44327.833333333336</v>
      </c>
      <c r="B118" s="1">
        <v>20363</v>
      </c>
      <c r="C118" s="1">
        <v>55530.436493843998</v>
      </c>
    </row>
    <row r="119" spans="1:3" x14ac:dyDescent="0.25">
      <c r="A119" s="7">
        <v>44327.875</v>
      </c>
      <c r="B119" s="1">
        <v>20925</v>
      </c>
      <c r="C119" s="1">
        <v>57759.916430482997</v>
      </c>
    </row>
    <row r="120" spans="1:3" x14ac:dyDescent="0.25">
      <c r="A120" s="7">
        <v>44327.916666666664</v>
      </c>
      <c r="B120" s="1">
        <v>21869</v>
      </c>
      <c r="C120" s="1">
        <v>59255.554875820999</v>
      </c>
    </row>
    <row r="121" spans="1:3" x14ac:dyDescent="0.25">
      <c r="A121" s="7">
        <v>44327.958333333336</v>
      </c>
      <c r="B121" s="1">
        <v>20068</v>
      </c>
      <c r="C121" s="1">
        <v>53404.504344141002</v>
      </c>
    </row>
    <row r="122" spans="1:3" x14ac:dyDescent="0.25">
      <c r="A122" s="7">
        <v>44328</v>
      </c>
      <c r="B122" s="1">
        <v>15234</v>
      </c>
      <c r="C122" s="1">
        <v>40996.505032726003</v>
      </c>
    </row>
    <row r="123" spans="1:3" x14ac:dyDescent="0.25">
      <c r="A123" s="7">
        <v>44328.041666666664</v>
      </c>
      <c r="B123" s="1">
        <v>10574</v>
      </c>
      <c r="C123" s="1">
        <v>28933.884648171999</v>
      </c>
    </row>
    <row r="124" spans="1:3" x14ac:dyDescent="0.25">
      <c r="A124" s="7">
        <v>44328.083333333336</v>
      </c>
      <c r="B124" s="1">
        <v>7393</v>
      </c>
      <c r="C124" s="1">
        <v>20179.382477861</v>
      </c>
    </row>
    <row r="125" spans="1:3" x14ac:dyDescent="0.25">
      <c r="A125" s="7">
        <v>44328.125</v>
      </c>
      <c r="B125" s="1">
        <v>7785</v>
      </c>
      <c r="C125" s="1">
        <v>19354.292629473999</v>
      </c>
    </row>
    <row r="126" spans="1:3" x14ac:dyDescent="0.25">
      <c r="A126" s="7">
        <v>44328.166666666664</v>
      </c>
      <c r="B126" s="1">
        <v>8683</v>
      </c>
      <c r="C126" s="1">
        <v>20360.264570476</v>
      </c>
    </row>
    <row r="127" spans="1:3" x14ac:dyDescent="0.25">
      <c r="A127" s="7">
        <v>44328.208333333336</v>
      </c>
      <c r="B127" s="1">
        <v>5364</v>
      </c>
      <c r="C127" s="1">
        <v>12370.267944998999</v>
      </c>
    </row>
    <row r="128" spans="1:3" x14ac:dyDescent="0.25">
      <c r="A128" s="7">
        <v>44328.25</v>
      </c>
      <c r="B128" s="1">
        <v>6591</v>
      </c>
      <c r="C128" s="1">
        <v>14917.970088044</v>
      </c>
    </row>
    <row r="129" spans="1:3" x14ac:dyDescent="0.25">
      <c r="A129" s="7">
        <v>44328.291666666664</v>
      </c>
      <c r="B129" s="1">
        <v>10053</v>
      </c>
      <c r="C129" s="1">
        <v>23164.882400484999</v>
      </c>
    </row>
    <row r="130" spans="1:3" x14ac:dyDescent="0.25">
      <c r="A130" s="7">
        <v>44328.333333333336</v>
      </c>
      <c r="B130" s="1">
        <v>13136</v>
      </c>
      <c r="C130" s="1">
        <v>31933.244080215001</v>
      </c>
    </row>
    <row r="131" spans="1:3" x14ac:dyDescent="0.25">
      <c r="A131" s="7">
        <v>44328.375</v>
      </c>
      <c r="B131" s="1">
        <v>15236</v>
      </c>
      <c r="C131" s="1">
        <v>38919.338230652</v>
      </c>
    </row>
    <row r="132" spans="1:3" x14ac:dyDescent="0.25">
      <c r="A132" s="7">
        <v>44328.416666666664</v>
      </c>
      <c r="B132" s="1">
        <v>16428</v>
      </c>
      <c r="C132" s="1">
        <v>43236.965466326998</v>
      </c>
    </row>
    <row r="133" spans="1:3" x14ac:dyDescent="0.25">
      <c r="A133" s="7">
        <v>44328.458333333336</v>
      </c>
      <c r="B133" s="1">
        <v>17101</v>
      </c>
      <c r="C133" s="1">
        <v>45986.765765142998</v>
      </c>
    </row>
    <row r="134" spans="1:3" x14ac:dyDescent="0.25">
      <c r="A134" s="7">
        <v>44328.5</v>
      </c>
      <c r="B134" s="1">
        <v>17298</v>
      </c>
      <c r="C134" s="1">
        <v>46890.265733804001</v>
      </c>
    </row>
    <row r="135" spans="1:3" x14ac:dyDescent="0.25">
      <c r="A135" s="7">
        <v>44328.541666666664</v>
      </c>
      <c r="B135" s="1">
        <v>16327</v>
      </c>
      <c r="C135" s="1">
        <v>43854.21155177</v>
      </c>
    </row>
    <row r="136" spans="1:3" x14ac:dyDescent="0.25">
      <c r="A136" s="7">
        <v>44328.583333333336</v>
      </c>
      <c r="B136" s="1">
        <v>17989</v>
      </c>
      <c r="C136" s="1">
        <v>48047.048569313003</v>
      </c>
    </row>
    <row r="137" spans="1:3" x14ac:dyDescent="0.25">
      <c r="A137" s="7">
        <v>44328.625</v>
      </c>
      <c r="B137" s="1">
        <v>18509</v>
      </c>
      <c r="C137" s="1">
        <v>49514.260459516001</v>
      </c>
    </row>
    <row r="138" spans="1:3" x14ac:dyDescent="0.25">
      <c r="A138" s="7">
        <v>44328.666666666664</v>
      </c>
      <c r="B138" s="1">
        <v>16965</v>
      </c>
      <c r="C138" s="1">
        <v>46143.049607052999</v>
      </c>
    </row>
    <row r="139" spans="1:3" x14ac:dyDescent="0.25">
      <c r="A139" s="7">
        <v>44328.708333333336</v>
      </c>
      <c r="B139" s="1">
        <v>15135</v>
      </c>
      <c r="C139" s="1">
        <v>42884.539898089999</v>
      </c>
    </row>
    <row r="140" spans="1:3" x14ac:dyDescent="0.25">
      <c r="A140" s="7">
        <v>44328.75</v>
      </c>
      <c r="B140" s="1">
        <v>13631</v>
      </c>
      <c r="C140" s="1">
        <v>38609.687814612997</v>
      </c>
    </row>
    <row r="141" spans="1:3" x14ac:dyDescent="0.25">
      <c r="A141" s="7">
        <v>44328.791666666664</v>
      </c>
      <c r="B141" s="1">
        <v>19066</v>
      </c>
      <c r="C141" s="1">
        <v>53172.471034023001</v>
      </c>
    </row>
    <row r="142" spans="1:3" x14ac:dyDescent="0.25">
      <c r="A142" s="7">
        <v>44328.833333333336</v>
      </c>
      <c r="B142" s="1">
        <v>19601</v>
      </c>
      <c r="C142" s="1">
        <v>53607.074857890002</v>
      </c>
    </row>
    <row r="143" spans="1:3" x14ac:dyDescent="0.25">
      <c r="A143" s="7">
        <v>44328.875</v>
      </c>
      <c r="B143" s="1">
        <v>20560</v>
      </c>
      <c r="C143" s="1">
        <v>56636.948374261003</v>
      </c>
    </row>
    <row r="144" spans="1:3" x14ac:dyDescent="0.25">
      <c r="A144" s="7">
        <v>44328.916666666664</v>
      </c>
      <c r="B144" s="1">
        <v>22146</v>
      </c>
      <c r="C144" s="1">
        <v>60164.721387439997</v>
      </c>
    </row>
    <row r="145" spans="1:3" x14ac:dyDescent="0.25">
      <c r="A145" s="7">
        <v>44328.958333333336</v>
      </c>
      <c r="B145" s="1">
        <v>21265</v>
      </c>
      <c r="C145" s="1">
        <v>57074.621798403001</v>
      </c>
    </row>
    <row r="146" spans="1:3" x14ac:dyDescent="0.25">
      <c r="A146" s="7">
        <v>44329</v>
      </c>
      <c r="B146" s="1">
        <v>17062</v>
      </c>
      <c r="C146" s="1">
        <v>45685.484149395998</v>
      </c>
    </row>
    <row r="147" spans="1:3" x14ac:dyDescent="0.25">
      <c r="A147" s="7">
        <v>44329.041666666664</v>
      </c>
      <c r="B147" s="1">
        <v>11963</v>
      </c>
      <c r="C147" s="1">
        <v>32694.272737381001</v>
      </c>
    </row>
    <row r="148" spans="1:3" x14ac:dyDescent="0.25">
      <c r="A148" s="7">
        <v>44329.083333333336</v>
      </c>
      <c r="B148" s="1">
        <v>8208</v>
      </c>
      <c r="C148" s="1">
        <v>22198.119258638999</v>
      </c>
    </row>
    <row r="149" spans="1:3" x14ac:dyDescent="0.25">
      <c r="A149" s="7">
        <v>44329.125</v>
      </c>
      <c r="B149" s="1">
        <v>8114</v>
      </c>
      <c r="C149" s="1">
        <v>19813.957530625001</v>
      </c>
    </row>
    <row r="150" spans="1:3" x14ac:dyDescent="0.25">
      <c r="A150" s="7">
        <v>44329.166666666664</v>
      </c>
      <c r="B150" s="1">
        <v>9293</v>
      </c>
      <c r="C150" s="1">
        <v>21756.168359714</v>
      </c>
    </row>
    <row r="151" spans="1:3" x14ac:dyDescent="0.25">
      <c r="A151" s="7">
        <v>44329.208333333336</v>
      </c>
      <c r="B151" s="1">
        <v>5603</v>
      </c>
      <c r="C151" s="1">
        <v>12952.235901631</v>
      </c>
    </row>
    <row r="152" spans="1:3" x14ac:dyDescent="0.25">
      <c r="A152" s="7">
        <v>44329.25</v>
      </c>
      <c r="B152" s="1">
        <v>6754</v>
      </c>
      <c r="C152" s="1">
        <v>15085.977133707</v>
      </c>
    </row>
    <row r="153" spans="1:3" x14ac:dyDescent="0.25">
      <c r="A153" s="7">
        <v>44329.291666666664</v>
      </c>
      <c r="B153" s="1">
        <v>10499</v>
      </c>
      <c r="C153" s="1">
        <v>23981.775199976</v>
      </c>
    </row>
    <row r="154" spans="1:3" x14ac:dyDescent="0.25">
      <c r="A154" s="7">
        <v>44329.333333333336</v>
      </c>
      <c r="B154" s="1">
        <v>14072</v>
      </c>
      <c r="C154" s="1">
        <v>34255.825807050001</v>
      </c>
    </row>
    <row r="155" spans="1:3" x14ac:dyDescent="0.25">
      <c r="A155" s="7">
        <v>44329.375</v>
      </c>
      <c r="B155" s="1">
        <v>16590</v>
      </c>
      <c r="C155" s="1">
        <v>42066.672635010997</v>
      </c>
    </row>
    <row r="156" spans="1:3" x14ac:dyDescent="0.25">
      <c r="A156" s="7">
        <v>44329.416666666664</v>
      </c>
      <c r="B156" s="1">
        <v>17736</v>
      </c>
      <c r="C156" s="1">
        <v>46314.797421201998</v>
      </c>
    </row>
    <row r="157" spans="1:3" x14ac:dyDescent="0.25">
      <c r="A157" s="7">
        <v>44329.458333333336</v>
      </c>
      <c r="B157" s="1">
        <v>18260</v>
      </c>
      <c r="C157" s="1">
        <v>48903.460986676997</v>
      </c>
    </row>
    <row r="158" spans="1:3" x14ac:dyDescent="0.25">
      <c r="A158" s="7">
        <v>44329.5</v>
      </c>
      <c r="B158" s="1">
        <v>18397</v>
      </c>
      <c r="C158" s="1">
        <v>49559.690551152002</v>
      </c>
    </row>
    <row r="159" spans="1:3" x14ac:dyDescent="0.25">
      <c r="A159" s="7">
        <v>44329.541666666664</v>
      </c>
      <c r="B159" s="1">
        <v>17121</v>
      </c>
      <c r="C159" s="1">
        <v>45974.883176258001</v>
      </c>
    </row>
    <row r="160" spans="1:3" x14ac:dyDescent="0.25">
      <c r="A160" s="7">
        <v>44329.583333333336</v>
      </c>
      <c r="B160" s="1">
        <v>18667</v>
      </c>
      <c r="C160" s="1">
        <v>49585.025564281998</v>
      </c>
    </row>
    <row r="161" spans="1:3" x14ac:dyDescent="0.25">
      <c r="A161" s="7">
        <v>44329.625</v>
      </c>
      <c r="B161" s="1">
        <v>19470</v>
      </c>
      <c r="C161" s="1">
        <v>51989.630608038999</v>
      </c>
    </row>
    <row r="162" spans="1:3" x14ac:dyDescent="0.25">
      <c r="A162" s="7">
        <v>44329.666666666664</v>
      </c>
      <c r="B162" s="1">
        <v>18568</v>
      </c>
      <c r="C162" s="1">
        <v>50110.592480462998</v>
      </c>
    </row>
    <row r="163" spans="1:3" x14ac:dyDescent="0.25">
      <c r="A163" s="7">
        <v>44329.708333333336</v>
      </c>
      <c r="B163" s="1">
        <v>16916</v>
      </c>
      <c r="C163" s="1">
        <v>46823.518748691997</v>
      </c>
    </row>
    <row r="164" spans="1:3" x14ac:dyDescent="0.25">
      <c r="A164" s="7">
        <v>44329.75</v>
      </c>
      <c r="B164" s="1">
        <v>14477</v>
      </c>
      <c r="C164" s="1">
        <v>39550.367818348997</v>
      </c>
    </row>
    <row r="165" spans="1:3" x14ac:dyDescent="0.25">
      <c r="A165" s="7">
        <v>44329.791666666664</v>
      </c>
      <c r="B165" s="1">
        <v>18555</v>
      </c>
      <c r="C165" s="1">
        <v>50640.912321139003</v>
      </c>
    </row>
    <row r="166" spans="1:3" x14ac:dyDescent="0.25">
      <c r="A166" s="7">
        <v>44329.833333333336</v>
      </c>
      <c r="B166" s="1">
        <v>19405</v>
      </c>
      <c r="C166" s="1">
        <v>53099.338343249001</v>
      </c>
    </row>
    <row r="167" spans="1:3" x14ac:dyDescent="0.25">
      <c r="A167" s="7">
        <v>44329.875</v>
      </c>
      <c r="B167" s="1">
        <v>20724</v>
      </c>
      <c r="C167" s="1">
        <v>57266.749872146</v>
      </c>
    </row>
    <row r="168" spans="1:3" x14ac:dyDescent="0.25">
      <c r="A168" s="7">
        <v>44329.916666666664</v>
      </c>
      <c r="B168" s="1">
        <v>21982</v>
      </c>
      <c r="C168" s="1">
        <v>60002.269065656998</v>
      </c>
    </row>
    <row r="169" spans="1:3" x14ac:dyDescent="0.25">
      <c r="A169" s="7">
        <v>44329.958333333336</v>
      </c>
      <c r="B169" s="1">
        <v>21967</v>
      </c>
      <c r="C169" s="1">
        <v>58850.724479197001</v>
      </c>
    </row>
    <row r="170" spans="1:3" x14ac:dyDescent="0.25">
      <c r="A170" s="7">
        <v>44330</v>
      </c>
      <c r="B170" s="1">
        <v>18835</v>
      </c>
      <c r="C170" s="1">
        <v>50072.939079447999</v>
      </c>
    </row>
    <row r="171" spans="1:3" x14ac:dyDescent="0.25">
      <c r="A171" s="7">
        <v>44330.041666666664</v>
      </c>
      <c r="B171" s="1">
        <v>14239</v>
      </c>
      <c r="C171" s="1">
        <v>37948.821497486999</v>
      </c>
    </row>
    <row r="172" spans="1:3" x14ac:dyDescent="0.25">
      <c r="A172" s="7">
        <v>44330.083333333336</v>
      </c>
      <c r="B172" s="1">
        <v>9710</v>
      </c>
      <c r="C172" s="1">
        <v>25937.007099377999</v>
      </c>
    </row>
    <row r="173" spans="1:3" x14ac:dyDescent="0.25">
      <c r="A173" s="7">
        <v>44330.125</v>
      </c>
      <c r="B173" s="1">
        <v>6305</v>
      </c>
      <c r="C173" s="1">
        <v>16748.409846915001</v>
      </c>
    </row>
    <row r="174" spans="1:3" x14ac:dyDescent="0.25">
      <c r="A174" s="7">
        <v>44330.166666666664</v>
      </c>
      <c r="B174" s="1">
        <v>4306</v>
      </c>
      <c r="C174" s="1">
        <v>10570.389541037001</v>
      </c>
    </row>
    <row r="175" spans="1:3" x14ac:dyDescent="0.25">
      <c r="A175" s="7">
        <v>44330.208333333336</v>
      </c>
      <c r="B175" s="1">
        <v>7617</v>
      </c>
      <c r="C175" s="1">
        <v>17125.833256181999</v>
      </c>
    </row>
    <row r="176" spans="1:3" x14ac:dyDescent="0.25">
      <c r="A176" s="7">
        <v>44330.25</v>
      </c>
      <c r="B176" s="1">
        <v>11586</v>
      </c>
      <c r="C176" s="1">
        <v>26663.029981014999</v>
      </c>
    </row>
    <row r="177" spans="1:3" x14ac:dyDescent="0.25">
      <c r="A177" s="7">
        <v>44330.291666666664</v>
      </c>
      <c r="B177" s="1">
        <v>11718</v>
      </c>
      <c r="C177" s="1">
        <v>27014.878847219999</v>
      </c>
    </row>
    <row r="178" spans="1:3" x14ac:dyDescent="0.25">
      <c r="A178" s="7">
        <v>44330.333333333336</v>
      </c>
      <c r="B178" s="1">
        <v>11720</v>
      </c>
      <c r="C178" s="1">
        <v>26982.157342476999</v>
      </c>
    </row>
    <row r="179" spans="1:3" x14ac:dyDescent="0.25">
      <c r="A179" s="7">
        <v>44330.375</v>
      </c>
      <c r="B179" s="1">
        <v>16719</v>
      </c>
      <c r="C179" s="1">
        <v>42381.830648968004</v>
      </c>
    </row>
    <row r="180" spans="1:3" x14ac:dyDescent="0.25">
      <c r="A180" s="7">
        <v>44330.416666666664</v>
      </c>
      <c r="B180" s="1">
        <v>20014</v>
      </c>
      <c r="C180" s="1">
        <v>54280.891616355999</v>
      </c>
    </row>
    <row r="181" spans="1:3" x14ac:dyDescent="0.25">
      <c r="A181" s="7">
        <v>44330.458333333336</v>
      </c>
      <c r="B181" s="1">
        <v>20714</v>
      </c>
      <c r="C181" s="1">
        <v>57453.735764883</v>
      </c>
    </row>
    <row r="182" spans="1:3" x14ac:dyDescent="0.25">
      <c r="A182" s="7">
        <v>44330.5</v>
      </c>
      <c r="B182" s="1">
        <v>20051</v>
      </c>
      <c r="C182" s="1">
        <v>54923.081182879003</v>
      </c>
    </row>
    <row r="183" spans="1:3" x14ac:dyDescent="0.25">
      <c r="A183" s="7"/>
      <c r="B183" s="1"/>
      <c r="C183" s="1"/>
    </row>
    <row r="184" spans="1:3" x14ac:dyDescent="0.25">
      <c r="A184" s="7"/>
      <c r="B184" s="1"/>
      <c r="C184" s="1"/>
    </row>
    <row r="185" spans="1:3" x14ac:dyDescent="0.25">
      <c r="A185" s="7"/>
      <c r="B185" s="1"/>
      <c r="C185" s="1"/>
    </row>
    <row r="186" spans="1:3" x14ac:dyDescent="0.25">
      <c r="A186" s="7"/>
      <c r="B186" s="1"/>
      <c r="C186" s="1"/>
    </row>
    <row r="187" spans="1:3" x14ac:dyDescent="0.25">
      <c r="A187" s="7"/>
      <c r="B187" s="1"/>
      <c r="C187" s="1"/>
    </row>
    <row r="188" spans="1:3" x14ac:dyDescent="0.25">
      <c r="A188" s="7"/>
      <c r="B188" s="1"/>
      <c r="C188" s="1"/>
    </row>
    <row r="189" spans="1:3" x14ac:dyDescent="0.25">
      <c r="A189" s="7"/>
      <c r="B189" s="1"/>
      <c r="C189" s="1"/>
    </row>
    <row r="190" spans="1:3" x14ac:dyDescent="0.25">
      <c r="A190" s="7"/>
      <c r="B190" s="1"/>
      <c r="C190" s="1"/>
    </row>
    <row r="191" spans="1:3" x14ac:dyDescent="0.25">
      <c r="A191" s="7"/>
      <c r="B191" s="1"/>
      <c r="C191" s="1"/>
    </row>
    <row r="192" spans="1:3" x14ac:dyDescent="0.25">
      <c r="A192" s="7"/>
      <c r="B192" s="1"/>
      <c r="C192" s="1"/>
    </row>
    <row r="193" spans="1:3" x14ac:dyDescent="0.25">
      <c r="A193" s="7"/>
      <c r="B193" s="1"/>
      <c r="C193" s="1"/>
    </row>
    <row r="194" spans="1:3" x14ac:dyDescent="0.25">
      <c r="A194" s="7"/>
      <c r="B194" s="1"/>
      <c r="C194" s="1"/>
    </row>
    <row r="195" spans="1:3" x14ac:dyDescent="0.25">
      <c r="A195" s="7"/>
      <c r="B195" s="1"/>
      <c r="C195" s="1"/>
    </row>
    <row r="196" spans="1:3" x14ac:dyDescent="0.25">
      <c r="A196" s="7"/>
      <c r="B196" s="1"/>
      <c r="C196" s="1"/>
    </row>
    <row r="197" spans="1:3" x14ac:dyDescent="0.25">
      <c r="A197" s="7"/>
      <c r="B197" s="1"/>
      <c r="C197" s="1"/>
    </row>
    <row r="198" spans="1:3" x14ac:dyDescent="0.25">
      <c r="A198" s="7"/>
      <c r="B198" s="1"/>
      <c r="C198" s="1"/>
    </row>
    <row r="199" spans="1:3" x14ac:dyDescent="0.25">
      <c r="A199" s="7"/>
      <c r="B199" s="1"/>
      <c r="C199" s="1"/>
    </row>
    <row r="200" spans="1:3" x14ac:dyDescent="0.25">
      <c r="A200" s="7"/>
      <c r="B200" s="1"/>
      <c r="C200" s="1"/>
    </row>
    <row r="201" spans="1:3" x14ac:dyDescent="0.25">
      <c r="A201" s="7"/>
      <c r="B201" s="1"/>
      <c r="C201" s="1"/>
    </row>
    <row r="202" spans="1:3" x14ac:dyDescent="0.25">
      <c r="A202" s="7"/>
      <c r="B202" s="1"/>
      <c r="C202" s="1"/>
    </row>
    <row r="203" spans="1:3" x14ac:dyDescent="0.25">
      <c r="A203" s="7"/>
      <c r="B203" s="1"/>
      <c r="C203" s="1"/>
    </row>
    <row r="204" spans="1:3" x14ac:dyDescent="0.25">
      <c r="A204" s="7"/>
      <c r="B204" s="1"/>
      <c r="C204" s="1"/>
    </row>
    <row r="205" spans="1:3" x14ac:dyDescent="0.25">
      <c r="A205" s="7"/>
      <c r="B205" s="1"/>
      <c r="C205" s="1"/>
    </row>
    <row r="206" spans="1:3" x14ac:dyDescent="0.25">
      <c r="A206" s="7"/>
      <c r="B206" s="1"/>
      <c r="C206" s="1"/>
    </row>
    <row r="207" spans="1:3" x14ac:dyDescent="0.25">
      <c r="A207" s="7"/>
      <c r="B207" s="1"/>
      <c r="C207" s="1"/>
    </row>
    <row r="208" spans="1:3" x14ac:dyDescent="0.25">
      <c r="A208" s="7"/>
      <c r="B208" s="1"/>
      <c r="C208" s="1"/>
    </row>
    <row r="209" spans="1:3" x14ac:dyDescent="0.25">
      <c r="A209" s="7"/>
      <c r="B209" s="1"/>
      <c r="C209" s="1"/>
    </row>
    <row r="210" spans="1:3" x14ac:dyDescent="0.25">
      <c r="A210" s="7"/>
      <c r="B210" s="1"/>
      <c r="C210" s="1"/>
    </row>
    <row r="211" spans="1:3" x14ac:dyDescent="0.25">
      <c r="A211" s="7"/>
      <c r="B211" s="1"/>
      <c r="C211" s="1"/>
    </row>
    <row r="212" spans="1:3" x14ac:dyDescent="0.25">
      <c r="A212" s="7"/>
      <c r="B212" s="1"/>
      <c r="C212" s="1"/>
    </row>
    <row r="213" spans="1:3" x14ac:dyDescent="0.25">
      <c r="A213" s="7"/>
      <c r="B213" s="1"/>
      <c r="C213" s="1"/>
    </row>
    <row r="214" spans="1:3" x14ac:dyDescent="0.25">
      <c r="A214" s="7"/>
      <c r="B214" s="1"/>
      <c r="C214" s="1"/>
    </row>
    <row r="215" spans="1:3" x14ac:dyDescent="0.25">
      <c r="A215" s="7"/>
      <c r="B215" s="1"/>
      <c r="C215" s="1"/>
    </row>
    <row r="216" spans="1:3" x14ac:dyDescent="0.25">
      <c r="A216" s="7"/>
      <c r="B216" s="1"/>
      <c r="C216" s="1"/>
    </row>
    <row r="217" spans="1:3" x14ac:dyDescent="0.25">
      <c r="A217" s="7"/>
      <c r="B217" s="1"/>
      <c r="C217" s="1"/>
    </row>
    <row r="218" spans="1:3" x14ac:dyDescent="0.25">
      <c r="A218" s="7"/>
      <c r="B218" s="1"/>
      <c r="C218" s="1"/>
    </row>
    <row r="219" spans="1:3" x14ac:dyDescent="0.25">
      <c r="A219" s="7"/>
      <c r="B219" s="1"/>
      <c r="C219" s="1"/>
    </row>
    <row r="220" spans="1:3" x14ac:dyDescent="0.25">
      <c r="A220" s="7"/>
      <c r="B220" s="1"/>
      <c r="C220" s="1"/>
    </row>
    <row r="221" spans="1:3" x14ac:dyDescent="0.25">
      <c r="A221" s="7"/>
      <c r="B221" s="1"/>
      <c r="C221" s="1"/>
    </row>
    <row r="222" spans="1:3" x14ac:dyDescent="0.25">
      <c r="A222" s="7"/>
      <c r="B222" s="1"/>
      <c r="C222" s="1"/>
    </row>
    <row r="223" spans="1:3" x14ac:dyDescent="0.25">
      <c r="A223" s="7"/>
      <c r="B223" s="1"/>
      <c r="C223" s="1"/>
    </row>
    <row r="224" spans="1:3" x14ac:dyDescent="0.25">
      <c r="A224" s="7"/>
      <c r="B224" s="1"/>
      <c r="C224" s="1"/>
    </row>
    <row r="225" spans="1:3" x14ac:dyDescent="0.25">
      <c r="A225" s="7"/>
      <c r="B225" s="1"/>
      <c r="C225" s="1"/>
    </row>
    <row r="226" spans="1:3" x14ac:dyDescent="0.25">
      <c r="A226" s="7"/>
      <c r="B226" s="1"/>
      <c r="C226" s="1"/>
    </row>
    <row r="227" spans="1:3" x14ac:dyDescent="0.25">
      <c r="A227" s="7"/>
      <c r="B227" s="1"/>
      <c r="C227" s="1"/>
    </row>
    <row r="228" spans="1:3" x14ac:dyDescent="0.25">
      <c r="A228" s="7"/>
      <c r="B228" s="1"/>
      <c r="C228" s="1"/>
    </row>
    <row r="229" spans="1:3" x14ac:dyDescent="0.25">
      <c r="A229" s="7"/>
      <c r="B229" s="1"/>
      <c r="C229" s="1"/>
    </row>
    <row r="230" spans="1:3" x14ac:dyDescent="0.25">
      <c r="A230" s="7"/>
      <c r="B230" s="1"/>
      <c r="C230" s="1"/>
    </row>
    <row r="231" spans="1:3" x14ac:dyDescent="0.25">
      <c r="A231" s="7"/>
      <c r="B231" s="1"/>
      <c r="C231" s="1"/>
    </row>
    <row r="232" spans="1:3" x14ac:dyDescent="0.25">
      <c r="A232" s="7"/>
      <c r="B232" s="1"/>
      <c r="C232" s="1"/>
    </row>
    <row r="233" spans="1:3" x14ac:dyDescent="0.25">
      <c r="A233" s="7"/>
      <c r="B233" s="1"/>
      <c r="C233" s="1"/>
    </row>
    <row r="234" spans="1:3" x14ac:dyDescent="0.25">
      <c r="A234" s="7"/>
      <c r="B234" s="1"/>
      <c r="C234" s="1"/>
    </row>
    <row r="235" spans="1:3" x14ac:dyDescent="0.25">
      <c r="A235" s="7"/>
      <c r="B235" s="1"/>
      <c r="C235" s="1"/>
    </row>
    <row r="236" spans="1:3" x14ac:dyDescent="0.25">
      <c r="A236" s="7"/>
      <c r="B236" s="1"/>
      <c r="C236" s="1"/>
    </row>
    <row r="237" spans="1:3" x14ac:dyDescent="0.25">
      <c r="A237" s="7"/>
      <c r="B237" s="1"/>
      <c r="C237" s="1"/>
    </row>
    <row r="238" spans="1:3" x14ac:dyDescent="0.25">
      <c r="A238" s="7"/>
      <c r="B238" s="1"/>
      <c r="C238" s="1"/>
    </row>
    <row r="239" spans="1:3" x14ac:dyDescent="0.25">
      <c r="A239" s="7"/>
      <c r="B239" s="1"/>
      <c r="C239" s="1"/>
    </row>
    <row r="240" spans="1:3" x14ac:dyDescent="0.25">
      <c r="A240" s="7"/>
      <c r="B240" s="1"/>
      <c r="C240" s="1"/>
    </row>
    <row r="241" spans="1:3" x14ac:dyDescent="0.25">
      <c r="A241" s="7"/>
      <c r="B241" s="1"/>
      <c r="C241" s="1"/>
    </row>
    <row r="242" spans="1:3" x14ac:dyDescent="0.25">
      <c r="A242" s="7"/>
      <c r="B242" s="1"/>
      <c r="C242" s="1"/>
    </row>
    <row r="243" spans="1:3" x14ac:dyDescent="0.25">
      <c r="A243" s="7"/>
      <c r="B243" s="1"/>
      <c r="C243" s="1"/>
    </row>
    <row r="244" spans="1:3" x14ac:dyDescent="0.25">
      <c r="A244" s="7"/>
      <c r="B244" s="1"/>
      <c r="C244" s="1"/>
    </row>
    <row r="245" spans="1:3" x14ac:dyDescent="0.25">
      <c r="A245" s="7"/>
      <c r="B245" s="1"/>
      <c r="C245" s="1"/>
    </row>
    <row r="246" spans="1:3" x14ac:dyDescent="0.25">
      <c r="A246" s="7"/>
      <c r="B246" s="1"/>
      <c r="C246" s="1"/>
    </row>
    <row r="247" spans="1:3" x14ac:dyDescent="0.25">
      <c r="A247" s="7"/>
      <c r="B247" s="1"/>
      <c r="C247" s="1"/>
    </row>
    <row r="248" spans="1:3" x14ac:dyDescent="0.25">
      <c r="A248" s="7"/>
      <c r="B248" s="1"/>
      <c r="C248" s="1"/>
    </row>
    <row r="249" spans="1:3" x14ac:dyDescent="0.25">
      <c r="A249" s="7"/>
      <c r="B249" s="1"/>
      <c r="C249" s="1"/>
    </row>
    <row r="250" spans="1:3" x14ac:dyDescent="0.25">
      <c r="A250" s="7"/>
      <c r="B250" s="1"/>
      <c r="C250" s="1"/>
    </row>
    <row r="251" spans="1:3" x14ac:dyDescent="0.25">
      <c r="A251" s="7"/>
      <c r="B251" s="1"/>
      <c r="C251" s="1"/>
    </row>
    <row r="252" spans="1:3" x14ac:dyDescent="0.25">
      <c r="A252" s="7"/>
      <c r="B252" s="1"/>
      <c r="C252" s="1"/>
    </row>
    <row r="253" spans="1:3" x14ac:dyDescent="0.25">
      <c r="A253" s="7"/>
      <c r="B253" s="1"/>
      <c r="C253" s="1"/>
    </row>
    <row r="254" spans="1:3" x14ac:dyDescent="0.25">
      <c r="A254" s="7"/>
      <c r="B254" s="1"/>
      <c r="C254" s="1"/>
    </row>
    <row r="255" spans="1:3" x14ac:dyDescent="0.25">
      <c r="A255" s="7"/>
      <c r="B255" s="1"/>
      <c r="C255" s="1"/>
    </row>
    <row r="256" spans="1:3" x14ac:dyDescent="0.25">
      <c r="A256" s="7"/>
      <c r="B256" s="1"/>
      <c r="C256" s="1"/>
    </row>
    <row r="257" spans="1:3" x14ac:dyDescent="0.25">
      <c r="A257" s="7"/>
      <c r="B257" s="1"/>
      <c r="C257" s="1"/>
    </row>
    <row r="258" spans="1:3" x14ac:dyDescent="0.25">
      <c r="A258" s="7"/>
      <c r="B258" s="1"/>
      <c r="C258" s="1"/>
    </row>
    <row r="259" spans="1:3" x14ac:dyDescent="0.25">
      <c r="A259" s="7"/>
      <c r="B259" s="1"/>
      <c r="C259" s="1"/>
    </row>
    <row r="260" spans="1:3" x14ac:dyDescent="0.25">
      <c r="A260" s="7"/>
      <c r="B260" s="1"/>
      <c r="C260" s="1"/>
    </row>
    <row r="261" spans="1:3" x14ac:dyDescent="0.25">
      <c r="A261" s="7"/>
      <c r="B261" s="1"/>
      <c r="C261" s="1"/>
    </row>
    <row r="262" spans="1:3" x14ac:dyDescent="0.25">
      <c r="A262" s="7"/>
      <c r="B262" s="1"/>
      <c r="C262" s="1"/>
    </row>
    <row r="263" spans="1:3" x14ac:dyDescent="0.25">
      <c r="A263" s="7"/>
      <c r="B263" s="1"/>
      <c r="C263" s="1"/>
    </row>
    <row r="264" spans="1:3" x14ac:dyDescent="0.25">
      <c r="A264" s="7"/>
      <c r="B264" s="1"/>
      <c r="C264" s="1"/>
    </row>
    <row r="265" spans="1:3" x14ac:dyDescent="0.25">
      <c r="A265" s="7"/>
      <c r="B265" s="1"/>
      <c r="C265" s="1"/>
    </row>
    <row r="266" spans="1:3" x14ac:dyDescent="0.25">
      <c r="A266" s="7"/>
      <c r="B266" s="1"/>
      <c r="C266" s="1"/>
    </row>
    <row r="267" spans="1:3" x14ac:dyDescent="0.25">
      <c r="A267" s="7"/>
      <c r="B267" s="1"/>
      <c r="C267" s="1"/>
    </row>
    <row r="268" spans="1:3" x14ac:dyDescent="0.25">
      <c r="A268" s="7"/>
      <c r="B268" s="1"/>
      <c r="C268" s="1"/>
    </row>
    <row r="269" spans="1:3" x14ac:dyDescent="0.25">
      <c r="A269" s="7"/>
      <c r="B269" s="1"/>
      <c r="C269" s="1"/>
    </row>
    <row r="270" spans="1:3" x14ac:dyDescent="0.25">
      <c r="A270" s="7"/>
      <c r="B270" s="1"/>
      <c r="C270" s="1"/>
    </row>
    <row r="271" spans="1:3" x14ac:dyDescent="0.25">
      <c r="A271" s="7"/>
      <c r="B271" s="1"/>
      <c r="C271" s="1"/>
    </row>
    <row r="272" spans="1:3" x14ac:dyDescent="0.25">
      <c r="A272" s="7"/>
      <c r="B272" s="1"/>
      <c r="C272" s="1"/>
    </row>
    <row r="273" spans="1:3" x14ac:dyDescent="0.25">
      <c r="A273" s="7"/>
      <c r="B273" s="1"/>
      <c r="C273" s="1"/>
    </row>
    <row r="274" spans="1:3" x14ac:dyDescent="0.25">
      <c r="A274" s="7"/>
      <c r="B274" s="1"/>
      <c r="C274" s="1"/>
    </row>
    <row r="275" spans="1:3" x14ac:dyDescent="0.25">
      <c r="A275" s="7"/>
      <c r="B275" s="1"/>
      <c r="C275" s="1"/>
    </row>
    <row r="276" spans="1:3" x14ac:dyDescent="0.25">
      <c r="A276" s="7"/>
      <c r="B276" s="1"/>
      <c r="C276" s="1"/>
    </row>
    <row r="277" spans="1:3" x14ac:dyDescent="0.25">
      <c r="A277" s="7"/>
      <c r="B277" s="1"/>
      <c r="C277" s="1"/>
    </row>
    <row r="278" spans="1:3" x14ac:dyDescent="0.25">
      <c r="A278" s="7"/>
      <c r="B278" s="1"/>
      <c r="C278" s="1"/>
    </row>
    <row r="279" spans="1:3" x14ac:dyDescent="0.25">
      <c r="A279" s="7"/>
      <c r="B279" s="1"/>
      <c r="C279" s="1"/>
    </row>
    <row r="280" spans="1:3" x14ac:dyDescent="0.25">
      <c r="A280" s="7"/>
      <c r="B280" s="1"/>
      <c r="C280" s="1"/>
    </row>
    <row r="281" spans="1:3" x14ac:dyDescent="0.25">
      <c r="A281" s="7"/>
      <c r="B281" s="1"/>
      <c r="C281" s="1"/>
    </row>
    <row r="282" spans="1:3" x14ac:dyDescent="0.25">
      <c r="A282" s="7"/>
      <c r="B282" s="1"/>
      <c r="C282" s="1"/>
    </row>
    <row r="283" spans="1:3" x14ac:dyDescent="0.25">
      <c r="A283" s="7"/>
      <c r="B283" s="1"/>
      <c r="C283" s="1"/>
    </row>
    <row r="284" spans="1:3" x14ac:dyDescent="0.25">
      <c r="A284" s="7"/>
      <c r="B284" s="1"/>
      <c r="C284" s="1"/>
    </row>
    <row r="285" spans="1:3" x14ac:dyDescent="0.25">
      <c r="A285" s="7"/>
      <c r="B285" s="1"/>
      <c r="C285" s="1"/>
    </row>
    <row r="286" spans="1:3" x14ac:dyDescent="0.25">
      <c r="A286" s="7"/>
      <c r="B286" s="1"/>
      <c r="C286" s="1"/>
    </row>
    <row r="287" spans="1:3" x14ac:dyDescent="0.25">
      <c r="A287" s="7"/>
      <c r="B287" s="1"/>
      <c r="C287" s="1"/>
    </row>
    <row r="288" spans="1:3" x14ac:dyDescent="0.25">
      <c r="A288" s="7"/>
      <c r="B288" s="1"/>
      <c r="C288" s="1"/>
    </row>
    <row r="289" spans="1:3" x14ac:dyDescent="0.25">
      <c r="A289" s="7"/>
      <c r="B289" s="1"/>
      <c r="C289" s="1"/>
    </row>
    <row r="290" spans="1:3" x14ac:dyDescent="0.25">
      <c r="A290" s="7"/>
      <c r="B290" s="1"/>
      <c r="C290" s="1"/>
    </row>
    <row r="291" spans="1:3" x14ac:dyDescent="0.25">
      <c r="A291" s="7"/>
      <c r="B291" s="1"/>
      <c r="C291" s="1"/>
    </row>
    <row r="292" spans="1:3" x14ac:dyDescent="0.25">
      <c r="A292" s="7"/>
      <c r="B292" s="1"/>
      <c r="C292" s="1"/>
    </row>
    <row r="293" spans="1:3" x14ac:dyDescent="0.25">
      <c r="A293" s="7"/>
      <c r="B293" s="1"/>
      <c r="C293" s="1"/>
    </row>
    <row r="294" spans="1:3" x14ac:dyDescent="0.25">
      <c r="A294" s="7"/>
      <c r="B294" s="1"/>
      <c r="C294" s="1"/>
    </row>
    <row r="295" spans="1:3" x14ac:dyDescent="0.25">
      <c r="A295" s="7"/>
      <c r="B295" s="1"/>
      <c r="C295" s="1"/>
    </row>
    <row r="296" spans="1:3" x14ac:dyDescent="0.25">
      <c r="A296" s="7"/>
      <c r="B296" s="1"/>
      <c r="C296" s="1"/>
    </row>
    <row r="297" spans="1:3" x14ac:dyDescent="0.25">
      <c r="A297" s="7"/>
      <c r="B297" s="1"/>
      <c r="C297" s="1"/>
    </row>
    <row r="298" spans="1:3" x14ac:dyDescent="0.25">
      <c r="A298" s="7"/>
      <c r="B298" s="1"/>
      <c r="C298" s="1"/>
    </row>
    <row r="299" spans="1:3" x14ac:dyDescent="0.25">
      <c r="A299" s="7"/>
      <c r="B299" s="1"/>
      <c r="C299" s="1"/>
    </row>
    <row r="300" spans="1:3" x14ac:dyDescent="0.25">
      <c r="A300" s="7"/>
      <c r="B300" s="1"/>
      <c r="C300" s="1"/>
    </row>
    <row r="301" spans="1:3" x14ac:dyDescent="0.25">
      <c r="A301" s="7"/>
      <c r="B301" s="1"/>
      <c r="C301" s="1"/>
    </row>
    <row r="302" spans="1:3" x14ac:dyDescent="0.25">
      <c r="A302" s="7"/>
      <c r="B302" s="1"/>
      <c r="C302" s="1"/>
    </row>
    <row r="303" spans="1:3" x14ac:dyDescent="0.25">
      <c r="A303" s="7"/>
      <c r="B303" s="1"/>
      <c r="C303" s="1"/>
    </row>
    <row r="304" spans="1:3" x14ac:dyDescent="0.25">
      <c r="A304" s="7"/>
      <c r="B304" s="1"/>
      <c r="C304" s="1"/>
    </row>
    <row r="305" spans="1:3" x14ac:dyDescent="0.25">
      <c r="A305" s="7"/>
      <c r="B305" s="1"/>
      <c r="C305" s="1"/>
    </row>
    <row r="306" spans="1:3" x14ac:dyDescent="0.25">
      <c r="A306" s="7"/>
      <c r="B306" s="1"/>
      <c r="C306" s="1"/>
    </row>
    <row r="307" spans="1:3" x14ac:dyDescent="0.25">
      <c r="A307" s="7"/>
      <c r="B307" s="1"/>
      <c r="C307" s="1"/>
    </row>
    <row r="308" spans="1:3" x14ac:dyDescent="0.25">
      <c r="A308" s="7"/>
      <c r="B308" s="1"/>
      <c r="C308" s="1"/>
    </row>
    <row r="309" spans="1:3" x14ac:dyDescent="0.25">
      <c r="A309" s="7"/>
      <c r="B309" s="1"/>
      <c r="C309" s="1"/>
    </row>
    <row r="310" spans="1:3" x14ac:dyDescent="0.25">
      <c r="A310" s="7"/>
      <c r="B310" s="1"/>
      <c r="C310" s="1"/>
    </row>
    <row r="311" spans="1:3" x14ac:dyDescent="0.25">
      <c r="A311" s="7"/>
      <c r="B311" s="1"/>
      <c r="C311" s="1"/>
    </row>
    <row r="312" spans="1:3" x14ac:dyDescent="0.25">
      <c r="A312" s="7"/>
      <c r="B312" s="1"/>
      <c r="C312" s="1"/>
    </row>
    <row r="313" spans="1:3" x14ac:dyDescent="0.25">
      <c r="A313" s="7"/>
      <c r="B313" s="1"/>
      <c r="C313" s="1"/>
    </row>
    <row r="314" spans="1:3" x14ac:dyDescent="0.25">
      <c r="A314" s="7"/>
      <c r="B314" s="1"/>
      <c r="C314" s="1"/>
    </row>
    <row r="315" spans="1:3" x14ac:dyDescent="0.25">
      <c r="A315" s="7"/>
      <c r="B315" s="1"/>
      <c r="C315" s="1"/>
    </row>
    <row r="316" spans="1:3" x14ac:dyDescent="0.25">
      <c r="A316" s="7"/>
      <c r="B316" s="1"/>
      <c r="C316" s="1"/>
    </row>
    <row r="317" spans="1:3" x14ac:dyDescent="0.25">
      <c r="A317" s="7"/>
      <c r="B317" s="1"/>
      <c r="C317" s="1"/>
    </row>
    <row r="318" spans="1:3" x14ac:dyDescent="0.25">
      <c r="A318" s="7"/>
      <c r="B318" s="1"/>
      <c r="C318" s="1"/>
    </row>
    <row r="319" spans="1:3" x14ac:dyDescent="0.25">
      <c r="A319" s="7"/>
      <c r="B319" s="1"/>
      <c r="C319" s="1"/>
    </row>
    <row r="320" spans="1:3" x14ac:dyDescent="0.25">
      <c r="A320" s="7"/>
      <c r="B320" s="1"/>
      <c r="C320" s="1"/>
    </row>
    <row r="321" spans="1:3" x14ac:dyDescent="0.25">
      <c r="A321" s="7"/>
      <c r="B321" s="1"/>
      <c r="C321" s="1"/>
    </row>
    <row r="322" spans="1:3" x14ac:dyDescent="0.25">
      <c r="A322" s="7"/>
      <c r="B322" s="1"/>
      <c r="C322" s="1"/>
    </row>
    <row r="323" spans="1:3" x14ac:dyDescent="0.25">
      <c r="A323" s="7"/>
      <c r="B323" s="1"/>
      <c r="C323" s="1"/>
    </row>
    <row r="324" spans="1:3" x14ac:dyDescent="0.25">
      <c r="A324" s="7"/>
      <c r="B324" s="1"/>
      <c r="C324" s="1"/>
    </row>
    <row r="325" spans="1:3" x14ac:dyDescent="0.25">
      <c r="A325" s="7"/>
      <c r="B325" s="1"/>
      <c r="C325" s="1"/>
    </row>
    <row r="326" spans="1:3" x14ac:dyDescent="0.25">
      <c r="A326" s="7"/>
      <c r="B326" s="1"/>
      <c r="C326" s="1"/>
    </row>
    <row r="327" spans="1:3" x14ac:dyDescent="0.25">
      <c r="A327" s="7"/>
      <c r="B327" s="1"/>
      <c r="C327" s="1"/>
    </row>
    <row r="328" spans="1:3" x14ac:dyDescent="0.25">
      <c r="A328" s="7"/>
      <c r="B328" s="1"/>
      <c r="C328" s="1"/>
    </row>
    <row r="329" spans="1:3" x14ac:dyDescent="0.25">
      <c r="A329" s="7"/>
      <c r="B329" s="1"/>
      <c r="C329" s="1"/>
    </row>
    <row r="330" spans="1:3" x14ac:dyDescent="0.25">
      <c r="A330" s="7"/>
      <c r="B330" s="1"/>
      <c r="C330" s="1"/>
    </row>
    <row r="331" spans="1:3" x14ac:dyDescent="0.25">
      <c r="A331" s="7"/>
      <c r="B331" s="1"/>
      <c r="C331" s="1"/>
    </row>
    <row r="332" spans="1:3" x14ac:dyDescent="0.25">
      <c r="A332" s="7"/>
      <c r="B332" s="1"/>
      <c r="C332" s="1"/>
    </row>
    <row r="333" spans="1:3" x14ac:dyDescent="0.25">
      <c r="A333" s="7"/>
      <c r="B333" s="1"/>
      <c r="C333" s="1"/>
    </row>
    <row r="334" spans="1:3" x14ac:dyDescent="0.25">
      <c r="A334" s="7"/>
      <c r="B334" s="1"/>
      <c r="C334" s="1"/>
    </row>
    <row r="335" spans="1:3" x14ac:dyDescent="0.25">
      <c r="A335" s="7"/>
      <c r="B335" s="1"/>
      <c r="C335" s="1"/>
    </row>
    <row r="336" spans="1:3" x14ac:dyDescent="0.25">
      <c r="A336" s="7"/>
      <c r="B336" s="1"/>
      <c r="C336" s="1"/>
    </row>
    <row r="337" spans="1:3" x14ac:dyDescent="0.25">
      <c r="A337" s="7"/>
      <c r="B337" s="1"/>
      <c r="C337" s="1"/>
    </row>
    <row r="338" spans="1:3" x14ac:dyDescent="0.25">
      <c r="A338" s="7"/>
      <c r="B338" s="1"/>
      <c r="C338" s="1"/>
    </row>
    <row r="339" spans="1:3" x14ac:dyDescent="0.25">
      <c r="A339" s="7"/>
      <c r="B339" s="1"/>
      <c r="C339" s="1"/>
    </row>
    <row r="340" spans="1:3" x14ac:dyDescent="0.25">
      <c r="A340" s="7"/>
      <c r="B340" s="1"/>
      <c r="C340" s="1"/>
    </row>
    <row r="341" spans="1:3" x14ac:dyDescent="0.25">
      <c r="A341" s="7"/>
      <c r="B341" s="1"/>
      <c r="C341" s="1"/>
    </row>
    <row r="342" spans="1:3" x14ac:dyDescent="0.25">
      <c r="A342" s="7"/>
      <c r="B342" s="1"/>
      <c r="C342" s="1"/>
    </row>
    <row r="343" spans="1:3" x14ac:dyDescent="0.25">
      <c r="A343" s="7"/>
      <c r="B343" s="1"/>
      <c r="C343" s="1"/>
    </row>
    <row r="344" spans="1:3" x14ac:dyDescent="0.25">
      <c r="A344" s="7"/>
      <c r="B344" s="1"/>
      <c r="C344" s="1"/>
    </row>
    <row r="345" spans="1:3" x14ac:dyDescent="0.25">
      <c r="A345" s="7"/>
      <c r="B345" s="1"/>
      <c r="C345" s="1"/>
    </row>
    <row r="346" spans="1:3" x14ac:dyDescent="0.25">
      <c r="A346" s="7"/>
      <c r="B346" s="1"/>
      <c r="C346" s="1"/>
    </row>
    <row r="347" spans="1:3" x14ac:dyDescent="0.25">
      <c r="A347" s="7"/>
      <c r="B347" s="1"/>
      <c r="C347" s="1"/>
    </row>
    <row r="348" spans="1:3" x14ac:dyDescent="0.25">
      <c r="A348" s="7"/>
      <c r="B348" s="1"/>
      <c r="C348" s="1"/>
    </row>
    <row r="349" spans="1:3" x14ac:dyDescent="0.25">
      <c r="A349" s="7"/>
      <c r="B349" s="1"/>
      <c r="C349" s="1"/>
    </row>
    <row r="350" spans="1:3" x14ac:dyDescent="0.25">
      <c r="A350" s="7"/>
      <c r="B350" s="1"/>
      <c r="C350" s="1"/>
    </row>
    <row r="351" spans="1:3" x14ac:dyDescent="0.25">
      <c r="A351" s="7"/>
      <c r="B351" s="1"/>
      <c r="C351" s="1"/>
    </row>
    <row r="352" spans="1:3" x14ac:dyDescent="0.25">
      <c r="A352" s="7"/>
      <c r="B352" s="1"/>
      <c r="C352" s="1"/>
    </row>
    <row r="353" spans="1:3" x14ac:dyDescent="0.25">
      <c r="A353" s="7"/>
      <c r="B353" s="1"/>
      <c r="C353" s="1"/>
    </row>
    <row r="354" spans="1:3" x14ac:dyDescent="0.25">
      <c r="A354" s="7"/>
      <c r="B354" s="1"/>
      <c r="C354" s="1"/>
    </row>
    <row r="355" spans="1:3" x14ac:dyDescent="0.25">
      <c r="A355" s="7"/>
      <c r="B355" s="1"/>
      <c r="C355" s="1"/>
    </row>
    <row r="356" spans="1:3" x14ac:dyDescent="0.25">
      <c r="A356" s="7"/>
      <c r="B356" s="1"/>
      <c r="C356" s="1"/>
    </row>
    <row r="357" spans="1:3" x14ac:dyDescent="0.25">
      <c r="A357" s="7"/>
      <c r="B357" s="1"/>
      <c r="C357" s="1"/>
    </row>
    <row r="358" spans="1:3" x14ac:dyDescent="0.25">
      <c r="A358" s="7"/>
      <c r="B358" s="1"/>
      <c r="C358" s="1"/>
    </row>
    <row r="359" spans="1:3" x14ac:dyDescent="0.25">
      <c r="A359" s="7"/>
      <c r="B359" s="1"/>
      <c r="C359" s="1"/>
    </row>
    <row r="360" spans="1:3" x14ac:dyDescent="0.25">
      <c r="A360" s="7"/>
      <c r="B360" s="1"/>
      <c r="C360" s="1"/>
    </row>
    <row r="361" spans="1:3" x14ac:dyDescent="0.25">
      <c r="A361" s="7"/>
      <c r="B361" s="1"/>
      <c r="C361" s="1"/>
    </row>
    <row r="362" spans="1:3" x14ac:dyDescent="0.25">
      <c r="A362" s="7"/>
      <c r="B362" s="1"/>
      <c r="C362" s="1"/>
    </row>
    <row r="363" spans="1:3" x14ac:dyDescent="0.25">
      <c r="A363" s="7"/>
      <c r="B363" s="1"/>
      <c r="C363" s="1"/>
    </row>
    <row r="364" spans="1:3" x14ac:dyDescent="0.25">
      <c r="A364" s="7"/>
      <c r="B364" s="1"/>
      <c r="C364" s="1"/>
    </row>
    <row r="365" spans="1:3" x14ac:dyDescent="0.25">
      <c r="A365" s="7"/>
      <c r="B365" s="1"/>
      <c r="C365" s="1"/>
    </row>
    <row r="366" spans="1:3" x14ac:dyDescent="0.25">
      <c r="A366" s="7"/>
      <c r="B366" s="1"/>
      <c r="C366" s="1"/>
    </row>
    <row r="367" spans="1:3" x14ac:dyDescent="0.25">
      <c r="A367" s="7"/>
      <c r="B367" s="1"/>
      <c r="C367" s="1"/>
    </row>
    <row r="368" spans="1:3" x14ac:dyDescent="0.25">
      <c r="A368" s="7"/>
      <c r="B368" s="1"/>
      <c r="C368" s="1"/>
    </row>
    <row r="369" spans="1:3" x14ac:dyDescent="0.25">
      <c r="A369" s="7"/>
      <c r="B369" s="1"/>
      <c r="C369" s="1"/>
    </row>
    <row r="370" spans="1:3" x14ac:dyDescent="0.25">
      <c r="A370" s="7"/>
      <c r="B370" s="1"/>
      <c r="C370" s="1"/>
    </row>
    <row r="371" spans="1:3" x14ac:dyDescent="0.25">
      <c r="A371" s="7"/>
      <c r="B371" s="1"/>
      <c r="C371" s="1"/>
    </row>
    <row r="372" spans="1:3" x14ac:dyDescent="0.25">
      <c r="A372" s="7"/>
      <c r="B372" s="1"/>
      <c r="C372" s="1"/>
    </row>
    <row r="373" spans="1:3" x14ac:dyDescent="0.25">
      <c r="A373" s="7"/>
      <c r="B373" s="1"/>
      <c r="C373" s="1"/>
    </row>
    <row r="374" spans="1:3" x14ac:dyDescent="0.25">
      <c r="A374" s="7"/>
      <c r="B374" s="1"/>
      <c r="C374" s="1"/>
    </row>
    <row r="375" spans="1:3" x14ac:dyDescent="0.25">
      <c r="A375" s="7"/>
      <c r="B375" s="1"/>
      <c r="C375" s="1"/>
    </row>
    <row r="376" spans="1:3" x14ac:dyDescent="0.25">
      <c r="A376" s="7"/>
      <c r="B376" s="1"/>
      <c r="C376" s="1"/>
    </row>
    <row r="377" spans="1:3" x14ac:dyDescent="0.25">
      <c r="A377" s="7"/>
      <c r="B377" s="1"/>
      <c r="C377" s="1"/>
    </row>
    <row r="378" spans="1:3" x14ac:dyDescent="0.25">
      <c r="A378" s="7"/>
      <c r="B378" s="1"/>
      <c r="C378" s="1"/>
    </row>
    <row r="379" spans="1:3" x14ac:dyDescent="0.25">
      <c r="A379" s="7"/>
      <c r="B379" s="1"/>
      <c r="C379" s="1"/>
    </row>
    <row r="380" spans="1:3" x14ac:dyDescent="0.25">
      <c r="A380" s="7"/>
      <c r="B380" s="1"/>
      <c r="C380" s="1"/>
    </row>
    <row r="381" spans="1:3" x14ac:dyDescent="0.25">
      <c r="A381" s="7"/>
      <c r="B381" s="1"/>
      <c r="C381" s="1"/>
    </row>
    <row r="382" spans="1:3" x14ac:dyDescent="0.25">
      <c r="A382" s="7"/>
      <c r="B382" s="1"/>
      <c r="C382" s="1"/>
    </row>
    <row r="383" spans="1:3" x14ac:dyDescent="0.25">
      <c r="A383" s="7"/>
      <c r="B383" s="1"/>
      <c r="C383" s="1"/>
    </row>
    <row r="384" spans="1:3" x14ac:dyDescent="0.25">
      <c r="A384" s="7"/>
      <c r="B384" s="1"/>
      <c r="C384" s="1"/>
    </row>
    <row r="385" spans="1:3" x14ac:dyDescent="0.25">
      <c r="A385" s="7"/>
      <c r="B385" s="1"/>
      <c r="C385" s="1"/>
    </row>
    <row r="386" spans="1:3" x14ac:dyDescent="0.25">
      <c r="A386" s="7"/>
      <c r="B386" s="1"/>
      <c r="C386" s="1"/>
    </row>
    <row r="387" spans="1:3" x14ac:dyDescent="0.25">
      <c r="A387" s="7"/>
      <c r="B387" s="1"/>
      <c r="C387" s="1"/>
    </row>
    <row r="388" spans="1:3" x14ac:dyDescent="0.25">
      <c r="A388" s="7"/>
      <c r="B388" s="1"/>
      <c r="C388" s="1"/>
    </row>
    <row r="389" spans="1:3" x14ac:dyDescent="0.25">
      <c r="A389" s="7"/>
      <c r="B389" s="1"/>
      <c r="C389" s="1"/>
    </row>
    <row r="390" spans="1:3" x14ac:dyDescent="0.25">
      <c r="A390" s="7"/>
      <c r="B390" s="1"/>
      <c r="C390" s="1"/>
    </row>
    <row r="391" spans="1:3" x14ac:dyDescent="0.25">
      <c r="A391" s="7"/>
      <c r="B391" s="1"/>
      <c r="C391" s="1"/>
    </row>
    <row r="392" spans="1:3" x14ac:dyDescent="0.25">
      <c r="A392" s="7"/>
      <c r="B392" s="1"/>
      <c r="C392" s="1"/>
    </row>
    <row r="393" spans="1:3" x14ac:dyDescent="0.25">
      <c r="A393" s="7"/>
      <c r="B393" s="1"/>
      <c r="C393" s="1"/>
    </row>
    <row r="394" spans="1:3" x14ac:dyDescent="0.25">
      <c r="A394" s="7"/>
      <c r="B394" s="1"/>
      <c r="C394" s="1"/>
    </row>
    <row r="395" spans="1:3" x14ac:dyDescent="0.25">
      <c r="A395" s="7"/>
      <c r="B395" s="1"/>
      <c r="C395" s="1"/>
    </row>
    <row r="396" spans="1:3" x14ac:dyDescent="0.25">
      <c r="A396" s="7"/>
      <c r="B396" s="1"/>
      <c r="C396" s="1"/>
    </row>
    <row r="397" spans="1:3" x14ac:dyDescent="0.25">
      <c r="A397" s="7"/>
      <c r="B397" s="1"/>
      <c r="C397" s="1"/>
    </row>
    <row r="398" spans="1:3" x14ac:dyDescent="0.25">
      <c r="A398" s="7"/>
      <c r="B398" s="1"/>
      <c r="C398" s="1"/>
    </row>
    <row r="399" spans="1:3" x14ac:dyDescent="0.25">
      <c r="A399" s="7"/>
      <c r="B399" s="1"/>
      <c r="C399" s="1"/>
    </row>
    <row r="400" spans="1:3" x14ac:dyDescent="0.25">
      <c r="A400" s="7"/>
      <c r="B400" s="1"/>
      <c r="C400" s="1"/>
    </row>
    <row r="401" spans="1:3" x14ac:dyDescent="0.25">
      <c r="A401" s="7"/>
      <c r="B401" s="1"/>
      <c r="C401" s="1"/>
    </row>
    <row r="402" spans="1:3" x14ac:dyDescent="0.25">
      <c r="A402" s="7"/>
      <c r="B402" s="1"/>
      <c r="C402" s="1"/>
    </row>
    <row r="403" spans="1:3" x14ac:dyDescent="0.25">
      <c r="A403" s="7"/>
      <c r="B403" s="1"/>
      <c r="C403" s="1"/>
    </row>
    <row r="404" spans="1:3" x14ac:dyDescent="0.25">
      <c r="A404" s="7"/>
      <c r="B404" s="1"/>
      <c r="C404" s="1"/>
    </row>
    <row r="405" spans="1:3" x14ac:dyDescent="0.25">
      <c r="A405" s="7"/>
      <c r="B405" s="1"/>
      <c r="C405" s="1"/>
    </row>
    <row r="406" spans="1:3" x14ac:dyDescent="0.25">
      <c r="A406" s="7"/>
      <c r="B406" s="1"/>
      <c r="C406" s="1"/>
    </row>
    <row r="407" spans="1:3" x14ac:dyDescent="0.25">
      <c r="A407" s="7"/>
      <c r="B407" s="1"/>
      <c r="C407" s="1"/>
    </row>
    <row r="408" spans="1:3" x14ac:dyDescent="0.25">
      <c r="A408" s="7"/>
      <c r="B408" s="1"/>
      <c r="C408" s="1"/>
    </row>
    <row r="409" spans="1:3" x14ac:dyDescent="0.25">
      <c r="A409" s="7"/>
      <c r="B409" s="1"/>
      <c r="C409" s="1"/>
    </row>
    <row r="410" spans="1:3" x14ac:dyDescent="0.25">
      <c r="A410" s="7"/>
      <c r="B410" s="1"/>
      <c r="C410" s="1"/>
    </row>
    <row r="411" spans="1:3" x14ac:dyDescent="0.25">
      <c r="A411" s="7"/>
      <c r="B411" s="1"/>
      <c r="C411" s="1"/>
    </row>
    <row r="412" spans="1:3" x14ac:dyDescent="0.25">
      <c r="A412" s="7"/>
      <c r="B412" s="1"/>
      <c r="C412" s="1"/>
    </row>
    <row r="413" spans="1:3" x14ac:dyDescent="0.25">
      <c r="A413" s="7"/>
      <c r="B413" s="1"/>
      <c r="C413" s="1"/>
    </row>
    <row r="414" spans="1:3" x14ac:dyDescent="0.25">
      <c r="A414" s="7"/>
      <c r="B414" s="1"/>
      <c r="C414" s="1"/>
    </row>
    <row r="415" spans="1:3" x14ac:dyDescent="0.25">
      <c r="A415" s="7"/>
      <c r="B415" s="1"/>
      <c r="C415" s="1"/>
    </row>
    <row r="416" spans="1:3" x14ac:dyDescent="0.25">
      <c r="A416" s="7"/>
      <c r="B416" s="1"/>
      <c r="C416" s="1"/>
    </row>
    <row r="417" spans="1:3" x14ac:dyDescent="0.25">
      <c r="A417" s="7"/>
      <c r="B417" s="1"/>
      <c r="C417" s="1"/>
    </row>
    <row r="418" spans="1:3" x14ac:dyDescent="0.25">
      <c r="A418" s="7"/>
      <c r="B418" s="1"/>
      <c r="C418" s="1"/>
    </row>
    <row r="419" spans="1:3" x14ac:dyDescent="0.25">
      <c r="A419" s="7"/>
      <c r="B419" s="1"/>
      <c r="C419" s="1"/>
    </row>
    <row r="420" spans="1:3" x14ac:dyDescent="0.25">
      <c r="A420" s="7"/>
      <c r="B420" s="1"/>
      <c r="C420" s="1"/>
    </row>
    <row r="421" spans="1:3" x14ac:dyDescent="0.25">
      <c r="A421" s="7"/>
      <c r="B421" s="1"/>
      <c r="C421" s="1"/>
    </row>
    <row r="422" spans="1:3" x14ac:dyDescent="0.25">
      <c r="A422" s="7"/>
      <c r="B422" s="1"/>
      <c r="C422" s="1"/>
    </row>
    <row r="423" spans="1:3" x14ac:dyDescent="0.25">
      <c r="A423" s="7"/>
      <c r="B423" s="1"/>
      <c r="C423" s="1"/>
    </row>
    <row r="424" spans="1:3" x14ac:dyDescent="0.25">
      <c r="A424" s="7"/>
      <c r="B424" s="1"/>
      <c r="C424" s="1"/>
    </row>
    <row r="425" spans="1:3" x14ac:dyDescent="0.25">
      <c r="A425" s="7"/>
      <c r="B425" s="1"/>
      <c r="C425" s="1"/>
    </row>
    <row r="426" spans="1:3" x14ac:dyDescent="0.25">
      <c r="A426" s="7"/>
      <c r="B426" s="1"/>
      <c r="C426" s="1"/>
    </row>
    <row r="427" spans="1:3" x14ac:dyDescent="0.25">
      <c r="A427" s="7"/>
      <c r="B427" s="1"/>
      <c r="C427" s="1"/>
    </row>
    <row r="428" spans="1:3" x14ac:dyDescent="0.25">
      <c r="A428" s="7"/>
      <c r="B428" s="1"/>
      <c r="C428" s="1"/>
    </row>
    <row r="429" spans="1:3" x14ac:dyDescent="0.25">
      <c r="A429" s="7"/>
      <c r="B429" s="1"/>
      <c r="C429" s="1"/>
    </row>
    <row r="430" spans="1:3" x14ac:dyDescent="0.25">
      <c r="A430" s="7"/>
      <c r="B430" s="1"/>
      <c r="C430" s="1"/>
    </row>
    <row r="431" spans="1:3" x14ac:dyDescent="0.25">
      <c r="A431" s="7"/>
      <c r="B431" s="1"/>
      <c r="C431" s="1"/>
    </row>
    <row r="432" spans="1:3" x14ac:dyDescent="0.25">
      <c r="A432" s="7"/>
      <c r="B432" s="1"/>
      <c r="C432" s="1"/>
    </row>
    <row r="433" spans="1:3" x14ac:dyDescent="0.25">
      <c r="A433" s="7"/>
      <c r="B433" s="1"/>
      <c r="C433" s="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433"/>
  <sheetViews>
    <sheetView workbookViewId="0">
      <selection activeCell="A4" sqref="A4"/>
    </sheetView>
  </sheetViews>
  <sheetFormatPr defaultRowHeight="15" x14ac:dyDescent="0.25"/>
  <cols>
    <col min="1" max="1" width="14.85546875" customWidth="1"/>
    <col min="7" max="7" width="14.85546875" customWidth="1"/>
  </cols>
  <sheetData>
    <row r="1" spans="1:7" x14ac:dyDescent="0.25">
      <c r="A1" t="s">
        <v>0</v>
      </c>
      <c r="B1" t="s">
        <v>35</v>
      </c>
      <c r="C1" t="s">
        <v>38</v>
      </c>
    </row>
    <row r="2" spans="1:7" x14ac:dyDescent="0.25">
      <c r="A2" s="7">
        <v>44323</v>
      </c>
      <c r="B2" s="1">
        <v>17434</v>
      </c>
      <c r="C2" s="1">
        <v>46022.023856148</v>
      </c>
      <c r="G2" s="7"/>
    </row>
    <row r="3" spans="1:7" x14ac:dyDescent="0.25">
      <c r="A3" s="7">
        <v>44323.041666666664</v>
      </c>
      <c r="B3" s="1">
        <v>11021</v>
      </c>
      <c r="C3" s="1">
        <v>31224.107363250001</v>
      </c>
      <c r="G3" s="7"/>
    </row>
    <row r="4" spans="1:7" x14ac:dyDescent="0.25">
      <c r="A4" s="7">
        <v>44323.083333333336</v>
      </c>
      <c r="B4" s="1">
        <v>7073</v>
      </c>
      <c r="C4" s="1">
        <v>20294.593744064001</v>
      </c>
      <c r="G4" s="7"/>
    </row>
    <row r="5" spans="1:7" x14ac:dyDescent="0.25">
      <c r="A5" s="7">
        <v>44323.125</v>
      </c>
      <c r="B5" s="1">
        <v>6625</v>
      </c>
      <c r="C5" s="1">
        <v>17790.160623257001</v>
      </c>
      <c r="G5" s="7"/>
    </row>
    <row r="6" spans="1:7" x14ac:dyDescent="0.25">
      <c r="A6" s="7">
        <v>44323.166666666664</v>
      </c>
      <c r="B6" s="1">
        <v>7658</v>
      </c>
      <c r="C6" s="1">
        <v>20011.671503243</v>
      </c>
      <c r="G6" s="7"/>
    </row>
    <row r="7" spans="1:7" x14ac:dyDescent="0.25">
      <c r="A7" s="7">
        <v>44323.208333333336</v>
      </c>
      <c r="B7" s="1">
        <v>4597</v>
      </c>
      <c r="C7" s="1">
        <v>11618.618468772</v>
      </c>
      <c r="G7" s="7"/>
    </row>
    <row r="8" spans="1:7" x14ac:dyDescent="0.25">
      <c r="A8" s="7">
        <v>44323.25</v>
      </c>
      <c r="B8" s="1">
        <v>5476</v>
      </c>
      <c r="C8" s="1">
        <v>12706.239457296</v>
      </c>
      <c r="G8" s="7"/>
    </row>
    <row r="9" spans="1:7" x14ac:dyDescent="0.25">
      <c r="A9" s="7">
        <v>44323.291666666664</v>
      </c>
      <c r="B9" s="1">
        <v>8593</v>
      </c>
      <c r="C9" s="1">
        <v>19878.782959926</v>
      </c>
      <c r="G9" s="7"/>
    </row>
    <row r="10" spans="1:7" x14ac:dyDescent="0.25">
      <c r="A10" s="7">
        <v>44323.333333333336</v>
      </c>
      <c r="B10" s="1">
        <v>12000</v>
      </c>
      <c r="C10" s="1">
        <v>29005.652389555999</v>
      </c>
      <c r="G10" s="7"/>
    </row>
    <row r="11" spans="1:7" x14ac:dyDescent="0.25">
      <c r="A11" s="7">
        <v>44323.375</v>
      </c>
      <c r="B11" s="1">
        <v>14713</v>
      </c>
      <c r="C11" s="1">
        <v>37270.376589687003</v>
      </c>
      <c r="G11" s="7"/>
    </row>
    <row r="12" spans="1:7" x14ac:dyDescent="0.25">
      <c r="A12" s="7">
        <v>44323.416666666664</v>
      </c>
      <c r="B12" s="1">
        <v>16724</v>
      </c>
      <c r="C12" s="1">
        <v>43783.334257292998</v>
      </c>
      <c r="G12" s="7"/>
    </row>
    <row r="13" spans="1:7" x14ac:dyDescent="0.25">
      <c r="A13" s="7">
        <v>44323.458333333336</v>
      </c>
      <c r="B13" s="1">
        <v>17476</v>
      </c>
      <c r="C13" s="1">
        <v>46629.653894527997</v>
      </c>
      <c r="G13" s="7"/>
    </row>
    <row r="14" spans="1:7" x14ac:dyDescent="0.25">
      <c r="A14" s="7">
        <v>44323.5</v>
      </c>
      <c r="B14" s="1">
        <v>15700</v>
      </c>
      <c r="C14" s="1">
        <v>41557.772558226003</v>
      </c>
      <c r="G14" s="7"/>
    </row>
    <row r="15" spans="1:7" x14ac:dyDescent="0.25">
      <c r="A15" s="7">
        <v>44323.541666666664</v>
      </c>
      <c r="B15" s="1">
        <v>13502</v>
      </c>
      <c r="C15" s="1">
        <v>34273.063332555997</v>
      </c>
      <c r="G15" s="7"/>
    </row>
    <row r="16" spans="1:7" x14ac:dyDescent="0.25">
      <c r="A16" s="7">
        <v>44323.583333333336</v>
      </c>
      <c r="B16" s="1">
        <v>19196</v>
      </c>
      <c r="C16" s="1">
        <v>50738.206342438003</v>
      </c>
      <c r="G16" s="7"/>
    </row>
    <row r="17" spans="1:7" x14ac:dyDescent="0.25">
      <c r="A17" s="7">
        <v>44323.625</v>
      </c>
      <c r="B17" s="1">
        <v>19450</v>
      </c>
      <c r="C17" s="1">
        <v>51532.724755255003</v>
      </c>
      <c r="G17" s="7"/>
    </row>
    <row r="18" spans="1:7" x14ac:dyDescent="0.25">
      <c r="A18" s="7">
        <v>44323.666666666664</v>
      </c>
      <c r="B18" s="1">
        <v>17231</v>
      </c>
      <c r="C18" s="1">
        <v>46646.833322418002</v>
      </c>
      <c r="G18" s="7"/>
    </row>
    <row r="19" spans="1:7" x14ac:dyDescent="0.25">
      <c r="A19" s="7">
        <v>44323.708333333336</v>
      </c>
      <c r="B19" s="1">
        <v>15073</v>
      </c>
      <c r="C19" s="1">
        <v>42296.485056885002</v>
      </c>
      <c r="G19" s="7"/>
    </row>
    <row r="20" spans="1:7" x14ac:dyDescent="0.25">
      <c r="A20" s="7">
        <v>44323.75</v>
      </c>
      <c r="B20" s="1">
        <v>13014</v>
      </c>
      <c r="C20" s="1">
        <v>35694.793604735001</v>
      </c>
      <c r="G20" s="7"/>
    </row>
    <row r="21" spans="1:7" x14ac:dyDescent="0.25">
      <c r="A21" s="7">
        <v>44323.791666666664</v>
      </c>
      <c r="B21" s="1">
        <v>19262</v>
      </c>
      <c r="C21" s="1">
        <v>52373.572576912004</v>
      </c>
      <c r="G21" s="7"/>
    </row>
    <row r="22" spans="1:7" x14ac:dyDescent="0.25">
      <c r="A22" s="7">
        <v>44323.833333333336</v>
      </c>
      <c r="B22" s="1">
        <v>19891</v>
      </c>
      <c r="C22" s="1">
        <v>53641.105551408</v>
      </c>
      <c r="G22" s="7"/>
    </row>
    <row r="23" spans="1:7" x14ac:dyDescent="0.25">
      <c r="A23" s="7">
        <v>44323.875</v>
      </c>
      <c r="B23" s="1">
        <v>20764</v>
      </c>
      <c r="C23" s="1">
        <v>57162.083258489001</v>
      </c>
      <c r="G23" s="7"/>
    </row>
    <row r="24" spans="1:7" x14ac:dyDescent="0.25">
      <c r="A24" s="7">
        <v>44323.916666666664</v>
      </c>
      <c r="B24" s="1">
        <v>21774</v>
      </c>
      <c r="C24" s="1">
        <v>59243.101889726997</v>
      </c>
      <c r="G24" s="7"/>
    </row>
    <row r="25" spans="1:7" x14ac:dyDescent="0.25">
      <c r="A25" s="7">
        <v>44323.958333333336</v>
      </c>
      <c r="B25" s="1">
        <v>20187</v>
      </c>
      <c r="C25" s="1">
        <v>53790.866137099001</v>
      </c>
      <c r="G25" s="7"/>
    </row>
    <row r="26" spans="1:7" x14ac:dyDescent="0.25">
      <c r="A26" s="7">
        <v>44324</v>
      </c>
      <c r="B26" s="1">
        <v>15212</v>
      </c>
      <c r="C26" s="1">
        <v>41140.817687597002</v>
      </c>
      <c r="G26" s="7"/>
    </row>
    <row r="27" spans="1:7" x14ac:dyDescent="0.25">
      <c r="A27" s="7">
        <v>44324.041666666664</v>
      </c>
      <c r="B27" s="1">
        <v>9837</v>
      </c>
      <c r="C27" s="1">
        <v>27506.04420452</v>
      </c>
      <c r="G27" s="7"/>
    </row>
    <row r="28" spans="1:7" x14ac:dyDescent="0.25">
      <c r="A28" s="7">
        <v>44324.083333333336</v>
      </c>
      <c r="B28" s="1">
        <v>6414</v>
      </c>
      <c r="C28" s="1">
        <v>17884.320821999001</v>
      </c>
      <c r="G28" s="7"/>
    </row>
    <row r="29" spans="1:7" x14ac:dyDescent="0.25">
      <c r="A29" s="7">
        <v>44324.125</v>
      </c>
      <c r="B29" s="1">
        <v>6211</v>
      </c>
      <c r="C29" s="1">
        <v>16142.991607260999</v>
      </c>
      <c r="G29" s="7"/>
    </row>
    <row r="30" spans="1:7" x14ac:dyDescent="0.25">
      <c r="A30" s="7">
        <v>44324.166666666664</v>
      </c>
      <c r="B30" s="1">
        <v>7228</v>
      </c>
      <c r="C30" s="1">
        <v>17963.741490912002</v>
      </c>
      <c r="G30" s="7"/>
    </row>
    <row r="31" spans="1:7" x14ac:dyDescent="0.25">
      <c r="A31" s="7">
        <v>44324.208333333336</v>
      </c>
      <c r="B31" s="1">
        <v>4331</v>
      </c>
      <c r="C31" s="1">
        <v>10305.292024737</v>
      </c>
      <c r="G31" s="7"/>
    </row>
    <row r="32" spans="1:7" x14ac:dyDescent="0.25">
      <c r="A32" s="7">
        <v>44324.25</v>
      </c>
      <c r="B32" s="1">
        <v>5238</v>
      </c>
      <c r="C32" s="1">
        <v>11947.381892926</v>
      </c>
      <c r="G32" s="7"/>
    </row>
    <row r="33" spans="1:7" x14ac:dyDescent="0.25">
      <c r="A33" s="7">
        <v>44324.291666666664</v>
      </c>
      <c r="B33" s="1">
        <v>8147</v>
      </c>
      <c r="C33" s="1">
        <v>18566.903794344002</v>
      </c>
      <c r="G33" s="7"/>
    </row>
    <row r="34" spans="1:7" x14ac:dyDescent="0.25">
      <c r="A34" s="7">
        <v>44324.333333333336</v>
      </c>
      <c r="B34" s="1">
        <v>11154</v>
      </c>
      <c r="C34" s="1">
        <v>26636.481388507</v>
      </c>
      <c r="G34" s="7"/>
    </row>
    <row r="35" spans="1:7" x14ac:dyDescent="0.25">
      <c r="A35" s="7">
        <v>44324.375</v>
      </c>
      <c r="B35" s="1">
        <v>13477</v>
      </c>
      <c r="C35" s="1">
        <v>33760.136683381003</v>
      </c>
      <c r="G35" s="7"/>
    </row>
    <row r="36" spans="1:7" x14ac:dyDescent="0.25">
      <c r="A36" s="7">
        <v>44324.416666666664</v>
      </c>
      <c r="B36" s="1">
        <v>15229</v>
      </c>
      <c r="C36" s="1">
        <v>38854.125890162999</v>
      </c>
      <c r="G36" s="7"/>
    </row>
    <row r="37" spans="1:7" x14ac:dyDescent="0.25">
      <c r="A37" s="7">
        <v>44324.458333333336</v>
      </c>
      <c r="B37" s="1">
        <v>16191</v>
      </c>
      <c r="C37" s="1">
        <v>42043.119278202998</v>
      </c>
      <c r="G37" s="7"/>
    </row>
    <row r="38" spans="1:7" x14ac:dyDescent="0.25">
      <c r="A38" s="7">
        <v>44324.5</v>
      </c>
      <c r="B38" s="1">
        <v>16460</v>
      </c>
      <c r="C38" s="1">
        <v>43445.800608878002</v>
      </c>
      <c r="G38" s="7"/>
    </row>
    <row r="39" spans="1:7" x14ac:dyDescent="0.25">
      <c r="A39" s="7">
        <v>44324.541666666664</v>
      </c>
      <c r="B39" s="1">
        <v>15600</v>
      </c>
      <c r="C39" s="1">
        <v>41300.896628677001</v>
      </c>
      <c r="G39" s="7"/>
    </row>
    <row r="40" spans="1:7" x14ac:dyDescent="0.25">
      <c r="A40" s="7">
        <v>44324.583333333336</v>
      </c>
      <c r="B40" s="1">
        <v>17187</v>
      </c>
      <c r="C40" s="1">
        <v>45194.244016793004</v>
      </c>
      <c r="G40" s="7"/>
    </row>
    <row r="41" spans="1:7" x14ac:dyDescent="0.25">
      <c r="A41" s="7">
        <v>44324.625</v>
      </c>
      <c r="B41" s="1">
        <v>17697</v>
      </c>
      <c r="C41" s="1">
        <v>46541.982880634998</v>
      </c>
      <c r="G41" s="7"/>
    </row>
    <row r="42" spans="1:7" x14ac:dyDescent="0.25">
      <c r="A42" s="7">
        <v>44324.666666666664</v>
      </c>
      <c r="B42" s="1">
        <v>16266</v>
      </c>
      <c r="C42" s="1">
        <v>43666.784536289997</v>
      </c>
      <c r="G42" s="7"/>
    </row>
    <row r="43" spans="1:7" x14ac:dyDescent="0.25">
      <c r="A43" s="7">
        <v>44324.708333333336</v>
      </c>
      <c r="B43" s="1">
        <v>14587</v>
      </c>
      <c r="C43" s="1">
        <v>40393.408272223998</v>
      </c>
      <c r="G43" s="7"/>
    </row>
    <row r="44" spans="1:7" x14ac:dyDescent="0.25">
      <c r="A44" s="7">
        <v>44324.75</v>
      </c>
      <c r="B44" s="1">
        <v>13092</v>
      </c>
      <c r="C44" s="1">
        <v>35679.060820956998</v>
      </c>
      <c r="G44" s="7"/>
    </row>
    <row r="45" spans="1:7" x14ac:dyDescent="0.25">
      <c r="A45" s="7">
        <v>44324.791666666664</v>
      </c>
      <c r="B45" s="1">
        <v>19384</v>
      </c>
      <c r="C45" s="1">
        <v>52819.378160710003</v>
      </c>
      <c r="G45" s="7"/>
    </row>
    <row r="46" spans="1:7" x14ac:dyDescent="0.25">
      <c r="A46" s="7">
        <v>44324.833333333336</v>
      </c>
      <c r="B46" s="1">
        <v>20192</v>
      </c>
      <c r="C46" s="1">
        <v>54788.318626209999</v>
      </c>
      <c r="G46" s="7"/>
    </row>
    <row r="47" spans="1:7" x14ac:dyDescent="0.25">
      <c r="A47" s="7">
        <v>44324.875</v>
      </c>
      <c r="B47" s="1">
        <v>21287</v>
      </c>
      <c r="C47" s="1">
        <v>58542.182427002997</v>
      </c>
      <c r="G47" s="7"/>
    </row>
    <row r="48" spans="1:7" x14ac:dyDescent="0.25">
      <c r="A48" s="7">
        <v>44324.916666666664</v>
      </c>
      <c r="B48" s="1">
        <v>22151</v>
      </c>
      <c r="C48" s="1">
        <v>59294.090437083003</v>
      </c>
      <c r="G48" s="7"/>
    </row>
    <row r="49" spans="1:7" x14ac:dyDescent="0.25">
      <c r="A49" s="7">
        <v>44324.958333333336</v>
      </c>
      <c r="B49" s="1">
        <v>21326</v>
      </c>
      <c r="C49" s="1">
        <v>56350.118914327002</v>
      </c>
      <c r="G49" s="7"/>
    </row>
    <row r="50" spans="1:7" x14ac:dyDescent="0.25">
      <c r="A50" s="7">
        <v>44325</v>
      </c>
      <c r="B50" s="1">
        <v>16079</v>
      </c>
      <c r="C50" s="1">
        <v>43072.169163846003</v>
      </c>
      <c r="G50" s="7"/>
    </row>
    <row r="51" spans="1:7" x14ac:dyDescent="0.25">
      <c r="A51" s="7">
        <v>44325.041666666664</v>
      </c>
      <c r="B51" s="1">
        <v>10454</v>
      </c>
      <c r="C51" s="1">
        <v>28968.907031527</v>
      </c>
      <c r="G51" s="7"/>
    </row>
    <row r="52" spans="1:7" x14ac:dyDescent="0.25">
      <c r="A52" s="7">
        <v>44325.083333333336</v>
      </c>
      <c r="B52" s="1">
        <v>6775</v>
      </c>
      <c r="C52" s="1">
        <v>18552.955625903</v>
      </c>
      <c r="G52" s="7"/>
    </row>
    <row r="53" spans="1:7" x14ac:dyDescent="0.25">
      <c r="A53" s="7">
        <v>44325.125</v>
      </c>
      <c r="B53" s="1">
        <v>6441</v>
      </c>
      <c r="C53" s="1">
        <v>16837.763646582</v>
      </c>
      <c r="G53" s="7"/>
    </row>
    <row r="54" spans="1:7" x14ac:dyDescent="0.25">
      <c r="A54" s="7">
        <v>44325.166666666664</v>
      </c>
      <c r="B54" s="1">
        <v>7331</v>
      </c>
      <c r="C54" s="1">
        <v>18581.954756595002</v>
      </c>
      <c r="G54" s="7"/>
    </row>
    <row r="55" spans="1:7" x14ac:dyDescent="0.25">
      <c r="A55" s="7">
        <v>44325.208333333336</v>
      </c>
      <c r="B55" s="1">
        <v>4391</v>
      </c>
      <c r="C55" s="1">
        <v>10660.717884861</v>
      </c>
      <c r="G55" s="7"/>
    </row>
    <row r="56" spans="1:7" x14ac:dyDescent="0.25">
      <c r="A56" s="7">
        <v>44325.25</v>
      </c>
      <c r="B56" s="1">
        <v>5553</v>
      </c>
      <c r="C56" s="1">
        <v>12689.939534763</v>
      </c>
      <c r="G56" s="7"/>
    </row>
    <row r="57" spans="1:7" x14ac:dyDescent="0.25">
      <c r="A57" s="7">
        <v>44325.291666666664</v>
      </c>
      <c r="B57" s="1">
        <v>8629</v>
      </c>
      <c r="C57" s="1">
        <v>19699.824819296999</v>
      </c>
      <c r="G57" s="7"/>
    </row>
    <row r="58" spans="1:7" x14ac:dyDescent="0.25">
      <c r="A58" s="7">
        <v>44325.333333333336</v>
      </c>
      <c r="B58" s="1">
        <v>11711</v>
      </c>
      <c r="C58" s="1">
        <v>27738.312298240999</v>
      </c>
      <c r="G58" s="7"/>
    </row>
    <row r="59" spans="1:7" x14ac:dyDescent="0.25">
      <c r="A59" s="7">
        <v>44325.375</v>
      </c>
      <c r="B59" s="1">
        <v>13932</v>
      </c>
      <c r="C59" s="1">
        <v>34632.69957728</v>
      </c>
      <c r="G59" s="7"/>
    </row>
    <row r="60" spans="1:7" x14ac:dyDescent="0.25">
      <c r="A60" s="7">
        <v>44325.416666666664</v>
      </c>
      <c r="B60" s="1">
        <v>15309</v>
      </c>
      <c r="C60" s="1">
        <v>39260.632477191997</v>
      </c>
      <c r="G60" s="7"/>
    </row>
    <row r="61" spans="1:7" x14ac:dyDescent="0.25">
      <c r="A61" s="7">
        <v>44325.458333333336</v>
      </c>
      <c r="B61" s="1">
        <v>16036</v>
      </c>
      <c r="C61" s="1">
        <v>41798.319614576998</v>
      </c>
      <c r="G61" s="7"/>
    </row>
    <row r="62" spans="1:7" x14ac:dyDescent="0.25">
      <c r="A62" s="7">
        <v>44325.5</v>
      </c>
      <c r="B62" s="1">
        <v>15941</v>
      </c>
      <c r="C62" s="1">
        <v>42372.036089125999</v>
      </c>
      <c r="G62" s="7"/>
    </row>
    <row r="63" spans="1:7" x14ac:dyDescent="0.25">
      <c r="A63" s="7">
        <v>44325.541666666664</v>
      </c>
      <c r="B63" s="1">
        <v>14600</v>
      </c>
      <c r="C63" s="1">
        <v>38903.327096107001</v>
      </c>
      <c r="G63" s="7"/>
    </row>
    <row r="64" spans="1:7" x14ac:dyDescent="0.25">
      <c r="A64" s="7">
        <v>44325.583333333336</v>
      </c>
      <c r="B64" s="1">
        <v>16409</v>
      </c>
      <c r="C64" s="1">
        <v>43754.105591598003</v>
      </c>
      <c r="G64" s="7"/>
    </row>
    <row r="65" spans="1:7" x14ac:dyDescent="0.25">
      <c r="A65" s="7">
        <v>44325.625</v>
      </c>
      <c r="B65" s="1">
        <v>17196</v>
      </c>
      <c r="C65" s="1">
        <v>45877.632625740996</v>
      </c>
      <c r="G65" s="7"/>
    </row>
    <row r="66" spans="1:7" x14ac:dyDescent="0.25">
      <c r="A66" s="7">
        <v>44325.666666666664</v>
      </c>
      <c r="B66" s="1">
        <v>15950</v>
      </c>
      <c r="C66" s="1">
        <v>44118.183101909002</v>
      </c>
      <c r="G66" s="7"/>
    </row>
    <row r="67" spans="1:7" x14ac:dyDescent="0.25">
      <c r="A67" s="7">
        <v>44325.708333333336</v>
      </c>
      <c r="B67" s="1">
        <v>14150</v>
      </c>
      <c r="C67" s="1">
        <v>41407.442167927002</v>
      </c>
      <c r="G67" s="7"/>
    </row>
    <row r="68" spans="1:7" x14ac:dyDescent="0.25">
      <c r="A68" s="7">
        <v>44325.75</v>
      </c>
      <c r="B68" s="1">
        <v>13043</v>
      </c>
      <c r="C68" s="1">
        <v>36411.185493935998</v>
      </c>
      <c r="G68" s="7"/>
    </row>
    <row r="69" spans="1:7" x14ac:dyDescent="0.25">
      <c r="A69" s="7">
        <v>44325.791666666664</v>
      </c>
      <c r="B69" s="1">
        <v>18821</v>
      </c>
      <c r="C69" s="1">
        <v>51615.315985888003</v>
      </c>
      <c r="G69" s="7"/>
    </row>
    <row r="70" spans="1:7" x14ac:dyDescent="0.25">
      <c r="A70" s="7">
        <v>44325.833333333336</v>
      </c>
      <c r="B70" s="1">
        <v>18101</v>
      </c>
      <c r="C70" s="1">
        <v>48240.002280391003</v>
      </c>
      <c r="G70" s="7"/>
    </row>
    <row r="71" spans="1:7" x14ac:dyDescent="0.25">
      <c r="A71" s="7">
        <v>44325.875</v>
      </c>
      <c r="B71" s="1">
        <v>17910</v>
      </c>
      <c r="C71" s="1">
        <v>48237.379318772</v>
      </c>
      <c r="G71" s="7"/>
    </row>
    <row r="72" spans="1:7" x14ac:dyDescent="0.25">
      <c r="A72" s="7">
        <v>44325.916666666664</v>
      </c>
      <c r="B72" s="1">
        <v>19234</v>
      </c>
      <c r="C72" s="1">
        <v>51715.991013056002</v>
      </c>
      <c r="G72" s="7"/>
    </row>
    <row r="73" spans="1:7" x14ac:dyDescent="0.25">
      <c r="A73" s="7">
        <v>44325.958333333336</v>
      </c>
      <c r="B73" s="1">
        <v>19127</v>
      </c>
      <c r="C73" s="1">
        <v>50697.184671424002</v>
      </c>
      <c r="G73" s="7"/>
    </row>
    <row r="74" spans="1:7" x14ac:dyDescent="0.25">
      <c r="A74" s="7">
        <v>44326</v>
      </c>
      <c r="B74" s="1">
        <v>14824</v>
      </c>
      <c r="C74" s="1">
        <v>39631.693140358002</v>
      </c>
      <c r="G74" s="7"/>
    </row>
    <row r="75" spans="1:7" x14ac:dyDescent="0.25">
      <c r="A75" s="7">
        <v>44326.041666666664</v>
      </c>
      <c r="B75" s="1">
        <v>10050</v>
      </c>
      <c r="C75" s="1">
        <v>27752.227105431</v>
      </c>
      <c r="G75" s="7"/>
    </row>
    <row r="76" spans="1:7" x14ac:dyDescent="0.25">
      <c r="A76" s="7">
        <v>44326.083333333336</v>
      </c>
      <c r="B76" s="1">
        <v>6757</v>
      </c>
      <c r="C76" s="1">
        <v>18802.832418701</v>
      </c>
      <c r="G76" s="7"/>
    </row>
    <row r="77" spans="1:7" x14ac:dyDescent="0.25">
      <c r="A77" s="7">
        <v>44326.125</v>
      </c>
      <c r="B77" s="1">
        <v>6323</v>
      </c>
      <c r="C77" s="1">
        <v>16509.356393441001</v>
      </c>
      <c r="G77" s="7"/>
    </row>
    <row r="78" spans="1:7" x14ac:dyDescent="0.25">
      <c r="A78" s="7">
        <v>44326.166666666664</v>
      </c>
      <c r="B78" s="1">
        <v>6853</v>
      </c>
      <c r="C78" s="1">
        <v>17271.198381294998</v>
      </c>
      <c r="G78" s="7"/>
    </row>
    <row r="79" spans="1:7" x14ac:dyDescent="0.25">
      <c r="A79" s="7">
        <v>44326.208333333336</v>
      </c>
      <c r="B79" s="1">
        <v>4260</v>
      </c>
      <c r="C79" s="1">
        <v>10116.520305446</v>
      </c>
      <c r="G79" s="7"/>
    </row>
    <row r="80" spans="1:7" x14ac:dyDescent="0.25">
      <c r="A80" s="7">
        <v>44326.25</v>
      </c>
      <c r="B80" s="1">
        <v>5410</v>
      </c>
      <c r="C80" s="1">
        <v>12135.70298568</v>
      </c>
      <c r="G80" s="7"/>
    </row>
    <row r="81" spans="1:7" x14ac:dyDescent="0.25">
      <c r="A81" s="7">
        <v>44326.291666666664</v>
      </c>
      <c r="B81" s="1">
        <v>8380</v>
      </c>
      <c r="C81" s="1">
        <v>18973.345097730999</v>
      </c>
      <c r="G81" s="7"/>
    </row>
    <row r="82" spans="1:7" x14ac:dyDescent="0.25">
      <c r="A82" s="7">
        <v>44326.333333333336</v>
      </c>
      <c r="B82" s="1">
        <v>11439</v>
      </c>
      <c r="C82" s="1">
        <v>27165.634300524998</v>
      </c>
      <c r="G82" s="7"/>
    </row>
    <row r="83" spans="1:7" x14ac:dyDescent="0.25">
      <c r="A83" s="7">
        <v>44326.375</v>
      </c>
      <c r="B83" s="1">
        <v>13863</v>
      </c>
      <c r="C83" s="1">
        <v>34517.00522667</v>
      </c>
      <c r="G83" s="7"/>
    </row>
    <row r="84" spans="1:7" x14ac:dyDescent="0.25">
      <c r="A84" s="7">
        <v>44326.416666666664</v>
      </c>
      <c r="B84" s="1">
        <v>15492</v>
      </c>
      <c r="C84" s="1">
        <v>39655.951704175</v>
      </c>
      <c r="G84" s="7"/>
    </row>
    <row r="85" spans="1:7" x14ac:dyDescent="0.25">
      <c r="A85" s="7">
        <v>44326.458333333336</v>
      </c>
      <c r="B85" s="1">
        <v>16165</v>
      </c>
      <c r="C85" s="1">
        <v>42662.241993916999</v>
      </c>
      <c r="G85" s="7"/>
    </row>
    <row r="86" spans="1:7" x14ac:dyDescent="0.25">
      <c r="A86" s="7">
        <v>44326.5</v>
      </c>
      <c r="B86" s="1">
        <v>16458</v>
      </c>
      <c r="C86" s="1">
        <v>43865.954688386999</v>
      </c>
      <c r="G86" s="7"/>
    </row>
    <row r="87" spans="1:7" x14ac:dyDescent="0.25">
      <c r="A87" s="7">
        <v>44326.541666666664</v>
      </c>
      <c r="B87" s="1">
        <v>15321</v>
      </c>
      <c r="C87" s="1">
        <v>40825.292574034</v>
      </c>
      <c r="G87" s="7"/>
    </row>
    <row r="88" spans="1:7" x14ac:dyDescent="0.25">
      <c r="A88" s="7">
        <v>44326.583333333336</v>
      </c>
      <c r="B88" s="1">
        <v>16942</v>
      </c>
      <c r="C88" s="1">
        <v>44793.064973781002</v>
      </c>
      <c r="G88" s="7"/>
    </row>
    <row r="89" spans="1:7" x14ac:dyDescent="0.25">
      <c r="A89" s="7">
        <v>44326.625</v>
      </c>
      <c r="B89" s="1">
        <v>17408</v>
      </c>
      <c r="C89" s="1">
        <v>46099.069373471997</v>
      </c>
      <c r="G89" s="7"/>
    </row>
    <row r="90" spans="1:7" x14ac:dyDescent="0.25">
      <c r="A90" s="7">
        <v>44326.666666666664</v>
      </c>
      <c r="B90" s="1">
        <v>16101</v>
      </c>
      <c r="C90" s="1">
        <v>43430.31807596</v>
      </c>
      <c r="G90" s="7"/>
    </row>
    <row r="91" spans="1:7" x14ac:dyDescent="0.25">
      <c r="A91" s="7">
        <v>44326.708333333336</v>
      </c>
      <c r="B91" s="1">
        <v>14424</v>
      </c>
      <c r="C91" s="1">
        <v>40437.752743632002</v>
      </c>
      <c r="G91" s="7"/>
    </row>
    <row r="92" spans="1:7" x14ac:dyDescent="0.25">
      <c r="A92" s="7">
        <v>44326.75</v>
      </c>
      <c r="B92" s="1">
        <v>12808</v>
      </c>
      <c r="C92" s="1">
        <v>34840.496309959999</v>
      </c>
      <c r="G92" s="7"/>
    </row>
    <row r="93" spans="1:7" x14ac:dyDescent="0.25">
      <c r="A93" s="7">
        <v>44326.791666666664</v>
      </c>
      <c r="B93" s="1">
        <v>18565</v>
      </c>
      <c r="C93" s="1">
        <v>50820.964734597997</v>
      </c>
      <c r="G93" s="7"/>
    </row>
    <row r="94" spans="1:7" x14ac:dyDescent="0.25">
      <c r="A94" s="7">
        <v>44326.833333333336</v>
      </c>
      <c r="B94" s="1">
        <v>19214</v>
      </c>
      <c r="C94" s="1">
        <v>52340.744560124003</v>
      </c>
      <c r="G94" s="7"/>
    </row>
    <row r="95" spans="1:7" x14ac:dyDescent="0.25">
      <c r="A95" s="7">
        <v>44326.875</v>
      </c>
      <c r="B95" s="1">
        <v>19988</v>
      </c>
      <c r="C95" s="1">
        <v>56052.144788407997</v>
      </c>
      <c r="G95" s="7"/>
    </row>
    <row r="96" spans="1:7" x14ac:dyDescent="0.25">
      <c r="A96" s="7">
        <v>44326.916666666664</v>
      </c>
      <c r="B96" s="1">
        <v>20954</v>
      </c>
      <c r="C96" s="1">
        <v>57926.915510295999</v>
      </c>
      <c r="G96" s="7"/>
    </row>
    <row r="97" spans="1:7" x14ac:dyDescent="0.25">
      <c r="A97" s="7">
        <v>44326.958333333336</v>
      </c>
      <c r="B97" s="1">
        <v>19771</v>
      </c>
      <c r="C97" s="1">
        <v>53562.426261113003</v>
      </c>
      <c r="G97" s="7"/>
    </row>
    <row r="98" spans="1:7" x14ac:dyDescent="0.25">
      <c r="A98" s="7">
        <v>44327</v>
      </c>
      <c r="B98" s="1">
        <v>15116</v>
      </c>
      <c r="C98" s="1">
        <v>41616.512105872003</v>
      </c>
    </row>
    <row r="99" spans="1:7" x14ac:dyDescent="0.25">
      <c r="A99" s="7">
        <v>44327.041666666664</v>
      </c>
      <c r="B99" s="1">
        <v>10258</v>
      </c>
      <c r="C99" s="1">
        <v>28920.205396262001</v>
      </c>
    </row>
    <row r="100" spans="1:7" x14ac:dyDescent="0.25">
      <c r="A100" s="7">
        <v>44327.083333333336</v>
      </c>
      <c r="B100" s="1">
        <v>6786</v>
      </c>
      <c r="C100" s="1">
        <v>19185.048460631999</v>
      </c>
    </row>
    <row r="101" spans="1:7" x14ac:dyDescent="0.25">
      <c r="A101" s="7">
        <v>44327.125</v>
      </c>
      <c r="B101" s="1">
        <v>6559</v>
      </c>
      <c r="C101" s="1">
        <v>16827.623695382001</v>
      </c>
    </row>
    <row r="102" spans="1:7" x14ac:dyDescent="0.25">
      <c r="A102" s="7">
        <v>44327.166666666664</v>
      </c>
      <c r="B102" s="1">
        <v>7433</v>
      </c>
      <c r="C102" s="1">
        <v>18307.398378864</v>
      </c>
    </row>
    <row r="103" spans="1:7" x14ac:dyDescent="0.25">
      <c r="A103" s="7">
        <v>44327.208333333336</v>
      </c>
      <c r="B103" s="1">
        <v>4561</v>
      </c>
      <c r="C103" s="1">
        <v>11028.27246233</v>
      </c>
    </row>
    <row r="104" spans="1:7" x14ac:dyDescent="0.25">
      <c r="A104" s="7">
        <v>44327.25</v>
      </c>
      <c r="B104" s="1">
        <v>5545</v>
      </c>
      <c r="C104" s="1">
        <v>12955.063015748001</v>
      </c>
    </row>
    <row r="105" spans="1:7" x14ac:dyDescent="0.25">
      <c r="A105" s="7">
        <v>44327.291666666664</v>
      </c>
      <c r="B105" s="1">
        <v>8352</v>
      </c>
      <c r="C105" s="1">
        <v>19707.639564154</v>
      </c>
    </row>
    <row r="106" spans="1:7" x14ac:dyDescent="0.25">
      <c r="A106" s="7">
        <v>44327.333333333336</v>
      </c>
      <c r="B106" s="1">
        <v>11163</v>
      </c>
      <c r="C106" s="1">
        <v>27779.989649562998</v>
      </c>
    </row>
    <row r="107" spans="1:7" x14ac:dyDescent="0.25">
      <c r="A107" s="7">
        <v>44327.375</v>
      </c>
      <c r="B107" s="1">
        <v>13421</v>
      </c>
      <c r="C107" s="1">
        <v>34747.684944405999</v>
      </c>
    </row>
    <row r="108" spans="1:7" x14ac:dyDescent="0.25">
      <c r="A108" s="7">
        <v>44327.416666666664</v>
      </c>
      <c r="B108" s="1">
        <v>15235</v>
      </c>
      <c r="C108" s="1">
        <v>40170.659142441997</v>
      </c>
    </row>
    <row r="109" spans="1:7" x14ac:dyDescent="0.25">
      <c r="A109" s="7">
        <v>44327.458333333336</v>
      </c>
      <c r="B109" s="1">
        <v>16017</v>
      </c>
      <c r="C109" s="1">
        <v>43009.848333964997</v>
      </c>
    </row>
    <row r="110" spans="1:7" x14ac:dyDescent="0.25">
      <c r="A110" s="7">
        <v>44327.5</v>
      </c>
      <c r="B110" s="1">
        <v>16199</v>
      </c>
      <c r="C110" s="1">
        <v>43979.282235068</v>
      </c>
    </row>
    <row r="111" spans="1:7" x14ac:dyDescent="0.25">
      <c r="A111" s="7">
        <v>44327.541666666664</v>
      </c>
      <c r="B111" s="1">
        <v>15287</v>
      </c>
      <c r="C111" s="1">
        <v>41620.532137993003</v>
      </c>
    </row>
    <row r="112" spans="1:7" x14ac:dyDescent="0.25">
      <c r="A112" s="7">
        <v>44327.583333333336</v>
      </c>
      <c r="B112" s="1">
        <v>16838</v>
      </c>
      <c r="C112" s="1">
        <v>45426.521475529997</v>
      </c>
    </row>
    <row r="113" spans="1:3" x14ac:dyDescent="0.25">
      <c r="A113" s="7">
        <v>44327.625</v>
      </c>
      <c r="B113" s="1">
        <v>17380</v>
      </c>
      <c r="C113" s="1">
        <v>47322.517977925003</v>
      </c>
    </row>
    <row r="114" spans="1:3" x14ac:dyDescent="0.25">
      <c r="A114" s="7">
        <v>44327.666666666664</v>
      </c>
      <c r="B114" s="1">
        <v>17006</v>
      </c>
      <c r="C114" s="1">
        <v>47123.510085372996</v>
      </c>
    </row>
    <row r="115" spans="1:3" x14ac:dyDescent="0.25">
      <c r="A115" s="7">
        <v>44327.708333333336</v>
      </c>
      <c r="B115" s="1">
        <v>17218</v>
      </c>
      <c r="C115" s="1">
        <v>47508.503206688998</v>
      </c>
    </row>
    <row r="116" spans="1:3" x14ac:dyDescent="0.25">
      <c r="A116" s="7">
        <v>44327.75</v>
      </c>
      <c r="B116" s="1">
        <v>15565</v>
      </c>
      <c r="C116" s="1">
        <v>42065.399553025003</v>
      </c>
    </row>
    <row r="117" spans="1:3" x14ac:dyDescent="0.25">
      <c r="A117" s="7">
        <v>44327.791666666664</v>
      </c>
      <c r="B117" s="1">
        <v>19970</v>
      </c>
      <c r="C117" s="1">
        <v>54540.396788170998</v>
      </c>
    </row>
    <row r="118" spans="1:3" x14ac:dyDescent="0.25">
      <c r="A118" s="7">
        <v>44327.833333333336</v>
      </c>
      <c r="B118" s="1">
        <v>20459</v>
      </c>
      <c r="C118" s="1">
        <v>55422.408205082</v>
      </c>
    </row>
    <row r="119" spans="1:3" x14ac:dyDescent="0.25">
      <c r="A119" s="7">
        <v>44327.875</v>
      </c>
      <c r="B119" s="1">
        <v>21252</v>
      </c>
      <c r="C119" s="1">
        <v>57991.317181461003</v>
      </c>
    </row>
    <row r="120" spans="1:3" x14ac:dyDescent="0.25">
      <c r="A120" s="7">
        <v>44327.916666666664</v>
      </c>
      <c r="B120" s="1">
        <v>21676</v>
      </c>
      <c r="C120" s="1">
        <v>58010.309034783</v>
      </c>
    </row>
    <row r="121" spans="1:3" x14ac:dyDescent="0.25">
      <c r="A121" s="7">
        <v>44327.958333333336</v>
      </c>
      <c r="B121" s="1">
        <v>19908</v>
      </c>
      <c r="C121" s="1">
        <v>52962.096641709999</v>
      </c>
    </row>
    <row r="122" spans="1:3" x14ac:dyDescent="0.25">
      <c r="A122" s="7">
        <v>44328</v>
      </c>
      <c r="B122" s="1">
        <v>15247</v>
      </c>
      <c r="C122" s="1">
        <v>40835.277476684998</v>
      </c>
    </row>
    <row r="123" spans="1:3" x14ac:dyDescent="0.25">
      <c r="A123" s="7">
        <v>44328.041666666664</v>
      </c>
      <c r="B123" s="1">
        <v>10617</v>
      </c>
      <c r="C123" s="1">
        <v>29045.344577345</v>
      </c>
    </row>
    <row r="124" spans="1:3" x14ac:dyDescent="0.25">
      <c r="A124" s="7">
        <v>44328.083333333336</v>
      </c>
      <c r="B124" s="1">
        <v>7411</v>
      </c>
      <c r="C124" s="1">
        <v>20180.674650305002</v>
      </c>
    </row>
    <row r="125" spans="1:3" x14ac:dyDescent="0.25">
      <c r="A125" s="7">
        <v>44328.125</v>
      </c>
      <c r="B125" s="1">
        <v>7819</v>
      </c>
      <c r="C125" s="1">
        <v>19359.779157844001</v>
      </c>
    </row>
    <row r="126" spans="1:3" x14ac:dyDescent="0.25">
      <c r="A126" s="7">
        <v>44328.166666666664</v>
      </c>
      <c r="B126" s="1">
        <v>8630</v>
      </c>
      <c r="C126" s="1">
        <v>20324.459442487001</v>
      </c>
    </row>
    <row r="127" spans="1:3" x14ac:dyDescent="0.25">
      <c r="A127" s="7">
        <v>44328.208333333336</v>
      </c>
      <c r="B127" s="1">
        <v>5375</v>
      </c>
      <c r="C127" s="1">
        <v>12308.716377919</v>
      </c>
    </row>
    <row r="128" spans="1:3" x14ac:dyDescent="0.25">
      <c r="A128" s="7">
        <v>44328.25</v>
      </c>
      <c r="B128" s="1">
        <v>6642</v>
      </c>
      <c r="C128" s="1">
        <v>14964.406231262999</v>
      </c>
    </row>
    <row r="129" spans="1:3" x14ac:dyDescent="0.25">
      <c r="A129" s="7">
        <v>44328.291666666664</v>
      </c>
      <c r="B129" s="1">
        <v>10078</v>
      </c>
      <c r="C129" s="1">
        <v>23333.723370078002</v>
      </c>
    </row>
    <row r="130" spans="1:3" x14ac:dyDescent="0.25">
      <c r="A130" s="7">
        <v>44328.333333333336</v>
      </c>
      <c r="B130" s="1">
        <v>13293</v>
      </c>
      <c r="C130" s="1">
        <v>31957.647124359999</v>
      </c>
    </row>
    <row r="131" spans="1:3" x14ac:dyDescent="0.25">
      <c r="A131" s="7">
        <v>44328.375</v>
      </c>
      <c r="B131" s="1">
        <v>15348</v>
      </c>
      <c r="C131" s="1">
        <v>38767.103945978</v>
      </c>
    </row>
    <row r="132" spans="1:3" x14ac:dyDescent="0.25">
      <c r="A132" s="7">
        <v>44328.416666666664</v>
      </c>
      <c r="B132" s="1">
        <v>16594</v>
      </c>
      <c r="C132" s="1">
        <v>43110.304152867997</v>
      </c>
    </row>
    <row r="133" spans="1:3" x14ac:dyDescent="0.25">
      <c r="A133" s="7">
        <v>44328.458333333336</v>
      </c>
      <c r="B133" s="1">
        <v>17330</v>
      </c>
      <c r="C133" s="1">
        <v>46091.648879574001</v>
      </c>
    </row>
    <row r="134" spans="1:3" x14ac:dyDescent="0.25">
      <c r="A134" s="7">
        <v>44328.5</v>
      </c>
      <c r="B134" s="1">
        <v>17540</v>
      </c>
      <c r="C134" s="1">
        <v>47264.947021303</v>
      </c>
    </row>
    <row r="135" spans="1:3" x14ac:dyDescent="0.25">
      <c r="A135" s="7">
        <v>44328.541666666664</v>
      </c>
      <c r="B135" s="1">
        <v>16393</v>
      </c>
      <c r="C135" s="1">
        <v>43807.991766517</v>
      </c>
    </row>
    <row r="136" spans="1:3" x14ac:dyDescent="0.25">
      <c r="A136" s="7">
        <v>44328.583333333336</v>
      </c>
      <c r="B136" s="1">
        <v>18102</v>
      </c>
      <c r="C136" s="1">
        <v>48443.813905599003</v>
      </c>
    </row>
    <row r="137" spans="1:3" x14ac:dyDescent="0.25">
      <c r="A137" s="7">
        <v>44328.625</v>
      </c>
      <c r="B137" s="1">
        <v>18466</v>
      </c>
      <c r="C137" s="1">
        <v>49513.380205537003</v>
      </c>
    </row>
    <row r="138" spans="1:3" x14ac:dyDescent="0.25">
      <c r="A138" s="7">
        <v>44328.666666666664</v>
      </c>
      <c r="B138" s="1">
        <v>17130</v>
      </c>
      <c r="C138" s="1">
        <v>46564.859558115</v>
      </c>
    </row>
    <row r="139" spans="1:3" x14ac:dyDescent="0.25">
      <c r="A139" s="7">
        <v>44328.708333333336</v>
      </c>
      <c r="B139" s="1">
        <v>15233</v>
      </c>
      <c r="C139" s="1">
        <v>43267.903786538998</v>
      </c>
    </row>
    <row r="140" spans="1:3" x14ac:dyDescent="0.25">
      <c r="A140" s="7">
        <v>44328.75</v>
      </c>
      <c r="B140" s="1">
        <v>13759</v>
      </c>
      <c r="C140" s="1">
        <v>38685.585928318003</v>
      </c>
    </row>
    <row r="141" spans="1:3" x14ac:dyDescent="0.25">
      <c r="A141" s="7">
        <v>44328.791666666664</v>
      </c>
      <c r="B141" s="1">
        <v>19098</v>
      </c>
      <c r="C141" s="1">
        <v>53001.102592468</v>
      </c>
    </row>
    <row r="142" spans="1:3" x14ac:dyDescent="0.25">
      <c r="A142" s="7">
        <v>44328.833333333336</v>
      </c>
      <c r="B142" s="1">
        <v>19861</v>
      </c>
      <c r="C142" s="1">
        <v>53789.305898314997</v>
      </c>
    </row>
    <row r="143" spans="1:3" x14ac:dyDescent="0.25">
      <c r="A143" s="7">
        <v>44328.875</v>
      </c>
      <c r="B143" s="1">
        <v>20742</v>
      </c>
      <c r="C143" s="1">
        <v>56710.228618647001</v>
      </c>
    </row>
    <row r="144" spans="1:3" x14ac:dyDescent="0.25">
      <c r="A144" s="7">
        <v>44328.916666666664</v>
      </c>
      <c r="B144" s="1">
        <v>22190</v>
      </c>
      <c r="C144" s="1">
        <v>59920.844767822004</v>
      </c>
    </row>
    <row r="145" spans="1:3" x14ac:dyDescent="0.25">
      <c r="A145" s="7">
        <v>44328.958333333336</v>
      </c>
      <c r="B145" s="1">
        <v>21209</v>
      </c>
      <c r="C145" s="1">
        <v>56830.765545164002</v>
      </c>
    </row>
    <row r="146" spans="1:3" x14ac:dyDescent="0.25">
      <c r="A146" s="7">
        <v>44329</v>
      </c>
      <c r="B146" s="1">
        <v>16924</v>
      </c>
      <c r="C146" s="1">
        <v>45571.012927534</v>
      </c>
    </row>
    <row r="147" spans="1:3" x14ac:dyDescent="0.25">
      <c r="A147" s="7">
        <v>44329.041666666664</v>
      </c>
      <c r="B147" s="1">
        <v>12050</v>
      </c>
      <c r="C147" s="1">
        <v>32987.155373041998</v>
      </c>
    </row>
    <row r="148" spans="1:3" x14ac:dyDescent="0.25">
      <c r="A148" s="7">
        <v>44329.083333333336</v>
      </c>
      <c r="B148" s="1">
        <v>8152</v>
      </c>
      <c r="C148" s="1">
        <v>22404.513450373001</v>
      </c>
    </row>
    <row r="149" spans="1:3" x14ac:dyDescent="0.25">
      <c r="A149" s="7">
        <v>44329.125</v>
      </c>
      <c r="B149" s="1">
        <v>8177</v>
      </c>
      <c r="C149" s="1">
        <v>20124.339227101998</v>
      </c>
    </row>
    <row r="150" spans="1:3" x14ac:dyDescent="0.25">
      <c r="A150" s="7">
        <v>44329.166666666664</v>
      </c>
      <c r="B150" s="1">
        <v>9378</v>
      </c>
      <c r="C150" s="1">
        <v>21699.482199806</v>
      </c>
    </row>
    <row r="151" spans="1:3" x14ac:dyDescent="0.25">
      <c r="A151" s="7">
        <v>44329.208333333336</v>
      </c>
      <c r="B151" s="1">
        <v>5701</v>
      </c>
      <c r="C151" s="1">
        <v>12961.680781343999</v>
      </c>
    </row>
    <row r="152" spans="1:3" x14ac:dyDescent="0.25">
      <c r="A152" s="7">
        <v>44329.25</v>
      </c>
      <c r="B152" s="1">
        <v>6849</v>
      </c>
      <c r="C152" s="1">
        <v>15275.592013224999</v>
      </c>
    </row>
    <row r="153" spans="1:3" x14ac:dyDescent="0.25">
      <c r="A153" s="7">
        <v>44329.291666666664</v>
      </c>
      <c r="B153" s="1">
        <v>10496</v>
      </c>
      <c r="C153" s="1">
        <v>24116.801397776999</v>
      </c>
    </row>
    <row r="154" spans="1:3" x14ac:dyDescent="0.25">
      <c r="A154" s="7">
        <v>44329.333333333336</v>
      </c>
      <c r="B154" s="1">
        <v>14118</v>
      </c>
      <c r="C154" s="1">
        <v>34218.312703939999</v>
      </c>
    </row>
    <row r="155" spans="1:3" x14ac:dyDescent="0.25">
      <c r="A155" s="7">
        <v>44329.375</v>
      </c>
      <c r="B155" s="1">
        <v>16686</v>
      </c>
      <c r="C155" s="1">
        <v>42381.424186547003</v>
      </c>
    </row>
    <row r="156" spans="1:3" x14ac:dyDescent="0.25">
      <c r="A156" s="7">
        <v>44329.416666666664</v>
      </c>
      <c r="B156" s="1">
        <v>17818</v>
      </c>
      <c r="C156" s="1">
        <v>46779.909673314003</v>
      </c>
    </row>
    <row r="157" spans="1:3" x14ac:dyDescent="0.25">
      <c r="A157" s="7">
        <v>44329.458333333336</v>
      </c>
      <c r="B157" s="1">
        <v>18430</v>
      </c>
      <c r="C157" s="1">
        <v>48989.282565521004</v>
      </c>
    </row>
    <row r="158" spans="1:3" x14ac:dyDescent="0.25">
      <c r="A158" s="7">
        <v>44329.5</v>
      </c>
      <c r="B158" s="1">
        <v>18417</v>
      </c>
      <c r="C158" s="1">
        <v>49516.706146491997</v>
      </c>
    </row>
    <row r="159" spans="1:3" x14ac:dyDescent="0.25">
      <c r="A159" s="7">
        <v>44329.541666666664</v>
      </c>
      <c r="B159" s="1">
        <v>17307</v>
      </c>
      <c r="C159" s="1">
        <v>46070.590053895998</v>
      </c>
    </row>
    <row r="160" spans="1:3" x14ac:dyDescent="0.25">
      <c r="A160" s="7">
        <v>44329.583333333336</v>
      </c>
      <c r="B160" s="1">
        <v>18756</v>
      </c>
      <c r="C160" s="1">
        <v>49924.395208991999</v>
      </c>
    </row>
    <row r="161" spans="1:3" x14ac:dyDescent="0.25">
      <c r="A161" s="7">
        <v>44329.625</v>
      </c>
      <c r="B161" s="1">
        <v>19617</v>
      </c>
      <c r="C161" s="1">
        <v>52187.166201460997</v>
      </c>
    </row>
    <row r="162" spans="1:3" x14ac:dyDescent="0.25">
      <c r="A162" s="7">
        <v>44329.666666666664</v>
      </c>
      <c r="B162" s="1">
        <v>18629</v>
      </c>
      <c r="C162" s="1">
        <v>50496.068454929002</v>
      </c>
    </row>
    <row r="163" spans="1:3" x14ac:dyDescent="0.25">
      <c r="A163" s="7">
        <v>44329.708333333336</v>
      </c>
      <c r="B163" s="1">
        <v>16952</v>
      </c>
      <c r="C163" s="1">
        <v>46860.322674638999</v>
      </c>
    </row>
    <row r="164" spans="1:3" x14ac:dyDescent="0.25">
      <c r="A164" s="7">
        <v>44329.75</v>
      </c>
      <c r="B164" s="1">
        <v>14598</v>
      </c>
      <c r="C164" s="1">
        <v>39730.861769684998</v>
      </c>
    </row>
    <row r="165" spans="1:3" x14ac:dyDescent="0.25">
      <c r="A165" s="7">
        <v>44329.791666666664</v>
      </c>
      <c r="B165" s="1">
        <v>18567</v>
      </c>
      <c r="C165" s="1">
        <v>50460.630369988001</v>
      </c>
    </row>
    <row r="166" spans="1:3" x14ac:dyDescent="0.25">
      <c r="A166" s="7">
        <v>44329.833333333336</v>
      </c>
      <c r="B166" s="1">
        <v>19541</v>
      </c>
      <c r="C166" s="1">
        <v>52909.742175658001</v>
      </c>
    </row>
    <row r="167" spans="1:3" x14ac:dyDescent="0.25">
      <c r="A167" s="7">
        <v>44329.875</v>
      </c>
      <c r="B167" s="1">
        <v>20764</v>
      </c>
      <c r="C167" s="1">
        <v>56743.182828759003</v>
      </c>
    </row>
    <row r="168" spans="1:3" x14ac:dyDescent="0.25">
      <c r="A168" s="7">
        <v>44329.916666666664</v>
      </c>
      <c r="B168" s="1">
        <v>21939</v>
      </c>
      <c r="C168" s="1">
        <v>59316.913673272</v>
      </c>
    </row>
    <row r="169" spans="1:3" x14ac:dyDescent="0.25">
      <c r="A169" s="7">
        <v>44329.958333333336</v>
      </c>
      <c r="B169" s="1">
        <v>22015</v>
      </c>
      <c r="C169" s="1">
        <v>58567.993319786001</v>
      </c>
    </row>
    <row r="170" spans="1:3" x14ac:dyDescent="0.25">
      <c r="A170" s="7">
        <v>44330</v>
      </c>
      <c r="B170" s="1">
        <v>18946</v>
      </c>
      <c r="C170" s="1">
        <v>49983.004618113002</v>
      </c>
    </row>
    <row r="171" spans="1:3" x14ac:dyDescent="0.25">
      <c r="A171" s="7">
        <v>44330.041666666664</v>
      </c>
      <c r="B171" s="1">
        <v>14315</v>
      </c>
      <c r="C171" s="1">
        <v>37722.020674975996</v>
      </c>
    </row>
    <row r="172" spans="1:3" x14ac:dyDescent="0.25">
      <c r="A172" s="7">
        <v>44330.083333333336</v>
      </c>
      <c r="B172" s="1">
        <v>9715</v>
      </c>
      <c r="C172" s="1">
        <v>25747.133089309002</v>
      </c>
    </row>
    <row r="173" spans="1:3" x14ac:dyDescent="0.25">
      <c r="A173" s="7">
        <v>44330.125</v>
      </c>
      <c r="B173" s="1">
        <v>6351</v>
      </c>
      <c r="C173" s="1">
        <v>16698.308200898999</v>
      </c>
    </row>
    <row r="174" spans="1:3" x14ac:dyDescent="0.25">
      <c r="A174" s="7">
        <v>44330.166666666664</v>
      </c>
      <c r="B174" s="1">
        <v>4259</v>
      </c>
      <c r="C174" s="1">
        <v>10412.416854769999</v>
      </c>
    </row>
    <row r="175" spans="1:3" x14ac:dyDescent="0.25">
      <c r="A175" s="7">
        <v>44330.208333333336</v>
      </c>
      <c r="B175" s="1">
        <v>7661</v>
      </c>
      <c r="C175" s="1">
        <v>16985.472398752001</v>
      </c>
    </row>
    <row r="176" spans="1:3" x14ac:dyDescent="0.25">
      <c r="A176" s="7">
        <v>44330.25</v>
      </c>
      <c r="B176" s="1">
        <v>11620</v>
      </c>
      <c r="C176" s="1">
        <v>26616.428249570999</v>
      </c>
    </row>
    <row r="177" spans="1:3" x14ac:dyDescent="0.25">
      <c r="A177" s="7">
        <v>44330.291666666664</v>
      </c>
      <c r="B177" s="1">
        <v>11690</v>
      </c>
      <c r="C177" s="1">
        <v>26923.390287923001</v>
      </c>
    </row>
    <row r="178" spans="1:3" x14ac:dyDescent="0.25">
      <c r="A178" s="7">
        <v>44330.333333333336</v>
      </c>
      <c r="B178" s="1">
        <v>11743</v>
      </c>
      <c r="C178" s="1">
        <v>27066.964188213002</v>
      </c>
    </row>
    <row r="179" spans="1:3" x14ac:dyDescent="0.25">
      <c r="A179" s="7">
        <v>44330.375</v>
      </c>
      <c r="B179" s="1">
        <v>16820</v>
      </c>
      <c r="C179" s="1">
        <v>42599.288455729999</v>
      </c>
    </row>
    <row r="180" spans="1:3" x14ac:dyDescent="0.25">
      <c r="A180" s="7">
        <v>44330.416666666664</v>
      </c>
      <c r="B180" s="1">
        <v>20090</v>
      </c>
      <c r="C180" s="1">
        <v>53995.655957875002</v>
      </c>
    </row>
    <row r="181" spans="1:3" x14ac:dyDescent="0.25">
      <c r="A181" s="7">
        <v>44330.458333333336</v>
      </c>
      <c r="B181" s="1">
        <v>20937</v>
      </c>
      <c r="C181" s="1">
        <v>57502.355531977999</v>
      </c>
    </row>
    <row r="182" spans="1:3" x14ac:dyDescent="0.25">
      <c r="A182" s="7">
        <v>44330.5</v>
      </c>
      <c r="B182" s="1">
        <v>20348</v>
      </c>
      <c r="C182" s="1">
        <v>55026.193307472</v>
      </c>
    </row>
    <row r="183" spans="1:3" x14ac:dyDescent="0.25">
      <c r="A183" s="7"/>
      <c r="B183" s="1"/>
      <c r="C183" s="1"/>
    </row>
    <row r="184" spans="1:3" x14ac:dyDescent="0.25">
      <c r="A184" s="7"/>
      <c r="B184" s="1"/>
      <c r="C184" s="1"/>
    </row>
    <row r="185" spans="1:3" x14ac:dyDescent="0.25">
      <c r="A185" s="7"/>
      <c r="B185" s="1"/>
      <c r="C185" s="1"/>
    </row>
    <row r="186" spans="1:3" x14ac:dyDescent="0.25">
      <c r="A186" s="7"/>
      <c r="B186" s="1"/>
      <c r="C186" s="1"/>
    </row>
    <row r="187" spans="1:3" x14ac:dyDescent="0.25">
      <c r="A187" s="7"/>
      <c r="B187" s="1"/>
      <c r="C187" s="1"/>
    </row>
    <row r="188" spans="1:3" x14ac:dyDescent="0.25">
      <c r="A188" s="7"/>
      <c r="B188" s="1"/>
      <c r="C188" s="1"/>
    </row>
    <row r="189" spans="1:3" x14ac:dyDescent="0.25">
      <c r="A189" s="7"/>
      <c r="B189" s="1"/>
      <c r="C189" s="1"/>
    </row>
    <row r="190" spans="1:3" x14ac:dyDescent="0.25">
      <c r="A190" s="7"/>
      <c r="B190" s="1"/>
      <c r="C190" s="1"/>
    </row>
    <row r="191" spans="1:3" x14ac:dyDescent="0.25">
      <c r="A191" s="7"/>
      <c r="B191" s="1"/>
      <c r="C191" s="1"/>
    </row>
    <row r="192" spans="1:3" x14ac:dyDescent="0.25">
      <c r="A192" s="7"/>
      <c r="B192" s="1"/>
      <c r="C192" s="1"/>
    </row>
    <row r="193" spans="1:3" x14ac:dyDescent="0.25">
      <c r="A193" s="7"/>
      <c r="B193" s="1"/>
      <c r="C193" s="1"/>
    </row>
    <row r="194" spans="1:3" x14ac:dyDescent="0.25">
      <c r="A194" s="7"/>
      <c r="B194" s="1"/>
      <c r="C194" s="1"/>
    </row>
    <row r="195" spans="1:3" x14ac:dyDescent="0.25">
      <c r="A195" s="7"/>
      <c r="B195" s="1"/>
      <c r="C195" s="1"/>
    </row>
    <row r="196" spans="1:3" x14ac:dyDescent="0.25">
      <c r="A196" s="7"/>
      <c r="B196" s="1"/>
      <c r="C196" s="1"/>
    </row>
    <row r="197" spans="1:3" x14ac:dyDescent="0.25">
      <c r="A197" s="7"/>
      <c r="B197" s="1"/>
      <c r="C197" s="1"/>
    </row>
    <row r="198" spans="1:3" x14ac:dyDescent="0.25">
      <c r="A198" s="7"/>
      <c r="B198" s="1"/>
      <c r="C198" s="1"/>
    </row>
    <row r="199" spans="1:3" x14ac:dyDescent="0.25">
      <c r="A199" s="7"/>
      <c r="B199" s="1"/>
      <c r="C199" s="1"/>
    </row>
    <row r="200" spans="1:3" x14ac:dyDescent="0.25">
      <c r="A200" s="7"/>
      <c r="B200" s="1"/>
      <c r="C200" s="1"/>
    </row>
    <row r="201" spans="1:3" x14ac:dyDescent="0.25">
      <c r="A201" s="7"/>
      <c r="B201" s="1"/>
      <c r="C201" s="1"/>
    </row>
    <row r="202" spans="1:3" x14ac:dyDescent="0.25">
      <c r="A202" s="7"/>
      <c r="B202" s="1"/>
      <c r="C202" s="1"/>
    </row>
    <row r="203" spans="1:3" x14ac:dyDescent="0.25">
      <c r="A203" s="7"/>
      <c r="B203" s="1"/>
      <c r="C203" s="1"/>
    </row>
    <row r="204" spans="1:3" x14ac:dyDescent="0.25">
      <c r="A204" s="7"/>
      <c r="B204" s="1"/>
      <c r="C204" s="1"/>
    </row>
    <row r="205" spans="1:3" x14ac:dyDescent="0.25">
      <c r="A205" s="7"/>
      <c r="B205" s="1"/>
      <c r="C205" s="1"/>
    </row>
    <row r="206" spans="1:3" x14ac:dyDescent="0.25">
      <c r="A206" s="7"/>
      <c r="B206" s="1"/>
      <c r="C206" s="1"/>
    </row>
    <row r="207" spans="1:3" x14ac:dyDescent="0.25">
      <c r="A207" s="7"/>
      <c r="B207" s="1"/>
      <c r="C207" s="1"/>
    </row>
    <row r="208" spans="1:3" x14ac:dyDescent="0.25">
      <c r="A208" s="7"/>
      <c r="B208" s="1"/>
      <c r="C208" s="1"/>
    </row>
    <row r="209" spans="1:3" x14ac:dyDescent="0.25">
      <c r="A209" s="7"/>
      <c r="B209" s="1"/>
      <c r="C209" s="1"/>
    </row>
    <row r="210" spans="1:3" x14ac:dyDescent="0.25">
      <c r="A210" s="7"/>
      <c r="B210" s="1"/>
      <c r="C210" s="1"/>
    </row>
    <row r="211" spans="1:3" x14ac:dyDescent="0.25">
      <c r="A211" s="7"/>
      <c r="B211" s="1"/>
      <c r="C211" s="1"/>
    </row>
    <row r="212" spans="1:3" x14ac:dyDescent="0.25">
      <c r="A212" s="7"/>
      <c r="B212" s="1"/>
      <c r="C212" s="1"/>
    </row>
    <row r="213" spans="1:3" x14ac:dyDescent="0.25">
      <c r="A213" s="7"/>
      <c r="B213" s="1"/>
      <c r="C213" s="1"/>
    </row>
    <row r="214" spans="1:3" x14ac:dyDescent="0.25">
      <c r="A214" s="7"/>
      <c r="B214" s="1"/>
      <c r="C214" s="1"/>
    </row>
    <row r="215" spans="1:3" x14ac:dyDescent="0.25">
      <c r="A215" s="7"/>
      <c r="B215" s="1"/>
      <c r="C215" s="1"/>
    </row>
    <row r="216" spans="1:3" x14ac:dyDescent="0.25">
      <c r="A216" s="7"/>
      <c r="B216" s="1"/>
      <c r="C216" s="1"/>
    </row>
    <row r="217" spans="1:3" x14ac:dyDescent="0.25">
      <c r="A217" s="7"/>
      <c r="B217" s="1"/>
      <c r="C217" s="1"/>
    </row>
    <row r="218" spans="1:3" x14ac:dyDescent="0.25">
      <c r="A218" s="7"/>
      <c r="B218" s="1"/>
      <c r="C218" s="1"/>
    </row>
    <row r="219" spans="1:3" x14ac:dyDescent="0.25">
      <c r="A219" s="7"/>
      <c r="B219" s="1"/>
      <c r="C219" s="1"/>
    </row>
    <row r="220" spans="1:3" x14ac:dyDescent="0.25">
      <c r="A220" s="7"/>
      <c r="B220" s="1"/>
      <c r="C220" s="1"/>
    </row>
    <row r="221" spans="1:3" x14ac:dyDescent="0.25">
      <c r="A221" s="7"/>
      <c r="B221" s="1"/>
      <c r="C221" s="1"/>
    </row>
    <row r="222" spans="1:3" x14ac:dyDescent="0.25">
      <c r="A222" s="7"/>
      <c r="B222" s="1"/>
      <c r="C222" s="1"/>
    </row>
    <row r="223" spans="1:3" x14ac:dyDescent="0.25">
      <c r="A223" s="7"/>
      <c r="B223" s="1"/>
      <c r="C223" s="1"/>
    </row>
    <row r="224" spans="1:3" x14ac:dyDescent="0.25">
      <c r="A224" s="7"/>
      <c r="B224" s="1"/>
      <c r="C224" s="1"/>
    </row>
    <row r="225" spans="1:3" x14ac:dyDescent="0.25">
      <c r="A225" s="7"/>
      <c r="B225" s="1"/>
      <c r="C225" s="1"/>
    </row>
    <row r="226" spans="1:3" x14ac:dyDescent="0.25">
      <c r="A226" s="7"/>
      <c r="B226" s="1"/>
      <c r="C226" s="1"/>
    </row>
    <row r="227" spans="1:3" x14ac:dyDescent="0.25">
      <c r="A227" s="7"/>
      <c r="B227" s="1"/>
      <c r="C227" s="1"/>
    </row>
    <row r="228" spans="1:3" x14ac:dyDescent="0.25">
      <c r="A228" s="7"/>
      <c r="B228" s="1"/>
      <c r="C228" s="1"/>
    </row>
    <row r="229" spans="1:3" x14ac:dyDescent="0.25">
      <c r="A229" s="7"/>
      <c r="B229" s="1"/>
      <c r="C229" s="1"/>
    </row>
    <row r="230" spans="1:3" x14ac:dyDescent="0.25">
      <c r="A230" s="7"/>
      <c r="B230" s="1"/>
      <c r="C230" s="1"/>
    </row>
    <row r="231" spans="1:3" x14ac:dyDescent="0.25">
      <c r="A231" s="7"/>
      <c r="B231" s="1"/>
      <c r="C231" s="1"/>
    </row>
    <row r="232" spans="1:3" x14ac:dyDescent="0.25">
      <c r="A232" s="7"/>
      <c r="B232" s="1"/>
      <c r="C232" s="1"/>
    </row>
    <row r="233" spans="1:3" x14ac:dyDescent="0.25">
      <c r="A233" s="7"/>
      <c r="B233" s="1"/>
      <c r="C233" s="1"/>
    </row>
    <row r="234" spans="1:3" x14ac:dyDescent="0.25">
      <c r="A234" s="7"/>
      <c r="B234" s="1"/>
      <c r="C234" s="1"/>
    </row>
    <row r="235" spans="1:3" x14ac:dyDescent="0.25">
      <c r="A235" s="7"/>
      <c r="B235" s="1"/>
      <c r="C235" s="1"/>
    </row>
    <row r="236" spans="1:3" x14ac:dyDescent="0.25">
      <c r="A236" s="7"/>
      <c r="B236" s="1"/>
      <c r="C236" s="1"/>
    </row>
    <row r="237" spans="1:3" x14ac:dyDescent="0.25">
      <c r="A237" s="7"/>
      <c r="B237" s="1"/>
      <c r="C237" s="1"/>
    </row>
    <row r="238" spans="1:3" x14ac:dyDescent="0.25">
      <c r="A238" s="7"/>
      <c r="B238" s="1"/>
      <c r="C238" s="1"/>
    </row>
    <row r="239" spans="1:3" x14ac:dyDescent="0.25">
      <c r="A239" s="7"/>
      <c r="B239" s="1"/>
      <c r="C239" s="1"/>
    </row>
    <row r="240" spans="1:3" x14ac:dyDescent="0.25">
      <c r="A240" s="7"/>
      <c r="B240" s="1"/>
      <c r="C240" s="1"/>
    </row>
    <row r="241" spans="1:3" x14ac:dyDescent="0.25">
      <c r="A241" s="7"/>
      <c r="B241" s="1"/>
      <c r="C241" s="1"/>
    </row>
    <row r="242" spans="1:3" x14ac:dyDescent="0.25">
      <c r="A242" s="7"/>
      <c r="B242" s="1"/>
      <c r="C242" s="1"/>
    </row>
    <row r="243" spans="1:3" x14ac:dyDescent="0.25">
      <c r="A243" s="7"/>
      <c r="B243" s="1"/>
      <c r="C243" s="1"/>
    </row>
    <row r="244" spans="1:3" x14ac:dyDescent="0.25">
      <c r="A244" s="7"/>
      <c r="B244" s="1"/>
      <c r="C244" s="1"/>
    </row>
    <row r="245" spans="1:3" x14ac:dyDescent="0.25">
      <c r="A245" s="7"/>
      <c r="B245" s="1"/>
      <c r="C245" s="1"/>
    </row>
    <row r="246" spans="1:3" x14ac:dyDescent="0.25">
      <c r="A246" s="7"/>
      <c r="B246" s="1"/>
      <c r="C246" s="1"/>
    </row>
    <row r="247" spans="1:3" x14ac:dyDescent="0.25">
      <c r="A247" s="7"/>
      <c r="B247" s="1"/>
      <c r="C247" s="1"/>
    </row>
    <row r="248" spans="1:3" x14ac:dyDescent="0.25">
      <c r="A248" s="7"/>
      <c r="B248" s="1"/>
      <c r="C248" s="1"/>
    </row>
    <row r="249" spans="1:3" x14ac:dyDescent="0.25">
      <c r="A249" s="7"/>
      <c r="B249" s="1"/>
      <c r="C249" s="1"/>
    </row>
    <row r="250" spans="1:3" x14ac:dyDescent="0.25">
      <c r="A250" s="7"/>
      <c r="B250" s="1"/>
      <c r="C250" s="1"/>
    </row>
    <row r="251" spans="1:3" x14ac:dyDescent="0.25">
      <c r="A251" s="7"/>
      <c r="B251" s="1"/>
      <c r="C251" s="1"/>
    </row>
    <row r="252" spans="1:3" x14ac:dyDescent="0.25">
      <c r="A252" s="7"/>
      <c r="B252" s="1"/>
      <c r="C252" s="1"/>
    </row>
    <row r="253" spans="1:3" x14ac:dyDescent="0.25">
      <c r="A253" s="7"/>
      <c r="B253" s="1"/>
      <c r="C253" s="1"/>
    </row>
    <row r="254" spans="1:3" x14ac:dyDescent="0.25">
      <c r="A254" s="7"/>
      <c r="B254" s="1"/>
      <c r="C254" s="1"/>
    </row>
    <row r="255" spans="1:3" x14ac:dyDescent="0.25">
      <c r="A255" s="7"/>
      <c r="B255" s="1"/>
      <c r="C255" s="1"/>
    </row>
    <row r="256" spans="1:3" x14ac:dyDescent="0.25">
      <c r="A256" s="7"/>
      <c r="B256" s="1"/>
      <c r="C256" s="1"/>
    </row>
    <row r="257" spans="1:3" x14ac:dyDescent="0.25">
      <c r="A257" s="7"/>
      <c r="B257" s="1"/>
      <c r="C257" s="1"/>
    </row>
    <row r="258" spans="1:3" x14ac:dyDescent="0.25">
      <c r="A258" s="7"/>
      <c r="B258" s="1"/>
      <c r="C258" s="1"/>
    </row>
    <row r="259" spans="1:3" x14ac:dyDescent="0.25">
      <c r="A259" s="7"/>
      <c r="B259" s="1"/>
      <c r="C259" s="1"/>
    </row>
    <row r="260" spans="1:3" x14ac:dyDescent="0.25">
      <c r="A260" s="7"/>
      <c r="B260" s="1"/>
      <c r="C260" s="1"/>
    </row>
    <row r="261" spans="1:3" x14ac:dyDescent="0.25">
      <c r="A261" s="7"/>
      <c r="B261" s="1"/>
      <c r="C261" s="1"/>
    </row>
    <row r="262" spans="1:3" x14ac:dyDescent="0.25">
      <c r="A262" s="7"/>
      <c r="B262" s="1"/>
      <c r="C262" s="1"/>
    </row>
    <row r="263" spans="1:3" x14ac:dyDescent="0.25">
      <c r="A263" s="7"/>
      <c r="B263" s="1"/>
      <c r="C263" s="1"/>
    </row>
    <row r="264" spans="1:3" x14ac:dyDescent="0.25">
      <c r="A264" s="7"/>
      <c r="B264" s="1"/>
      <c r="C264" s="1"/>
    </row>
    <row r="265" spans="1:3" x14ac:dyDescent="0.25">
      <c r="A265" s="7"/>
      <c r="B265" s="1"/>
      <c r="C265" s="1"/>
    </row>
    <row r="266" spans="1:3" x14ac:dyDescent="0.25">
      <c r="A266" s="7"/>
      <c r="B266" s="1"/>
      <c r="C266" s="1"/>
    </row>
    <row r="267" spans="1:3" x14ac:dyDescent="0.25">
      <c r="A267" s="7"/>
      <c r="B267" s="1"/>
      <c r="C267" s="1"/>
    </row>
    <row r="268" spans="1:3" x14ac:dyDescent="0.25">
      <c r="A268" s="7"/>
      <c r="B268" s="1"/>
      <c r="C268" s="1"/>
    </row>
    <row r="269" spans="1:3" x14ac:dyDescent="0.25">
      <c r="A269" s="7"/>
      <c r="B269" s="1"/>
      <c r="C269" s="1"/>
    </row>
    <row r="270" spans="1:3" x14ac:dyDescent="0.25">
      <c r="A270" s="7"/>
      <c r="B270" s="1"/>
      <c r="C270" s="1"/>
    </row>
    <row r="271" spans="1:3" x14ac:dyDescent="0.25">
      <c r="A271" s="7"/>
      <c r="B271" s="1"/>
      <c r="C271" s="1"/>
    </row>
    <row r="272" spans="1:3" x14ac:dyDescent="0.25">
      <c r="A272" s="7"/>
      <c r="B272" s="1"/>
      <c r="C272" s="1"/>
    </row>
    <row r="273" spans="1:3" x14ac:dyDescent="0.25">
      <c r="A273" s="7"/>
      <c r="B273" s="1"/>
      <c r="C273" s="1"/>
    </row>
    <row r="274" spans="1:3" x14ac:dyDescent="0.25">
      <c r="A274" s="7"/>
      <c r="B274" s="1"/>
      <c r="C274" s="1"/>
    </row>
    <row r="275" spans="1:3" x14ac:dyDescent="0.25">
      <c r="A275" s="7"/>
      <c r="B275" s="1"/>
      <c r="C275" s="1"/>
    </row>
    <row r="276" spans="1:3" x14ac:dyDescent="0.25">
      <c r="A276" s="7"/>
      <c r="B276" s="1"/>
      <c r="C276" s="1"/>
    </row>
    <row r="277" spans="1:3" x14ac:dyDescent="0.25">
      <c r="A277" s="7"/>
      <c r="B277" s="1"/>
      <c r="C277" s="1"/>
    </row>
    <row r="278" spans="1:3" x14ac:dyDescent="0.25">
      <c r="A278" s="7"/>
      <c r="B278" s="1"/>
      <c r="C278" s="1"/>
    </row>
    <row r="279" spans="1:3" x14ac:dyDescent="0.25">
      <c r="A279" s="7"/>
      <c r="B279" s="1"/>
      <c r="C279" s="1"/>
    </row>
    <row r="280" spans="1:3" x14ac:dyDescent="0.25">
      <c r="A280" s="7"/>
      <c r="B280" s="1"/>
      <c r="C280" s="1"/>
    </row>
    <row r="281" spans="1:3" x14ac:dyDescent="0.25">
      <c r="A281" s="7"/>
      <c r="B281" s="1"/>
      <c r="C281" s="1"/>
    </row>
    <row r="282" spans="1:3" x14ac:dyDescent="0.25">
      <c r="A282" s="7"/>
      <c r="B282" s="1"/>
      <c r="C282" s="1"/>
    </row>
    <row r="283" spans="1:3" x14ac:dyDescent="0.25">
      <c r="A283" s="7"/>
      <c r="B283" s="1"/>
      <c r="C283" s="1"/>
    </row>
    <row r="284" spans="1:3" x14ac:dyDescent="0.25">
      <c r="A284" s="7"/>
      <c r="B284" s="1"/>
      <c r="C284" s="1"/>
    </row>
    <row r="285" spans="1:3" x14ac:dyDescent="0.25">
      <c r="A285" s="7"/>
      <c r="B285" s="1"/>
      <c r="C285" s="1"/>
    </row>
    <row r="286" spans="1:3" x14ac:dyDescent="0.25">
      <c r="A286" s="7"/>
      <c r="B286" s="1"/>
      <c r="C286" s="1"/>
    </row>
    <row r="287" spans="1:3" x14ac:dyDescent="0.25">
      <c r="A287" s="7"/>
      <c r="B287" s="1"/>
      <c r="C287" s="1"/>
    </row>
    <row r="288" spans="1:3" x14ac:dyDescent="0.25">
      <c r="A288" s="7"/>
      <c r="B288" s="1"/>
      <c r="C288" s="1"/>
    </row>
    <row r="289" spans="1:3" x14ac:dyDescent="0.25">
      <c r="A289" s="7"/>
      <c r="B289" s="1"/>
      <c r="C289" s="1"/>
    </row>
    <row r="290" spans="1:3" x14ac:dyDescent="0.25">
      <c r="A290" s="7"/>
      <c r="B290" s="1"/>
      <c r="C290" s="1"/>
    </row>
    <row r="291" spans="1:3" x14ac:dyDescent="0.25">
      <c r="A291" s="7"/>
      <c r="B291" s="1"/>
      <c r="C291" s="1"/>
    </row>
    <row r="292" spans="1:3" x14ac:dyDescent="0.25">
      <c r="A292" s="7"/>
      <c r="B292" s="1"/>
      <c r="C292" s="1"/>
    </row>
    <row r="293" spans="1:3" x14ac:dyDescent="0.25">
      <c r="A293" s="7"/>
      <c r="B293" s="1"/>
      <c r="C293" s="1"/>
    </row>
    <row r="294" spans="1:3" x14ac:dyDescent="0.25">
      <c r="A294" s="7"/>
      <c r="B294" s="1"/>
      <c r="C294" s="1"/>
    </row>
    <row r="295" spans="1:3" x14ac:dyDescent="0.25">
      <c r="A295" s="7"/>
      <c r="B295" s="1"/>
      <c r="C295" s="1"/>
    </row>
    <row r="296" spans="1:3" x14ac:dyDescent="0.25">
      <c r="A296" s="7"/>
      <c r="B296" s="1"/>
      <c r="C296" s="1"/>
    </row>
    <row r="297" spans="1:3" x14ac:dyDescent="0.25">
      <c r="A297" s="7"/>
      <c r="B297" s="1"/>
      <c r="C297" s="1"/>
    </row>
    <row r="298" spans="1:3" x14ac:dyDescent="0.25">
      <c r="A298" s="7"/>
      <c r="B298" s="1"/>
      <c r="C298" s="1"/>
    </row>
    <row r="299" spans="1:3" x14ac:dyDescent="0.25">
      <c r="A299" s="7"/>
      <c r="B299" s="1"/>
      <c r="C299" s="1"/>
    </row>
    <row r="300" spans="1:3" x14ac:dyDescent="0.25">
      <c r="A300" s="7"/>
      <c r="B300" s="1"/>
      <c r="C300" s="1"/>
    </row>
    <row r="301" spans="1:3" x14ac:dyDescent="0.25">
      <c r="A301" s="7"/>
      <c r="B301" s="1"/>
      <c r="C301" s="1"/>
    </row>
    <row r="302" spans="1:3" x14ac:dyDescent="0.25">
      <c r="A302" s="7"/>
      <c r="B302" s="1"/>
      <c r="C302" s="1"/>
    </row>
    <row r="303" spans="1:3" x14ac:dyDescent="0.25">
      <c r="A303" s="7"/>
      <c r="B303" s="1"/>
      <c r="C303" s="1"/>
    </row>
    <row r="304" spans="1:3" x14ac:dyDescent="0.25">
      <c r="A304" s="7"/>
      <c r="B304" s="1"/>
      <c r="C304" s="1"/>
    </row>
    <row r="305" spans="1:3" x14ac:dyDescent="0.25">
      <c r="A305" s="7"/>
      <c r="B305" s="1"/>
      <c r="C305" s="1"/>
    </row>
    <row r="306" spans="1:3" x14ac:dyDescent="0.25">
      <c r="A306" s="7"/>
      <c r="B306" s="1"/>
      <c r="C306" s="1"/>
    </row>
    <row r="307" spans="1:3" x14ac:dyDescent="0.25">
      <c r="A307" s="7"/>
      <c r="B307" s="1"/>
      <c r="C307" s="1"/>
    </row>
    <row r="308" spans="1:3" x14ac:dyDescent="0.25">
      <c r="A308" s="7"/>
      <c r="B308" s="1"/>
      <c r="C308" s="1"/>
    </row>
    <row r="309" spans="1:3" x14ac:dyDescent="0.25">
      <c r="A309" s="7"/>
      <c r="B309" s="1"/>
      <c r="C309" s="1"/>
    </row>
    <row r="310" spans="1:3" x14ac:dyDescent="0.25">
      <c r="A310" s="7"/>
      <c r="B310" s="1"/>
      <c r="C310" s="1"/>
    </row>
    <row r="311" spans="1:3" x14ac:dyDescent="0.25">
      <c r="A311" s="7"/>
      <c r="B311" s="1"/>
      <c r="C311" s="1"/>
    </row>
    <row r="312" spans="1:3" x14ac:dyDescent="0.25">
      <c r="A312" s="7"/>
      <c r="B312" s="1"/>
      <c r="C312" s="1"/>
    </row>
    <row r="313" spans="1:3" x14ac:dyDescent="0.25">
      <c r="A313" s="7"/>
      <c r="B313" s="1"/>
      <c r="C313" s="1"/>
    </row>
    <row r="314" spans="1:3" x14ac:dyDescent="0.25">
      <c r="A314" s="7"/>
      <c r="B314" s="1"/>
      <c r="C314" s="1"/>
    </row>
    <row r="315" spans="1:3" x14ac:dyDescent="0.25">
      <c r="A315" s="7"/>
      <c r="B315" s="1"/>
      <c r="C315" s="1"/>
    </row>
    <row r="316" spans="1:3" x14ac:dyDescent="0.25">
      <c r="A316" s="7"/>
      <c r="B316" s="1"/>
      <c r="C316" s="1"/>
    </row>
    <row r="317" spans="1:3" x14ac:dyDescent="0.25">
      <c r="A317" s="7"/>
      <c r="B317" s="1"/>
      <c r="C317" s="1"/>
    </row>
    <row r="318" spans="1:3" x14ac:dyDescent="0.25">
      <c r="A318" s="7"/>
      <c r="B318" s="1"/>
      <c r="C318" s="1"/>
    </row>
    <row r="319" spans="1:3" x14ac:dyDescent="0.25">
      <c r="A319" s="7"/>
      <c r="B319" s="1"/>
      <c r="C319" s="1"/>
    </row>
    <row r="320" spans="1:3" x14ac:dyDescent="0.25">
      <c r="A320" s="7"/>
      <c r="B320" s="1"/>
      <c r="C320" s="1"/>
    </row>
    <row r="321" spans="1:3" x14ac:dyDescent="0.25">
      <c r="A321" s="7"/>
      <c r="B321" s="1"/>
      <c r="C321" s="1"/>
    </row>
    <row r="322" spans="1:3" x14ac:dyDescent="0.25">
      <c r="A322" s="7"/>
      <c r="B322" s="1"/>
      <c r="C322" s="1"/>
    </row>
    <row r="323" spans="1:3" x14ac:dyDescent="0.25">
      <c r="A323" s="7"/>
      <c r="B323" s="1"/>
      <c r="C323" s="1"/>
    </row>
    <row r="324" spans="1:3" x14ac:dyDescent="0.25">
      <c r="A324" s="7"/>
      <c r="B324" s="1"/>
      <c r="C324" s="1"/>
    </row>
    <row r="325" spans="1:3" x14ac:dyDescent="0.25">
      <c r="A325" s="7"/>
      <c r="B325" s="1"/>
      <c r="C325" s="1"/>
    </row>
    <row r="326" spans="1:3" x14ac:dyDescent="0.25">
      <c r="A326" s="7"/>
      <c r="B326" s="1"/>
      <c r="C326" s="1"/>
    </row>
    <row r="327" spans="1:3" x14ac:dyDescent="0.25">
      <c r="A327" s="7"/>
      <c r="B327" s="1"/>
      <c r="C327" s="1"/>
    </row>
    <row r="328" spans="1:3" x14ac:dyDescent="0.25">
      <c r="A328" s="7"/>
      <c r="B328" s="1"/>
      <c r="C328" s="1"/>
    </row>
    <row r="329" spans="1:3" x14ac:dyDescent="0.25">
      <c r="A329" s="7"/>
      <c r="B329" s="1"/>
      <c r="C329" s="1"/>
    </row>
    <row r="330" spans="1:3" x14ac:dyDescent="0.25">
      <c r="A330" s="7"/>
      <c r="B330" s="1"/>
      <c r="C330" s="1"/>
    </row>
    <row r="331" spans="1:3" x14ac:dyDescent="0.25">
      <c r="A331" s="7"/>
      <c r="B331" s="1"/>
      <c r="C331" s="1"/>
    </row>
    <row r="332" spans="1:3" x14ac:dyDescent="0.25">
      <c r="A332" s="7"/>
      <c r="B332" s="1"/>
      <c r="C332" s="1"/>
    </row>
    <row r="333" spans="1:3" x14ac:dyDescent="0.25">
      <c r="A333" s="7"/>
      <c r="B333" s="1"/>
      <c r="C333" s="1"/>
    </row>
    <row r="334" spans="1:3" x14ac:dyDescent="0.25">
      <c r="A334" s="7"/>
      <c r="B334" s="1"/>
      <c r="C334" s="1"/>
    </row>
    <row r="335" spans="1:3" x14ac:dyDescent="0.25">
      <c r="A335" s="7"/>
      <c r="B335" s="1"/>
      <c r="C335" s="1"/>
    </row>
    <row r="336" spans="1:3" x14ac:dyDescent="0.25">
      <c r="A336" s="7"/>
      <c r="B336" s="1"/>
      <c r="C336" s="1"/>
    </row>
    <row r="337" spans="1:3" x14ac:dyDescent="0.25">
      <c r="A337" s="7"/>
      <c r="B337" s="1"/>
      <c r="C337" s="1"/>
    </row>
    <row r="338" spans="1:3" x14ac:dyDescent="0.25">
      <c r="A338" s="7"/>
      <c r="B338" s="1"/>
      <c r="C338" s="1"/>
    </row>
    <row r="339" spans="1:3" x14ac:dyDescent="0.25">
      <c r="A339" s="7"/>
      <c r="B339" s="1"/>
      <c r="C339" s="1"/>
    </row>
    <row r="340" spans="1:3" x14ac:dyDescent="0.25">
      <c r="A340" s="7"/>
      <c r="B340" s="1"/>
      <c r="C340" s="1"/>
    </row>
    <row r="341" spans="1:3" x14ac:dyDescent="0.25">
      <c r="A341" s="7"/>
      <c r="B341" s="1"/>
      <c r="C341" s="1"/>
    </row>
    <row r="342" spans="1:3" x14ac:dyDescent="0.25">
      <c r="A342" s="7"/>
      <c r="B342" s="1"/>
      <c r="C342" s="1"/>
    </row>
    <row r="343" spans="1:3" x14ac:dyDescent="0.25">
      <c r="A343" s="7"/>
      <c r="B343" s="1"/>
      <c r="C343" s="1"/>
    </row>
    <row r="344" spans="1:3" x14ac:dyDescent="0.25">
      <c r="A344" s="7"/>
      <c r="B344" s="1"/>
      <c r="C344" s="1"/>
    </row>
    <row r="345" spans="1:3" x14ac:dyDescent="0.25">
      <c r="A345" s="7"/>
      <c r="B345" s="1"/>
      <c r="C345" s="1"/>
    </row>
    <row r="346" spans="1:3" x14ac:dyDescent="0.25">
      <c r="A346" s="7"/>
      <c r="B346" s="1"/>
      <c r="C346" s="1"/>
    </row>
    <row r="347" spans="1:3" x14ac:dyDescent="0.25">
      <c r="A347" s="7"/>
      <c r="B347" s="1"/>
      <c r="C347" s="1"/>
    </row>
    <row r="348" spans="1:3" x14ac:dyDescent="0.25">
      <c r="A348" s="7"/>
      <c r="B348" s="1"/>
      <c r="C348" s="1"/>
    </row>
    <row r="349" spans="1:3" x14ac:dyDescent="0.25">
      <c r="A349" s="7"/>
      <c r="B349" s="1"/>
      <c r="C349" s="1"/>
    </row>
    <row r="350" spans="1:3" x14ac:dyDescent="0.25">
      <c r="A350" s="7"/>
      <c r="B350" s="1"/>
      <c r="C350" s="1"/>
    </row>
    <row r="351" spans="1:3" x14ac:dyDescent="0.25">
      <c r="A351" s="7"/>
      <c r="B351" s="1"/>
      <c r="C351" s="1"/>
    </row>
    <row r="352" spans="1:3" x14ac:dyDescent="0.25">
      <c r="A352" s="7"/>
      <c r="B352" s="1"/>
      <c r="C352" s="1"/>
    </row>
    <row r="353" spans="1:3" x14ac:dyDescent="0.25">
      <c r="A353" s="7"/>
      <c r="B353" s="1"/>
      <c r="C353" s="1"/>
    </row>
    <row r="354" spans="1:3" x14ac:dyDescent="0.25">
      <c r="A354" s="7"/>
      <c r="B354" s="1"/>
      <c r="C354" s="1"/>
    </row>
    <row r="355" spans="1:3" x14ac:dyDescent="0.25">
      <c r="A355" s="7"/>
      <c r="B355" s="1"/>
      <c r="C355" s="1"/>
    </row>
    <row r="356" spans="1:3" x14ac:dyDescent="0.25">
      <c r="A356" s="7"/>
      <c r="B356" s="1"/>
      <c r="C356" s="1"/>
    </row>
    <row r="357" spans="1:3" x14ac:dyDescent="0.25">
      <c r="A357" s="7"/>
      <c r="B357" s="1"/>
      <c r="C357" s="1"/>
    </row>
    <row r="358" spans="1:3" x14ac:dyDescent="0.25">
      <c r="A358" s="7"/>
      <c r="B358" s="1"/>
      <c r="C358" s="1"/>
    </row>
    <row r="359" spans="1:3" x14ac:dyDescent="0.25">
      <c r="A359" s="7"/>
      <c r="B359" s="1"/>
      <c r="C359" s="1"/>
    </row>
    <row r="360" spans="1:3" x14ac:dyDescent="0.25">
      <c r="A360" s="7"/>
      <c r="B360" s="1"/>
      <c r="C360" s="1"/>
    </row>
    <row r="361" spans="1:3" x14ac:dyDescent="0.25">
      <c r="A361" s="7"/>
      <c r="B361" s="1"/>
      <c r="C361" s="1"/>
    </row>
    <row r="362" spans="1:3" x14ac:dyDescent="0.25">
      <c r="A362" s="7"/>
      <c r="B362" s="1"/>
      <c r="C362" s="1"/>
    </row>
    <row r="363" spans="1:3" x14ac:dyDescent="0.25">
      <c r="A363" s="7"/>
      <c r="B363" s="1"/>
      <c r="C363" s="1"/>
    </row>
    <row r="364" spans="1:3" x14ac:dyDescent="0.25">
      <c r="A364" s="7"/>
      <c r="B364" s="1"/>
      <c r="C364" s="1"/>
    </row>
    <row r="365" spans="1:3" x14ac:dyDescent="0.25">
      <c r="A365" s="7"/>
      <c r="B365" s="1"/>
      <c r="C365" s="1"/>
    </row>
    <row r="366" spans="1:3" x14ac:dyDescent="0.25">
      <c r="A366" s="7"/>
      <c r="B366" s="1"/>
      <c r="C366" s="1"/>
    </row>
    <row r="367" spans="1:3" x14ac:dyDescent="0.25">
      <c r="A367" s="7"/>
      <c r="B367" s="1"/>
      <c r="C367" s="1"/>
    </row>
    <row r="368" spans="1:3" x14ac:dyDescent="0.25">
      <c r="A368" s="7"/>
      <c r="B368" s="1"/>
      <c r="C368" s="1"/>
    </row>
    <row r="369" spans="1:3" x14ac:dyDescent="0.25">
      <c r="A369" s="7"/>
      <c r="B369" s="1"/>
      <c r="C369" s="1"/>
    </row>
    <row r="370" spans="1:3" x14ac:dyDescent="0.25">
      <c r="A370" s="7"/>
      <c r="B370" s="1"/>
      <c r="C370" s="1"/>
    </row>
    <row r="371" spans="1:3" x14ac:dyDescent="0.25">
      <c r="A371" s="7"/>
      <c r="B371" s="1"/>
      <c r="C371" s="1"/>
    </row>
    <row r="372" spans="1:3" x14ac:dyDescent="0.25">
      <c r="A372" s="7"/>
      <c r="B372" s="1"/>
      <c r="C372" s="1"/>
    </row>
    <row r="373" spans="1:3" x14ac:dyDescent="0.25">
      <c r="A373" s="7"/>
      <c r="B373" s="1"/>
      <c r="C373" s="1"/>
    </row>
    <row r="374" spans="1:3" x14ac:dyDescent="0.25">
      <c r="A374" s="7"/>
      <c r="B374" s="1"/>
      <c r="C374" s="1"/>
    </row>
    <row r="375" spans="1:3" x14ac:dyDescent="0.25">
      <c r="A375" s="7"/>
      <c r="B375" s="1"/>
      <c r="C375" s="1"/>
    </row>
    <row r="376" spans="1:3" x14ac:dyDescent="0.25">
      <c r="A376" s="7"/>
      <c r="B376" s="1"/>
      <c r="C376" s="1"/>
    </row>
    <row r="377" spans="1:3" x14ac:dyDescent="0.25">
      <c r="A377" s="7"/>
      <c r="B377" s="1"/>
      <c r="C377" s="1"/>
    </row>
    <row r="378" spans="1:3" x14ac:dyDescent="0.25">
      <c r="A378" s="7"/>
      <c r="B378" s="1"/>
      <c r="C378" s="1"/>
    </row>
    <row r="379" spans="1:3" x14ac:dyDescent="0.25">
      <c r="A379" s="7"/>
      <c r="B379" s="1"/>
      <c r="C379" s="1"/>
    </row>
    <row r="380" spans="1:3" x14ac:dyDescent="0.25">
      <c r="A380" s="7"/>
      <c r="B380" s="1"/>
      <c r="C380" s="1"/>
    </row>
    <row r="381" spans="1:3" x14ac:dyDescent="0.25">
      <c r="A381" s="7"/>
      <c r="B381" s="1"/>
      <c r="C381" s="1"/>
    </row>
    <row r="382" spans="1:3" x14ac:dyDescent="0.25">
      <c r="A382" s="7"/>
      <c r="B382" s="1"/>
      <c r="C382" s="1"/>
    </row>
    <row r="383" spans="1:3" x14ac:dyDescent="0.25">
      <c r="A383" s="7"/>
      <c r="B383" s="1"/>
      <c r="C383" s="1"/>
    </row>
    <row r="384" spans="1:3" x14ac:dyDescent="0.25">
      <c r="A384" s="7"/>
      <c r="B384" s="1"/>
      <c r="C384" s="1"/>
    </row>
    <row r="385" spans="1:3" x14ac:dyDescent="0.25">
      <c r="A385" s="7"/>
      <c r="B385" s="1"/>
      <c r="C385" s="1"/>
    </row>
    <row r="386" spans="1:3" x14ac:dyDescent="0.25">
      <c r="A386" s="7"/>
      <c r="B386" s="1"/>
      <c r="C386" s="1"/>
    </row>
    <row r="387" spans="1:3" x14ac:dyDescent="0.25">
      <c r="A387" s="7"/>
      <c r="B387" s="1"/>
      <c r="C387" s="1"/>
    </row>
    <row r="388" spans="1:3" x14ac:dyDescent="0.25">
      <c r="A388" s="7"/>
      <c r="B388" s="1"/>
      <c r="C388" s="1"/>
    </row>
    <row r="389" spans="1:3" x14ac:dyDescent="0.25">
      <c r="A389" s="7"/>
      <c r="B389" s="1"/>
      <c r="C389" s="1"/>
    </row>
    <row r="390" spans="1:3" x14ac:dyDescent="0.25">
      <c r="A390" s="7"/>
      <c r="B390" s="1"/>
      <c r="C390" s="1"/>
    </row>
    <row r="391" spans="1:3" x14ac:dyDescent="0.25">
      <c r="A391" s="7"/>
      <c r="B391" s="1"/>
      <c r="C391" s="1"/>
    </row>
    <row r="392" spans="1:3" x14ac:dyDescent="0.25">
      <c r="A392" s="7"/>
      <c r="B392" s="1"/>
      <c r="C392" s="1"/>
    </row>
    <row r="393" spans="1:3" x14ac:dyDescent="0.25">
      <c r="A393" s="7"/>
      <c r="B393" s="1"/>
      <c r="C393" s="1"/>
    </row>
    <row r="394" spans="1:3" x14ac:dyDescent="0.25">
      <c r="A394" s="7"/>
      <c r="B394" s="1"/>
      <c r="C394" s="1"/>
    </row>
    <row r="395" spans="1:3" x14ac:dyDescent="0.25">
      <c r="A395" s="7"/>
      <c r="B395" s="1"/>
      <c r="C395" s="1"/>
    </row>
    <row r="396" spans="1:3" x14ac:dyDescent="0.25">
      <c r="A396" s="7"/>
      <c r="B396" s="1"/>
      <c r="C396" s="1"/>
    </row>
    <row r="397" spans="1:3" x14ac:dyDescent="0.25">
      <c r="A397" s="7"/>
      <c r="B397" s="1"/>
      <c r="C397" s="1"/>
    </row>
    <row r="398" spans="1:3" x14ac:dyDescent="0.25">
      <c r="A398" s="7"/>
      <c r="B398" s="1"/>
      <c r="C398" s="1"/>
    </row>
    <row r="399" spans="1:3" x14ac:dyDescent="0.25">
      <c r="A399" s="7"/>
      <c r="B399" s="1"/>
      <c r="C399" s="1"/>
    </row>
    <row r="400" spans="1:3" x14ac:dyDescent="0.25">
      <c r="A400" s="7"/>
      <c r="B400" s="1"/>
      <c r="C400" s="1"/>
    </row>
    <row r="401" spans="1:3" x14ac:dyDescent="0.25">
      <c r="A401" s="7"/>
      <c r="B401" s="1"/>
      <c r="C401" s="1"/>
    </row>
    <row r="402" spans="1:3" x14ac:dyDescent="0.25">
      <c r="A402" s="7"/>
      <c r="B402" s="1"/>
      <c r="C402" s="1"/>
    </row>
    <row r="403" spans="1:3" x14ac:dyDescent="0.25">
      <c r="A403" s="7"/>
      <c r="B403" s="1"/>
      <c r="C403" s="1"/>
    </row>
    <row r="404" spans="1:3" x14ac:dyDescent="0.25">
      <c r="A404" s="7"/>
      <c r="B404" s="1"/>
      <c r="C404" s="1"/>
    </row>
    <row r="405" spans="1:3" x14ac:dyDescent="0.25">
      <c r="A405" s="7"/>
      <c r="B405" s="1"/>
      <c r="C405" s="1"/>
    </row>
    <row r="406" spans="1:3" x14ac:dyDescent="0.25">
      <c r="A406" s="7"/>
      <c r="B406" s="1"/>
      <c r="C406" s="1"/>
    </row>
    <row r="407" spans="1:3" x14ac:dyDescent="0.25">
      <c r="A407" s="7"/>
      <c r="B407" s="1"/>
      <c r="C407" s="1"/>
    </row>
    <row r="408" spans="1:3" x14ac:dyDescent="0.25">
      <c r="A408" s="7"/>
      <c r="B408" s="1"/>
      <c r="C408" s="1"/>
    </row>
    <row r="409" spans="1:3" x14ac:dyDescent="0.25">
      <c r="A409" s="7"/>
      <c r="B409" s="1"/>
      <c r="C409" s="1"/>
    </row>
    <row r="410" spans="1:3" x14ac:dyDescent="0.25">
      <c r="A410" s="7"/>
      <c r="B410" s="1"/>
      <c r="C410" s="1"/>
    </row>
    <row r="411" spans="1:3" x14ac:dyDescent="0.25">
      <c r="A411" s="7"/>
      <c r="B411" s="1"/>
      <c r="C411" s="1"/>
    </row>
    <row r="412" spans="1:3" x14ac:dyDescent="0.25">
      <c r="A412" s="7"/>
      <c r="B412" s="1"/>
      <c r="C412" s="1"/>
    </row>
    <row r="413" spans="1:3" x14ac:dyDescent="0.25">
      <c r="A413" s="7"/>
      <c r="B413" s="1"/>
      <c r="C413" s="1"/>
    </row>
    <row r="414" spans="1:3" x14ac:dyDescent="0.25">
      <c r="A414" s="7"/>
      <c r="B414" s="1"/>
      <c r="C414" s="1"/>
    </row>
    <row r="415" spans="1:3" x14ac:dyDescent="0.25">
      <c r="A415" s="7"/>
      <c r="B415" s="1"/>
      <c r="C415" s="1"/>
    </row>
    <row r="416" spans="1:3" x14ac:dyDescent="0.25">
      <c r="A416" s="7"/>
      <c r="B416" s="1"/>
      <c r="C416" s="1"/>
    </row>
    <row r="417" spans="1:3" x14ac:dyDescent="0.25">
      <c r="A417" s="7"/>
      <c r="B417" s="1"/>
      <c r="C417" s="1"/>
    </row>
    <row r="418" spans="1:3" x14ac:dyDescent="0.25">
      <c r="A418" s="7"/>
      <c r="B418" s="1"/>
      <c r="C418" s="1"/>
    </row>
    <row r="419" spans="1:3" x14ac:dyDescent="0.25">
      <c r="A419" s="7"/>
      <c r="B419" s="1"/>
      <c r="C419" s="1"/>
    </row>
    <row r="420" spans="1:3" x14ac:dyDescent="0.25">
      <c r="A420" s="7"/>
      <c r="B420" s="1"/>
      <c r="C420" s="1"/>
    </row>
    <row r="421" spans="1:3" x14ac:dyDescent="0.25">
      <c r="A421" s="7"/>
      <c r="B421" s="1"/>
      <c r="C421" s="1"/>
    </row>
    <row r="422" spans="1:3" x14ac:dyDescent="0.25">
      <c r="A422" s="7"/>
      <c r="B422" s="1"/>
      <c r="C422" s="1"/>
    </row>
    <row r="423" spans="1:3" x14ac:dyDescent="0.25">
      <c r="A423" s="7"/>
      <c r="B423" s="1"/>
      <c r="C423" s="1"/>
    </row>
    <row r="424" spans="1:3" x14ac:dyDescent="0.25">
      <c r="A424" s="7"/>
      <c r="B424" s="1"/>
      <c r="C424" s="1"/>
    </row>
    <row r="425" spans="1:3" x14ac:dyDescent="0.25">
      <c r="A425" s="7"/>
      <c r="B425" s="1"/>
      <c r="C425" s="1"/>
    </row>
    <row r="426" spans="1:3" x14ac:dyDescent="0.25">
      <c r="A426" s="7"/>
      <c r="B426" s="1"/>
      <c r="C426" s="1"/>
    </row>
    <row r="427" spans="1:3" x14ac:dyDescent="0.25">
      <c r="A427" s="7"/>
      <c r="B427" s="1"/>
      <c r="C427" s="1"/>
    </row>
    <row r="428" spans="1:3" x14ac:dyDescent="0.25">
      <c r="A428" s="7"/>
      <c r="B428" s="1"/>
      <c r="C428" s="1"/>
    </row>
    <row r="429" spans="1:3" x14ac:dyDescent="0.25">
      <c r="A429" s="7"/>
      <c r="B429" s="1"/>
      <c r="C429" s="1"/>
    </row>
    <row r="430" spans="1:3" x14ac:dyDescent="0.25">
      <c r="A430" s="7"/>
      <c r="B430" s="1"/>
      <c r="C430" s="1"/>
    </row>
    <row r="431" spans="1:3" x14ac:dyDescent="0.25">
      <c r="A431" s="7"/>
      <c r="B431" s="1"/>
      <c r="C431" s="1"/>
    </row>
    <row r="432" spans="1:3" x14ac:dyDescent="0.25">
      <c r="A432" s="7"/>
      <c r="B432" s="1"/>
      <c r="C432" s="1"/>
    </row>
    <row r="433" spans="1:3" x14ac:dyDescent="0.25">
      <c r="A433" s="7"/>
      <c r="B433" s="1"/>
      <c r="C433" s="1"/>
    </row>
  </sheetData>
  <dataConsolidate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G10"/>
  <sheetViews>
    <sheetView workbookViewId="0">
      <selection activeCell="A2" sqref="A2:E182"/>
    </sheetView>
  </sheetViews>
  <sheetFormatPr defaultRowHeight="15" x14ac:dyDescent="0.25"/>
  <cols>
    <col min="1" max="1" width="18.42578125" customWidth="1"/>
    <col min="8" max="9" width="10" bestFit="1" customWidth="1"/>
  </cols>
  <sheetData>
    <row r="1" spans="1:7" x14ac:dyDescent="0.25">
      <c r="A1" t="s">
        <v>0</v>
      </c>
      <c r="B1" t="s">
        <v>46</v>
      </c>
      <c r="C1" t="s">
        <v>32</v>
      </c>
      <c r="D1" t="s">
        <v>33</v>
      </c>
      <c r="E1" t="s">
        <v>34</v>
      </c>
      <c r="F1" t="s">
        <v>59</v>
      </c>
      <c r="G1" t="s">
        <v>60</v>
      </c>
    </row>
    <row r="2" spans="1:7" x14ac:dyDescent="0.25">
      <c r="A2" s="1"/>
      <c r="B2" s="1"/>
      <c r="C2" s="1"/>
      <c r="D2" s="1"/>
      <c r="E2" s="1"/>
    </row>
    <row r="3" spans="1:7" x14ac:dyDescent="0.25">
      <c r="A3" s="1"/>
      <c r="B3" s="1"/>
      <c r="C3" s="1"/>
      <c r="D3" s="1"/>
      <c r="E3" s="1"/>
    </row>
    <row r="4" spans="1:7" x14ac:dyDescent="0.25">
      <c r="A4" s="1"/>
      <c r="B4" s="1"/>
      <c r="C4" s="1"/>
      <c r="D4" s="1"/>
      <c r="E4" s="1"/>
    </row>
    <row r="5" spans="1:7" x14ac:dyDescent="0.25">
      <c r="A5" s="1"/>
      <c r="B5" s="1"/>
      <c r="C5" s="1"/>
      <c r="D5" s="1"/>
      <c r="E5" s="1"/>
    </row>
    <row r="6" spans="1:7" x14ac:dyDescent="0.25">
      <c r="A6" s="1"/>
      <c r="B6" s="1"/>
      <c r="C6" s="1"/>
      <c r="D6" s="1"/>
      <c r="E6" s="1"/>
    </row>
    <row r="7" spans="1:7" x14ac:dyDescent="0.25">
      <c r="A7" s="1"/>
      <c r="B7" s="1"/>
      <c r="C7" s="1"/>
      <c r="D7" s="1"/>
      <c r="E7" s="1"/>
    </row>
    <row r="8" spans="1:7" x14ac:dyDescent="0.25">
      <c r="A8" s="1"/>
      <c r="B8" s="1"/>
      <c r="C8" s="1"/>
      <c r="D8" s="1"/>
      <c r="E8" s="1"/>
    </row>
    <row r="9" spans="1:7" x14ac:dyDescent="0.25">
      <c r="A9" s="1"/>
      <c r="B9" s="1"/>
      <c r="C9" s="1"/>
      <c r="D9" s="1"/>
      <c r="E9" s="1"/>
    </row>
    <row r="10" spans="1:7" x14ac:dyDescent="0.25">
      <c r="A10" s="1"/>
      <c r="B10" s="1"/>
      <c r="C10" s="1"/>
      <c r="D10" s="1"/>
      <c r="E10" s="1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G10"/>
  <sheetViews>
    <sheetView workbookViewId="0">
      <selection activeCell="A2" sqref="A2:E182"/>
    </sheetView>
  </sheetViews>
  <sheetFormatPr defaultRowHeight="15" x14ac:dyDescent="0.25"/>
  <cols>
    <col min="1" max="1" width="15.85546875" customWidth="1"/>
    <col min="4" max="4" width="10" bestFit="1" customWidth="1"/>
  </cols>
  <sheetData>
    <row r="1" spans="1:7" x14ac:dyDescent="0.25">
      <c r="A1" t="s">
        <v>0</v>
      </c>
      <c r="B1" t="s">
        <v>46</v>
      </c>
      <c r="C1" t="s">
        <v>32</v>
      </c>
      <c r="D1" t="s">
        <v>33</v>
      </c>
      <c r="E1" t="s">
        <v>34</v>
      </c>
      <c r="F1" t="s">
        <v>47</v>
      </c>
      <c r="G1" t="s">
        <v>38</v>
      </c>
    </row>
    <row r="2" spans="1:7" x14ac:dyDescent="0.25">
      <c r="A2" s="1"/>
      <c r="B2" s="1"/>
      <c r="C2" s="1"/>
      <c r="D2" s="1"/>
      <c r="E2" s="1"/>
    </row>
    <row r="3" spans="1:7" x14ac:dyDescent="0.25">
      <c r="A3" s="1"/>
      <c r="B3" s="1"/>
      <c r="C3" s="1"/>
      <c r="D3" s="1"/>
      <c r="E3" s="1"/>
    </row>
    <row r="4" spans="1:7" x14ac:dyDescent="0.25">
      <c r="A4" s="1"/>
      <c r="B4" s="1"/>
      <c r="C4" s="1"/>
      <c r="D4" s="1"/>
      <c r="E4" s="1"/>
    </row>
    <row r="5" spans="1:7" x14ac:dyDescent="0.25">
      <c r="A5" s="1"/>
      <c r="B5" s="1"/>
      <c r="C5" s="1"/>
      <c r="D5" s="1"/>
      <c r="E5" s="1"/>
    </row>
    <row r="6" spans="1:7" x14ac:dyDescent="0.25">
      <c r="A6" s="1"/>
      <c r="B6" s="1"/>
      <c r="C6" s="1"/>
      <c r="D6" s="1"/>
      <c r="E6" s="1"/>
    </row>
    <row r="7" spans="1:7" x14ac:dyDescent="0.25">
      <c r="A7" s="1"/>
      <c r="B7" s="1"/>
      <c r="C7" s="1"/>
      <c r="D7" s="1"/>
      <c r="E7" s="1"/>
    </row>
    <row r="8" spans="1:7" x14ac:dyDescent="0.25">
      <c r="A8" s="1"/>
      <c r="B8" s="1"/>
      <c r="C8" s="1"/>
      <c r="D8" s="1"/>
      <c r="E8" s="1"/>
    </row>
    <row r="9" spans="1:7" x14ac:dyDescent="0.25">
      <c r="A9" s="1"/>
      <c r="B9" s="1"/>
      <c r="C9" s="1"/>
      <c r="D9" s="1"/>
      <c r="E9" s="1"/>
    </row>
    <row r="10" spans="1:7" x14ac:dyDescent="0.25">
      <c r="A10" s="1"/>
      <c r="B10" s="1"/>
      <c r="C10" s="1"/>
      <c r="D10" s="1"/>
      <c r="E10" s="1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1992"/>
  <sheetViews>
    <sheetView topLeftCell="A1670" workbookViewId="0">
      <selection activeCell="A1586" sqref="A1586:D1992"/>
    </sheetView>
  </sheetViews>
  <sheetFormatPr defaultRowHeight="15" x14ac:dyDescent="0.25"/>
  <cols>
    <col min="1" max="1" width="18.28515625" customWidth="1"/>
    <col min="2" max="2" width="23.85546875" customWidth="1"/>
    <col min="3" max="3" width="9.140625" style="4"/>
    <col min="5" max="5" width="9.7109375" bestFit="1" customWidth="1"/>
  </cols>
  <sheetData>
    <row r="1" spans="1:4" x14ac:dyDescent="0.25">
      <c r="A1" s="1" t="s">
        <v>0</v>
      </c>
      <c r="B1" s="1" t="s">
        <v>1</v>
      </c>
      <c r="C1" s="1" t="s">
        <v>2</v>
      </c>
      <c r="D1" s="1" t="s">
        <v>2</v>
      </c>
    </row>
    <row r="2" spans="1:4" x14ac:dyDescent="0.25">
      <c r="A2" s="7">
        <v>44382</v>
      </c>
      <c r="B2" s="1" t="s">
        <v>75</v>
      </c>
      <c r="C2" s="1">
        <v>528.07000000000005</v>
      </c>
      <c r="D2" s="1">
        <v>415.32</v>
      </c>
    </row>
    <row r="3" spans="1:4" x14ac:dyDescent="0.25">
      <c r="A3" s="7">
        <v>44382</v>
      </c>
      <c r="B3" s="1" t="s">
        <v>74</v>
      </c>
      <c r="C3" s="1">
        <v>1337</v>
      </c>
      <c r="D3" s="1">
        <v>574.88</v>
      </c>
    </row>
    <row r="4" spans="1:4" x14ac:dyDescent="0.25">
      <c r="A4" s="7">
        <v>44382</v>
      </c>
      <c r="B4" s="1" t="s">
        <v>73</v>
      </c>
      <c r="C4" s="1">
        <v>1193.8399999999999</v>
      </c>
      <c r="D4" s="1">
        <v>342.38</v>
      </c>
    </row>
    <row r="5" spans="1:4" x14ac:dyDescent="0.25">
      <c r="A5" s="7">
        <v>44382</v>
      </c>
      <c r="B5" s="1" t="s">
        <v>77</v>
      </c>
      <c r="C5" s="1">
        <v>3687.53</v>
      </c>
      <c r="D5" s="1">
        <v>1445.26</v>
      </c>
    </row>
    <row r="6" spans="1:4" x14ac:dyDescent="0.25">
      <c r="A6" s="7">
        <v>44382</v>
      </c>
      <c r="B6" s="1" t="s">
        <v>71</v>
      </c>
      <c r="C6" s="1">
        <v>1074.1199999999999</v>
      </c>
      <c r="D6" s="1">
        <v>746.37</v>
      </c>
    </row>
    <row r="7" spans="1:4" x14ac:dyDescent="0.25">
      <c r="A7" s="7">
        <v>44382</v>
      </c>
      <c r="B7" s="1" t="s">
        <v>70</v>
      </c>
      <c r="C7" s="1">
        <v>1535.37</v>
      </c>
      <c r="D7" s="1">
        <v>966.8</v>
      </c>
    </row>
    <row r="8" spans="1:4" x14ac:dyDescent="0.25">
      <c r="A8" s="7">
        <v>44382</v>
      </c>
      <c r="B8" s="1" t="s">
        <v>78</v>
      </c>
      <c r="C8" s="1">
        <v>969.02</v>
      </c>
      <c r="D8" s="1">
        <v>750.19</v>
      </c>
    </row>
    <row r="9" spans="1:4" x14ac:dyDescent="0.25">
      <c r="A9" s="7">
        <v>44382</v>
      </c>
      <c r="B9" s="1" t="s">
        <v>72</v>
      </c>
      <c r="C9" s="1">
        <v>3666.74</v>
      </c>
      <c r="D9" s="1">
        <v>2932.65</v>
      </c>
    </row>
    <row r="10" spans="1:4" x14ac:dyDescent="0.25">
      <c r="A10" s="7">
        <v>44382</v>
      </c>
      <c r="B10" s="1" t="s">
        <v>76</v>
      </c>
      <c r="C10" s="1">
        <v>2614.41</v>
      </c>
      <c r="D10" s="1">
        <v>965.38</v>
      </c>
    </row>
    <row r="11" spans="1:4" x14ac:dyDescent="0.25">
      <c r="A11" s="7">
        <v>44382</v>
      </c>
      <c r="B11" s="1" t="s">
        <v>68</v>
      </c>
      <c r="C11" s="1">
        <v>1375.5</v>
      </c>
      <c r="D11" s="1">
        <v>1012.85</v>
      </c>
    </row>
    <row r="12" spans="1:4" x14ac:dyDescent="0.25">
      <c r="A12" s="7">
        <v>44382</v>
      </c>
      <c r="B12" s="1" t="s">
        <v>69</v>
      </c>
      <c r="C12" s="1">
        <v>2151.2600000000002</v>
      </c>
      <c r="D12" s="1">
        <v>2196.7199999999998</v>
      </c>
    </row>
    <row r="13" spans="1:4" x14ac:dyDescent="0.25">
      <c r="A13" s="7">
        <v>44382.041666666664</v>
      </c>
      <c r="B13" s="1" t="s">
        <v>75</v>
      </c>
      <c r="C13" s="1">
        <v>282.75</v>
      </c>
      <c r="D13" s="1">
        <v>239.22</v>
      </c>
    </row>
    <row r="14" spans="1:4" x14ac:dyDescent="0.25">
      <c r="A14" s="7">
        <v>44382.041666666664</v>
      </c>
      <c r="B14" s="1" t="s">
        <v>74</v>
      </c>
      <c r="C14" s="1">
        <v>617.25</v>
      </c>
      <c r="D14" s="1">
        <v>273.57</v>
      </c>
    </row>
    <row r="15" spans="1:4" x14ac:dyDescent="0.25">
      <c r="A15" s="7">
        <v>44382.041666666664</v>
      </c>
      <c r="B15" s="1" t="s">
        <v>68</v>
      </c>
      <c r="C15" s="1">
        <v>533.49</v>
      </c>
      <c r="D15" s="1">
        <v>437.64</v>
      </c>
    </row>
    <row r="16" spans="1:4" x14ac:dyDescent="0.25">
      <c r="A16" s="7">
        <v>44382.041666666664</v>
      </c>
      <c r="B16" s="1" t="s">
        <v>77</v>
      </c>
      <c r="C16" s="1">
        <v>1551.8</v>
      </c>
      <c r="D16" s="1">
        <v>610.96</v>
      </c>
    </row>
    <row r="17" spans="1:4" x14ac:dyDescent="0.25">
      <c r="A17" s="7">
        <v>44382.041666666664</v>
      </c>
      <c r="B17" s="1" t="s">
        <v>71</v>
      </c>
      <c r="C17" s="1">
        <v>440.65</v>
      </c>
      <c r="D17" s="1">
        <v>322.83999999999997</v>
      </c>
    </row>
    <row r="18" spans="1:4" x14ac:dyDescent="0.25">
      <c r="A18" s="7">
        <v>44382.041666666664</v>
      </c>
      <c r="B18" s="1" t="s">
        <v>69</v>
      </c>
      <c r="C18" s="1">
        <v>934.71</v>
      </c>
      <c r="D18" s="1">
        <v>1018.36</v>
      </c>
    </row>
    <row r="19" spans="1:4" x14ac:dyDescent="0.25">
      <c r="A19" s="7">
        <v>44382.041666666664</v>
      </c>
      <c r="B19" s="1" t="s">
        <v>70</v>
      </c>
      <c r="C19" s="1">
        <v>696.74</v>
      </c>
      <c r="D19" s="1">
        <v>450.27</v>
      </c>
    </row>
    <row r="20" spans="1:4" x14ac:dyDescent="0.25">
      <c r="A20" s="7">
        <v>44382.041666666664</v>
      </c>
      <c r="B20" s="1" t="s">
        <v>78</v>
      </c>
      <c r="C20" s="1">
        <v>460.01</v>
      </c>
      <c r="D20" s="1">
        <v>350.3</v>
      </c>
    </row>
    <row r="21" spans="1:4" x14ac:dyDescent="0.25">
      <c r="A21" s="7">
        <v>44382.041666666664</v>
      </c>
      <c r="B21" s="1" t="s">
        <v>76</v>
      </c>
      <c r="C21" s="1">
        <v>1205.03</v>
      </c>
      <c r="D21" s="1">
        <v>448.17</v>
      </c>
    </row>
    <row r="22" spans="1:4" x14ac:dyDescent="0.25">
      <c r="A22" s="7">
        <v>44382.041666666664</v>
      </c>
      <c r="B22" s="1" t="s">
        <v>72</v>
      </c>
      <c r="C22" s="1">
        <v>1696.22</v>
      </c>
      <c r="D22" s="1">
        <v>1416.2</v>
      </c>
    </row>
    <row r="23" spans="1:4" x14ac:dyDescent="0.25">
      <c r="A23" s="7">
        <v>44382.041666666664</v>
      </c>
      <c r="B23" s="1" t="s">
        <v>73</v>
      </c>
      <c r="C23" s="1">
        <v>520.92999999999995</v>
      </c>
      <c r="D23" s="1">
        <v>178.75</v>
      </c>
    </row>
    <row r="24" spans="1:4" x14ac:dyDescent="0.25">
      <c r="A24" s="7">
        <v>44382.083333333336</v>
      </c>
      <c r="B24" s="1" t="s">
        <v>75</v>
      </c>
      <c r="C24" s="1">
        <v>260.63</v>
      </c>
      <c r="D24" s="1">
        <v>187.64</v>
      </c>
    </row>
    <row r="25" spans="1:4" x14ac:dyDescent="0.25">
      <c r="A25" s="7">
        <v>44382.083333333336</v>
      </c>
      <c r="B25" s="1" t="s">
        <v>74</v>
      </c>
      <c r="C25" s="1">
        <v>526.28</v>
      </c>
      <c r="D25" s="1">
        <v>160.63</v>
      </c>
    </row>
    <row r="26" spans="1:4" x14ac:dyDescent="0.25">
      <c r="A26" s="7">
        <v>44382.083333333336</v>
      </c>
      <c r="B26" s="1" t="s">
        <v>78</v>
      </c>
      <c r="C26" s="1">
        <v>320.31</v>
      </c>
      <c r="D26" s="1">
        <v>236.28</v>
      </c>
    </row>
    <row r="27" spans="1:4" x14ac:dyDescent="0.25">
      <c r="A27" s="7">
        <v>44382.083333333336</v>
      </c>
      <c r="B27" s="1" t="s">
        <v>76</v>
      </c>
      <c r="C27" s="1">
        <v>1217.77</v>
      </c>
      <c r="D27" s="1">
        <v>335.02</v>
      </c>
    </row>
    <row r="28" spans="1:4" x14ac:dyDescent="0.25">
      <c r="A28" s="7">
        <v>44382.083333333336</v>
      </c>
      <c r="B28" s="1" t="s">
        <v>72</v>
      </c>
      <c r="C28" s="1">
        <v>1084.6500000000001</v>
      </c>
      <c r="D28" s="1">
        <v>782.43</v>
      </c>
    </row>
    <row r="29" spans="1:4" x14ac:dyDescent="0.25">
      <c r="A29" s="7">
        <v>44382.083333333336</v>
      </c>
      <c r="B29" s="1" t="s">
        <v>68</v>
      </c>
      <c r="C29" s="1">
        <v>297.74</v>
      </c>
      <c r="D29" s="1">
        <v>226.76</v>
      </c>
    </row>
    <row r="30" spans="1:4" x14ac:dyDescent="0.25">
      <c r="A30" s="7">
        <v>44382.083333333336</v>
      </c>
      <c r="B30" s="1" t="s">
        <v>69</v>
      </c>
      <c r="C30" s="1">
        <v>587.51</v>
      </c>
      <c r="D30" s="1">
        <v>579.69000000000005</v>
      </c>
    </row>
    <row r="31" spans="1:4" x14ac:dyDescent="0.25">
      <c r="A31" s="7">
        <v>44382.083333333336</v>
      </c>
      <c r="B31" s="1" t="s">
        <v>73</v>
      </c>
      <c r="C31" s="1">
        <v>296.66000000000003</v>
      </c>
      <c r="D31" s="1">
        <v>70.89</v>
      </c>
    </row>
    <row r="32" spans="1:4" x14ac:dyDescent="0.25">
      <c r="A32" s="7">
        <v>44382.083333333336</v>
      </c>
      <c r="B32" s="1" t="s">
        <v>77</v>
      </c>
      <c r="C32" s="1">
        <v>1135.92</v>
      </c>
      <c r="D32" s="1">
        <v>383.67</v>
      </c>
    </row>
    <row r="33" spans="1:4" x14ac:dyDescent="0.25">
      <c r="A33" s="7">
        <v>44382.083333333336</v>
      </c>
      <c r="B33" s="1" t="s">
        <v>71</v>
      </c>
      <c r="C33" s="1">
        <v>303.12</v>
      </c>
      <c r="D33" s="1">
        <v>178.46</v>
      </c>
    </row>
    <row r="34" spans="1:4" x14ac:dyDescent="0.25">
      <c r="A34" s="7">
        <v>44382.083333333336</v>
      </c>
      <c r="B34" s="1" t="s">
        <v>70</v>
      </c>
      <c r="C34" s="1">
        <v>525.25</v>
      </c>
      <c r="D34" s="1">
        <v>288.64</v>
      </c>
    </row>
    <row r="35" spans="1:4" x14ac:dyDescent="0.25">
      <c r="A35" s="7">
        <v>44382.125</v>
      </c>
      <c r="B35" s="1" t="s">
        <v>74</v>
      </c>
      <c r="C35" s="1">
        <v>1443.06</v>
      </c>
      <c r="D35" s="1">
        <v>315.82</v>
      </c>
    </row>
    <row r="36" spans="1:4" x14ac:dyDescent="0.25">
      <c r="A36" s="7">
        <v>44382.125</v>
      </c>
      <c r="B36" s="1" t="s">
        <v>78</v>
      </c>
      <c r="C36" s="1">
        <v>753.58</v>
      </c>
      <c r="D36" s="1">
        <v>429.95</v>
      </c>
    </row>
    <row r="37" spans="1:4" x14ac:dyDescent="0.25">
      <c r="A37" s="7">
        <v>44382.125</v>
      </c>
      <c r="B37" s="1" t="s">
        <v>75</v>
      </c>
      <c r="C37" s="1">
        <v>507.98</v>
      </c>
      <c r="D37" s="1">
        <v>327.55</v>
      </c>
    </row>
    <row r="38" spans="1:4" x14ac:dyDescent="0.25">
      <c r="A38" s="7">
        <v>44382.125</v>
      </c>
      <c r="B38" s="1" t="s">
        <v>76</v>
      </c>
      <c r="C38" s="1">
        <v>3400.22</v>
      </c>
      <c r="D38" s="1">
        <v>823.88</v>
      </c>
    </row>
    <row r="39" spans="1:4" x14ac:dyDescent="0.25">
      <c r="A39" s="7">
        <v>44382.125</v>
      </c>
      <c r="B39" s="1" t="s">
        <v>68</v>
      </c>
      <c r="C39" s="1">
        <v>878.12</v>
      </c>
      <c r="D39" s="1">
        <v>355.86</v>
      </c>
    </row>
    <row r="40" spans="1:4" x14ac:dyDescent="0.25">
      <c r="A40" s="7">
        <v>44382.125</v>
      </c>
      <c r="B40" s="1" t="s">
        <v>71</v>
      </c>
      <c r="C40" s="1">
        <v>1042.8599999999999</v>
      </c>
      <c r="D40" s="1">
        <v>358.85</v>
      </c>
    </row>
    <row r="41" spans="1:4" x14ac:dyDescent="0.25">
      <c r="A41" s="7">
        <v>44382.125</v>
      </c>
      <c r="B41" s="1" t="s">
        <v>70</v>
      </c>
      <c r="C41" s="1">
        <v>1654.38</v>
      </c>
      <c r="D41" s="1">
        <v>750.13</v>
      </c>
    </row>
    <row r="42" spans="1:4" x14ac:dyDescent="0.25">
      <c r="A42" s="7">
        <v>44382.125</v>
      </c>
      <c r="B42" s="1" t="s">
        <v>69</v>
      </c>
      <c r="C42" s="1">
        <v>1561.21</v>
      </c>
      <c r="D42" s="1">
        <v>1209.22</v>
      </c>
    </row>
    <row r="43" spans="1:4" x14ac:dyDescent="0.25">
      <c r="A43" s="7">
        <v>44382.125</v>
      </c>
      <c r="B43" s="1" t="s">
        <v>72</v>
      </c>
      <c r="C43" s="1">
        <v>2760.28</v>
      </c>
      <c r="D43" s="1">
        <v>1663.29</v>
      </c>
    </row>
    <row r="44" spans="1:4" x14ac:dyDescent="0.25">
      <c r="A44" s="7">
        <v>44382.125</v>
      </c>
      <c r="B44" s="1" t="s">
        <v>73</v>
      </c>
      <c r="C44" s="1">
        <v>910.39</v>
      </c>
      <c r="D44" s="1">
        <v>146.93</v>
      </c>
    </row>
    <row r="45" spans="1:4" x14ac:dyDescent="0.25">
      <c r="A45" s="7">
        <v>44382.125</v>
      </c>
      <c r="B45" s="1" t="s">
        <v>77</v>
      </c>
      <c r="C45" s="1">
        <v>3820.71</v>
      </c>
      <c r="D45" s="1">
        <v>1269.67</v>
      </c>
    </row>
    <row r="46" spans="1:4" x14ac:dyDescent="0.25">
      <c r="A46" s="7">
        <v>44382.166666666664</v>
      </c>
      <c r="B46" s="1" t="s">
        <v>74</v>
      </c>
      <c r="C46" s="1">
        <v>1105.0999999999999</v>
      </c>
      <c r="D46" s="1">
        <v>344.43</v>
      </c>
    </row>
    <row r="47" spans="1:4" x14ac:dyDescent="0.25">
      <c r="A47" s="7">
        <v>44382.166666666664</v>
      </c>
      <c r="B47" s="1" t="s">
        <v>75</v>
      </c>
      <c r="C47" s="1">
        <v>239.17</v>
      </c>
      <c r="D47" s="1">
        <v>212.77</v>
      </c>
    </row>
    <row r="48" spans="1:4" x14ac:dyDescent="0.25">
      <c r="A48" s="7">
        <v>44382.166666666664</v>
      </c>
      <c r="B48" s="1" t="s">
        <v>76</v>
      </c>
      <c r="C48" s="1">
        <v>1770.26</v>
      </c>
      <c r="D48" s="1">
        <v>593.94000000000005</v>
      </c>
    </row>
    <row r="49" spans="1:4" x14ac:dyDescent="0.25">
      <c r="A49" s="7">
        <v>44382.166666666664</v>
      </c>
      <c r="B49" s="1" t="s">
        <v>73</v>
      </c>
      <c r="C49" s="1">
        <v>695.84</v>
      </c>
      <c r="D49" s="1">
        <v>136.04</v>
      </c>
    </row>
    <row r="50" spans="1:4" x14ac:dyDescent="0.25">
      <c r="A50" s="7">
        <v>44382.166666666664</v>
      </c>
      <c r="B50" s="1" t="s">
        <v>71</v>
      </c>
      <c r="C50" s="1">
        <v>1033.17</v>
      </c>
      <c r="D50" s="1">
        <v>416.45</v>
      </c>
    </row>
    <row r="51" spans="1:4" x14ac:dyDescent="0.25">
      <c r="A51" s="7">
        <v>44382.166666666664</v>
      </c>
      <c r="B51" s="1" t="s">
        <v>70</v>
      </c>
      <c r="C51" s="1">
        <v>1239.2</v>
      </c>
      <c r="D51" s="1">
        <v>683.73</v>
      </c>
    </row>
    <row r="52" spans="1:4" x14ac:dyDescent="0.25">
      <c r="A52" s="7">
        <v>44382.166666666664</v>
      </c>
      <c r="B52" s="1" t="s">
        <v>78</v>
      </c>
      <c r="C52" s="1">
        <v>609.46</v>
      </c>
      <c r="D52" s="1">
        <v>424.93</v>
      </c>
    </row>
    <row r="53" spans="1:4" x14ac:dyDescent="0.25">
      <c r="A53" s="7">
        <v>44382.166666666664</v>
      </c>
      <c r="B53" s="1" t="s">
        <v>72</v>
      </c>
      <c r="C53" s="1">
        <v>1926.93</v>
      </c>
      <c r="D53" s="1">
        <v>1388.02</v>
      </c>
    </row>
    <row r="54" spans="1:4" x14ac:dyDescent="0.25">
      <c r="A54" s="7">
        <v>44382.166666666664</v>
      </c>
      <c r="B54" s="1" t="s">
        <v>68</v>
      </c>
      <c r="C54" s="1">
        <v>867.23</v>
      </c>
      <c r="D54" s="1">
        <v>419.92</v>
      </c>
    </row>
    <row r="55" spans="1:4" x14ac:dyDescent="0.25">
      <c r="A55" s="7">
        <v>44382.166666666664</v>
      </c>
      <c r="B55" s="1" t="s">
        <v>77</v>
      </c>
      <c r="C55" s="1">
        <v>2480.96</v>
      </c>
      <c r="D55" s="1">
        <v>964.56</v>
      </c>
    </row>
    <row r="56" spans="1:4" x14ac:dyDescent="0.25">
      <c r="A56" s="7">
        <v>44382.166666666664</v>
      </c>
      <c r="B56" s="1" t="s">
        <v>69</v>
      </c>
      <c r="C56" s="1">
        <v>1123.9100000000001</v>
      </c>
      <c r="D56" s="1">
        <v>1059.82</v>
      </c>
    </row>
    <row r="57" spans="1:4" x14ac:dyDescent="0.25">
      <c r="A57" s="7">
        <v>44382.208333333336</v>
      </c>
      <c r="B57" s="1" t="s">
        <v>75</v>
      </c>
      <c r="C57" s="1">
        <v>100.48</v>
      </c>
      <c r="D57" s="1">
        <v>66.97</v>
      </c>
    </row>
    <row r="58" spans="1:4" x14ac:dyDescent="0.25">
      <c r="A58" s="7">
        <v>44382.208333333336</v>
      </c>
      <c r="B58" s="1" t="s">
        <v>74</v>
      </c>
      <c r="C58" s="1">
        <v>581.61</v>
      </c>
      <c r="D58" s="1">
        <v>138.52000000000001</v>
      </c>
    </row>
    <row r="59" spans="1:4" x14ac:dyDescent="0.25">
      <c r="A59" s="7">
        <v>44382.208333333336</v>
      </c>
      <c r="B59" s="1" t="s">
        <v>77</v>
      </c>
      <c r="C59" s="1">
        <v>1187.48</v>
      </c>
      <c r="D59" s="1">
        <v>358.1</v>
      </c>
    </row>
    <row r="60" spans="1:4" x14ac:dyDescent="0.25">
      <c r="A60" s="7">
        <v>44382.208333333336</v>
      </c>
      <c r="B60" s="1" t="s">
        <v>71</v>
      </c>
      <c r="C60" s="1">
        <v>1080.4000000000001</v>
      </c>
      <c r="D60" s="1">
        <v>279.14999999999998</v>
      </c>
    </row>
    <row r="61" spans="1:4" x14ac:dyDescent="0.25">
      <c r="A61" s="7">
        <v>44382.208333333336</v>
      </c>
      <c r="B61" s="1" t="s">
        <v>69</v>
      </c>
      <c r="C61" s="1">
        <v>398.29</v>
      </c>
      <c r="D61" s="1">
        <v>310.27999999999997</v>
      </c>
    </row>
    <row r="62" spans="1:4" x14ac:dyDescent="0.25">
      <c r="A62" s="7">
        <v>44382.208333333336</v>
      </c>
      <c r="B62" s="1" t="s">
        <v>70</v>
      </c>
      <c r="C62" s="1">
        <v>572.71</v>
      </c>
      <c r="D62" s="1">
        <v>262.2</v>
      </c>
    </row>
    <row r="63" spans="1:4" x14ac:dyDescent="0.25">
      <c r="A63" s="7">
        <v>44382.208333333336</v>
      </c>
      <c r="B63" s="1" t="s">
        <v>78</v>
      </c>
      <c r="C63" s="1">
        <v>221.42</v>
      </c>
      <c r="D63" s="1">
        <v>136.13999999999999</v>
      </c>
    </row>
    <row r="64" spans="1:4" x14ac:dyDescent="0.25">
      <c r="A64" s="7">
        <v>44382.208333333336</v>
      </c>
      <c r="B64" s="1" t="s">
        <v>76</v>
      </c>
      <c r="C64" s="1">
        <v>727.18</v>
      </c>
      <c r="D64" s="1">
        <v>198.74</v>
      </c>
    </row>
    <row r="65" spans="1:4" x14ac:dyDescent="0.25">
      <c r="A65" s="7">
        <v>44382.208333333336</v>
      </c>
      <c r="B65" s="1" t="s">
        <v>73</v>
      </c>
      <c r="C65" s="1">
        <v>608.82000000000005</v>
      </c>
      <c r="D65" s="1">
        <v>67.53</v>
      </c>
    </row>
    <row r="66" spans="1:4" x14ac:dyDescent="0.25">
      <c r="A66" s="7">
        <v>44382.208333333336</v>
      </c>
      <c r="B66" s="1" t="s">
        <v>72</v>
      </c>
      <c r="C66" s="1">
        <v>784.82</v>
      </c>
      <c r="D66" s="1">
        <v>464.15</v>
      </c>
    </row>
    <row r="67" spans="1:4" x14ac:dyDescent="0.25">
      <c r="A67" s="7">
        <v>44382.208333333336</v>
      </c>
      <c r="B67" s="1" t="s">
        <v>68</v>
      </c>
      <c r="C67" s="1">
        <v>781.78</v>
      </c>
      <c r="D67" s="1">
        <v>245.53</v>
      </c>
    </row>
    <row r="68" spans="1:4" x14ac:dyDescent="0.25">
      <c r="A68" s="7">
        <v>44382.25</v>
      </c>
      <c r="B68" s="1" t="s">
        <v>75</v>
      </c>
      <c r="C68" s="1">
        <v>135.34</v>
      </c>
      <c r="D68" s="1">
        <v>52.7</v>
      </c>
    </row>
    <row r="69" spans="1:4" x14ac:dyDescent="0.25">
      <c r="A69" s="7">
        <v>44382.25</v>
      </c>
      <c r="B69" s="1" t="s">
        <v>74</v>
      </c>
      <c r="C69" s="1">
        <v>1506.93</v>
      </c>
      <c r="D69" s="1">
        <v>270.08</v>
      </c>
    </row>
    <row r="70" spans="1:4" x14ac:dyDescent="0.25">
      <c r="A70" s="7">
        <v>44382.25</v>
      </c>
      <c r="B70" s="1" t="s">
        <v>72</v>
      </c>
      <c r="C70" s="1">
        <v>1437.59</v>
      </c>
      <c r="D70" s="1">
        <v>637.03</v>
      </c>
    </row>
    <row r="71" spans="1:4" x14ac:dyDescent="0.25">
      <c r="A71" s="7">
        <v>44382.25</v>
      </c>
      <c r="B71" s="1" t="s">
        <v>68</v>
      </c>
      <c r="C71" s="1">
        <v>2362.38</v>
      </c>
      <c r="D71" s="1">
        <v>698.86</v>
      </c>
    </row>
    <row r="72" spans="1:4" x14ac:dyDescent="0.25">
      <c r="A72" s="7">
        <v>44382.25</v>
      </c>
      <c r="B72" s="1" t="s">
        <v>77</v>
      </c>
      <c r="C72" s="1">
        <v>3044.7</v>
      </c>
      <c r="D72" s="1">
        <v>859.18</v>
      </c>
    </row>
    <row r="73" spans="1:4" x14ac:dyDescent="0.25">
      <c r="A73" s="7">
        <v>44382.25</v>
      </c>
      <c r="B73" s="1" t="s">
        <v>70</v>
      </c>
      <c r="C73" s="1">
        <v>1202.3800000000001</v>
      </c>
      <c r="D73" s="1">
        <v>436.63</v>
      </c>
    </row>
    <row r="74" spans="1:4" x14ac:dyDescent="0.25">
      <c r="A74" s="7">
        <v>44382.25</v>
      </c>
      <c r="B74" s="1" t="s">
        <v>69</v>
      </c>
      <c r="C74" s="1">
        <v>764.91</v>
      </c>
      <c r="D74" s="1">
        <v>423.23</v>
      </c>
    </row>
    <row r="75" spans="1:4" x14ac:dyDescent="0.25">
      <c r="A75" s="7">
        <v>44382.25</v>
      </c>
      <c r="B75" s="1" t="s">
        <v>78</v>
      </c>
      <c r="C75" s="1">
        <v>382.37</v>
      </c>
      <c r="D75" s="1">
        <v>155.49</v>
      </c>
    </row>
    <row r="76" spans="1:4" x14ac:dyDescent="0.25">
      <c r="A76" s="7">
        <v>44382.25</v>
      </c>
      <c r="B76" s="1" t="s">
        <v>76</v>
      </c>
      <c r="C76" s="1">
        <v>1986.69</v>
      </c>
      <c r="D76" s="1">
        <v>408.12</v>
      </c>
    </row>
    <row r="77" spans="1:4" x14ac:dyDescent="0.25">
      <c r="A77" s="7">
        <v>44382.25</v>
      </c>
      <c r="B77" s="1" t="s">
        <v>73</v>
      </c>
      <c r="C77" s="1">
        <v>1755.74</v>
      </c>
      <c r="D77" s="1">
        <v>183.47</v>
      </c>
    </row>
    <row r="78" spans="1:4" x14ac:dyDescent="0.25">
      <c r="A78" s="7">
        <v>44382.25</v>
      </c>
      <c r="B78" s="1" t="s">
        <v>71</v>
      </c>
      <c r="C78" s="1">
        <v>3084.8</v>
      </c>
      <c r="D78" s="1">
        <v>757.68</v>
      </c>
    </row>
    <row r="79" spans="1:4" x14ac:dyDescent="0.25">
      <c r="A79" s="7">
        <v>44382.291666666664</v>
      </c>
      <c r="B79" s="1" t="s">
        <v>74</v>
      </c>
      <c r="C79" s="1">
        <v>3382.41</v>
      </c>
      <c r="D79" s="1">
        <v>631.34</v>
      </c>
    </row>
    <row r="80" spans="1:4" x14ac:dyDescent="0.25">
      <c r="A80" s="7">
        <v>44382.291666666664</v>
      </c>
      <c r="B80" s="1" t="s">
        <v>78</v>
      </c>
      <c r="C80" s="1">
        <v>728.71</v>
      </c>
      <c r="D80" s="1">
        <v>282.74</v>
      </c>
    </row>
    <row r="81" spans="1:4" x14ac:dyDescent="0.25">
      <c r="A81" s="7">
        <v>44382.291666666664</v>
      </c>
      <c r="B81" s="1" t="s">
        <v>75</v>
      </c>
      <c r="C81" s="1">
        <v>256.58999999999997</v>
      </c>
      <c r="D81" s="1">
        <v>94.32</v>
      </c>
    </row>
    <row r="82" spans="1:4" x14ac:dyDescent="0.25">
      <c r="A82" s="7">
        <v>44382.291666666664</v>
      </c>
      <c r="B82" s="1" t="s">
        <v>76</v>
      </c>
      <c r="C82" s="1">
        <v>4229.4399999999996</v>
      </c>
      <c r="D82" s="1">
        <v>885.29</v>
      </c>
    </row>
    <row r="83" spans="1:4" x14ac:dyDescent="0.25">
      <c r="A83" s="7">
        <v>44382.291666666664</v>
      </c>
      <c r="B83" s="1" t="s">
        <v>72</v>
      </c>
      <c r="C83" s="1">
        <v>3215.02</v>
      </c>
      <c r="D83" s="1">
        <v>1424.21</v>
      </c>
    </row>
    <row r="84" spans="1:4" x14ac:dyDescent="0.25">
      <c r="A84" s="7">
        <v>44382.291666666664</v>
      </c>
      <c r="B84" s="1" t="s">
        <v>73</v>
      </c>
      <c r="C84" s="1">
        <v>3477.59</v>
      </c>
      <c r="D84" s="1">
        <v>448.46</v>
      </c>
    </row>
    <row r="85" spans="1:4" x14ac:dyDescent="0.25">
      <c r="A85" s="7">
        <v>44382.291666666664</v>
      </c>
      <c r="B85" s="1" t="s">
        <v>68</v>
      </c>
      <c r="C85" s="1">
        <v>4356.0600000000004</v>
      </c>
      <c r="D85" s="1">
        <v>1443.57</v>
      </c>
    </row>
    <row r="86" spans="1:4" x14ac:dyDescent="0.25">
      <c r="A86" s="7">
        <v>44382.291666666664</v>
      </c>
      <c r="B86" s="1" t="s">
        <v>77</v>
      </c>
      <c r="C86" s="1">
        <v>5934.4</v>
      </c>
      <c r="D86" s="1">
        <v>1679.29</v>
      </c>
    </row>
    <row r="87" spans="1:4" x14ac:dyDescent="0.25">
      <c r="A87" s="7">
        <v>44382.291666666664</v>
      </c>
      <c r="B87" s="1" t="s">
        <v>71</v>
      </c>
      <c r="C87" s="1">
        <v>5281.59</v>
      </c>
      <c r="D87" s="1">
        <v>1554.9</v>
      </c>
    </row>
    <row r="88" spans="1:4" x14ac:dyDescent="0.25">
      <c r="A88" s="7">
        <v>44382.291666666664</v>
      </c>
      <c r="B88" s="1" t="s">
        <v>69</v>
      </c>
      <c r="C88" s="1">
        <v>1656.46</v>
      </c>
      <c r="D88" s="1">
        <v>900.62</v>
      </c>
    </row>
    <row r="89" spans="1:4" x14ac:dyDescent="0.25">
      <c r="A89" s="7">
        <v>44382.291666666664</v>
      </c>
      <c r="B89" s="1" t="s">
        <v>70</v>
      </c>
      <c r="C89" s="1">
        <v>2505.59</v>
      </c>
      <c r="D89" s="1">
        <v>953.08</v>
      </c>
    </row>
    <row r="90" spans="1:4" x14ac:dyDescent="0.25">
      <c r="A90" s="7">
        <v>44382.333333333336</v>
      </c>
      <c r="B90" s="1" t="s">
        <v>74</v>
      </c>
      <c r="C90" s="1">
        <v>5350.07</v>
      </c>
      <c r="D90" s="1">
        <v>1133.27</v>
      </c>
    </row>
    <row r="91" spans="1:4" x14ac:dyDescent="0.25">
      <c r="A91" s="7">
        <v>44382.333333333336</v>
      </c>
      <c r="B91" s="1" t="s">
        <v>78</v>
      </c>
      <c r="C91" s="1">
        <v>1267.27</v>
      </c>
      <c r="D91" s="1">
        <v>574.28</v>
      </c>
    </row>
    <row r="92" spans="1:4" x14ac:dyDescent="0.25">
      <c r="A92" s="7">
        <v>44382.333333333336</v>
      </c>
      <c r="B92" s="1" t="s">
        <v>75</v>
      </c>
      <c r="C92" s="1">
        <v>465.71</v>
      </c>
      <c r="D92" s="1">
        <v>189.75</v>
      </c>
    </row>
    <row r="93" spans="1:4" x14ac:dyDescent="0.25">
      <c r="A93" s="7">
        <v>44382.333333333336</v>
      </c>
      <c r="B93" s="1" t="s">
        <v>76</v>
      </c>
      <c r="C93" s="1">
        <v>6788.48</v>
      </c>
      <c r="D93" s="1">
        <v>1650.19</v>
      </c>
    </row>
    <row r="94" spans="1:4" x14ac:dyDescent="0.25">
      <c r="A94" s="7">
        <v>44382.333333333336</v>
      </c>
      <c r="B94" s="1" t="s">
        <v>73</v>
      </c>
      <c r="C94" s="1">
        <v>5122.2299999999996</v>
      </c>
      <c r="D94" s="1">
        <v>768.01</v>
      </c>
    </row>
    <row r="95" spans="1:4" x14ac:dyDescent="0.25">
      <c r="A95" s="7">
        <v>44382.333333333336</v>
      </c>
      <c r="B95" s="1" t="s">
        <v>68</v>
      </c>
      <c r="C95" s="1">
        <v>6233.25</v>
      </c>
      <c r="D95" s="1">
        <v>2364.69</v>
      </c>
    </row>
    <row r="96" spans="1:4" x14ac:dyDescent="0.25">
      <c r="A96" s="7">
        <v>44382.333333333336</v>
      </c>
      <c r="B96" s="1" t="s">
        <v>71</v>
      </c>
      <c r="C96" s="1">
        <v>7034.67</v>
      </c>
      <c r="D96" s="1">
        <v>2446.84</v>
      </c>
    </row>
    <row r="97" spans="1:4" x14ac:dyDescent="0.25">
      <c r="A97" s="7">
        <v>44382.333333333336</v>
      </c>
      <c r="B97" s="1" t="s">
        <v>72</v>
      </c>
      <c r="C97" s="1">
        <v>5833.45</v>
      </c>
      <c r="D97" s="1">
        <v>2938.5</v>
      </c>
    </row>
    <row r="98" spans="1:4" x14ac:dyDescent="0.25">
      <c r="A98" s="7">
        <v>44382.333333333336</v>
      </c>
      <c r="B98" s="1" t="s">
        <v>77</v>
      </c>
      <c r="C98" s="1">
        <v>9818.7999999999993</v>
      </c>
      <c r="D98" s="1">
        <v>3023.06</v>
      </c>
    </row>
    <row r="99" spans="1:4" x14ac:dyDescent="0.25">
      <c r="A99" s="7">
        <v>44382.333333333336</v>
      </c>
      <c r="B99" s="1" t="s">
        <v>69</v>
      </c>
      <c r="C99" s="1">
        <v>3097.2</v>
      </c>
      <c r="D99" s="1">
        <v>1980.92</v>
      </c>
    </row>
    <row r="100" spans="1:4" x14ac:dyDescent="0.25">
      <c r="A100" s="7">
        <v>44382.333333333336</v>
      </c>
      <c r="B100" s="1" t="s">
        <v>70</v>
      </c>
      <c r="C100" s="1">
        <v>4123.0200000000004</v>
      </c>
      <c r="D100" s="1">
        <v>1770.5</v>
      </c>
    </row>
    <row r="101" spans="1:4" x14ac:dyDescent="0.25">
      <c r="A101" s="7">
        <v>44382.375</v>
      </c>
      <c r="B101" s="1" t="s">
        <v>75</v>
      </c>
      <c r="C101" s="1">
        <v>714.09</v>
      </c>
      <c r="D101" s="1">
        <v>336.98</v>
      </c>
    </row>
    <row r="102" spans="1:4" x14ac:dyDescent="0.25">
      <c r="A102" s="7">
        <v>44382.375</v>
      </c>
      <c r="B102" s="1" t="s">
        <v>74</v>
      </c>
      <c r="C102" s="1">
        <v>6627.49</v>
      </c>
      <c r="D102" s="1">
        <v>1638.07</v>
      </c>
    </row>
    <row r="103" spans="1:4" x14ac:dyDescent="0.25">
      <c r="A103" s="7">
        <v>44382.375</v>
      </c>
      <c r="B103" s="1" t="s">
        <v>78</v>
      </c>
      <c r="C103" s="1">
        <v>1991.59</v>
      </c>
      <c r="D103" s="1">
        <v>1047.69</v>
      </c>
    </row>
    <row r="104" spans="1:4" x14ac:dyDescent="0.25">
      <c r="A104" s="7">
        <v>44382.375</v>
      </c>
      <c r="B104" s="1" t="s">
        <v>76</v>
      </c>
      <c r="C104" s="1">
        <v>9012.7199999999993</v>
      </c>
      <c r="D104" s="1">
        <v>2417.66</v>
      </c>
    </row>
    <row r="105" spans="1:4" x14ac:dyDescent="0.25">
      <c r="A105" s="7">
        <v>44382.375</v>
      </c>
      <c r="B105" s="1" t="s">
        <v>73</v>
      </c>
      <c r="C105" s="1">
        <v>6294.36</v>
      </c>
      <c r="D105" s="1">
        <v>1078.0999999999999</v>
      </c>
    </row>
    <row r="106" spans="1:4" x14ac:dyDescent="0.25">
      <c r="A106" s="7">
        <v>44382.375</v>
      </c>
      <c r="B106" s="1" t="s">
        <v>68</v>
      </c>
      <c r="C106" s="1">
        <v>7602.38</v>
      </c>
      <c r="D106" s="1">
        <v>3244.95</v>
      </c>
    </row>
    <row r="107" spans="1:4" x14ac:dyDescent="0.25">
      <c r="A107" s="7">
        <v>44382.375</v>
      </c>
      <c r="B107" s="1" t="s">
        <v>71</v>
      </c>
      <c r="C107" s="1">
        <v>8195.75</v>
      </c>
      <c r="D107" s="1">
        <v>3158.79</v>
      </c>
    </row>
    <row r="108" spans="1:4" x14ac:dyDescent="0.25">
      <c r="A108" s="7">
        <v>44382.375</v>
      </c>
      <c r="B108" s="1" t="s">
        <v>70</v>
      </c>
      <c r="C108" s="1">
        <v>5775.72</v>
      </c>
      <c r="D108" s="1">
        <v>2675.68</v>
      </c>
    </row>
    <row r="109" spans="1:4" x14ac:dyDescent="0.25">
      <c r="A109" s="7">
        <v>44382.375</v>
      </c>
      <c r="B109" s="1" t="s">
        <v>72</v>
      </c>
      <c r="C109" s="1">
        <v>8893.25</v>
      </c>
      <c r="D109" s="1">
        <v>5051.01</v>
      </c>
    </row>
    <row r="110" spans="1:4" x14ac:dyDescent="0.25">
      <c r="A110" s="7">
        <v>44382.375</v>
      </c>
      <c r="B110" s="1" t="s">
        <v>77</v>
      </c>
      <c r="C110" s="1">
        <v>13442.83</v>
      </c>
      <c r="D110" s="1">
        <v>4513.83</v>
      </c>
    </row>
    <row r="111" spans="1:4" x14ac:dyDescent="0.25">
      <c r="A111" s="7">
        <v>44382.375</v>
      </c>
      <c r="B111" s="1" t="s">
        <v>69</v>
      </c>
      <c r="C111" s="1">
        <v>4838.5600000000004</v>
      </c>
      <c r="D111" s="1">
        <v>3680.27</v>
      </c>
    </row>
    <row r="112" spans="1:4" x14ac:dyDescent="0.25">
      <c r="A112" s="7">
        <v>44382.416666666664</v>
      </c>
      <c r="B112" s="1" t="s">
        <v>75</v>
      </c>
      <c r="C112" s="1">
        <v>925.62</v>
      </c>
      <c r="D112" s="1">
        <v>504.71</v>
      </c>
    </row>
    <row r="113" spans="1:4" x14ac:dyDescent="0.25">
      <c r="A113" s="7">
        <v>44382.416666666664</v>
      </c>
      <c r="B113" s="1" t="s">
        <v>74</v>
      </c>
      <c r="C113" s="1">
        <v>7292.18</v>
      </c>
      <c r="D113" s="1">
        <v>2008.01</v>
      </c>
    </row>
    <row r="114" spans="1:4" x14ac:dyDescent="0.25">
      <c r="A114" s="7">
        <v>44382.416666666664</v>
      </c>
      <c r="B114" s="1" t="s">
        <v>76</v>
      </c>
      <c r="C114" s="1">
        <v>10486.4</v>
      </c>
      <c r="D114" s="1">
        <v>3111.11</v>
      </c>
    </row>
    <row r="115" spans="1:4" x14ac:dyDescent="0.25">
      <c r="A115" s="7">
        <v>44382.416666666664</v>
      </c>
      <c r="B115" s="1" t="s">
        <v>71</v>
      </c>
      <c r="C115" s="1">
        <v>8486.44</v>
      </c>
      <c r="D115" s="1">
        <v>3520.57</v>
      </c>
    </row>
    <row r="116" spans="1:4" x14ac:dyDescent="0.25">
      <c r="A116" s="7">
        <v>44382.416666666664</v>
      </c>
      <c r="B116" s="1" t="s">
        <v>77</v>
      </c>
      <c r="C116" s="1">
        <v>15469.95</v>
      </c>
      <c r="D116" s="1">
        <v>5460.35</v>
      </c>
    </row>
    <row r="117" spans="1:4" x14ac:dyDescent="0.25">
      <c r="A117" s="7">
        <v>44382.416666666664</v>
      </c>
      <c r="B117" s="1" t="s">
        <v>69</v>
      </c>
      <c r="C117" s="1">
        <v>6313.86</v>
      </c>
      <c r="D117" s="1">
        <v>5504</v>
      </c>
    </row>
    <row r="118" spans="1:4" x14ac:dyDescent="0.25">
      <c r="A118" s="7">
        <v>44382.416666666664</v>
      </c>
      <c r="B118" s="1" t="s">
        <v>70</v>
      </c>
      <c r="C118" s="1">
        <v>6649.78</v>
      </c>
      <c r="D118" s="1">
        <v>3308.35</v>
      </c>
    </row>
    <row r="119" spans="1:4" x14ac:dyDescent="0.25">
      <c r="A119" s="7">
        <v>44382.416666666664</v>
      </c>
      <c r="B119" s="1" t="s">
        <v>78</v>
      </c>
      <c r="C119" s="1">
        <v>2650.57</v>
      </c>
      <c r="D119" s="1">
        <v>1546.09</v>
      </c>
    </row>
    <row r="120" spans="1:4" x14ac:dyDescent="0.25">
      <c r="A120" s="7">
        <v>44382.416666666664</v>
      </c>
      <c r="B120" s="1" t="s">
        <v>72</v>
      </c>
      <c r="C120" s="1">
        <v>11221.81</v>
      </c>
      <c r="D120" s="1">
        <v>7163.97</v>
      </c>
    </row>
    <row r="121" spans="1:4" x14ac:dyDescent="0.25">
      <c r="A121" s="7">
        <v>44382.416666666664</v>
      </c>
      <c r="B121" s="1" t="s">
        <v>73</v>
      </c>
      <c r="C121" s="1">
        <v>6778.8</v>
      </c>
      <c r="D121" s="1">
        <v>1270.1400000000001</v>
      </c>
    </row>
    <row r="122" spans="1:4" x14ac:dyDescent="0.25">
      <c r="A122" s="7">
        <v>44382.416666666664</v>
      </c>
      <c r="B122" s="1" t="s">
        <v>68</v>
      </c>
      <c r="C122" s="1">
        <v>7865.33</v>
      </c>
      <c r="D122" s="1">
        <v>3720.31</v>
      </c>
    </row>
    <row r="123" spans="1:4" x14ac:dyDescent="0.25">
      <c r="A123" s="7">
        <v>44382.458333333336</v>
      </c>
      <c r="B123" s="1" t="s">
        <v>75</v>
      </c>
      <c r="C123" s="1">
        <v>1045.54</v>
      </c>
      <c r="D123" s="1">
        <v>607.77</v>
      </c>
    </row>
    <row r="124" spans="1:4" x14ac:dyDescent="0.25">
      <c r="A124" s="7">
        <v>44382.458333333336</v>
      </c>
      <c r="B124" s="1" t="s">
        <v>74</v>
      </c>
      <c r="C124" s="1">
        <v>7109.22</v>
      </c>
      <c r="D124" s="1">
        <v>2057.7800000000002</v>
      </c>
    </row>
    <row r="125" spans="1:4" x14ac:dyDescent="0.25">
      <c r="A125" s="7">
        <v>44382.458333333336</v>
      </c>
      <c r="B125" s="1" t="s">
        <v>72</v>
      </c>
      <c r="C125" s="1">
        <v>11715.51</v>
      </c>
      <c r="D125" s="1">
        <v>8049.6</v>
      </c>
    </row>
    <row r="126" spans="1:4" x14ac:dyDescent="0.25">
      <c r="A126" s="7">
        <v>44382.458333333336</v>
      </c>
      <c r="B126" s="1" t="s">
        <v>77</v>
      </c>
      <c r="C126" s="1">
        <v>15341.29</v>
      </c>
      <c r="D126" s="1">
        <v>5505.15</v>
      </c>
    </row>
    <row r="127" spans="1:4" x14ac:dyDescent="0.25">
      <c r="A127" s="7">
        <v>44382.458333333336</v>
      </c>
      <c r="B127" s="1" t="s">
        <v>69</v>
      </c>
      <c r="C127" s="1">
        <v>6716.86</v>
      </c>
      <c r="D127" s="1">
        <v>6336.77</v>
      </c>
    </row>
    <row r="128" spans="1:4" x14ac:dyDescent="0.25">
      <c r="A128" s="7">
        <v>44382.458333333336</v>
      </c>
      <c r="B128" s="1" t="s">
        <v>70</v>
      </c>
      <c r="C128" s="1">
        <v>6529.66</v>
      </c>
      <c r="D128" s="1">
        <v>3423.06</v>
      </c>
    </row>
    <row r="129" spans="1:4" x14ac:dyDescent="0.25">
      <c r="A129" s="7">
        <v>44382.458333333336</v>
      </c>
      <c r="B129" s="1" t="s">
        <v>78</v>
      </c>
      <c r="C129" s="1">
        <v>3015.99</v>
      </c>
      <c r="D129" s="1">
        <v>1775.01</v>
      </c>
    </row>
    <row r="130" spans="1:4" x14ac:dyDescent="0.25">
      <c r="A130" s="7">
        <v>44382.458333333336</v>
      </c>
      <c r="B130" s="1" t="s">
        <v>76</v>
      </c>
      <c r="C130" s="1">
        <v>10279.799999999999</v>
      </c>
      <c r="D130" s="1">
        <v>3197.36</v>
      </c>
    </row>
    <row r="131" spans="1:4" x14ac:dyDescent="0.25">
      <c r="A131" s="7">
        <v>44382.458333333336</v>
      </c>
      <c r="B131" s="1" t="s">
        <v>73</v>
      </c>
      <c r="C131" s="1">
        <v>6307.29</v>
      </c>
      <c r="D131" s="1">
        <v>1239.3800000000001</v>
      </c>
    </row>
    <row r="132" spans="1:4" x14ac:dyDescent="0.25">
      <c r="A132" s="7">
        <v>44382.458333333336</v>
      </c>
      <c r="B132" s="1" t="s">
        <v>68</v>
      </c>
      <c r="C132" s="1">
        <v>7329.57</v>
      </c>
      <c r="D132" s="1">
        <v>3636.15</v>
      </c>
    </row>
    <row r="133" spans="1:4" x14ac:dyDescent="0.25">
      <c r="A133" s="7">
        <v>44382.458333333336</v>
      </c>
      <c r="B133" s="1" t="s">
        <v>71</v>
      </c>
      <c r="C133" s="1">
        <v>7996.15</v>
      </c>
      <c r="D133" s="1">
        <v>3425.75</v>
      </c>
    </row>
    <row r="134" spans="1:4" x14ac:dyDescent="0.25">
      <c r="A134" s="7">
        <v>44382.5</v>
      </c>
      <c r="B134" s="1" t="s">
        <v>75</v>
      </c>
      <c r="C134" s="1">
        <v>807.32</v>
      </c>
      <c r="D134" s="1">
        <v>490.2</v>
      </c>
    </row>
    <row r="135" spans="1:4" x14ac:dyDescent="0.25">
      <c r="A135" s="7">
        <v>44382.5</v>
      </c>
      <c r="B135" s="1" t="s">
        <v>74</v>
      </c>
      <c r="C135" s="1">
        <v>5422.82</v>
      </c>
      <c r="D135" s="1">
        <v>1600.03</v>
      </c>
    </row>
    <row r="136" spans="1:4" x14ac:dyDescent="0.25">
      <c r="A136" s="7">
        <v>44382.5</v>
      </c>
      <c r="B136" s="1" t="s">
        <v>73</v>
      </c>
      <c r="C136" s="1">
        <v>4846.84</v>
      </c>
      <c r="D136" s="1">
        <v>933.19</v>
      </c>
    </row>
    <row r="137" spans="1:4" x14ac:dyDescent="0.25">
      <c r="A137" s="7">
        <v>44382.5</v>
      </c>
      <c r="B137" s="1" t="s">
        <v>68</v>
      </c>
      <c r="C137" s="1">
        <v>5548.19</v>
      </c>
      <c r="D137" s="1">
        <v>2803.39</v>
      </c>
    </row>
    <row r="138" spans="1:4" x14ac:dyDescent="0.25">
      <c r="A138" s="7">
        <v>44382.5</v>
      </c>
      <c r="B138" s="1" t="s">
        <v>77</v>
      </c>
      <c r="C138" s="1">
        <v>11632.96</v>
      </c>
      <c r="D138" s="1">
        <v>4143.08</v>
      </c>
    </row>
    <row r="139" spans="1:4" x14ac:dyDescent="0.25">
      <c r="A139" s="7">
        <v>44382.5</v>
      </c>
      <c r="B139" s="1" t="s">
        <v>71</v>
      </c>
      <c r="C139" s="1">
        <v>6188.24</v>
      </c>
      <c r="D139" s="1">
        <v>2684.71</v>
      </c>
    </row>
    <row r="140" spans="1:4" x14ac:dyDescent="0.25">
      <c r="A140" s="7">
        <v>44382.5</v>
      </c>
      <c r="B140" s="1" t="s">
        <v>69</v>
      </c>
      <c r="C140" s="1">
        <v>5070.53</v>
      </c>
      <c r="D140" s="1">
        <v>5009.7299999999996</v>
      </c>
    </row>
    <row r="141" spans="1:4" x14ac:dyDescent="0.25">
      <c r="A141" s="7">
        <v>44382.5</v>
      </c>
      <c r="B141" s="1" t="s">
        <v>70</v>
      </c>
      <c r="C141" s="1">
        <v>4860.8599999999997</v>
      </c>
      <c r="D141" s="1">
        <v>2669.94</v>
      </c>
    </row>
    <row r="142" spans="1:4" x14ac:dyDescent="0.25">
      <c r="A142" s="7">
        <v>44382.5</v>
      </c>
      <c r="B142" s="1" t="s">
        <v>78</v>
      </c>
      <c r="C142" s="1">
        <v>2370.1</v>
      </c>
      <c r="D142" s="1">
        <v>1374.4</v>
      </c>
    </row>
    <row r="143" spans="1:4" x14ac:dyDescent="0.25">
      <c r="A143" s="7">
        <v>44382.5</v>
      </c>
      <c r="B143" s="1" t="s">
        <v>72</v>
      </c>
      <c r="C143" s="1">
        <v>8633.7800000000007</v>
      </c>
      <c r="D143" s="1">
        <v>6248.44</v>
      </c>
    </row>
    <row r="144" spans="1:4" x14ac:dyDescent="0.25">
      <c r="A144" s="7">
        <v>44382.5</v>
      </c>
      <c r="B144" s="1" t="s">
        <v>76</v>
      </c>
      <c r="C144" s="1">
        <v>8047.83</v>
      </c>
      <c r="D144" s="1">
        <v>2516.94</v>
      </c>
    </row>
    <row r="145" spans="1:4" x14ac:dyDescent="0.25">
      <c r="A145" s="7">
        <v>44382.541666666664</v>
      </c>
      <c r="B145" s="1" t="s">
        <v>75</v>
      </c>
      <c r="C145" s="1">
        <v>604.49</v>
      </c>
      <c r="D145" s="1">
        <v>340.16</v>
      </c>
    </row>
    <row r="146" spans="1:4" x14ac:dyDescent="0.25">
      <c r="A146" s="7">
        <v>44382.541666666664</v>
      </c>
      <c r="B146" s="1" t="s">
        <v>74</v>
      </c>
      <c r="C146" s="1">
        <v>3716.18</v>
      </c>
      <c r="D146" s="1">
        <v>991.48</v>
      </c>
    </row>
    <row r="147" spans="1:4" x14ac:dyDescent="0.25">
      <c r="A147" s="7">
        <v>44382.541666666664</v>
      </c>
      <c r="B147" s="1" t="s">
        <v>76</v>
      </c>
      <c r="C147" s="1">
        <v>5538.14</v>
      </c>
      <c r="D147" s="1">
        <v>1659.25</v>
      </c>
    </row>
    <row r="148" spans="1:4" x14ac:dyDescent="0.25">
      <c r="A148" s="7">
        <v>44382.541666666664</v>
      </c>
      <c r="B148" s="1" t="s">
        <v>73</v>
      </c>
      <c r="C148" s="1">
        <v>3238.87</v>
      </c>
      <c r="D148" s="1">
        <v>562.91999999999996</v>
      </c>
    </row>
    <row r="149" spans="1:4" x14ac:dyDescent="0.25">
      <c r="A149" s="7">
        <v>44382.541666666664</v>
      </c>
      <c r="B149" s="1" t="s">
        <v>68</v>
      </c>
      <c r="C149" s="1">
        <v>3771.61</v>
      </c>
      <c r="D149" s="1">
        <v>1724.45</v>
      </c>
    </row>
    <row r="150" spans="1:4" x14ac:dyDescent="0.25">
      <c r="A150" s="7">
        <v>44382.541666666664</v>
      </c>
      <c r="B150" s="1" t="s">
        <v>71</v>
      </c>
      <c r="C150" s="1">
        <v>4173.8900000000003</v>
      </c>
      <c r="D150" s="1">
        <v>1618.27</v>
      </c>
    </row>
    <row r="151" spans="1:4" x14ac:dyDescent="0.25">
      <c r="A151" s="7">
        <v>44382.541666666664</v>
      </c>
      <c r="B151" s="1" t="s">
        <v>70</v>
      </c>
      <c r="C151" s="1">
        <v>3105.65</v>
      </c>
      <c r="D151" s="1">
        <v>1540.93</v>
      </c>
    </row>
    <row r="152" spans="1:4" x14ac:dyDescent="0.25">
      <c r="A152" s="7">
        <v>44382.541666666664</v>
      </c>
      <c r="B152" s="1" t="s">
        <v>78</v>
      </c>
      <c r="C152" s="1">
        <v>1773.87</v>
      </c>
      <c r="D152" s="1">
        <v>956.68</v>
      </c>
    </row>
    <row r="153" spans="1:4" x14ac:dyDescent="0.25">
      <c r="A153" s="7">
        <v>44382.541666666664</v>
      </c>
      <c r="B153" s="1" t="s">
        <v>72</v>
      </c>
      <c r="C153" s="1">
        <v>5793.72</v>
      </c>
      <c r="D153" s="1">
        <v>3797.14</v>
      </c>
    </row>
    <row r="154" spans="1:4" x14ac:dyDescent="0.25">
      <c r="A154" s="7">
        <v>44382.541666666664</v>
      </c>
      <c r="B154" s="1" t="s">
        <v>77</v>
      </c>
      <c r="C154" s="1">
        <v>9806.14</v>
      </c>
      <c r="D154" s="1">
        <v>3340.37</v>
      </c>
    </row>
    <row r="155" spans="1:4" x14ac:dyDescent="0.25">
      <c r="A155" s="7">
        <v>44382.541666666664</v>
      </c>
      <c r="B155" s="1" t="s">
        <v>69</v>
      </c>
      <c r="C155" s="1">
        <v>3575.71</v>
      </c>
      <c r="D155" s="1">
        <v>3093.38</v>
      </c>
    </row>
    <row r="156" spans="1:4" x14ac:dyDescent="0.25">
      <c r="A156" s="7">
        <v>44382.583333333336</v>
      </c>
      <c r="B156" s="1" t="s">
        <v>75</v>
      </c>
      <c r="C156" s="1">
        <v>1094.5999999999999</v>
      </c>
      <c r="D156" s="1">
        <v>708.17</v>
      </c>
    </row>
    <row r="157" spans="1:4" x14ac:dyDescent="0.25">
      <c r="A157" s="7">
        <v>44382.583333333336</v>
      </c>
      <c r="B157" s="1" t="s">
        <v>74</v>
      </c>
      <c r="C157" s="1">
        <v>6642.36</v>
      </c>
      <c r="D157" s="1">
        <v>1863.31</v>
      </c>
    </row>
    <row r="158" spans="1:4" x14ac:dyDescent="0.25">
      <c r="A158" s="7">
        <v>44382.583333333336</v>
      </c>
      <c r="B158" s="1" t="s">
        <v>78</v>
      </c>
      <c r="C158" s="1">
        <v>3078.2</v>
      </c>
      <c r="D158" s="1">
        <v>1825.59</v>
      </c>
    </row>
    <row r="159" spans="1:4" x14ac:dyDescent="0.25">
      <c r="A159" s="7">
        <v>44382.583333333336</v>
      </c>
      <c r="B159" s="1" t="s">
        <v>76</v>
      </c>
      <c r="C159" s="1">
        <v>9014.92</v>
      </c>
      <c r="D159" s="1">
        <v>2902.48</v>
      </c>
    </row>
    <row r="160" spans="1:4" x14ac:dyDescent="0.25">
      <c r="A160" s="7">
        <v>44382.583333333336</v>
      </c>
      <c r="B160" s="1" t="s">
        <v>68</v>
      </c>
      <c r="C160" s="1">
        <v>6590.27</v>
      </c>
      <c r="D160" s="1">
        <v>2969.16</v>
      </c>
    </row>
    <row r="161" spans="1:4" x14ac:dyDescent="0.25">
      <c r="A161" s="7">
        <v>44382.583333333336</v>
      </c>
      <c r="B161" s="1" t="s">
        <v>71</v>
      </c>
      <c r="C161" s="1">
        <v>7098.56</v>
      </c>
      <c r="D161" s="1">
        <v>2703.17</v>
      </c>
    </row>
    <row r="162" spans="1:4" x14ac:dyDescent="0.25">
      <c r="A162" s="7">
        <v>44382.583333333336</v>
      </c>
      <c r="B162" s="1" t="s">
        <v>69</v>
      </c>
      <c r="C162" s="1">
        <v>6674.95</v>
      </c>
      <c r="D162" s="1">
        <v>6133.27</v>
      </c>
    </row>
    <row r="163" spans="1:4" x14ac:dyDescent="0.25">
      <c r="A163" s="7">
        <v>44382.583333333336</v>
      </c>
      <c r="B163" s="1" t="s">
        <v>73</v>
      </c>
      <c r="C163" s="1">
        <v>5565.97</v>
      </c>
      <c r="D163" s="1">
        <v>994.11</v>
      </c>
    </row>
    <row r="164" spans="1:4" x14ac:dyDescent="0.25">
      <c r="A164" s="7">
        <v>44382.583333333336</v>
      </c>
      <c r="B164" s="1" t="s">
        <v>72</v>
      </c>
      <c r="C164" s="1">
        <v>11607.86</v>
      </c>
      <c r="D164" s="1">
        <v>7829.27</v>
      </c>
    </row>
    <row r="165" spans="1:4" x14ac:dyDescent="0.25">
      <c r="A165" s="7">
        <v>44382.583333333336</v>
      </c>
      <c r="B165" s="1" t="s">
        <v>77</v>
      </c>
      <c r="C165" s="1">
        <v>15169.92</v>
      </c>
      <c r="D165" s="1">
        <v>5398.45</v>
      </c>
    </row>
    <row r="166" spans="1:4" x14ac:dyDescent="0.25">
      <c r="A166" s="7">
        <v>44382.583333333336</v>
      </c>
      <c r="B166" s="1" t="s">
        <v>70</v>
      </c>
      <c r="C166" s="1">
        <v>5963.72</v>
      </c>
      <c r="D166" s="1">
        <v>3038.58</v>
      </c>
    </row>
    <row r="167" spans="1:4" x14ac:dyDescent="0.25">
      <c r="A167" s="7">
        <v>44382.625</v>
      </c>
      <c r="B167" s="1" t="s">
        <v>75</v>
      </c>
      <c r="C167" s="1">
        <v>1038.32</v>
      </c>
      <c r="D167" s="1">
        <v>683.92</v>
      </c>
    </row>
    <row r="168" spans="1:4" x14ac:dyDescent="0.25">
      <c r="A168" s="7">
        <v>44382.625</v>
      </c>
      <c r="B168" s="1" t="s">
        <v>74</v>
      </c>
      <c r="C168" s="1">
        <v>6184.62</v>
      </c>
      <c r="D168" s="1">
        <v>1843.13</v>
      </c>
    </row>
    <row r="169" spans="1:4" x14ac:dyDescent="0.25">
      <c r="A169" s="7">
        <v>44382.625</v>
      </c>
      <c r="B169" s="1" t="s">
        <v>72</v>
      </c>
      <c r="C169" s="1">
        <v>11158.65</v>
      </c>
      <c r="D169" s="1">
        <v>7778.7</v>
      </c>
    </row>
    <row r="170" spans="1:4" x14ac:dyDescent="0.25">
      <c r="A170" s="7">
        <v>44382.625</v>
      </c>
      <c r="B170" s="1" t="s">
        <v>76</v>
      </c>
      <c r="C170" s="1">
        <v>8879.81</v>
      </c>
      <c r="D170" s="1">
        <v>2934.62</v>
      </c>
    </row>
    <row r="171" spans="1:4" x14ac:dyDescent="0.25">
      <c r="A171" s="7">
        <v>44382.625</v>
      </c>
      <c r="B171" s="1" t="s">
        <v>69</v>
      </c>
      <c r="C171" s="1">
        <v>6369.04</v>
      </c>
      <c r="D171" s="1">
        <v>6009.25</v>
      </c>
    </row>
    <row r="172" spans="1:4" x14ac:dyDescent="0.25">
      <c r="A172" s="7">
        <v>44382.625</v>
      </c>
      <c r="B172" s="1" t="s">
        <v>70</v>
      </c>
      <c r="C172" s="1">
        <v>6027.43</v>
      </c>
      <c r="D172" s="1">
        <v>3126.27</v>
      </c>
    </row>
    <row r="173" spans="1:4" x14ac:dyDescent="0.25">
      <c r="A173" s="7">
        <v>44382.625</v>
      </c>
      <c r="B173" s="1" t="s">
        <v>78</v>
      </c>
      <c r="C173" s="1">
        <v>2944.24</v>
      </c>
      <c r="D173" s="1">
        <v>1770.9</v>
      </c>
    </row>
    <row r="174" spans="1:4" x14ac:dyDescent="0.25">
      <c r="A174" s="7">
        <v>44382.625</v>
      </c>
      <c r="B174" s="1" t="s">
        <v>73</v>
      </c>
      <c r="C174" s="1">
        <v>5819.53</v>
      </c>
      <c r="D174" s="1">
        <v>1099.98</v>
      </c>
    </row>
    <row r="175" spans="1:4" x14ac:dyDescent="0.25">
      <c r="A175" s="7">
        <v>44382.625</v>
      </c>
      <c r="B175" s="1" t="s">
        <v>68</v>
      </c>
      <c r="C175" s="1">
        <v>6962.71</v>
      </c>
      <c r="D175" s="1">
        <v>3171.24</v>
      </c>
    </row>
    <row r="176" spans="1:4" x14ac:dyDescent="0.25">
      <c r="A176" s="7">
        <v>44382.625</v>
      </c>
      <c r="B176" s="1" t="s">
        <v>77</v>
      </c>
      <c r="C176" s="1">
        <v>14044.8</v>
      </c>
      <c r="D176" s="1">
        <v>5014.22</v>
      </c>
    </row>
    <row r="177" spans="1:4" x14ac:dyDescent="0.25">
      <c r="A177" s="7">
        <v>44382.625</v>
      </c>
      <c r="B177" s="1" t="s">
        <v>71</v>
      </c>
      <c r="C177" s="1">
        <v>7032.42</v>
      </c>
      <c r="D177" s="1">
        <v>2902.39</v>
      </c>
    </row>
    <row r="178" spans="1:4" x14ac:dyDescent="0.25">
      <c r="A178" s="7">
        <v>44382.666666666664</v>
      </c>
      <c r="B178" s="1" t="s">
        <v>74</v>
      </c>
      <c r="C178" s="1">
        <v>5756.33</v>
      </c>
      <c r="D178" s="1">
        <v>1790.09</v>
      </c>
    </row>
    <row r="179" spans="1:4" x14ac:dyDescent="0.25">
      <c r="A179" s="7">
        <v>44382.666666666664</v>
      </c>
      <c r="B179" s="1" t="s">
        <v>75</v>
      </c>
      <c r="C179" s="1">
        <v>951.56</v>
      </c>
      <c r="D179" s="1">
        <v>621.13</v>
      </c>
    </row>
    <row r="180" spans="1:4" x14ac:dyDescent="0.25">
      <c r="A180" s="7">
        <v>44382.666666666664</v>
      </c>
      <c r="B180" s="1" t="s">
        <v>72</v>
      </c>
      <c r="C180" s="1">
        <v>9732.39</v>
      </c>
      <c r="D180" s="1">
        <v>7046.96</v>
      </c>
    </row>
    <row r="181" spans="1:4" x14ac:dyDescent="0.25">
      <c r="A181" s="7">
        <v>44382.666666666664</v>
      </c>
      <c r="B181" s="1" t="s">
        <v>71</v>
      </c>
      <c r="C181" s="1">
        <v>6306.94</v>
      </c>
      <c r="D181" s="1">
        <v>2831.66</v>
      </c>
    </row>
    <row r="182" spans="1:4" x14ac:dyDescent="0.25">
      <c r="A182" s="7">
        <v>44382.666666666664</v>
      </c>
      <c r="B182" s="1" t="s">
        <v>77</v>
      </c>
      <c r="C182" s="1">
        <v>12911.59</v>
      </c>
      <c r="D182" s="1">
        <v>4764.3900000000003</v>
      </c>
    </row>
    <row r="183" spans="1:4" x14ac:dyDescent="0.25">
      <c r="A183" s="7">
        <v>44382.666666666664</v>
      </c>
      <c r="B183" s="1" t="s">
        <v>69</v>
      </c>
      <c r="C183" s="1">
        <v>5602.18</v>
      </c>
      <c r="D183" s="1">
        <v>5296.18</v>
      </c>
    </row>
    <row r="184" spans="1:4" x14ac:dyDescent="0.25">
      <c r="A184" s="7">
        <v>44382.666666666664</v>
      </c>
      <c r="B184" s="1" t="s">
        <v>70</v>
      </c>
      <c r="C184" s="1">
        <v>5524.63</v>
      </c>
      <c r="D184" s="1">
        <v>2977.99</v>
      </c>
    </row>
    <row r="185" spans="1:4" x14ac:dyDescent="0.25">
      <c r="A185" s="7">
        <v>44382.666666666664</v>
      </c>
      <c r="B185" s="1" t="s">
        <v>78</v>
      </c>
      <c r="C185" s="1">
        <v>2502.88</v>
      </c>
      <c r="D185" s="1">
        <v>1560.54</v>
      </c>
    </row>
    <row r="186" spans="1:4" x14ac:dyDescent="0.25">
      <c r="A186" s="7">
        <v>44382.666666666664</v>
      </c>
      <c r="B186" s="1" t="s">
        <v>76</v>
      </c>
      <c r="C186" s="1">
        <v>8220.85</v>
      </c>
      <c r="D186" s="1">
        <v>2768.06</v>
      </c>
    </row>
    <row r="187" spans="1:4" x14ac:dyDescent="0.25">
      <c r="A187" s="7">
        <v>44382.666666666664</v>
      </c>
      <c r="B187" s="1" t="s">
        <v>73</v>
      </c>
      <c r="C187" s="1">
        <v>5382.82</v>
      </c>
      <c r="D187" s="1">
        <v>1085.07</v>
      </c>
    </row>
    <row r="188" spans="1:4" x14ac:dyDescent="0.25">
      <c r="A188" s="7">
        <v>44382.666666666664</v>
      </c>
      <c r="B188" s="1" t="s">
        <v>68</v>
      </c>
      <c r="C188" s="1">
        <v>6377.02</v>
      </c>
      <c r="D188" s="1">
        <v>3101.86</v>
      </c>
    </row>
    <row r="189" spans="1:4" x14ac:dyDescent="0.25">
      <c r="A189" s="7">
        <v>44382.708333333336</v>
      </c>
      <c r="B189" s="1" t="s">
        <v>74</v>
      </c>
      <c r="C189" s="1">
        <v>6107.84</v>
      </c>
      <c r="D189" s="1">
        <v>1856.3</v>
      </c>
    </row>
    <row r="190" spans="1:4" x14ac:dyDescent="0.25">
      <c r="A190" s="7">
        <v>44382.708333333336</v>
      </c>
      <c r="B190" s="1" t="s">
        <v>75</v>
      </c>
      <c r="C190" s="1">
        <v>903.68</v>
      </c>
      <c r="D190" s="1">
        <v>599.53</v>
      </c>
    </row>
    <row r="191" spans="1:4" x14ac:dyDescent="0.25">
      <c r="A191" s="7">
        <v>44382.708333333336</v>
      </c>
      <c r="B191" s="1" t="s">
        <v>73</v>
      </c>
      <c r="C191" s="1">
        <v>5439.8</v>
      </c>
      <c r="D191" s="1">
        <v>1122.19</v>
      </c>
    </row>
    <row r="192" spans="1:4" x14ac:dyDescent="0.25">
      <c r="A192" s="7">
        <v>44382.708333333336</v>
      </c>
      <c r="B192" s="1" t="s">
        <v>68</v>
      </c>
      <c r="C192" s="1">
        <v>6398.99</v>
      </c>
      <c r="D192" s="1">
        <v>3288.85</v>
      </c>
    </row>
    <row r="193" spans="1:4" x14ac:dyDescent="0.25">
      <c r="A193" s="7">
        <v>44382.708333333336</v>
      </c>
      <c r="B193" s="1" t="s">
        <v>77</v>
      </c>
      <c r="C193" s="1">
        <v>13518.39</v>
      </c>
      <c r="D193" s="1">
        <v>5100.09</v>
      </c>
    </row>
    <row r="194" spans="1:4" x14ac:dyDescent="0.25">
      <c r="A194" s="7">
        <v>44382.708333333336</v>
      </c>
      <c r="B194" s="1" t="s">
        <v>71</v>
      </c>
      <c r="C194" s="1">
        <v>6240.65</v>
      </c>
      <c r="D194" s="1">
        <v>2923.97</v>
      </c>
    </row>
    <row r="195" spans="1:4" x14ac:dyDescent="0.25">
      <c r="A195" s="7">
        <v>44382.708333333336</v>
      </c>
      <c r="B195" s="1" t="s">
        <v>70</v>
      </c>
      <c r="C195" s="1">
        <v>5521.88</v>
      </c>
      <c r="D195" s="1">
        <v>2973.56</v>
      </c>
    </row>
    <row r="196" spans="1:4" x14ac:dyDescent="0.25">
      <c r="A196" s="7">
        <v>44382.708333333336</v>
      </c>
      <c r="B196" s="1" t="s">
        <v>78</v>
      </c>
      <c r="C196" s="1">
        <v>2438.11</v>
      </c>
      <c r="D196" s="1">
        <v>1563.49</v>
      </c>
    </row>
    <row r="197" spans="1:4" x14ac:dyDescent="0.25">
      <c r="A197" s="7">
        <v>44382.708333333336</v>
      </c>
      <c r="B197" s="1" t="s">
        <v>76</v>
      </c>
      <c r="C197" s="1">
        <v>8026.47</v>
      </c>
      <c r="D197" s="1">
        <v>2803.92</v>
      </c>
    </row>
    <row r="198" spans="1:4" x14ac:dyDescent="0.25">
      <c r="A198" s="7">
        <v>44382.708333333336</v>
      </c>
      <c r="B198" s="1" t="s">
        <v>72</v>
      </c>
      <c r="C198" s="1">
        <v>9643.7800000000007</v>
      </c>
      <c r="D198" s="1">
        <v>7006.21</v>
      </c>
    </row>
    <row r="199" spans="1:4" x14ac:dyDescent="0.25">
      <c r="A199" s="7">
        <v>44382.708333333336</v>
      </c>
      <c r="B199" s="1" t="s">
        <v>69</v>
      </c>
      <c r="C199" s="1">
        <v>5409.27</v>
      </c>
      <c r="D199" s="1">
        <v>5060.97</v>
      </c>
    </row>
    <row r="200" spans="1:4" x14ac:dyDescent="0.25">
      <c r="A200" s="7">
        <v>44382.75</v>
      </c>
      <c r="B200" s="1" t="s">
        <v>75</v>
      </c>
      <c r="C200" s="1">
        <v>664.03</v>
      </c>
      <c r="D200" s="1">
        <v>359.48</v>
      </c>
    </row>
    <row r="201" spans="1:4" x14ac:dyDescent="0.25">
      <c r="A201" s="7">
        <v>44382.75</v>
      </c>
      <c r="B201" s="1" t="s">
        <v>74</v>
      </c>
      <c r="C201" s="1">
        <v>5173.99</v>
      </c>
      <c r="D201" s="1">
        <v>1333.88</v>
      </c>
    </row>
    <row r="202" spans="1:4" x14ac:dyDescent="0.25">
      <c r="A202" s="7">
        <v>44382.75</v>
      </c>
      <c r="B202" s="1" t="s">
        <v>71</v>
      </c>
      <c r="C202" s="1">
        <v>4790.8599999999997</v>
      </c>
      <c r="D202" s="1">
        <v>2152.31</v>
      </c>
    </row>
    <row r="203" spans="1:4" x14ac:dyDescent="0.25">
      <c r="A203" s="7">
        <v>44382.75</v>
      </c>
      <c r="B203" s="1" t="s">
        <v>68</v>
      </c>
      <c r="C203" s="1">
        <v>5268.42</v>
      </c>
      <c r="D203" s="1">
        <v>2543.1999999999998</v>
      </c>
    </row>
    <row r="204" spans="1:4" x14ac:dyDescent="0.25">
      <c r="A204" s="7">
        <v>44382.75</v>
      </c>
      <c r="B204" s="1" t="s">
        <v>77</v>
      </c>
      <c r="C204" s="1">
        <v>10441.25</v>
      </c>
      <c r="D204" s="1">
        <v>3652.68</v>
      </c>
    </row>
    <row r="205" spans="1:4" x14ac:dyDescent="0.25">
      <c r="A205" s="7">
        <v>44382.75</v>
      </c>
      <c r="B205" s="1" t="s">
        <v>70</v>
      </c>
      <c r="C205" s="1">
        <v>4015.3</v>
      </c>
      <c r="D205" s="1">
        <v>1941.74</v>
      </c>
    </row>
    <row r="206" spans="1:4" x14ac:dyDescent="0.25">
      <c r="A206" s="7">
        <v>44382.75</v>
      </c>
      <c r="B206" s="1" t="s">
        <v>78</v>
      </c>
      <c r="C206" s="1">
        <v>1723.62</v>
      </c>
      <c r="D206" s="1">
        <v>967.69</v>
      </c>
    </row>
    <row r="207" spans="1:4" x14ac:dyDescent="0.25">
      <c r="A207" s="7">
        <v>44382.75</v>
      </c>
      <c r="B207" s="1" t="s">
        <v>72</v>
      </c>
      <c r="C207" s="1">
        <v>6555.34</v>
      </c>
      <c r="D207" s="1">
        <v>4209.32</v>
      </c>
    </row>
    <row r="208" spans="1:4" x14ac:dyDescent="0.25">
      <c r="A208" s="7">
        <v>44382.75</v>
      </c>
      <c r="B208" s="1" t="s">
        <v>76</v>
      </c>
      <c r="C208" s="1">
        <v>5961.63</v>
      </c>
      <c r="D208" s="1">
        <v>1851.27</v>
      </c>
    </row>
    <row r="209" spans="1:4" x14ac:dyDescent="0.25">
      <c r="A209" s="7">
        <v>44382.75</v>
      </c>
      <c r="B209" s="1" t="s">
        <v>73</v>
      </c>
      <c r="C209" s="1">
        <v>4181.68</v>
      </c>
      <c r="D209" s="1">
        <v>781.78</v>
      </c>
    </row>
    <row r="210" spans="1:4" x14ac:dyDescent="0.25">
      <c r="A210" s="7">
        <v>44382.75</v>
      </c>
      <c r="B210" s="1" t="s">
        <v>69</v>
      </c>
      <c r="C210" s="1">
        <v>3672.18</v>
      </c>
      <c r="D210" s="1">
        <v>2929.14</v>
      </c>
    </row>
    <row r="211" spans="1:4" x14ac:dyDescent="0.25">
      <c r="A211" s="7">
        <v>44382.791666666664</v>
      </c>
      <c r="B211" s="1" t="s">
        <v>75</v>
      </c>
      <c r="C211" s="1">
        <v>2260.4299999999998</v>
      </c>
      <c r="D211" s="1">
        <v>1334.42</v>
      </c>
    </row>
    <row r="212" spans="1:4" x14ac:dyDescent="0.25">
      <c r="A212" s="7">
        <v>44382.791666666664</v>
      </c>
      <c r="B212" s="1" t="s">
        <v>74</v>
      </c>
      <c r="C212" s="1">
        <v>13434.39</v>
      </c>
      <c r="D212" s="1">
        <v>3450.82</v>
      </c>
    </row>
    <row r="213" spans="1:4" x14ac:dyDescent="0.25">
      <c r="A213" s="7">
        <v>44382.791666666664</v>
      </c>
      <c r="B213" s="1" t="s">
        <v>78</v>
      </c>
      <c r="C213" s="1">
        <v>5304.64</v>
      </c>
      <c r="D213" s="1">
        <v>3319.29</v>
      </c>
    </row>
    <row r="214" spans="1:4" x14ac:dyDescent="0.25">
      <c r="A214" s="7">
        <v>44382.791666666664</v>
      </c>
      <c r="B214" s="1" t="s">
        <v>76</v>
      </c>
      <c r="C214" s="1">
        <v>19921.759999999998</v>
      </c>
      <c r="D214" s="1">
        <v>5771.84</v>
      </c>
    </row>
    <row r="215" spans="1:4" x14ac:dyDescent="0.25">
      <c r="A215" s="7">
        <v>44382.791666666664</v>
      </c>
      <c r="B215" s="1" t="s">
        <v>68</v>
      </c>
      <c r="C215" s="1">
        <v>15161.12</v>
      </c>
      <c r="D215" s="1">
        <v>6648.33</v>
      </c>
    </row>
    <row r="216" spans="1:4" x14ac:dyDescent="0.25">
      <c r="A216" s="7">
        <v>44382.791666666664</v>
      </c>
      <c r="B216" s="1" t="s">
        <v>71</v>
      </c>
      <c r="C216" s="1">
        <v>15473.84</v>
      </c>
      <c r="D216" s="1">
        <v>6100.9</v>
      </c>
    </row>
    <row r="217" spans="1:4" x14ac:dyDescent="0.25">
      <c r="A217" s="7">
        <v>44382.791666666664</v>
      </c>
      <c r="B217" s="1" t="s">
        <v>69</v>
      </c>
      <c r="C217" s="1">
        <v>11687.15</v>
      </c>
      <c r="D217" s="1">
        <v>9515.69</v>
      </c>
    </row>
    <row r="218" spans="1:4" x14ac:dyDescent="0.25">
      <c r="A218" s="7">
        <v>44382.791666666664</v>
      </c>
      <c r="B218" s="1" t="s">
        <v>72</v>
      </c>
      <c r="C218" s="1">
        <v>20275.300999999999</v>
      </c>
      <c r="D218" s="1">
        <v>12791.77</v>
      </c>
    </row>
    <row r="219" spans="1:4" x14ac:dyDescent="0.25">
      <c r="A219" s="7">
        <v>44382.791666666664</v>
      </c>
      <c r="B219" s="1" t="s">
        <v>73</v>
      </c>
      <c r="C219" s="1">
        <v>12571.96</v>
      </c>
      <c r="D219" s="1">
        <v>2164</v>
      </c>
    </row>
    <row r="220" spans="1:4" x14ac:dyDescent="0.25">
      <c r="A220" s="7">
        <v>44382.791666666664</v>
      </c>
      <c r="B220" s="1" t="s">
        <v>77</v>
      </c>
      <c r="C220" s="1">
        <v>30772.061000000002</v>
      </c>
      <c r="D220" s="1">
        <v>10505.33</v>
      </c>
    </row>
    <row r="221" spans="1:4" x14ac:dyDescent="0.25">
      <c r="A221" s="7">
        <v>44382.791666666664</v>
      </c>
      <c r="B221" s="1" t="s">
        <v>70</v>
      </c>
      <c r="C221" s="1">
        <v>13060.14</v>
      </c>
      <c r="D221" s="1">
        <v>6197.18</v>
      </c>
    </row>
    <row r="222" spans="1:4" x14ac:dyDescent="0.25">
      <c r="A222" s="7">
        <v>44382.833333333336</v>
      </c>
      <c r="B222" s="1" t="s">
        <v>74</v>
      </c>
      <c r="C222" s="1">
        <v>12049.07</v>
      </c>
      <c r="D222" s="1">
        <v>3220.37</v>
      </c>
    </row>
    <row r="223" spans="1:4" x14ac:dyDescent="0.25">
      <c r="A223" s="7">
        <v>44382.833333333336</v>
      </c>
      <c r="B223" s="1" t="s">
        <v>78</v>
      </c>
      <c r="C223" s="1">
        <v>4286.63</v>
      </c>
      <c r="D223" s="1">
        <v>2793.3</v>
      </c>
    </row>
    <row r="224" spans="1:4" x14ac:dyDescent="0.25">
      <c r="A224" s="7">
        <v>44382.833333333336</v>
      </c>
      <c r="B224" s="1" t="s">
        <v>75</v>
      </c>
      <c r="C224" s="1">
        <v>1798.44</v>
      </c>
      <c r="D224" s="1">
        <v>1052.46</v>
      </c>
    </row>
    <row r="225" spans="1:4" x14ac:dyDescent="0.25">
      <c r="A225" s="7">
        <v>44382.833333333336</v>
      </c>
      <c r="B225" s="1" t="s">
        <v>76</v>
      </c>
      <c r="C225" s="1">
        <v>17978.82</v>
      </c>
      <c r="D225" s="1">
        <v>5029.84</v>
      </c>
    </row>
    <row r="226" spans="1:4" x14ac:dyDescent="0.25">
      <c r="A226" s="7">
        <v>44382.833333333336</v>
      </c>
      <c r="B226" s="1" t="s">
        <v>72</v>
      </c>
      <c r="C226" s="1">
        <v>16446.59</v>
      </c>
      <c r="D226" s="1">
        <v>11020.12</v>
      </c>
    </row>
    <row r="227" spans="1:4" x14ac:dyDescent="0.25">
      <c r="A227" s="7">
        <v>44382.833333333336</v>
      </c>
      <c r="B227" s="1" t="s">
        <v>68</v>
      </c>
      <c r="C227" s="1">
        <v>12968.95</v>
      </c>
      <c r="D227" s="1">
        <v>6093.28</v>
      </c>
    </row>
    <row r="228" spans="1:4" x14ac:dyDescent="0.25">
      <c r="A228" s="7">
        <v>44382.833333333336</v>
      </c>
      <c r="B228" s="1" t="s">
        <v>69</v>
      </c>
      <c r="C228" s="1">
        <v>9958.11</v>
      </c>
      <c r="D228" s="1">
        <v>8624.4599999999991</v>
      </c>
    </row>
    <row r="229" spans="1:4" x14ac:dyDescent="0.25">
      <c r="A229" s="7">
        <v>44382.833333333336</v>
      </c>
      <c r="B229" s="1" t="s">
        <v>70</v>
      </c>
      <c r="C229" s="1">
        <v>10598.04</v>
      </c>
      <c r="D229" s="1">
        <v>5177.8</v>
      </c>
    </row>
    <row r="230" spans="1:4" x14ac:dyDescent="0.25">
      <c r="A230" s="7">
        <v>44382.833333333336</v>
      </c>
      <c r="B230" s="1" t="s">
        <v>73</v>
      </c>
      <c r="C230" s="1">
        <v>11037.62</v>
      </c>
      <c r="D230" s="1">
        <v>1994.02</v>
      </c>
    </row>
    <row r="231" spans="1:4" x14ac:dyDescent="0.25">
      <c r="A231" s="7">
        <v>44382.833333333336</v>
      </c>
      <c r="B231" s="1" t="s">
        <v>77</v>
      </c>
      <c r="C231" s="1">
        <v>25660.43</v>
      </c>
      <c r="D231" s="1">
        <v>8793</v>
      </c>
    </row>
    <row r="232" spans="1:4" x14ac:dyDescent="0.25">
      <c r="A232" s="7">
        <v>44382.833333333336</v>
      </c>
      <c r="B232" s="1" t="s">
        <v>71</v>
      </c>
      <c r="C232" s="1">
        <v>14000.89</v>
      </c>
      <c r="D232" s="1">
        <v>5731.76</v>
      </c>
    </row>
    <row r="233" spans="1:4" x14ac:dyDescent="0.25">
      <c r="A233" s="7">
        <v>44382.875</v>
      </c>
      <c r="B233" s="1" t="s">
        <v>74</v>
      </c>
      <c r="C233" s="1">
        <v>9421.31</v>
      </c>
      <c r="D233" s="1">
        <v>2620.77</v>
      </c>
    </row>
    <row r="234" spans="1:4" x14ac:dyDescent="0.25">
      <c r="A234" s="7">
        <v>44382.875</v>
      </c>
      <c r="B234" s="1" t="s">
        <v>75</v>
      </c>
      <c r="C234" s="1">
        <v>1710.74</v>
      </c>
      <c r="D234" s="1">
        <v>1036.4100000000001</v>
      </c>
    </row>
    <row r="235" spans="1:4" x14ac:dyDescent="0.25">
      <c r="A235" s="7">
        <v>44382.875</v>
      </c>
      <c r="B235" s="1" t="s">
        <v>76</v>
      </c>
      <c r="C235" s="1">
        <v>15059.91</v>
      </c>
      <c r="D235" s="1">
        <v>4148.17</v>
      </c>
    </row>
    <row r="236" spans="1:4" x14ac:dyDescent="0.25">
      <c r="A236" s="7">
        <v>44382.875</v>
      </c>
      <c r="B236" s="1" t="s">
        <v>73</v>
      </c>
      <c r="C236" s="1">
        <v>9914.56</v>
      </c>
      <c r="D236" s="1">
        <v>1786.96</v>
      </c>
    </row>
    <row r="237" spans="1:4" x14ac:dyDescent="0.25">
      <c r="A237" s="7">
        <v>44382.875</v>
      </c>
      <c r="B237" s="1" t="s">
        <v>77</v>
      </c>
      <c r="C237" s="1">
        <v>23118.32</v>
      </c>
      <c r="D237" s="1">
        <v>8069.21</v>
      </c>
    </row>
    <row r="238" spans="1:4" x14ac:dyDescent="0.25">
      <c r="A238" s="7">
        <v>44382.875</v>
      </c>
      <c r="B238" s="1" t="s">
        <v>71</v>
      </c>
      <c r="C238" s="1">
        <v>12461.4</v>
      </c>
      <c r="D238" s="1">
        <v>5089.67</v>
      </c>
    </row>
    <row r="239" spans="1:4" x14ac:dyDescent="0.25">
      <c r="A239" s="7">
        <v>44382.875</v>
      </c>
      <c r="B239" s="1" t="s">
        <v>70</v>
      </c>
      <c r="C239" s="1">
        <v>9680.43</v>
      </c>
      <c r="D239" s="1">
        <v>4768.3599999999997</v>
      </c>
    </row>
    <row r="240" spans="1:4" x14ac:dyDescent="0.25">
      <c r="A240" s="7">
        <v>44382.875</v>
      </c>
      <c r="B240" s="1" t="s">
        <v>78</v>
      </c>
      <c r="C240" s="1">
        <v>4180.33</v>
      </c>
      <c r="D240" s="1">
        <v>2626.62</v>
      </c>
    </row>
    <row r="241" spans="1:4" x14ac:dyDescent="0.25">
      <c r="A241" s="7">
        <v>44382.875</v>
      </c>
      <c r="B241" s="1" t="s">
        <v>72</v>
      </c>
      <c r="C241" s="1">
        <v>14773.16</v>
      </c>
      <c r="D241" s="1">
        <v>9867.3700000000008</v>
      </c>
    </row>
    <row r="242" spans="1:4" x14ac:dyDescent="0.25">
      <c r="A242" s="7">
        <v>44382.875</v>
      </c>
      <c r="B242" s="1" t="s">
        <v>68</v>
      </c>
      <c r="C242" s="1">
        <v>11612.96</v>
      </c>
      <c r="D242" s="1">
        <v>5522.87</v>
      </c>
    </row>
    <row r="243" spans="1:4" x14ac:dyDescent="0.25">
      <c r="A243" s="7">
        <v>44382.875</v>
      </c>
      <c r="B243" s="1" t="s">
        <v>69</v>
      </c>
      <c r="C243" s="1">
        <v>8858.1</v>
      </c>
      <c r="D243" s="1">
        <v>7610.85</v>
      </c>
    </row>
    <row r="244" spans="1:4" x14ac:dyDescent="0.25">
      <c r="A244" s="7">
        <v>44382.916666666664</v>
      </c>
      <c r="B244" s="1" t="s">
        <v>75</v>
      </c>
      <c r="C244" s="1">
        <v>1521.51</v>
      </c>
      <c r="D244" s="1">
        <v>1016.52</v>
      </c>
    </row>
    <row r="245" spans="1:4" x14ac:dyDescent="0.25">
      <c r="A245" s="7">
        <v>44382.916666666664</v>
      </c>
      <c r="B245" s="1" t="s">
        <v>74</v>
      </c>
      <c r="C245" s="1">
        <v>5958.1</v>
      </c>
      <c r="D245" s="1">
        <v>1908.48</v>
      </c>
    </row>
    <row r="246" spans="1:4" x14ac:dyDescent="0.25">
      <c r="A246" s="7">
        <v>44382.916666666664</v>
      </c>
      <c r="B246" s="1" t="s">
        <v>73</v>
      </c>
      <c r="C246" s="1">
        <v>7420.9</v>
      </c>
      <c r="D246" s="1">
        <v>1448.63</v>
      </c>
    </row>
    <row r="247" spans="1:4" x14ac:dyDescent="0.25">
      <c r="A247" s="7">
        <v>44382.916666666664</v>
      </c>
      <c r="B247" s="1" t="s">
        <v>77</v>
      </c>
      <c r="C247" s="1">
        <v>17826.16</v>
      </c>
      <c r="D247" s="1">
        <v>6412.71</v>
      </c>
    </row>
    <row r="248" spans="1:4" x14ac:dyDescent="0.25">
      <c r="A248" s="7">
        <v>44382.916666666664</v>
      </c>
      <c r="B248" s="1" t="s">
        <v>71</v>
      </c>
      <c r="C248" s="1">
        <v>8248.8700000000008</v>
      </c>
      <c r="D248" s="1">
        <v>3698.27</v>
      </c>
    </row>
    <row r="249" spans="1:4" x14ac:dyDescent="0.25">
      <c r="A249" s="7">
        <v>44382.916666666664</v>
      </c>
      <c r="B249" s="1" t="s">
        <v>70</v>
      </c>
      <c r="C249" s="1">
        <v>7872.54</v>
      </c>
      <c r="D249" s="1">
        <v>3962.18</v>
      </c>
    </row>
    <row r="250" spans="1:4" x14ac:dyDescent="0.25">
      <c r="A250" s="7">
        <v>44382.916666666664</v>
      </c>
      <c r="B250" s="1" t="s">
        <v>78</v>
      </c>
      <c r="C250" s="1">
        <v>3652.35</v>
      </c>
      <c r="D250" s="1">
        <v>2393.08</v>
      </c>
    </row>
    <row r="251" spans="1:4" x14ac:dyDescent="0.25">
      <c r="A251" s="7">
        <v>44382.916666666664</v>
      </c>
      <c r="B251" s="1" t="s">
        <v>72</v>
      </c>
      <c r="C251" s="1">
        <v>13501.26</v>
      </c>
      <c r="D251" s="1">
        <v>9326.58</v>
      </c>
    </row>
    <row r="252" spans="1:4" x14ac:dyDescent="0.25">
      <c r="A252" s="7">
        <v>44382.916666666664</v>
      </c>
      <c r="B252" s="1" t="s">
        <v>76</v>
      </c>
      <c r="C252" s="1">
        <v>9844.9599999999991</v>
      </c>
      <c r="D252" s="1">
        <v>3128.14</v>
      </c>
    </row>
    <row r="253" spans="1:4" x14ac:dyDescent="0.25">
      <c r="A253" s="7">
        <v>44382.916666666664</v>
      </c>
      <c r="B253" s="1" t="s">
        <v>68</v>
      </c>
      <c r="C253" s="1">
        <v>8300.64</v>
      </c>
      <c r="D253" s="1">
        <v>4305.55</v>
      </c>
    </row>
    <row r="254" spans="1:4" x14ac:dyDescent="0.25">
      <c r="A254" s="7">
        <v>44382.916666666664</v>
      </c>
      <c r="B254" s="1" t="s">
        <v>69</v>
      </c>
      <c r="C254" s="1">
        <v>8110.58</v>
      </c>
      <c r="D254" s="1">
        <v>7376</v>
      </c>
    </row>
    <row r="255" spans="1:4" x14ac:dyDescent="0.25">
      <c r="A255" s="7">
        <v>44382.958333333336</v>
      </c>
      <c r="B255" s="1" t="s">
        <v>75</v>
      </c>
      <c r="C255" s="1">
        <v>934.1</v>
      </c>
      <c r="D255" s="1">
        <v>685.35</v>
      </c>
    </row>
    <row r="256" spans="1:4" x14ac:dyDescent="0.25">
      <c r="A256" s="7">
        <v>44382.958333333336</v>
      </c>
      <c r="B256" s="1" t="s">
        <v>74</v>
      </c>
      <c r="C256" s="1">
        <v>2498.5</v>
      </c>
      <c r="D256" s="1">
        <v>968.64</v>
      </c>
    </row>
    <row r="257" spans="1:4" x14ac:dyDescent="0.25">
      <c r="A257" s="7">
        <v>44382.958333333336</v>
      </c>
      <c r="B257" s="1" t="s">
        <v>77</v>
      </c>
      <c r="C257" s="1">
        <v>8379.6299999999992</v>
      </c>
      <c r="D257" s="1">
        <v>3149.26</v>
      </c>
    </row>
    <row r="258" spans="1:4" x14ac:dyDescent="0.25">
      <c r="A258" s="7">
        <v>44382.958333333336</v>
      </c>
      <c r="B258" s="1" t="s">
        <v>71</v>
      </c>
      <c r="C258" s="1">
        <v>3111.55</v>
      </c>
      <c r="D258" s="1">
        <v>1774.71</v>
      </c>
    </row>
    <row r="259" spans="1:4" x14ac:dyDescent="0.25">
      <c r="A259" s="7">
        <v>44382.958333333336</v>
      </c>
      <c r="B259" s="1" t="s">
        <v>69</v>
      </c>
      <c r="C259" s="1">
        <v>4694.92</v>
      </c>
      <c r="D259" s="1">
        <v>4522.9399999999996</v>
      </c>
    </row>
    <row r="260" spans="1:4" x14ac:dyDescent="0.25">
      <c r="A260" s="7">
        <v>44382.958333333336</v>
      </c>
      <c r="B260" s="1" t="s">
        <v>70</v>
      </c>
      <c r="C260" s="1">
        <v>3837.73</v>
      </c>
      <c r="D260" s="1">
        <v>2172.9899999999998</v>
      </c>
    </row>
    <row r="261" spans="1:4" x14ac:dyDescent="0.25">
      <c r="A261" s="7">
        <v>44382.958333333336</v>
      </c>
      <c r="B261" s="1" t="s">
        <v>78</v>
      </c>
      <c r="C261" s="1">
        <v>2067.4499999999998</v>
      </c>
      <c r="D261" s="1">
        <v>1514.01</v>
      </c>
    </row>
    <row r="262" spans="1:4" x14ac:dyDescent="0.25">
      <c r="A262" s="7">
        <v>44382.958333333336</v>
      </c>
      <c r="B262" s="1" t="s">
        <v>76</v>
      </c>
      <c r="C262" s="1">
        <v>4429.3100000000004</v>
      </c>
      <c r="D262" s="1">
        <v>1571.43</v>
      </c>
    </row>
    <row r="263" spans="1:4" x14ac:dyDescent="0.25">
      <c r="A263" s="7">
        <v>44382.958333333336</v>
      </c>
      <c r="B263" s="1" t="s">
        <v>73</v>
      </c>
      <c r="C263" s="1">
        <v>3066.08</v>
      </c>
      <c r="D263" s="1">
        <v>766.23</v>
      </c>
    </row>
    <row r="264" spans="1:4" x14ac:dyDescent="0.25">
      <c r="A264" s="7">
        <v>44382.958333333336</v>
      </c>
      <c r="B264" s="1" t="s">
        <v>72</v>
      </c>
      <c r="C264" s="1">
        <v>7530.53</v>
      </c>
      <c r="D264" s="1">
        <v>5743.07</v>
      </c>
    </row>
    <row r="265" spans="1:4" x14ac:dyDescent="0.25">
      <c r="A265" s="7">
        <v>44382.958333333336</v>
      </c>
      <c r="B265" s="1" t="s">
        <v>68</v>
      </c>
      <c r="C265" s="1">
        <v>3605.02</v>
      </c>
      <c r="D265" s="1">
        <v>2226.11</v>
      </c>
    </row>
    <row r="266" spans="1:4" x14ac:dyDescent="0.25">
      <c r="A266" s="7">
        <v>44413</v>
      </c>
      <c r="B266" s="1" t="s">
        <v>75</v>
      </c>
      <c r="C266" s="1">
        <v>475.13</v>
      </c>
      <c r="D266" s="1">
        <v>397.74</v>
      </c>
    </row>
    <row r="267" spans="1:4" x14ac:dyDescent="0.25">
      <c r="A267" s="7">
        <v>44413</v>
      </c>
      <c r="B267" s="1" t="s">
        <v>78</v>
      </c>
      <c r="C267" s="1">
        <v>955.75</v>
      </c>
      <c r="D267" s="1">
        <v>755.19</v>
      </c>
    </row>
    <row r="268" spans="1:4" x14ac:dyDescent="0.25">
      <c r="A268" s="7">
        <v>44413</v>
      </c>
      <c r="B268" s="1" t="s">
        <v>74</v>
      </c>
      <c r="C268" s="1">
        <v>985.93</v>
      </c>
      <c r="D268" s="1">
        <v>442.63</v>
      </c>
    </row>
    <row r="269" spans="1:4" x14ac:dyDescent="0.25">
      <c r="A269" s="7">
        <v>44413</v>
      </c>
      <c r="B269" s="1" t="s">
        <v>68</v>
      </c>
      <c r="C269" s="1">
        <v>1283.1500000000001</v>
      </c>
      <c r="D269" s="1">
        <v>971.26</v>
      </c>
    </row>
    <row r="270" spans="1:4" x14ac:dyDescent="0.25">
      <c r="A270" s="7">
        <v>44413</v>
      </c>
      <c r="B270" s="1" t="s">
        <v>77</v>
      </c>
      <c r="C270" s="1">
        <v>3261.95</v>
      </c>
      <c r="D270" s="1">
        <v>1271.8800000000001</v>
      </c>
    </row>
    <row r="271" spans="1:4" x14ac:dyDescent="0.25">
      <c r="A271" s="7">
        <v>44413</v>
      </c>
      <c r="B271" s="1" t="s">
        <v>69</v>
      </c>
      <c r="C271" s="1">
        <v>2079.9699999999998</v>
      </c>
      <c r="D271" s="1">
        <v>2128.9299999999998</v>
      </c>
    </row>
    <row r="272" spans="1:4" x14ac:dyDescent="0.25">
      <c r="A272" s="7">
        <v>44413</v>
      </c>
      <c r="B272" s="1" t="s">
        <v>70</v>
      </c>
      <c r="C272" s="1">
        <v>1535.46</v>
      </c>
      <c r="D272" s="1">
        <v>982.35</v>
      </c>
    </row>
    <row r="273" spans="1:4" x14ac:dyDescent="0.25">
      <c r="A273" s="7">
        <v>44413</v>
      </c>
      <c r="B273" s="1" t="s">
        <v>76</v>
      </c>
      <c r="C273" s="1">
        <v>1800.12</v>
      </c>
      <c r="D273" s="1">
        <v>716.09</v>
      </c>
    </row>
    <row r="274" spans="1:4" x14ac:dyDescent="0.25">
      <c r="A274" s="7">
        <v>44413</v>
      </c>
      <c r="B274" s="1" t="s">
        <v>72</v>
      </c>
      <c r="C274" s="1">
        <v>3416.02</v>
      </c>
      <c r="D274" s="1">
        <v>2892.05</v>
      </c>
    </row>
    <row r="275" spans="1:4" x14ac:dyDescent="0.25">
      <c r="A275" s="7">
        <v>44413</v>
      </c>
      <c r="B275" s="1" t="s">
        <v>73</v>
      </c>
      <c r="C275" s="1">
        <v>1144.58</v>
      </c>
      <c r="D275" s="1">
        <v>309.33</v>
      </c>
    </row>
    <row r="276" spans="1:4" x14ac:dyDescent="0.25">
      <c r="A276" s="7">
        <v>44413</v>
      </c>
      <c r="B276" s="1" t="s">
        <v>71</v>
      </c>
      <c r="C276" s="1">
        <v>1050.8699999999999</v>
      </c>
      <c r="D276" s="1">
        <v>786.63</v>
      </c>
    </row>
    <row r="277" spans="1:4" x14ac:dyDescent="0.25">
      <c r="A277" s="7">
        <v>44413.041666666664</v>
      </c>
      <c r="B277" s="1" t="s">
        <v>74</v>
      </c>
      <c r="C277" s="1">
        <v>467.59</v>
      </c>
      <c r="D277" s="1">
        <v>207.12</v>
      </c>
    </row>
    <row r="278" spans="1:4" x14ac:dyDescent="0.25">
      <c r="A278" s="7">
        <v>44413.041666666664</v>
      </c>
      <c r="B278" s="1" t="s">
        <v>78</v>
      </c>
      <c r="C278" s="1">
        <v>455.73</v>
      </c>
      <c r="D278" s="1">
        <v>357.21</v>
      </c>
    </row>
    <row r="279" spans="1:4" x14ac:dyDescent="0.25">
      <c r="A279" s="7">
        <v>44413.041666666664</v>
      </c>
      <c r="B279" s="1" t="s">
        <v>75</v>
      </c>
      <c r="C279" s="1">
        <v>278.10000000000002</v>
      </c>
      <c r="D279" s="1">
        <v>222.02</v>
      </c>
    </row>
    <row r="280" spans="1:4" x14ac:dyDescent="0.25">
      <c r="A280" s="7">
        <v>44413.041666666664</v>
      </c>
      <c r="B280" s="1" t="s">
        <v>73</v>
      </c>
      <c r="C280" s="1">
        <v>465.93</v>
      </c>
      <c r="D280" s="1">
        <v>135.54</v>
      </c>
    </row>
    <row r="281" spans="1:4" x14ac:dyDescent="0.25">
      <c r="A281" s="7">
        <v>44413.041666666664</v>
      </c>
      <c r="B281" s="1" t="s">
        <v>68</v>
      </c>
      <c r="C281" s="1">
        <v>567.41999999999996</v>
      </c>
      <c r="D281" s="1">
        <v>454.01</v>
      </c>
    </row>
    <row r="282" spans="1:4" x14ac:dyDescent="0.25">
      <c r="A282" s="7">
        <v>44413.041666666664</v>
      </c>
      <c r="B282" s="1" t="s">
        <v>71</v>
      </c>
      <c r="C282" s="1">
        <v>430.05</v>
      </c>
      <c r="D282" s="1">
        <v>340.79</v>
      </c>
    </row>
    <row r="283" spans="1:4" x14ac:dyDescent="0.25">
      <c r="A283" s="7">
        <v>44413.041666666664</v>
      </c>
      <c r="B283" s="1" t="s">
        <v>69</v>
      </c>
      <c r="C283" s="1">
        <v>936.12</v>
      </c>
      <c r="D283" s="1">
        <v>966.15</v>
      </c>
    </row>
    <row r="284" spans="1:4" x14ac:dyDescent="0.25">
      <c r="A284" s="7">
        <v>44413.041666666664</v>
      </c>
      <c r="B284" s="1" t="s">
        <v>76</v>
      </c>
      <c r="C284" s="1">
        <v>851.22</v>
      </c>
      <c r="D284" s="1">
        <v>318.95999999999998</v>
      </c>
    </row>
    <row r="285" spans="1:4" x14ac:dyDescent="0.25">
      <c r="A285" s="7">
        <v>44413.041666666664</v>
      </c>
      <c r="B285" s="1" t="s">
        <v>72</v>
      </c>
      <c r="C285" s="1">
        <v>1579.79</v>
      </c>
      <c r="D285" s="1">
        <v>1427.17</v>
      </c>
    </row>
    <row r="286" spans="1:4" x14ac:dyDescent="0.25">
      <c r="A286" s="7">
        <v>44413.041666666664</v>
      </c>
      <c r="B286" s="1" t="s">
        <v>77</v>
      </c>
      <c r="C286" s="1">
        <v>1385.01</v>
      </c>
      <c r="D286" s="1">
        <v>533.47</v>
      </c>
    </row>
    <row r="287" spans="1:4" x14ac:dyDescent="0.25">
      <c r="A287" s="7">
        <v>44413.041666666664</v>
      </c>
      <c r="B287" s="1" t="s">
        <v>70</v>
      </c>
      <c r="C287" s="1">
        <v>662.37</v>
      </c>
      <c r="D287" s="1">
        <v>445.06</v>
      </c>
    </row>
    <row r="288" spans="1:4" x14ac:dyDescent="0.25">
      <c r="A288" s="7">
        <v>44413.083333333336</v>
      </c>
      <c r="B288" s="1" t="s">
        <v>74</v>
      </c>
      <c r="C288" s="1">
        <v>465.17</v>
      </c>
      <c r="D288" s="1">
        <v>149.84</v>
      </c>
    </row>
    <row r="289" spans="1:4" x14ac:dyDescent="0.25">
      <c r="A289" s="7">
        <v>44413.083333333336</v>
      </c>
      <c r="B289" s="1" t="s">
        <v>78</v>
      </c>
      <c r="C289" s="1">
        <v>319.02</v>
      </c>
      <c r="D289" s="1">
        <v>222.31</v>
      </c>
    </row>
    <row r="290" spans="1:4" x14ac:dyDescent="0.25">
      <c r="A290" s="7">
        <v>44413.083333333336</v>
      </c>
      <c r="B290" s="1" t="s">
        <v>75</v>
      </c>
      <c r="C290" s="1">
        <v>218.93</v>
      </c>
      <c r="D290" s="1">
        <v>172.04</v>
      </c>
    </row>
    <row r="291" spans="1:4" x14ac:dyDescent="0.25">
      <c r="A291" s="7">
        <v>44413.083333333336</v>
      </c>
      <c r="B291" s="1" t="s">
        <v>76</v>
      </c>
      <c r="C291" s="1">
        <v>965.77</v>
      </c>
      <c r="D291" s="1">
        <v>270.37</v>
      </c>
    </row>
    <row r="292" spans="1:4" x14ac:dyDescent="0.25">
      <c r="A292" s="7">
        <v>44413.083333333336</v>
      </c>
      <c r="B292" s="1" t="s">
        <v>73</v>
      </c>
      <c r="C292" s="1">
        <v>295.70999999999998</v>
      </c>
      <c r="D292" s="1">
        <v>73.48</v>
      </c>
    </row>
    <row r="293" spans="1:4" x14ac:dyDescent="0.25">
      <c r="A293" s="7">
        <v>44413.083333333336</v>
      </c>
      <c r="B293" s="1" t="s">
        <v>68</v>
      </c>
      <c r="C293" s="1">
        <v>319.66000000000003</v>
      </c>
      <c r="D293" s="1">
        <v>254.06</v>
      </c>
    </row>
    <row r="294" spans="1:4" x14ac:dyDescent="0.25">
      <c r="A294" s="7">
        <v>44413.083333333336</v>
      </c>
      <c r="B294" s="1" t="s">
        <v>71</v>
      </c>
      <c r="C294" s="1">
        <v>326.86</v>
      </c>
      <c r="D294" s="1">
        <v>191.37</v>
      </c>
    </row>
    <row r="295" spans="1:4" x14ac:dyDescent="0.25">
      <c r="A295" s="7">
        <v>44413.083333333336</v>
      </c>
      <c r="B295" s="1" t="s">
        <v>70</v>
      </c>
      <c r="C295" s="1">
        <v>504.72</v>
      </c>
      <c r="D295" s="1">
        <v>298</v>
      </c>
    </row>
    <row r="296" spans="1:4" x14ac:dyDescent="0.25">
      <c r="A296" s="7">
        <v>44413.083333333336</v>
      </c>
      <c r="B296" s="1" t="s">
        <v>72</v>
      </c>
      <c r="C296" s="1">
        <v>983.33</v>
      </c>
      <c r="D296" s="1">
        <v>796.15</v>
      </c>
    </row>
    <row r="297" spans="1:4" x14ac:dyDescent="0.25">
      <c r="A297" s="7">
        <v>44413.083333333336</v>
      </c>
      <c r="B297" s="1" t="s">
        <v>77</v>
      </c>
      <c r="C297" s="1">
        <v>1045.3</v>
      </c>
      <c r="D297" s="1">
        <v>341.63</v>
      </c>
    </row>
    <row r="298" spans="1:4" x14ac:dyDescent="0.25">
      <c r="A298" s="7">
        <v>44413.083333333336</v>
      </c>
      <c r="B298" s="1" t="s">
        <v>69</v>
      </c>
      <c r="C298" s="1">
        <v>564.66</v>
      </c>
      <c r="D298" s="1">
        <v>543.07000000000005</v>
      </c>
    </row>
    <row r="299" spans="1:4" x14ac:dyDescent="0.25">
      <c r="A299" s="7">
        <v>44413.125</v>
      </c>
      <c r="B299" s="1" t="s">
        <v>75</v>
      </c>
      <c r="C299" s="1">
        <v>446.78</v>
      </c>
      <c r="D299" s="1">
        <v>294.29000000000002</v>
      </c>
    </row>
    <row r="300" spans="1:4" x14ac:dyDescent="0.25">
      <c r="A300" s="7">
        <v>44413.125</v>
      </c>
      <c r="B300" s="1" t="s">
        <v>74</v>
      </c>
      <c r="C300" s="1">
        <v>1358.96</v>
      </c>
      <c r="D300" s="1">
        <v>324.08</v>
      </c>
    </row>
    <row r="301" spans="1:4" x14ac:dyDescent="0.25">
      <c r="A301" s="7">
        <v>44413.125</v>
      </c>
      <c r="B301" s="1" t="s">
        <v>76</v>
      </c>
      <c r="C301" s="1">
        <v>3025.5</v>
      </c>
      <c r="D301" s="1">
        <v>736.26</v>
      </c>
    </row>
    <row r="302" spans="1:4" x14ac:dyDescent="0.25">
      <c r="A302" s="7">
        <v>44413.125</v>
      </c>
      <c r="B302" s="1" t="s">
        <v>77</v>
      </c>
      <c r="C302" s="1">
        <v>3522.13</v>
      </c>
      <c r="D302" s="1">
        <v>1175.55</v>
      </c>
    </row>
    <row r="303" spans="1:4" x14ac:dyDescent="0.25">
      <c r="A303" s="7">
        <v>44413.125</v>
      </c>
      <c r="B303" s="1" t="s">
        <v>71</v>
      </c>
      <c r="C303" s="1">
        <v>1085.3699999999999</v>
      </c>
      <c r="D303" s="1">
        <v>388.7</v>
      </c>
    </row>
    <row r="304" spans="1:4" x14ac:dyDescent="0.25">
      <c r="A304" s="7">
        <v>44413.125</v>
      </c>
      <c r="B304" s="1" t="s">
        <v>69</v>
      </c>
      <c r="C304" s="1">
        <v>1535.63</v>
      </c>
      <c r="D304" s="1">
        <v>1188.5899999999999</v>
      </c>
    </row>
    <row r="305" spans="1:4" x14ac:dyDescent="0.25">
      <c r="A305" s="7">
        <v>44413.125</v>
      </c>
      <c r="B305" s="1" t="s">
        <v>70</v>
      </c>
      <c r="C305" s="1">
        <v>1566.91</v>
      </c>
      <c r="D305" s="1">
        <v>727.83</v>
      </c>
    </row>
    <row r="306" spans="1:4" x14ac:dyDescent="0.25">
      <c r="A306" s="7">
        <v>44413.125</v>
      </c>
      <c r="B306" s="1" t="s">
        <v>78</v>
      </c>
      <c r="C306" s="1">
        <v>704.43</v>
      </c>
      <c r="D306" s="1">
        <v>418.04</v>
      </c>
    </row>
    <row r="307" spans="1:4" x14ac:dyDescent="0.25">
      <c r="A307" s="7">
        <v>44413.125</v>
      </c>
      <c r="B307" s="1" t="s">
        <v>72</v>
      </c>
      <c r="C307" s="1">
        <v>2562.29</v>
      </c>
      <c r="D307" s="1">
        <v>1563.98</v>
      </c>
    </row>
    <row r="308" spans="1:4" x14ac:dyDescent="0.25">
      <c r="A308" s="7">
        <v>44413.125</v>
      </c>
      <c r="B308" s="1" t="s">
        <v>73</v>
      </c>
      <c r="C308" s="1">
        <v>922.46</v>
      </c>
      <c r="D308" s="1">
        <v>143</v>
      </c>
    </row>
    <row r="309" spans="1:4" x14ac:dyDescent="0.25">
      <c r="A309" s="7">
        <v>44413.125</v>
      </c>
      <c r="B309" s="1" t="s">
        <v>68</v>
      </c>
      <c r="C309" s="1">
        <v>954.62</v>
      </c>
      <c r="D309" s="1">
        <v>397.86</v>
      </c>
    </row>
    <row r="310" spans="1:4" x14ac:dyDescent="0.25">
      <c r="A310" s="7">
        <v>44413.166666666664</v>
      </c>
      <c r="B310" s="1" t="s">
        <v>75</v>
      </c>
      <c r="C310" s="1">
        <v>227.13</v>
      </c>
      <c r="D310" s="1">
        <v>198.09</v>
      </c>
    </row>
    <row r="311" spans="1:4" x14ac:dyDescent="0.25">
      <c r="A311" s="7">
        <v>44413.166666666664</v>
      </c>
      <c r="B311" s="1" t="s">
        <v>74</v>
      </c>
      <c r="C311" s="1">
        <v>991.1</v>
      </c>
      <c r="D311" s="1">
        <v>323.88</v>
      </c>
    </row>
    <row r="312" spans="1:4" x14ac:dyDescent="0.25">
      <c r="A312" s="7">
        <v>44413.166666666664</v>
      </c>
      <c r="B312" s="1" t="s">
        <v>77</v>
      </c>
      <c r="C312" s="1">
        <v>2202.0100000000002</v>
      </c>
      <c r="D312" s="1">
        <v>821.7</v>
      </c>
    </row>
    <row r="313" spans="1:4" x14ac:dyDescent="0.25">
      <c r="A313" s="7">
        <v>44413.166666666664</v>
      </c>
      <c r="B313" s="1" t="s">
        <v>71</v>
      </c>
      <c r="C313" s="1">
        <v>1044.32</v>
      </c>
      <c r="D313" s="1">
        <v>418.35</v>
      </c>
    </row>
    <row r="314" spans="1:4" x14ac:dyDescent="0.25">
      <c r="A314" s="7">
        <v>44413.166666666664</v>
      </c>
      <c r="B314" s="1" t="s">
        <v>69</v>
      </c>
      <c r="C314" s="1">
        <v>1035.74</v>
      </c>
      <c r="D314" s="1">
        <v>976.2</v>
      </c>
    </row>
    <row r="315" spans="1:4" x14ac:dyDescent="0.25">
      <c r="A315" s="7">
        <v>44413.166666666664</v>
      </c>
      <c r="B315" s="1" t="s">
        <v>70</v>
      </c>
      <c r="C315" s="1">
        <v>1108.76</v>
      </c>
      <c r="D315" s="1">
        <v>671.17</v>
      </c>
    </row>
    <row r="316" spans="1:4" x14ac:dyDescent="0.25">
      <c r="A316" s="7">
        <v>44413.166666666664</v>
      </c>
      <c r="B316" s="1" t="s">
        <v>78</v>
      </c>
      <c r="C316" s="1">
        <v>529.70000000000005</v>
      </c>
      <c r="D316" s="1">
        <v>389.61</v>
      </c>
    </row>
    <row r="317" spans="1:4" x14ac:dyDescent="0.25">
      <c r="A317" s="7">
        <v>44413.166666666664</v>
      </c>
      <c r="B317" s="1" t="s">
        <v>76</v>
      </c>
      <c r="C317" s="1">
        <v>1466.11</v>
      </c>
      <c r="D317" s="1">
        <v>517.95000000000005</v>
      </c>
    </row>
    <row r="318" spans="1:4" x14ac:dyDescent="0.25">
      <c r="A318" s="7">
        <v>44413.166666666664</v>
      </c>
      <c r="B318" s="1" t="s">
        <v>72</v>
      </c>
      <c r="C318" s="1">
        <v>1743.98</v>
      </c>
      <c r="D318" s="1">
        <v>1216.99</v>
      </c>
    </row>
    <row r="319" spans="1:4" x14ac:dyDescent="0.25">
      <c r="A319" s="7">
        <v>44413.166666666664</v>
      </c>
      <c r="B319" s="1" t="s">
        <v>73</v>
      </c>
      <c r="C319" s="1">
        <v>727.63</v>
      </c>
      <c r="D319" s="1">
        <v>129.66999999999999</v>
      </c>
    </row>
    <row r="320" spans="1:4" x14ac:dyDescent="0.25">
      <c r="A320" s="7">
        <v>44413.166666666664</v>
      </c>
      <c r="B320" s="1" t="s">
        <v>68</v>
      </c>
      <c r="C320" s="1">
        <v>898.46</v>
      </c>
      <c r="D320" s="1">
        <v>442.89</v>
      </c>
    </row>
    <row r="321" spans="1:4" x14ac:dyDescent="0.25">
      <c r="A321" s="7">
        <v>44413.208333333336</v>
      </c>
      <c r="B321" s="1" t="s">
        <v>75</v>
      </c>
      <c r="C321" s="1">
        <v>92.29</v>
      </c>
      <c r="D321" s="1">
        <v>60.52</v>
      </c>
    </row>
    <row r="322" spans="1:4" x14ac:dyDescent="0.25">
      <c r="A322" s="7">
        <v>44413.208333333336</v>
      </c>
      <c r="B322" s="1" t="s">
        <v>74</v>
      </c>
      <c r="C322" s="1">
        <v>594.66999999999996</v>
      </c>
      <c r="D322" s="1">
        <v>138.38999999999999</v>
      </c>
    </row>
    <row r="323" spans="1:4" x14ac:dyDescent="0.25">
      <c r="A323" s="7">
        <v>44413.208333333336</v>
      </c>
      <c r="B323" s="1" t="s">
        <v>72</v>
      </c>
      <c r="C323" s="1">
        <v>686.64</v>
      </c>
      <c r="D323" s="1">
        <v>424.97</v>
      </c>
    </row>
    <row r="324" spans="1:4" x14ac:dyDescent="0.25">
      <c r="A324" s="7">
        <v>44413.208333333336</v>
      </c>
      <c r="B324" s="1" t="s">
        <v>71</v>
      </c>
      <c r="C324" s="1">
        <v>1144.74</v>
      </c>
      <c r="D324" s="1">
        <v>294.04000000000002</v>
      </c>
    </row>
    <row r="325" spans="1:4" x14ac:dyDescent="0.25">
      <c r="A325" s="7">
        <v>44413.208333333336</v>
      </c>
      <c r="B325" s="1" t="s">
        <v>68</v>
      </c>
      <c r="C325" s="1">
        <v>908.8</v>
      </c>
      <c r="D325" s="1">
        <v>280.51</v>
      </c>
    </row>
    <row r="326" spans="1:4" x14ac:dyDescent="0.25">
      <c r="A326" s="7">
        <v>44413.208333333336</v>
      </c>
      <c r="B326" s="1" t="s">
        <v>77</v>
      </c>
      <c r="C326" s="1">
        <v>1185.5999999999999</v>
      </c>
      <c r="D326" s="1">
        <v>357.27</v>
      </c>
    </row>
    <row r="327" spans="1:4" x14ac:dyDescent="0.25">
      <c r="A327" s="7">
        <v>44413.208333333336</v>
      </c>
      <c r="B327" s="1" t="s">
        <v>70</v>
      </c>
      <c r="C327" s="1">
        <v>540.89</v>
      </c>
      <c r="D327" s="1">
        <v>239.64</v>
      </c>
    </row>
    <row r="328" spans="1:4" x14ac:dyDescent="0.25">
      <c r="A328" s="7">
        <v>44413.208333333336</v>
      </c>
      <c r="B328" s="1" t="s">
        <v>69</v>
      </c>
      <c r="C328" s="1">
        <v>395.94</v>
      </c>
      <c r="D328" s="1">
        <v>282.48</v>
      </c>
    </row>
    <row r="329" spans="1:4" x14ac:dyDescent="0.25">
      <c r="A329" s="7">
        <v>44413.208333333336</v>
      </c>
      <c r="B329" s="1" t="s">
        <v>78</v>
      </c>
      <c r="C329" s="1">
        <v>222.17</v>
      </c>
      <c r="D329" s="1">
        <v>135.97999999999999</v>
      </c>
    </row>
    <row r="330" spans="1:4" x14ac:dyDescent="0.25">
      <c r="A330" s="7">
        <v>44413.208333333336</v>
      </c>
      <c r="B330" s="1" t="s">
        <v>76</v>
      </c>
      <c r="C330" s="1">
        <v>655.24</v>
      </c>
      <c r="D330" s="1">
        <v>194.22</v>
      </c>
    </row>
    <row r="331" spans="1:4" x14ac:dyDescent="0.25">
      <c r="A331" s="7">
        <v>44413.208333333336</v>
      </c>
      <c r="B331" s="1" t="s">
        <v>73</v>
      </c>
      <c r="C331" s="1">
        <v>664.43</v>
      </c>
      <c r="D331" s="1">
        <v>74.150000000000006</v>
      </c>
    </row>
    <row r="332" spans="1:4" x14ac:dyDescent="0.25">
      <c r="A332" s="7">
        <v>44413.25</v>
      </c>
      <c r="B332" s="1" t="s">
        <v>74</v>
      </c>
      <c r="C332" s="1">
        <v>1625.99</v>
      </c>
      <c r="D332" s="1">
        <v>267.33</v>
      </c>
    </row>
    <row r="333" spans="1:4" x14ac:dyDescent="0.25">
      <c r="A333" s="7">
        <v>44413.25</v>
      </c>
      <c r="B333" s="1" t="s">
        <v>78</v>
      </c>
      <c r="C333" s="1">
        <v>429.27</v>
      </c>
      <c r="D333" s="1">
        <v>206.98</v>
      </c>
    </row>
    <row r="334" spans="1:4" x14ac:dyDescent="0.25">
      <c r="A334" s="7">
        <v>44413.25</v>
      </c>
      <c r="B334" s="1" t="s">
        <v>75</v>
      </c>
      <c r="C334" s="1">
        <v>114.05</v>
      </c>
      <c r="D334" s="1">
        <v>38.71</v>
      </c>
    </row>
    <row r="335" spans="1:4" x14ac:dyDescent="0.25">
      <c r="A335" s="7">
        <v>44413.25</v>
      </c>
      <c r="B335" s="1" t="s">
        <v>73</v>
      </c>
      <c r="C335" s="1">
        <v>1891.42</v>
      </c>
      <c r="D335" s="1">
        <v>207.57</v>
      </c>
    </row>
    <row r="336" spans="1:4" x14ac:dyDescent="0.25">
      <c r="A336" s="7">
        <v>44413.25</v>
      </c>
      <c r="B336" s="1" t="s">
        <v>68</v>
      </c>
      <c r="C336" s="1">
        <v>2641.78</v>
      </c>
      <c r="D336" s="1">
        <v>750.13</v>
      </c>
    </row>
    <row r="337" spans="1:4" x14ac:dyDescent="0.25">
      <c r="A337" s="7">
        <v>44413.25</v>
      </c>
      <c r="B337" s="1" t="s">
        <v>71</v>
      </c>
      <c r="C337" s="1">
        <v>3151.32</v>
      </c>
      <c r="D337" s="1">
        <v>790.04</v>
      </c>
    </row>
    <row r="338" spans="1:4" x14ac:dyDescent="0.25">
      <c r="A338" s="7">
        <v>44413.25</v>
      </c>
      <c r="B338" s="1" t="s">
        <v>70</v>
      </c>
      <c r="C338" s="1">
        <v>1178.5</v>
      </c>
      <c r="D338" s="1">
        <v>441.95</v>
      </c>
    </row>
    <row r="339" spans="1:4" x14ac:dyDescent="0.25">
      <c r="A339" s="7">
        <v>44413.25</v>
      </c>
      <c r="B339" s="1" t="s">
        <v>76</v>
      </c>
      <c r="C339" s="1">
        <v>1949.15</v>
      </c>
      <c r="D339" s="1">
        <v>423.74</v>
      </c>
    </row>
    <row r="340" spans="1:4" x14ac:dyDescent="0.25">
      <c r="A340" s="7">
        <v>44413.25</v>
      </c>
      <c r="B340" s="1" t="s">
        <v>72</v>
      </c>
      <c r="C340" s="1">
        <v>1397.15</v>
      </c>
      <c r="D340" s="1">
        <v>624.17999999999995</v>
      </c>
    </row>
    <row r="341" spans="1:4" x14ac:dyDescent="0.25">
      <c r="A341" s="7">
        <v>44413.25</v>
      </c>
      <c r="B341" s="1" t="s">
        <v>77</v>
      </c>
      <c r="C341" s="1">
        <v>3235.03</v>
      </c>
      <c r="D341" s="1">
        <v>948.6</v>
      </c>
    </row>
    <row r="342" spans="1:4" x14ac:dyDescent="0.25">
      <c r="A342" s="7">
        <v>44413.25</v>
      </c>
      <c r="B342" s="1" t="s">
        <v>69</v>
      </c>
      <c r="C342" s="1">
        <v>822.71</v>
      </c>
      <c r="D342" s="1">
        <v>440.8</v>
      </c>
    </row>
    <row r="343" spans="1:4" x14ac:dyDescent="0.25">
      <c r="A343" s="7">
        <v>44413.291666666664</v>
      </c>
      <c r="B343" s="1" t="s">
        <v>74</v>
      </c>
      <c r="C343" s="1">
        <v>3422.8</v>
      </c>
      <c r="D343" s="1">
        <v>593.41</v>
      </c>
    </row>
    <row r="344" spans="1:4" x14ac:dyDescent="0.25">
      <c r="A344" s="7">
        <v>44413.291666666664</v>
      </c>
      <c r="B344" s="1" t="s">
        <v>78</v>
      </c>
      <c r="C344" s="1">
        <v>645.73</v>
      </c>
      <c r="D344" s="1">
        <v>287.89999999999998</v>
      </c>
    </row>
    <row r="345" spans="1:4" x14ac:dyDescent="0.25">
      <c r="A345" s="7">
        <v>44413.291666666664</v>
      </c>
      <c r="B345" s="1" t="s">
        <v>75</v>
      </c>
      <c r="C345" s="1">
        <v>223.22</v>
      </c>
      <c r="D345" s="1">
        <v>76.540000000000006</v>
      </c>
    </row>
    <row r="346" spans="1:4" x14ac:dyDescent="0.25">
      <c r="A346" s="7">
        <v>44413.291666666664</v>
      </c>
      <c r="B346" s="1" t="s">
        <v>76</v>
      </c>
      <c r="C346" s="1">
        <v>4051.91</v>
      </c>
      <c r="D346" s="1">
        <v>865.68</v>
      </c>
    </row>
    <row r="347" spans="1:4" x14ac:dyDescent="0.25">
      <c r="A347" s="7">
        <v>44413.291666666664</v>
      </c>
      <c r="B347" s="1" t="s">
        <v>73</v>
      </c>
      <c r="C347" s="1">
        <v>3633.24</v>
      </c>
      <c r="D347" s="1">
        <v>463.57</v>
      </c>
    </row>
    <row r="348" spans="1:4" x14ac:dyDescent="0.25">
      <c r="A348" s="7">
        <v>44413.291666666664</v>
      </c>
      <c r="B348" s="1" t="s">
        <v>68</v>
      </c>
      <c r="C348" s="1">
        <v>4580.3100000000004</v>
      </c>
      <c r="D348" s="1">
        <v>1520.36</v>
      </c>
    </row>
    <row r="349" spans="1:4" x14ac:dyDescent="0.25">
      <c r="A349" s="7">
        <v>44413.291666666664</v>
      </c>
      <c r="B349" s="1" t="s">
        <v>71</v>
      </c>
      <c r="C349" s="1">
        <v>5207.43</v>
      </c>
      <c r="D349" s="1">
        <v>1599.61</v>
      </c>
    </row>
    <row r="350" spans="1:4" x14ac:dyDescent="0.25">
      <c r="A350" s="7">
        <v>44413.291666666664</v>
      </c>
      <c r="B350" s="1" t="s">
        <v>70</v>
      </c>
      <c r="C350" s="1">
        <v>2452.86</v>
      </c>
      <c r="D350" s="1">
        <v>949.55</v>
      </c>
    </row>
    <row r="351" spans="1:4" x14ac:dyDescent="0.25">
      <c r="A351" s="7">
        <v>44413.291666666664</v>
      </c>
      <c r="B351" s="1" t="s">
        <v>72</v>
      </c>
      <c r="C351" s="1">
        <v>2983.64</v>
      </c>
      <c r="D351" s="1">
        <v>1362.81</v>
      </c>
    </row>
    <row r="352" spans="1:4" x14ac:dyDescent="0.25">
      <c r="A352" s="7">
        <v>44413.291666666664</v>
      </c>
      <c r="B352" s="1" t="s">
        <v>77</v>
      </c>
      <c r="C352" s="1">
        <v>5063.3</v>
      </c>
      <c r="D352" s="1">
        <v>1399.37</v>
      </c>
    </row>
    <row r="353" spans="1:4" x14ac:dyDescent="0.25">
      <c r="A353" s="7">
        <v>44413.291666666664</v>
      </c>
      <c r="B353" s="1" t="s">
        <v>69</v>
      </c>
      <c r="C353" s="1">
        <v>1588.32</v>
      </c>
      <c r="D353" s="1">
        <v>903.15</v>
      </c>
    </row>
    <row r="354" spans="1:4" x14ac:dyDescent="0.25">
      <c r="A354" s="7">
        <v>44413.333333333336</v>
      </c>
      <c r="B354" s="1" t="s">
        <v>75</v>
      </c>
      <c r="C354" s="1">
        <v>447.5</v>
      </c>
      <c r="D354" s="1">
        <v>166.26</v>
      </c>
    </row>
    <row r="355" spans="1:4" x14ac:dyDescent="0.25">
      <c r="A355" s="7">
        <v>44413.333333333336</v>
      </c>
      <c r="B355" s="1" t="s">
        <v>74</v>
      </c>
      <c r="C355" s="1">
        <v>5408.17</v>
      </c>
      <c r="D355" s="1">
        <v>985.79</v>
      </c>
    </row>
    <row r="356" spans="1:4" x14ac:dyDescent="0.25">
      <c r="A356" s="7">
        <v>44413.333333333336</v>
      </c>
      <c r="B356" s="1" t="s">
        <v>76</v>
      </c>
      <c r="C356" s="1">
        <v>6680.92</v>
      </c>
      <c r="D356" s="1">
        <v>1580.61</v>
      </c>
    </row>
    <row r="357" spans="1:4" x14ac:dyDescent="0.25">
      <c r="A357" s="7">
        <v>44413.333333333336</v>
      </c>
      <c r="B357" s="1" t="s">
        <v>77</v>
      </c>
      <c r="C357" s="1">
        <v>8043.66</v>
      </c>
      <c r="D357" s="1">
        <v>2411.19</v>
      </c>
    </row>
    <row r="358" spans="1:4" x14ac:dyDescent="0.25">
      <c r="A358" s="7">
        <v>44413.333333333336</v>
      </c>
      <c r="B358" s="1" t="s">
        <v>71</v>
      </c>
      <c r="C358" s="1">
        <v>6843.33</v>
      </c>
      <c r="D358" s="1">
        <v>2448.1799999999998</v>
      </c>
    </row>
    <row r="359" spans="1:4" x14ac:dyDescent="0.25">
      <c r="A359" s="7">
        <v>44413.333333333336</v>
      </c>
      <c r="B359" s="1" t="s">
        <v>70</v>
      </c>
      <c r="C359" s="1">
        <v>4069.54</v>
      </c>
      <c r="D359" s="1">
        <v>1806.55</v>
      </c>
    </row>
    <row r="360" spans="1:4" x14ac:dyDescent="0.25">
      <c r="A360" s="7">
        <v>44413.333333333336</v>
      </c>
      <c r="B360" s="1" t="s">
        <v>69</v>
      </c>
      <c r="C360" s="1">
        <v>2856.16</v>
      </c>
      <c r="D360" s="1">
        <v>1929.02</v>
      </c>
    </row>
    <row r="361" spans="1:4" x14ac:dyDescent="0.25">
      <c r="A361" s="7">
        <v>44413.333333333336</v>
      </c>
      <c r="B361" s="1" t="s">
        <v>78</v>
      </c>
      <c r="C361" s="1">
        <v>1098.96</v>
      </c>
      <c r="D361" s="1">
        <v>567.67999999999995</v>
      </c>
    </row>
    <row r="362" spans="1:4" x14ac:dyDescent="0.25">
      <c r="A362" s="7">
        <v>44413.333333333336</v>
      </c>
      <c r="B362" s="1" t="s">
        <v>73</v>
      </c>
      <c r="C362" s="1">
        <v>5222.6499999999996</v>
      </c>
      <c r="D362" s="1">
        <v>801.81</v>
      </c>
    </row>
    <row r="363" spans="1:4" x14ac:dyDescent="0.25">
      <c r="A363" s="7">
        <v>44413.333333333336</v>
      </c>
      <c r="B363" s="1" t="s">
        <v>72</v>
      </c>
      <c r="C363" s="1">
        <v>5425.41</v>
      </c>
      <c r="D363" s="1">
        <v>2813.64</v>
      </c>
    </row>
    <row r="364" spans="1:4" x14ac:dyDescent="0.25">
      <c r="A364" s="7">
        <v>44413.333333333336</v>
      </c>
      <c r="B364" s="1" t="s">
        <v>68</v>
      </c>
      <c r="C364" s="1">
        <v>6366.92</v>
      </c>
      <c r="D364" s="1">
        <v>2477.7800000000002</v>
      </c>
    </row>
    <row r="365" spans="1:4" x14ac:dyDescent="0.25">
      <c r="A365" s="7">
        <v>44413.375</v>
      </c>
      <c r="B365" s="1" t="s">
        <v>75</v>
      </c>
      <c r="C365" s="1">
        <v>692.84</v>
      </c>
      <c r="D365" s="1">
        <v>310.52999999999997</v>
      </c>
    </row>
    <row r="366" spans="1:4" x14ac:dyDescent="0.25">
      <c r="A366" s="7">
        <v>44413.375</v>
      </c>
      <c r="B366" s="1" t="s">
        <v>74</v>
      </c>
      <c r="C366" s="1">
        <v>6950.21</v>
      </c>
      <c r="D366" s="1">
        <v>1469.21</v>
      </c>
    </row>
    <row r="367" spans="1:4" x14ac:dyDescent="0.25">
      <c r="A367" s="7">
        <v>44413.375</v>
      </c>
      <c r="B367" s="1" t="s">
        <v>72</v>
      </c>
      <c r="C367" s="1">
        <v>8170.11</v>
      </c>
      <c r="D367" s="1">
        <v>5033.8</v>
      </c>
    </row>
    <row r="368" spans="1:4" x14ac:dyDescent="0.25">
      <c r="A368" s="7">
        <v>44413.375</v>
      </c>
      <c r="B368" s="1" t="s">
        <v>77</v>
      </c>
      <c r="C368" s="1">
        <v>10931.64</v>
      </c>
      <c r="D368" s="1">
        <v>3630.36</v>
      </c>
    </row>
    <row r="369" spans="1:4" x14ac:dyDescent="0.25">
      <c r="A369" s="7">
        <v>44413.375</v>
      </c>
      <c r="B369" s="1" t="s">
        <v>69</v>
      </c>
      <c r="C369" s="1">
        <v>4524.41</v>
      </c>
      <c r="D369" s="1">
        <v>3716.48</v>
      </c>
    </row>
    <row r="370" spans="1:4" x14ac:dyDescent="0.25">
      <c r="A370" s="7">
        <v>44413.375</v>
      </c>
      <c r="B370" s="1" t="s">
        <v>70</v>
      </c>
      <c r="C370" s="1">
        <v>5629.75</v>
      </c>
      <c r="D370" s="1">
        <v>2711.18</v>
      </c>
    </row>
    <row r="371" spans="1:4" x14ac:dyDescent="0.25">
      <c r="A371" s="7">
        <v>44413.375</v>
      </c>
      <c r="B371" s="1" t="s">
        <v>78</v>
      </c>
      <c r="C371" s="1">
        <v>1746.26</v>
      </c>
      <c r="D371" s="1">
        <v>1018.48</v>
      </c>
    </row>
    <row r="372" spans="1:4" x14ac:dyDescent="0.25">
      <c r="A372" s="7">
        <v>44413.375</v>
      </c>
      <c r="B372" s="1" t="s">
        <v>76</v>
      </c>
      <c r="C372" s="1">
        <v>9061.85</v>
      </c>
      <c r="D372" s="1">
        <v>2363.84</v>
      </c>
    </row>
    <row r="373" spans="1:4" x14ac:dyDescent="0.25">
      <c r="A373" s="7">
        <v>44413.375</v>
      </c>
      <c r="B373" s="1" t="s">
        <v>73</v>
      </c>
      <c r="C373" s="1">
        <v>6405.43</v>
      </c>
      <c r="D373" s="1">
        <v>1128.47</v>
      </c>
    </row>
    <row r="374" spans="1:4" x14ac:dyDescent="0.25">
      <c r="A374" s="7">
        <v>44413.375</v>
      </c>
      <c r="B374" s="1" t="s">
        <v>68</v>
      </c>
      <c r="C374" s="1">
        <v>7729.21</v>
      </c>
      <c r="D374" s="1">
        <v>3369.97</v>
      </c>
    </row>
    <row r="375" spans="1:4" x14ac:dyDescent="0.25">
      <c r="A375" s="7">
        <v>44413.375</v>
      </c>
      <c r="B375" s="1" t="s">
        <v>71</v>
      </c>
      <c r="C375" s="1">
        <v>8032.8</v>
      </c>
      <c r="D375" s="1">
        <v>3183.64</v>
      </c>
    </row>
    <row r="376" spans="1:4" x14ac:dyDescent="0.25">
      <c r="A376" s="7">
        <v>44413.416666666664</v>
      </c>
      <c r="B376" s="1" t="s">
        <v>74</v>
      </c>
      <c r="C376" s="1">
        <v>7524.65</v>
      </c>
      <c r="D376" s="1">
        <v>2068.33</v>
      </c>
    </row>
    <row r="377" spans="1:4" x14ac:dyDescent="0.25">
      <c r="A377" s="7">
        <v>44413.416666666664</v>
      </c>
      <c r="B377" s="1" t="s">
        <v>75</v>
      </c>
      <c r="C377" s="1">
        <v>911.34</v>
      </c>
      <c r="D377" s="1">
        <v>512.21</v>
      </c>
    </row>
    <row r="378" spans="1:4" x14ac:dyDescent="0.25">
      <c r="A378" s="7">
        <v>44413.416666666664</v>
      </c>
      <c r="B378" s="1" t="s">
        <v>73</v>
      </c>
      <c r="C378" s="1">
        <v>6728.35</v>
      </c>
      <c r="D378" s="1">
        <v>1298.33</v>
      </c>
    </row>
    <row r="379" spans="1:4" x14ac:dyDescent="0.25">
      <c r="A379" s="7">
        <v>44413.416666666664</v>
      </c>
      <c r="B379" s="1" t="s">
        <v>77</v>
      </c>
      <c r="C379" s="1">
        <v>12683.38</v>
      </c>
      <c r="D379" s="1">
        <v>4486.4399999999996</v>
      </c>
    </row>
    <row r="380" spans="1:4" x14ac:dyDescent="0.25">
      <c r="A380" s="7">
        <v>44413.416666666664</v>
      </c>
      <c r="B380" s="1" t="s">
        <v>71</v>
      </c>
      <c r="C380" s="1">
        <v>8560.64</v>
      </c>
      <c r="D380" s="1">
        <v>3659.59</v>
      </c>
    </row>
    <row r="381" spans="1:4" x14ac:dyDescent="0.25">
      <c r="A381" s="7">
        <v>44413.416666666664</v>
      </c>
      <c r="B381" s="1" t="s">
        <v>69</v>
      </c>
      <c r="C381" s="1">
        <v>6093.81</v>
      </c>
      <c r="D381" s="1">
        <v>5692.08</v>
      </c>
    </row>
    <row r="382" spans="1:4" x14ac:dyDescent="0.25">
      <c r="A382" s="7">
        <v>44413.416666666664</v>
      </c>
      <c r="B382" s="1" t="s">
        <v>70</v>
      </c>
      <c r="C382" s="1">
        <v>6501.81</v>
      </c>
      <c r="D382" s="1">
        <v>3345.78</v>
      </c>
    </row>
    <row r="383" spans="1:4" x14ac:dyDescent="0.25">
      <c r="A383" s="7">
        <v>44413.416666666664</v>
      </c>
      <c r="B383" s="1" t="s">
        <v>78</v>
      </c>
      <c r="C383" s="1">
        <v>2415.7800000000002</v>
      </c>
      <c r="D383" s="1">
        <v>1538.69</v>
      </c>
    </row>
    <row r="384" spans="1:4" x14ac:dyDescent="0.25">
      <c r="A384" s="7">
        <v>44413.416666666664</v>
      </c>
      <c r="B384" s="1" t="s">
        <v>76</v>
      </c>
      <c r="C384" s="1">
        <v>10138.02</v>
      </c>
      <c r="D384" s="1">
        <v>2936.42</v>
      </c>
    </row>
    <row r="385" spans="1:4" x14ac:dyDescent="0.25">
      <c r="A385" s="7">
        <v>44413.416666666664</v>
      </c>
      <c r="B385" s="1" t="s">
        <v>72</v>
      </c>
      <c r="C385" s="1">
        <v>10570.48</v>
      </c>
      <c r="D385" s="1">
        <v>7340.47</v>
      </c>
    </row>
    <row r="386" spans="1:4" x14ac:dyDescent="0.25">
      <c r="A386" s="7">
        <v>44413.416666666664</v>
      </c>
      <c r="B386" s="1" t="s">
        <v>68</v>
      </c>
      <c r="C386" s="1">
        <v>8066.84</v>
      </c>
      <c r="D386" s="1">
        <v>3944.07</v>
      </c>
    </row>
    <row r="387" spans="1:4" x14ac:dyDescent="0.25">
      <c r="A387" s="7">
        <v>44413.458333333336</v>
      </c>
      <c r="B387" s="1" t="s">
        <v>75</v>
      </c>
      <c r="C387" s="1">
        <v>1051.72</v>
      </c>
      <c r="D387" s="1">
        <v>625.01</v>
      </c>
    </row>
    <row r="388" spans="1:4" x14ac:dyDescent="0.25">
      <c r="A388" s="7">
        <v>44413.458333333336</v>
      </c>
      <c r="B388" s="1" t="s">
        <v>74</v>
      </c>
      <c r="C388" s="1">
        <v>7623.47</v>
      </c>
      <c r="D388" s="1">
        <v>2253.7600000000002</v>
      </c>
    </row>
    <row r="389" spans="1:4" x14ac:dyDescent="0.25">
      <c r="A389" s="7">
        <v>44413.458333333336</v>
      </c>
      <c r="B389" s="1" t="s">
        <v>73</v>
      </c>
      <c r="C389" s="1">
        <v>6504.96</v>
      </c>
      <c r="D389" s="1">
        <v>1281.07</v>
      </c>
    </row>
    <row r="390" spans="1:4" x14ac:dyDescent="0.25">
      <c r="A390" s="7">
        <v>44413.458333333336</v>
      </c>
      <c r="B390" s="1" t="s">
        <v>68</v>
      </c>
      <c r="C390" s="1">
        <v>7760.82</v>
      </c>
      <c r="D390" s="1">
        <v>3954.41</v>
      </c>
    </row>
    <row r="391" spans="1:4" x14ac:dyDescent="0.25">
      <c r="A391" s="7">
        <v>44413.458333333336</v>
      </c>
      <c r="B391" s="1" t="s">
        <v>71</v>
      </c>
      <c r="C391" s="1">
        <v>8309.8700000000008</v>
      </c>
      <c r="D391" s="1">
        <v>3628.76</v>
      </c>
    </row>
    <row r="392" spans="1:4" x14ac:dyDescent="0.25">
      <c r="A392" s="7">
        <v>44413.458333333336</v>
      </c>
      <c r="B392" s="1" t="s">
        <v>77</v>
      </c>
      <c r="C392" s="1">
        <v>12998.47</v>
      </c>
      <c r="D392" s="1">
        <v>4592.87</v>
      </c>
    </row>
    <row r="393" spans="1:4" x14ac:dyDescent="0.25">
      <c r="A393" s="7">
        <v>44413.458333333336</v>
      </c>
      <c r="B393" s="1" t="s">
        <v>70</v>
      </c>
      <c r="C393" s="1">
        <v>6578.6</v>
      </c>
      <c r="D393" s="1">
        <v>3494</v>
      </c>
    </row>
    <row r="394" spans="1:4" x14ac:dyDescent="0.25">
      <c r="A394" s="7">
        <v>44413.458333333336</v>
      </c>
      <c r="B394" s="1" t="s">
        <v>78</v>
      </c>
      <c r="C394" s="1">
        <v>2697.85</v>
      </c>
      <c r="D394" s="1">
        <v>1771.09</v>
      </c>
    </row>
    <row r="395" spans="1:4" x14ac:dyDescent="0.25">
      <c r="A395" s="7">
        <v>44413.458333333336</v>
      </c>
      <c r="B395" s="1" t="s">
        <v>76</v>
      </c>
      <c r="C395" s="1">
        <v>10357.32</v>
      </c>
      <c r="D395" s="1">
        <v>3157.32</v>
      </c>
    </row>
    <row r="396" spans="1:4" x14ac:dyDescent="0.25">
      <c r="A396" s="7">
        <v>44413.458333333336</v>
      </c>
      <c r="B396" s="1" t="s">
        <v>72</v>
      </c>
      <c r="C396" s="1">
        <v>11538.58</v>
      </c>
      <c r="D396" s="1">
        <v>8565.01</v>
      </c>
    </row>
    <row r="397" spans="1:4" x14ac:dyDescent="0.25">
      <c r="A397" s="7">
        <v>44413.458333333336</v>
      </c>
      <c r="B397" s="1" t="s">
        <v>69</v>
      </c>
      <c r="C397" s="1">
        <v>6770.25</v>
      </c>
      <c r="D397" s="1">
        <v>6758.43</v>
      </c>
    </row>
    <row r="398" spans="1:4" x14ac:dyDescent="0.25">
      <c r="A398" s="7">
        <v>44413.5</v>
      </c>
      <c r="B398" s="1" t="s">
        <v>75</v>
      </c>
      <c r="C398" s="1">
        <v>1067.52</v>
      </c>
      <c r="D398" s="1">
        <v>660.08</v>
      </c>
    </row>
    <row r="399" spans="1:4" x14ac:dyDescent="0.25">
      <c r="A399" s="7">
        <v>44413.5</v>
      </c>
      <c r="B399" s="1" t="s">
        <v>78</v>
      </c>
      <c r="C399" s="1">
        <v>2682.66</v>
      </c>
      <c r="D399" s="1">
        <v>1789.96</v>
      </c>
    </row>
    <row r="400" spans="1:4" x14ac:dyDescent="0.25">
      <c r="A400" s="7">
        <v>44413.5</v>
      </c>
      <c r="B400" s="1" t="s">
        <v>74</v>
      </c>
      <c r="C400" s="1">
        <v>6974.76</v>
      </c>
      <c r="D400" s="1">
        <v>2171.69</v>
      </c>
    </row>
    <row r="401" spans="1:4" x14ac:dyDescent="0.25">
      <c r="A401" s="7">
        <v>44413.5</v>
      </c>
      <c r="B401" s="1" t="s">
        <v>76</v>
      </c>
      <c r="C401" s="1">
        <v>9705.0300000000007</v>
      </c>
      <c r="D401" s="1">
        <v>3072.93</v>
      </c>
    </row>
    <row r="402" spans="1:4" x14ac:dyDescent="0.25">
      <c r="A402" s="7">
        <v>44413.5</v>
      </c>
      <c r="B402" s="1" t="s">
        <v>68</v>
      </c>
      <c r="C402" s="1">
        <v>7039.53</v>
      </c>
      <c r="D402" s="1">
        <v>3657.48</v>
      </c>
    </row>
    <row r="403" spans="1:4" x14ac:dyDescent="0.25">
      <c r="A403" s="7">
        <v>44413.5</v>
      </c>
      <c r="B403" s="1" t="s">
        <v>71</v>
      </c>
      <c r="C403" s="1">
        <v>7567.03</v>
      </c>
      <c r="D403" s="1">
        <v>3295.85</v>
      </c>
    </row>
    <row r="404" spans="1:4" x14ac:dyDescent="0.25">
      <c r="A404" s="7">
        <v>44413.5</v>
      </c>
      <c r="B404" s="1" t="s">
        <v>69</v>
      </c>
      <c r="C404" s="1">
        <v>6541.51</v>
      </c>
      <c r="D404" s="1">
        <v>6770.71</v>
      </c>
    </row>
    <row r="405" spans="1:4" x14ac:dyDescent="0.25">
      <c r="A405" s="7">
        <v>44413.5</v>
      </c>
      <c r="B405" s="1" t="s">
        <v>72</v>
      </c>
      <c r="C405" s="1">
        <v>10990.11</v>
      </c>
      <c r="D405" s="1">
        <v>8416.06</v>
      </c>
    </row>
    <row r="406" spans="1:4" x14ac:dyDescent="0.25">
      <c r="A406" s="7">
        <v>44413.5</v>
      </c>
      <c r="B406" s="1" t="s">
        <v>73</v>
      </c>
      <c r="C406" s="1">
        <v>5930.56</v>
      </c>
      <c r="D406" s="1">
        <v>1168.6099999999999</v>
      </c>
    </row>
    <row r="407" spans="1:4" x14ac:dyDescent="0.25">
      <c r="A407" s="7">
        <v>44413.5</v>
      </c>
      <c r="B407" s="1" t="s">
        <v>77</v>
      </c>
      <c r="C407" s="1">
        <v>12150.84</v>
      </c>
      <c r="D407" s="1">
        <v>4287.62</v>
      </c>
    </row>
    <row r="408" spans="1:4" x14ac:dyDescent="0.25">
      <c r="A408" s="7">
        <v>44413.5</v>
      </c>
      <c r="B408" s="1" t="s">
        <v>70</v>
      </c>
      <c r="C408" s="1">
        <v>6100.7</v>
      </c>
      <c r="D408" s="1">
        <v>3323.36</v>
      </c>
    </row>
    <row r="409" spans="1:4" x14ac:dyDescent="0.25">
      <c r="A409" s="7">
        <v>44413.541666666664</v>
      </c>
      <c r="B409" s="1" t="s">
        <v>75</v>
      </c>
      <c r="C409" s="1">
        <v>900</v>
      </c>
      <c r="D409" s="1">
        <v>593.35</v>
      </c>
    </row>
    <row r="410" spans="1:4" x14ac:dyDescent="0.25">
      <c r="A410" s="7">
        <v>44413.541666666664</v>
      </c>
      <c r="B410" s="1" t="s">
        <v>74</v>
      </c>
      <c r="C410" s="1">
        <v>5926.27</v>
      </c>
      <c r="D410" s="1">
        <v>1816.46</v>
      </c>
    </row>
    <row r="411" spans="1:4" x14ac:dyDescent="0.25">
      <c r="A411" s="7">
        <v>44413.541666666664</v>
      </c>
      <c r="B411" s="1" t="s">
        <v>78</v>
      </c>
      <c r="C411" s="1">
        <v>2642.59</v>
      </c>
      <c r="D411" s="1">
        <v>1735.38</v>
      </c>
    </row>
    <row r="412" spans="1:4" x14ac:dyDescent="0.25">
      <c r="A412" s="7">
        <v>44413.541666666664</v>
      </c>
      <c r="B412" s="1" t="s">
        <v>76</v>
      </c>
      <c r="C412" s="1">
        <v>8646.74</v>
      </c>
      <c r="D412" s="1">
        <v>2822.3</v>
      </c>
    </row>
    <row r="413" spans="1:4" x14ac:dyDescent="0.25">
      <c r="A413" s="7">
        <v>44413.541666666664</v>
      </c>
      <c r="B413" s="1" t="s">
        <v>72</v>
      </c>
      <c r="C413" s="1">
        <v>9716.4</v>
      </c>
      <c r="D413" s="1">
        <v>7317.04</v>
      </c>
    </row>
    <row r="414" spans="1:4" x14ac:dyDescent="0.25">
      <c r="A414" s="7">
        <v>44413.541666666664</v>
      </c>
      <c r="B414" s="1" t="s">
        <v>68</v>
      </c>
      <c r="C414" s="1">
        <v>5576.57</v>
      </c>
      <c r="D414" s="1">
        <v>2854.11</v>
      </c>
    </row>
    <row r="415" spans="1:4" x14ac:dyDescent="0.25">
      <c r="A415" s="7">
        <v>44413.541666666664</v>
      </c>
      <c r="B415" s="1" t="s">
        <v>70</v>
      </c>
      <c r="C415" s="1">
        <v>5112.2299999999996</v>
      </c>
      <c r="D415" s="1">
        <v>2696.3</v>
      </c>
    </row>
    <row r="416" spans="1:4" x14ac:dyDescent="0.25">
      <c r="A416" s="7">
        <v>44413.541666666664</v>
      </c>
      <c r="B416" s="1" t="s">
        <v>69</v>
      </c>
      <c r="C416" s="1">
        <v>5904.43</v>
      </c>
      <c r="D416" s="1">
        <v>5867.58</v>
      </c>
    </row>
    <row r="417" spans="1:4" x14ac:dyDescent="0.25">
      <c r="A417" s="7">
        <v>44413.541666666664</v>
      </c>
      <c r="B417" s="1" t="s">
        <v>73</v>
      </c>
      <c r="C417" s="1">
        <v>4701.04</v>
      </c>
      <c r="D417" s="1">
        <v>919.17</v>
      </c>
    </row>
    <row r="418" spans="1:4" x14ac:dyDescent="0.25">
      <c r="A418" s="7">
        <v>44413.541666666664</v>
      </c>
      <c r="B418" s="1" t="s">
        <v>77</v>
      </c>
      <c r="C418" s="1">
        <v>13477.12</v>
      </c>
      <c r="D418" s="1">
        <v>4834.1099999999997</v>
      </c>
    </row>
    <row r="419" spans="1:4" x14ac:dyDescent="0.25">
      <c r="A419" s="7">
        <v>44413.541666666664</v>
      </c>
      <c r="B419" s="1" t="s">
        <v>71</v>
      </c>
      <c r="C419" s="1">
        <v>6020.55</v>
      </c>
      <c r="D419" s="1">
        <v>2566</v>
      </c>
    </row>
    <row r="420" spans="1:4" x14ac:dyDescent="0.25">
      <c r="A420" s="7">
        <v>44413.583333333336</v>
      </c>
      <c r="B420" s="1" t="s">
        <v>74</v>
      </c>
      <c r="C420" s="1">
        <v>6409.44</v>
      </c>
      <c r="D420" s="1">
        <v>1961.26</v>
      </c>
    </row>
    <row r="421" spans="1:4" x14ac:dyDescent="0.25">
      <c r="A421" s="7">
        <v>44413.583333333336</v>
      </c>
      <c r="B421" s="1" t="s">
        <v>75</v>
      </c>
      <c r="C421" s="1">
        <v>1015.19</v>
      </c>
      <c r="D421" s="1">
        <v>663.7</v>
      </c>
    </row>
    <row r="422" spans="1:4" x14ac:dyDescent="0.25">
      <c r="A422" s="7">
        <v>44413.583333333336</v>
      </c>
      <c r="B422" s="1" t="s">
        <v>76</v>
      </c>
      <c r="C422" s="1">
        <v>8769.1</v>
      </c>
      <c r="D422" s="1">
        <v>2790.81</v>
      </c>
    </row>
    <row r="423" spans="1:4" x14ac:dyDescent="0.25">
      <c r="A423" s="7">
        <v>44413.583333333336</v>
      </c>
      <c r="B423" s="1" t="s">
        <v>73</v>
      </c>
      <c r="C423" s="1">
        <v>5236.3999999999996</v>
      </c>
      <c r="D423" s="1">
        <v>966.14</v>
      </c>
    </row>
    <row r="424" spans="1:4" x14ac:dyDescent="0.25">
      <c r="A424" s="7">
        <v>44413.583333333336</v>
      </c>
      <c r="B424" s="1" t="s">
        <v>72</v>
      </c>
      <c r="C424" s="1">
        <v>10398.4</v>
      </c>
      <c r="D424" s="1">
        <v>7766.45</v>
      </c>
    </row>
    <row r="425" spans="1:4" x14ac:dyDescent="0.25">
      <c r="A425" s="7">
        <v>44413.583333333336</v>
      </c>
      <c r="B425" s="1" t="s">
        <v>71</v>
      </c>
      <c r="C425" s="1">
        <v>6683.84</v>
      </c>
      <c r="D425" s="1">
        <v>2685.64</v>
      </c>
    </row>
    <row r="426" spans="1:4" x14ac:dyDescent="0.25">
      <c r="A426" s="7">
        <v>44413.583333333336</v>
      </c>
      <c r="B426" s="1" t="s">
        <v>77</v>
      </c>
      <c r="C426" s="1">
        <v>11576.2</v>
      </c>
      <c r="D426" s="1">
        <v>3943.35</v>
      </c>
    </row>
    <row r="427" spans="1:4" x14ac:dyDescent="0.25">
      <c r="A427" s="7">
        <v>44413.583333333336</v>
      </c>
      <c r="B427" s="1" t="s">
        <v>70</v>
      </c>
      <c r="C427" s="1">
        <v>5627.51</v>
      </c>
      <c r="D427" s="1">
        <v>2977.62</v>
      </c>
    </row>
    <row r="428" spans="1:4" x14ac:dyDescent="0.25">
      <c r="A428" s="7">
        <v>44413.583333333336</v>
      </c>
      <c r="B428" s="1" t="s">
        <v>69</v>
      </c>
      <c r="C428" s="1">
        <v>6153.31</v>
      </c>
      <c r="D428" s="1">
        <v>5999.23</v>
      </c>
    </row>
    <row r="429" spans="1:4" x14ac:dyDescent="0.25">
      <c r="A429" s="7">
        <v>44413.583333333336</v>
      </c>
      <c r="B429" s="1" t="s">
        <v>78</v>
      </c>
      <c r="C429" s="1">
        <v>2596.23</v>
      </c>
      <c r="D429" s="1">
        <v>1697.01</v>
      </c>
    </row>
    <row r="430" spans="1:4" x14ac:dyDescent="0.25">
      <c r="A430" s="7">
        <v>44413.583333333336</v>
      </c>
      <c r="B430" s="1" t="s">
        <v>68</v>
      </c>
      <c r="C430" s="1">
        <v>6437.81</v>
      </c>
      <c r="D430" s="1">
        <v>3038.42</v>
      </c>
    </row>
    <row r="431" spans="1:4" x14ac:dyDescent="0.25">
      <c r="A431" s="7">
        <v>44413.625</v>
      </c>
      <c r="B431" s="1" t="s">
        <v>74</v>
      </c>
      <c r="C431" s="1">
        <v>6310.82</v>
      </c>
      <c r="D431" s="1">
        <v>1929.45</v>
      </c>
    </row>
    <row r="432" spans="1:4" x14ac:dyDescent="0.25">
      <c r="A432" s="7">
        <v>44413.625</v>
      </c>
      <c r="B432" s="1" t="s">
        <v>75</v>
      </c>
      <c r="C432" s="1">
        <v>1009.07</v>
      </c>
      <c r="D432" s="1">
        <v>647.62</v>
      </c>
    </row>
    <row r="433" spans="1:4" x14ac:dyDescent="0.25">
      <c r="A433" s="7">
        <v>44413.625</v>
      </c>
      <c r="B433" s="1" t="s">
        <v>73</v>
      </c>
      <c r="C433" s="1">
        <v>5433.36</v>
      </c>
      <c r="D433" s="1">
        <v>1048.72</v>
      </c>
    </row>
    <row r="434" spans="1:4" x14ac:dyDescent="0.25">
      <c r="A434" s="7">
        <v>44413.625</v>
      </c>
      <c r="B434" s="1" t="s">
        <v>77</v>
      </c>
      <c r="C434" s="1">
        <v>11395.23</v>
      </c>
      <c r="D434" s="1">
        <v>4074.91</v>
      </c>
    </row>
    <row r="435" spans="1:4" x14ac:dyDescent="0.25">
      <c r="A435" s="7">
        <v>44413.625</v>
      </c>
      <c r="B435" s="1" t="s">
        <v>71</v>
      </c>
      <c r="C435" s="1">
        <v>6793.34</v>
      </c>
      <c r="D435" s="1">
        <v>2795.78</v>
      </c>
    </row>
    <row r="436" spans="1:4" x14ac:dyDescent="0.25">
      <c r="A436" s="7">
        <v>44413.625</v>
      </c>
      <c r="B436" s="1" t="s">
        <v>70</v>
      </c>
      <c r="C436" s="1">
        <v>5547.27</v>
      </c>
      <c r="D436" s="1">
        <v>2970.41</v>
      </c>
    </row>
    <row r="437" spans="1:4" x14ac:dyDescent="0.25">
      <c r="A437" s="7">
        <v>44413.625</v>
      </c>
      <c r="B437" s="1" t="s">
        <v>78</v>
      </c>
      <c r="C437" s="1">
        <v>2459.77</v>
      </c>
      <c r="D437" s="1">
        <v>1647.9</v>
      </c>
    </row>
    <row r="438" spans="1:4" x14ac:dyDescent="0.25">
      <c r="A438" s="7">
        <v>44413.625</v>
      </c>
      <c r="B438" s="1" t="s">
        <v>76</v>
      </c>
      <c r="C438" s="1">
        <v>8806.2099999999991</v>
      </c>
      <c r="D438" s="1">
        <v>2766.74</v>
      </c>
    </row>
    <row r="439" spans="1:4" x14ac:dyDescent="0.25">
      <c r="A439" s="7">
        <v>44413.625</v>
      </c>
      <c r="B439" s="1" t="s">
        <v>72</v>
      </c>
      <c r="C439" s="1">
        <v>9985.24</v>
      </c>
      <c r="D439" s="1">
        <v>7551.83</v>
      </c>
    </row>
    <row r="440" spans="1:4" x14ac:dyDescent="0.25">
      <c r="A440" s="7">
        <v>44413.625</v>
      </c>
      <c r="B440" s="1" t="s">
        <v>68</v>
      </c>
      <c r="C440" s="1">
        <v>6550.87</v>
      </c>
      <c r="D440" s="1">
        <v>3136.53</v>
      </c>
    </row>
    <row r="441" spans="1:4" x14ac:dyDescent="0.25">
      <c r="A441" s="7">
        <v>44413.625</v>
      </c>
      <c r="B441" s="1" t="s">
        <v>69</v>
      </c>
      <c r="C441" s="1">
        <v>5865.5</v>
      </c>
      <c r="D441" s="1">
        <v>5818.39</v>
      </c>
    </row>
    <row r="442" spans="1:4" x14ac:dyDescent="0.25">
      <c r="A442" s="7">
        <v>44413.666666666664</v>
      </c>
      <c r="B442" s="1" t="s">
        <v>75</v>
      </c>
      <c r="C442" s="1">
        <v>922.28</v>
      </c>
      <c r="D442" s="1">
        <v>613.54</v>
      </c>
    </row>
    <row r="443" spans="1:4" x14ac:dyDescent="0.25">
      <c r="A443" s="7">
        <v>44413.666666666664</v>
      </c>
      <c r="B443" s="1" t="s">
        <v>74</v>
      </c>
      <c r="C443" s="1">
        <v>5941.19</v>
      </c>
      <c r="D443" s="1">
        <v>1844.42</v>
      </c>
    </row>
    <row r="444" spans="1:4" x14ac:dyDescent="0.25">
      <c r="A444" s="7">
        <v>44413.666666666664</v>
      </c>
      <c r="B444" s="1" t="s">
        <v>73</v>
      </c>
      <c r="C444" s="1">
        <v>5191.17</v>
      </c>
      <c r="D444" s="1">
        <v>1037.1199999999999</v>
      </c>
    </row>
    <row r="445" spans="1:4" x14ac:dyDescent="0.25">
      <c r="A445" s="7">
        <v>44413.666666666664</v>
      </c>
      <c r="B445" s="1" t="s">
        <v>77</v>
      </c>
      <c r="C445" s="1">
        <v>11133.24</v>
      </c>
      <c r="D445" s="1">
        <v>4059.7</v>
      </c>
    </row>
    <row r="446" spans="1:4" x14ac:dyDescent="0.25">
      <c r="A446" s="7">
        <v>44413.666666666664</v>
      </c>
      <c r="B446" s="1" t="s">
        <v>71</v>
      </c>
      <c r="C446" s="1">
        <v>6251.36</v>
      </c>
      <c r="D446" s="1">
        <v>2772.92</v>
      </c>
    </row>
    <row r="447" spans="1:4" x14ac:dyDescent="0.25">
      <c r="A447" s="7">
        <v>44413.666666666664</v>
      </c>
      <c r="B447" s="1" t="s">
        <v>69</v>
      </c>
      <c r="C447" s="1">
        <v>5420.48</v>
      </c>
      <c r="D447" s="1">
        <v>5404.2</v>
      </c>
    </row>
    <row r="448" spans="1:4" x14ac:dyDescent="0.25">
      <c r="A448" s="7">
        <v>44413.666666666664</v>
      </c>
      <c r="B448" s="1" t="s">
        <v>70</v>
      </c>
      <c r="C448" s="1">
        <v>5172.8100000000004</v>
      </c>
      <c r="D448" s="1">
        <v>2820.18</v>
      </c>
    </row>
    <row r="449" spans="1:4" x14ac:dyDescent="0.25">
      <c r="A449" s="7">
        <v>44413.666666666664</v>
      </c>
      <c r="B449" s="1" t="s">
        <v>78</v>
      </c>
      <c r="C449" s="1">
        <v>2246.2600000000002</v>
      </c>
      <c r="D449" s="1">
        <v>1562.57</v>
      </c>
    </row>
    <row r="450" spans="1:4" x14ac:dyDescent="0.25">
      <c r="A450" s="7">
        <v>44413.666666666664</v>
      </c>
      <c r="B450" s="1" t="s">
        <v>76</v>
      </c>
      <c r="C450" s="1">
        <v>8324.31</v>
      </c>
      <c r="D450" s="1">
        <v>2660.5</v>
      </c>
    </row>
    <row r="451" spans="1:4" x14ac:dyDescent="0.25">
      <c r="A451" s="7">
        <v>44413.666666666664</v>
      </c>
      <c r="B451" s="1" t="s">
        <v>72</v>
      </c>
      <c r="C451" s="1">
        <v>9135.24</v>
      </c>
      <c r="D451" s="1">
        <v>6975</v>
      </c>
    </row>
    <row r="452" spans="1:4" x14ac:dyDescent="0.25">
      <c r="A452" s="7">
        <v>44413.666666666664</v>
      </c>
      <c r="B452" s="1" t="s">
        <v>68</v>
      </c>
      <c r="C452" s="1">
        <v>6247.94</v>
      </c>
      <c r="D452" s="1">
        <v>3129.63</v>
      </c>
    </row>
    <row r="453" spans="1:4" x14ac:dyDescent="0.25">
      <c r="A453" s="7">
        <v>44413.708333333336</v>
      </c>
      <c r="B453" s="1" t="s">
        <v>75</v>
      </c>
      <c r="C453" s="1">
        <v>900.8</v>
      </c>
      <c r="D453" s="1">
        <v>589.96</v>
      </c>
    </row>
    <row r="454" spans="1:4" x14ac:dyDescent="0.25">
      <c r="A454" s="7">
        <v>44413.708333333336</v>
      </c>
      <c r="B454" s="1" t="s">
        <v>74</v>
      </c>
      <c r="C454" s="1">
        <v>6104.43</v>
      </c>
      <c r="D454" s="1">
        <v>1890.82</v>
      </c>
    </row>
    <row r="455" spans="1:4" x14ac:dyDescent="0.25">
      <c r="A455" s="7">
        <v>44413.708333333336</v>
      </c>
      <c r="B455" s="1" t="s">
        <v>68</v>
      </c>
      <c r="C455" s="1">
        <v>6281.57</v>
      </c>
      <c r="D455" s="1">
        <v>3261.56</v>
      </c>
    </row>
    <row r="456" spans="1:4" x14ac:dyDescent="0.25">
      <c r="A456" s="7">
        <v>44413.708333333336</v>
      </c>
      <c r="B456" s="1" t="s">
        <v>77</v>
      </c>
      <c r="C456" s="1">
        <v>12213.76</v>
      </c>
      <c r="D456" s="1">
        <v>4545.58</v>
      </c>
    </row>
    <row r="457" spans="1:4" x14ac:dyDescent="0.25">
      <c r="A457" s="7">
        <v>44413.708333333336</v>
      </c>
      <c r="B457" s="1" t="s">
        <v>71</v>
      </c>
      <c r="C457" s="1">
        <v>6199.22</v>
      </c>
      <c r="D457" s="1">
        <v>2942</v>
      </c>
    </row>
    <row r="458" spans="1:4" x14ac:dyDescent="0.25">
      <c r="A458" s="7">
        <v>44413.708333333336</v>
      </c>
      <c r="B458" s="1" t="s">
        <v>70</v>
      </c>
      <c r="C458" s="1">
        <v>5268.19</v>
      </c>
      <c r="D458" s="1">
        <v>2883.64</v>
      </c>
    </row>
    <row r="459" spans="1:4" x14ac:dyDescent="0.25">
      <c r="A459" s="7">
        <v>44413.708333333336</v>
      </c>
      <c r="B459" s="1" t="s">
        <v>69</v>
      </c>
      <c r="C459" s="1">
        <v>5336.58</v>
      </c>
      <c r="D459" s="1">
        <v>5198.88</v>
      </c>
    </row>
    <row r="460" spans="1:4" x14ac:dyDescent="0.25">
      <c r="A460" s="7">
        <v>44413.708333333336</v>
      </c>
      <c r="B460" s="1" t="s">
        <v>78</v>
      </c>
      <c r="C460" s="1">
        <v>2315.63</v>
      </c>
      <c r="D460" s="1">
        <v>1560.53</v>
      </c>
    </row>
    <row r="461" spans="1:4" x14ac:dyDescent="0.25">
      <c r="A461" s="7">
        <v>44413.708333333336</v>
      </c>
      <c r="B461" s="1" t="s">
        <v>76</v>
      </c>
      <c r="C461" s="1">
        <v>8277.58</v>
      </c>
      <c r="D461" s="1">
        <v>2800.21</v>
      </c>
    </row>
    <row r="462" spans="1:4" x14ac:dyDescent="0.25">
      <c r="A462" s="7">
        <v>44413.708333333336</v>
      </c>
      <c r="B462" s="1" t="s">
        <v>73</v>
      </c>
      <c r="C462" s="1">
        <v>5416.16</v>
      </c>
      <c r="D462" s="1">
        <v>1117.55</v>
      </c>
    </row>
    <row r="463" spans="1:4" x14ac:dyDescent="0.25">
      <c r="A463" s="7">
        <v>44413.708333333336</v>
      </c>
      <c r="B463" s="1" t="s">
        <v>72</v>
      </c>
      <c r="C463" s="1">
        <v>9222.08</v>
      </c>
      <c r="D463" s="1">
        <v>6928.32</v>
      </c>
    </row>
    <row r="464" spans="1:4" x14ac:dyDescent="0.25">
      <c r="A464" s="7">
        <v>44413.75</v>
      </c>
      <c r="B464" s="1" t="s">
        <v>74</v>
      </c>
      <c r="C464" s="1">
        <v>4936.25</v>
      </c>
      <c r="D464" s="1">
        <v>1392.38</v>
      </c>
    </row>
    <row r="465" spans="1:4" x14ac:dyDescent="0.25">
      <c r="A465" s="7">
        <v>44413.75</v>
      </c>
      <c r="B465" s="1" t="s">
        <v>78</v>
      </c>
      <c r="C465" s="1">
        <v>1725.57</v>
      </c>
      <c r="D465" s="1">
        <v>1001.27</v>
      </c>
    </row>
    <row r="466" spans="1:4" x14ac:dyDescent="0.25">
      <c r="A466" s="7">
        <v>44413.75</v>
      </c>
      <c r="B466" s="1" t="s">
        <v>75</v>
      </c>
      <c r="C466" s="1">
        <v>670.27</v>
      </c>
      <c r="D466" s="1">
        <v>374.22</v>
      </c>
    </row>
    <row r="467" spans="1:4" x14ac:dyDescent="0.25">
      <c r="A467" s="7">
        <v>44413.75</v>
      </c>
      <c r="B467" s="1" t="s">
        <v>76</v>
      </c>
      <c r="C467" s="1">
        <v>6595.76</v>
      </c>
      <c r="D467" s="1">
        <v>2045.12</v>
      </c>
    </row>
    <row r="468" spans="1:4" x14ac:dyDescent="0.25">
      <c r="A468" s="7">
        <v>44413.75</v>
      </c>
      <c r="B468" s="1" t="s">
        <v>72</v>
      </c>
      <c r="C468" s="1">
        <v>6464.1</v>
      </c>
      <c r="D468" s="1">
        <v>4307.84</v>
      </c>
    </row>
    <row r="469" spans="1:4" x14ac:dyDescent="0.25">
      <c r="A469" s="7">
        <v>44413.75</v>
      </c>
      <c r="B469" s="1" t="s">
        <v>71</v>
      </c>
      <c r="C469" s="1">
        <v>4817.91</v>
      </c>
      <c r="D469" s="1">
        <v>2220.11</v>
      </c>
    </row>
    <row r="470" spans="1:4" x14ac:dyDescent="0.25">
      <c r="A470" s="7">
        <v>44413.75</v>
      </c>
      <c r="B470" s="1" t="s">
        <v>68</v>
      </c>
      <c r="C470" s="1">
        <v>5251.05</v>
      </c>
      <c r="D470" s="1">
        <v>2586.09</v>
      </c>
    </row>
    <row r="471" spans="1:4" x14ac:dyDescent="0.25">
      <c r="A471" s="7">
        <v>44413.75</v>
      </c>
      <c r="B471" s="1" t="s">
        <v>69</v>
      </c>
      <c r="C471" s="1">
        <v>3772.34</v>
      </c>
      <c r="D471" s="1">
        <v>3087.56</v>
      </c>
    </row>
    <row r="472" spans="1:4" x14ac:dyDescent="0.25">
      <c r="A472" s="7">
        <v>44413.75</v>
      </c>
      <c r="B472" s="1" t="s">
        <v>73</v>
      </c>
      <c r="C472" s="1">
        <v>4254.09</v>
      </c>
      <c r="D472" s="1">
        <v>817.42</v>
      </c>
    </row>
    <row r="473" spans="1:4" x14ac:dyDescent="0.25">
      <c r="A473" s="7">
        <v>44413.75</v>
      </c>
      <c r="B473" s="1" t="s">
        <v>77</v>
      </c>
      <c r="C473" s="1">
        <v>10948.57</v>
      </c>
      <c r="D473" s="1">
        <v>3751.42</v>
      </c>
    </row>
    <row r="474" spans="1:4" x14ac:dyDescent="0.25">
      <c r="A474" s="7">
        <v>44413.75</v>
      </c>
      <c r="B474" s="1" t="s">
        <v>70</v>
      </c>
      <c r="C474" s="1">
        <v>3957.74</v>
      </c>
      <c r="D474" s="1">
        <v>1951.49</v>
      </c>
    </row>
    <row r="475" spans="1:4" x14ac:dyDescent="0.25">
      <c r="A475" s="7">
        <v>44413.791666666664</v>
      </c>
      <c r="B475" s="1" t="s">
        <v>74</v>
      </c>
      <c r="C475" s="1">
        <v>12937.71</v>
      </c>
      <c r="D475" s="1">
        <v>3467.86</v>
      </c>
    </row>
    <row r="476" spans="1:4" x14ac:dyDescent="0.25">
      <c r="A476" s="7">
        <v>44413.791666666664</v>
      </c>
      <c r="B476" s="1" t="s">
        <v>78</v>
      </c>
      <c r="C476" s="1">
        <v>5066.21</v>
      </c>
      <c r="D476" s="1">
        <v>3204.28</v>
      </c>
    </row>
    <row r="477" spans="1:4" x14ac:dyDescent="0.25">
      <c r="A477" s="7">
        <v>44413.791666666664</v>
      </c>
      <c r="B477" s="1" t="s">
        <v>75</v>
      </c>
      <c r="C477" s="1">
        <v>2193.36</v>
      </c>
      <c r="D477" s="1">
        <v>1299.1099999999999</v>
      </c>
    </row>
    <row r="478" spans="1:4" x14ac:dyDescent="0.25">
      <c r="A478" s="7">
        <v>44413.791666666664</v>
      </c>
      <c r="B478" s="1" t="s">
        <v>76</v>
      </c>
      <c r="C478" s="1">
        <v>20457.009999999998</v>
      </c>
      <c r="D478" s="1">
        <v>5939.12</v>
      </c>
    </row>
    <row r="479" spans="1:4" x14ac:dyDescent="0.25">
      <c r="A479" s="7">
        <v>44413.791666666664</v>
      </c>
      <c r="B479" s="1" t="s">
        <v>73</v>
      </c>
      <c r="C479" s="1">
        <v>12280.35</v>
      </c>
      <c r="D479" s="1">
        <v>2141.48</v>
      </c>
    </row>
    <row r="480" spans="1:4" x14ac:dyDescent="0.25">
      <c r="A480" s="7">
        <v>44413.791666666664</v>
      </c>
      <c r="B480" s="1" t="s">
        <v>68</v>
      </c>
      <c r="C480" s="1">
        <v>14773.86</v>
      </c>
      <c r="D480" s="1">
        <v>6529.4</v>
      </c>
    </row>
    <row r="481" spans="1:4" x14ac:dyDescent="0.25">
      <c r="A481" s="7">
        <v>44413.791666666664</v>
      </c>
      <c r="B481" s="1" t="s">
        <v>71</v>
      </c>
      <c r="C481" s="1">
        <v>15618.95</v>
      </c>
      <c r="D481" s="1">
        <v>6225.88</v>
      </c>
    </row>
    <row r="482" spans="1:4" x14ac:dyDescent="0.25">
      <c r="A482" s="7">
        <v>44413.791666666664</v>
      </c>
      <c r="B482" s="1" t="s">
        <v>70</v>
      </c>
      <c r="C482" s="1">
        <v>12758.5</v>
      </c>
      <c r="D482" s="1">
        <v>6108.36</v>
      </c>
    </row>
    <row r="483" spans="1:4" x14ac:dyDescent="0.25">
      <c r="A483" s="7">
        <v>44413.791666666664</v>
      </c>
      <c r="B483" s="1" t="s">
        <v>72</v>
      </c>
      <c r="C483" s="1">
        <v>19076.109</v>
      </c>
      <c r="D483" s="1">
        <v>12544.52</v>
      </c>
    </row>
    <row r="484" spans="1:4" x14ac:dyDescent="0.25">
      <c r="A484" s="7">
        <v>44413.791666666664</v>
      </c>
      <c r="B484" s="1" t="s">
        <v>77</v>
      </c>
      <c r="C484" s="1">
        <v>29622.368999999999</v>
      </c>
      <c r="D484" s="1">
        <v>9928.2199999999993</v>
      </c>
    </row>
    <row r="485" spans="1:4" x14ac:dyDescent="0.25">
      <c r="A485" s="7">
        <v>44413.791666666664</v>
      </c>
      <c r="B485" s="1" t="s">
        <v>69</v>
      </c>
      <c r="C485" s="1">
        <v>11391.71</v>
      </c>
      <c r="D485" s="1">
        <v>9439.1</v>
      </c>
    </row>
    <row r="486" spans="1:4" x14ac:dyDescent="0.25">
      <c r="A486" s="7">
        <v>44413.833333333336</v>
      </c>
      <c r="B486" s="1" t="s">
        <v>74</v>
      </c>
      <c r="C486" s="1">
        <v>12599.35</v>
      </c>
      <c r="D486" s="1">
        <v>3410.85</v>
      </c>
    </row>
    <row r="487" spans="1:4" x14ac:dyDescent="0.25">
      <c r="A487" s="7">
        <v>44413.833333333336</v>
      </c>
      <c r="B487" s="1" t="s">
        <v>75</v>
      </c>
      <c r="C487" s="1">
        <v>1773.25</v>
      </c>
      <c r="D487" s="1">
        <v>1065</v>
      </c>
    </row>
    <row r="488" spans="1:4" x14ac:dyDescent="0.25">
      <c r="A488" s="7">
        <v>44413.833333333336</v>
      </c>
      <c r="B488" s="1" t="s">
        <v>76</v>
      </c>
      <c r="C488" s="1">
        <v>18939.061000000002</v>
      </c>
      <c r="D488" s="1">
        <v>5360.09</v>
      </c>
    </row>
    <row r="489" spans="1:4" x14ac:dyDescent="0.25">
      <c r="A489" s="7">
        <v>44413.833333333336</v>
      </c>
      <c r="B489" s="1" t="s">
        <v>73</v>
      </c>
      <c r="C489" s="1">
        <v>10991.34</v>
      </c>
      <c r="D489" s="1">
        <v>1976.37</v>
      </c>
    </row>
    <row r="490" spans="1:4" x14ac:dyDescent="0.25">
      <c r="A490" s="7">
        <v>44413.833333333336</v>
      </c>
      <c r="B490" s="1" t="s">
        <v>71</v>
      </c>
      <c r="C490" s="1">
        <v>14408.58</v>
      </c>
      <c r="D490" s="1">
        <v>5930.28</v>
      </c>
    </row>
    <row r="491" spans="1:4" x14ac:dyDescent="0.25">
      <c r="A491" s="7">
        <v>44413.833333333336</v>
      </c>
      <c r="B491" s="1" t="s">
        <v>70</v>
      </c>
      <c r="C491" s="1">
        <v>10685.16</v>
      </c>
      <c r="D491" s="1">
        <v>5193.49</v>
      </c>
    </row>
    <row r="492" spans="1:4" x14ac:dyDescent="0.25">
      <c r="A492" s="7">
        <v>44413.833333333336</v>
      </c>
      <c r="B492" s="1" t="s">
        <v>78</v>
      </c>
      <c r="C492" s="1">
        <v>4157.42</v>
      </c>
      <c r="D492" s="1">
        <v>2822.11</v>
      </c>
    </row>
    <row r="493" spans="1:4" x14ac:dyDescent="0.25">
      <c r="A493" s="7">
        <v>44413.833333333336</v>
      </c>
      <c r="B493" s="1" t="s">
        <v>72</v>
      </c>
      <c r="C493" s="1">
        <v>15703.18</v>
      </c>
      <c r="D493" s="1">
        <v>10974</v>
      </c>
    </row>
    <row r="494" spans="1:4" x14ac:dyDescent="0.25">
      <c r="A494" s="7">
        <v>44413.833333333336</v>
      </c>
      <c r="B494" s="1" t="s">
        <v>68</v>
      </c>
      <c r="C494" s="1">
        <v>13429.68</v>
      </c>
      <c r="D494" s="1">
        <v>6350.93</v>
      </c>
    </row>
    <row r="495" spans="1:4" x14ac:dyDescent="0.25">
      <c r="A495" s="7">
        <v>44413.833333333336</v>
      </c>
      <c r="B495" s="1" t="s">
        <v>77</v>
      </c>
      <c r="C495" s="1">
        <v>24684.400000000001</v>
      </c>
      <c r="D495" s="1">
        <v>8256.6200000000008</v>
      </c>
    </row>
    <row r="496" spans="1:4" x14ac:dyDescent="0.25">
      <c r="A496" s="7">
        <v>44413.833333333336</v>
      </c>
      <c r="B496" s="1" t="s">
        <v>69</v>
      </c>
      <c r="C496" s="1">
        <v>9751.32</v>
      </c>
      <c r="D496" s="1">
        <v>8648.85</v>
      </c>
    </row>
    <row r="497" spans="1:4" x14ac:dyDescent="0.25">
      <c r="A497" s="7">
        <v>44413.875</v>
      </c>
      <c r="B497" s="1" t="s">
        <v>75</v>
      </c>
      <c r="C497" s="1">
        <v>1787.15</v>
      </c>
      <c r="D497" s="1">
        <v>1028.75</v>
      </c>
    </row>
    <row r="498" spans="1:4" x14ac:dyDescent="0.25">
      <c r="A498" s="7">
        <v>44413.875</v>
      </c>
      <c r="B498" s="1" t="s">
        <v>74</v>
      </c>
      <c r="C498" s="1">
        <v>11453.05</v>
      </c>
      <c r="D498" s="1">
        <v>3126.53</v>
      </c>
    </row>
    <row r="499" spans="1:4" x14ac:dyDescent="0.25">
      <c r="A499" s="7">
        <v>44413.875</v>
      </c>
      <c r="B499" s="1" t="s">
        <v>72</v>
      </c>
      <c r="C499" s="1">
        <v>14525.74</v>
      </c>
      <c r="D499" s="1">
        <v>9913.2199999999993</v>
      </c>
    </row>
    <row r="500" spans="1:4" x14ac:dyDescent="0.25">
      <c r="A500" s="7">
        <v>44413.875</v>
      </c>
      <c r="B500" s="1" t="s">
        <v>77</v>
      </c>
      <c r="C500" s="1">
        <v>23310.01</v>
      </c>
      <c r="D500" s="1">
        <v>7774.98</v>
      </c>
    </row>
    <row r="501" spans="1:4" x14ac:dyDescent="0.25">
      <c r="A501" s="7">
        <v>44413.875</v>
      </c>
      <c r="B501" s="1" t="s">
        <v>71</v>
      </c>
      <c r="C501" s="1">
        <v>13123.37</v>
      </c>
      <c r="D501" s="1">
        <v>5349.1</v>
      </c>
    </row>
    <row r="502" spans="1:4" x14ac:dyDescent="0.25">
      <c r="A502" s="7">
        <v>44413.875</v>
      </c>
      <c r="B502" s="1" t="s">
        <v>69</v>
      </c>
      <c r="C502" s="1">
        <v>8830.5499999999993</v>
      </c>
      <c r="D502" s="1">
        <v>7766.52</v>
      </c>
    </row>
    <row r="503" spans="1:4" x14ac:dyDescent="0.25">
      <c r="A503" s="7">
        <v>44413.875</v>
      </c>
      <c r="B503" s="1" t="s">
        <v>70</v>
      </c>
      <c r="C503" s="1">
        <v>10024.57</v>
      </c>
      <c r="D503" s="1">
        <v>4896.3599999999997</v>
      </c>
    </row>
    <row r="504" spans="1:4" x14ac:dyDescent="0.25">
      <c r="A504" s="7">
        <v>44413.875</v>
      </c>
      <c r="B504" s="1" t="s">
        <v>78</v>
      </c>
      <c r="C504" s="1">
        <v>4113.1000000000004</v>
      </c>
      <c r="D504" s="1">
        <v>2628.02</v>
      </c>
    </row>
    <row r="505" spans="1:4" x14ac:dyDescent="0.25">
      <c r="A505" s="7">
        <v>44413.875</v>
      </c>
      <c r="B505" s="1" t="s">
        <v>76</v>
      </c>
      <c r="C505" s="1">
        <v>17326.778999999999</v>
      </c>
      <c r="D505" s="1">
        <v>4975.6000000000004</v>
      </c>
    </row>
    <row r="506" spans="1:4" x14ac:dyDescent="0.25">
      <c r="A506" s="7">
        <v>44413.875</v>
      </c>
      <c r="B506" s="1" t="s">
        <v>73</v>
      </c>
      <c r="C506" s="1">
        <v>10114.200000000001</v>
      </c>
      <c r="D506" s="1">
        <v>1784.55</v>
      </c>
    </row>
    <row r="507" spans="1:4" x14ac:dyDescent="0.25">
      <c r="A507" s="7">
        <v>44413.875</v>
      </c>
      <c r="B507" s="1" t="s">
        <v>68</v>
      </c>
      <c r="C507" s="1">
        <v>12512.06</v>
      </c>
      <c r="D507" s="1">
        <v>5771.72</v>
      </c>
    </row>
    <row r="508" spans="1:4" x14ac:dyDescent="0.25">
      <c r="A508" s="7">
        <v>44413.916666666664</v>
      </c>
      <c r="B508" s="1" t="s">
        <v>75</v>
      </c>
      <c r="C508" s="1">
        <v>1588.1</v>
      </c>
      <c r="D508" s="1">
        <v>1038.75</v>
      </c>
    </row>
    <row r="509" spans="1:4" x14ac:dyDescent="0.25">
      <c r="A509" s="7">
        <v>44413.916666666664</v>
      </c>
      <c r="B509" s="1" t="s">
        <v>74</v>
      </c>
      <c r="C509" s="1">
        <v>8061.19</v>
      </c>
      <c r="D509" s="1">
        <v>2425.89</v>
      </c>
    </row>
    <row r="510" spans="1:4" x14ac:dyDescent="0.25">
      <c r="A510" s="7">
        <v>44413.916666666664</v>
      </c>
      <c r="B510" s="1" t="s">
        <v>72</v>
      </c>
      <c r="C510" s="1">
        <v>13336.43</v>
      </c>
      <c r="D510" s="1">
        <v>9414.35</v>
      </c>
    </row>
    <row r="511" spans="1:4" x14ac:dyDescent="0.25">
      <c r="A511" s="7">
        <v>44413.916666666664</v>
      </c>
      <c r="B511" s="1" t="s">
        <v>68</v>
      </c>
      <c r="C511" s="1">
        <v>9135.58</v>
      </c>
      <c r="D511" s="1">
        <v>4649.2700000000004</v>
      </c>
    </row>
    <row r="512" spans="1:4" x14ac:dyDescent="0.25">
      <c r="A512" s="7">
        <v>44413.916666666664</v>
      </c>
      <c r="B512" s="1" t="s">
        <v>77</v>
      </c>
      <c r="C512" s="1">
        <v>18562.57</v>
      </c>
      <c r="D512" s="1">
        <v>6406.77</v>
      </c>
    </row>
    <row r="513" spans="1:4" x14ac:dyDescent="0.25">
      <c r="A513" s="7">
        <v>44413.916666666664</v>
      </c>
      <c r="B513" s="1" t="s">
        <v>70</v>
      </c>
      <c r="C513" s="1">
        <v>8087.78</v>
      </c>
      <c r="D513" s="1">
        <v>4140.37</v>
      </c>
    </row>
    <row r="514" spans="1:4" x14ac:dyDescent="0.25">
      <c r="A514" s="7">
        <v>44413.916666666664</v>
      </c>
      <c r="B514" s="1" t="s">
        <v>69</v>
      </c>
      <c r="C514" s="1">
        <v>8305.2800000000007</v>
      </c>
      <c r="D514" s="1">
        <v>7490.08</v>
      </c>
    </row>
    <row r="515" spans="1:4" x14ac:dyDescent="0.25">
      <c r="A515" s="7">
        <v>44413.916666666664</v>
      </c>
      <c r="B515" s="1" t="s">
        <v>78</v>
      </c>
      <c r="C515" s="1">
        <v>3646.7</v>
      </c>
      <c r="D515" s="1">
        <v>2406.62</v>
      </c>
    </row>
    <row r="516" spans="1:4" x14ac:dyDescent="0.25">
      <c r="A516" s="7">
        <v>44413.916666666664</v>
      </c>
      <c r="B516" s="1" t="s">
        <v>76</v>
      </c>
      <c r="C516" s="1">
        <v>13213.7</v>
      </c>
      <c r="D516" s="1">
        <v>3976.9</v>
      </c>
    </row>
    <row r="517" spans="1:4" x14ac:dyDescent="0.25">
      <c r="A517" s="7">
        <v>44413.916666666664</v>
      </c>
      <c r="B517" s="1" t="s">
        <v>73</v>
      </c>
      <c r="C517" s="1">
        <v>7516.13</v>
      </c>
      <c r="D517" s="1">
        <v>1442.71</v>
      </c>
    </row>
    <row r="518" spans="1:4" x14ac:dyDescent="0.25">
      <c r="A518" s="7">
        <v>44413.916666666664</v>
      </c>
      <c r="B518" s="1" t="s">
        <v>71</v>
      </c>
      <c r="C518" s="1">
        <v>8970.98</v>
      </c>
      <c r="D518" s="1">
        <v>4022.67</v>
      </c>
    </row>
    <row r="519" spans="1:4" x14ac:dyDescent="0.25">
      <c r="A519" s="7">
        <v>44413.958333333336</v>
      </c>
      <c r="B519" s="1" t="s">
        <v>74</v>
      </c>
      <c r="C519" s="1">
        <v>3541.07</v>
      </c>
      <c r="D519" s="1">
        <v>1255.8</v>
      </c>
    </row>
    <row r="520" spans="1:4" x14ac:dyDescent="0.25">
      <c r="A520" s="7">
        <v>44413.958333333336</v>
      </c>
      <c r="B520" s="1" t="s">
        <v>75</v>
      </c>
      <c r="C520" s="1">
        <v>996.33</v>
      </c>
      <c r="D520" s="1">
        <v>711.73</v>
      </c>
    </row>
    <row r="521" spans="1:4" x14ac:dyDescent="0.25">
      <c r="A521" s="7">
        <v>44413.958333333336</v>
      </c>
      <c r="B521" s="1" t="s">
        <v>68</v>
      </c>
      <c r="C521" s="1">
        <v>3966.61</v>
      </c>
      <c r="D521" s="1">
        <v>2413.14</v>
      </c>
    </row>
    <row r="522" spans="1:4" x14ac:dyDescent="0.25">
      <c r="A522" s="7">
        <v>44413.958333333336</v>
      </c>
      <c r="B522" s="1" t="s">
        <v>77</v>
      </c>
      <c r="C522" s="1">
        <v>9068.41</v>
      </c>
      <c r="D522" s="1">
        <v>3245.8</v>
      </c>
    </row>
    <row r="523" spans="1:4" x14ac:dyDescent="0.25">
      <c r="A523" s="7">
        <v>44413.958333333336</v>
      </c>
      <c r="B523" s="1" t="s">
        <v>71</v>
      </c>
      <c r="C523" s="1">
        <v>3593.85</v>
      </c>
      <c r="D523" s="1">
        <v>1943.15</v>
      </c>
    </row>
    <row r="524" spans="1:4" x14ac:dyDescent="0.25">
      <c r="A524" s="7">
        <v>44413.958333333336</v>
      </c>
      <c r="B524" s="1" t="s">
        <v>69</v>
      </c>
      <c r="C524" s="1">
        <v>4887.0600000000004</v>
      </c>
      <c r="D524" s="1">
        <v>4642.34</v>
      </c>
    </row>
    <row r="525" spans="1:4" x14ac:dyDescent="0.25">
      <c r="A525" s="7">
        <v>44413.958333333336</v>
      </c>
      <c r="B525" s="1" t="s">
        <v>78</v>
      </c>
      <c r="C525" s="1">
        <v>2046.43</v>
      </c>
      <c r="D525" s="1">
        <v>1461.94</v>
      </c>
    </row>
    <row r="526" spans="1:4" x14ac:dyDescent="0.25">
      <c r="A526" s="7">
        <v>44413.958333333336</v>
      </c>
      <c r="B526" s="1" t="s">
        <v>76</v>
      </c>
      <c r="C526" s="1">
        <v>6369.56</v>
      </c>
      <c r="D526" s="1">
        <v>2101.98</v>
      </c>
    </row>
    <row r="527" spans="1:4" x14ac:dyDescent="0.25">
      <c r="A527" s="7">
        <v>44413.958333333336</v>
      </c>
      <c r="B527" s="1" t="s">
        <v>73</v>
      </c>
      <c r="C527" s="1">
        <v>3201.5</v>
      </c>
      <c r="D527" s="1">
        <v>757.92</v>
      </c>
    </row>
    <row r="528" spans="1:4" x14ac:dyDescent="0.25">
      <c r="A528" s="7">
        <v>44413.958333333336</v>
      </c>
      <c r="B528" s="1" t="s">
        <v>72</v>
      </c>
      <c r="C528" s="1">
        <v>7693.53</v>
      </c>
      <c r="D528" s="1">
        <v>5901.25</v>
      </c>
    </row>
    <row r="529" spans="1:4" x14ac:dyDescent="0.25">
      <c r="A529" s="7">
        <v>44413.958333333336</v>
      </c>
      <c r="B529" s="1" t="s">
        <v>70</v>
      </c>
      <c r="C529" s="1">
        <v>3974.48</v>
      </c>
      <c r="D529" s="1">
        <v>2235.7199999999998</v>
      </c>
    </row>
    <row r="530" spans="1:4" x14ac:dyDescent="0.25">
      <c r="A530" s="7">
        <v>44444</v>
      </c>
      <c r="B530" s="1" t="s">
        <v>75</v>
      </c>
      <c r="C530" s="1">
        <v>522.54999999999995</v>
      </c>
      <c r="D530" s="1">
        <v>411.23</v>
      </c>
    </row>
    <row r="531" spans="1:4" x14ac:dyDescent="0.25">
      <c r="A531" s="7">
        <v>44444</v>
      </c>
      <c r="B531" s="1" t="s">
        <v>74</v>
      </c>
      <c r="C531" s="1">
        <v>1312.66</v>
      </c>
      <c r="D531" s="1">
        <v>558.59</v>
      </c>
    </row>
    <row r="532" spans="1:4" x14ac:dyDescent="0.25">
      <c r="A532" s="7">
        <v>44444</v>
      </c>
      <c r="B532" s="1" t="s">
        <v>76</v>
      </c>
      <c r="C532" s="1">
        <v>2584.77</v>
      </c>
      <c r="D532" s="1">
        <v>929.51</v>
      </c>
    </row>
    <row r="533" spans="1:4" x14ac:dyDescent="0.25">
      <c r="A533" s="7">
        <v>44444</v>
      </c>
      <c r="B533" s="1" t="s">
        <v>73</v>
      </c>
      <c r="C533" s="1">
        <v>1142.81</v>
      </c>
      <c r="D533" s="1">
        <v>322.82</v>
      </c>
    </row>
    <row r="534" spans="1:4" x14ac:dyDescent="0.25">
      <c r="A534" s="7">
        <v>44444</v>
      </c>
      <c r="B534" s="1" t="s">
        <v>68</v>
      </c>
      <c r="C534" s="1">
        <v>1488.4</v>
      </c>
      <c r="D534" s="1">
        <v>1076.83</v>
      </c>
    </row>
    <row r="535" spans="1:4" x14ac:dyDescent="0.25">
      <c r="A535" s="7">
        <v>44444</v>
      </c>
      <c r="B535" s="1" t="s">
        <v>71</v>
      </c>
      <c r="C535" s="1">
        <v>1296.31</v>
      </c>
      <c r="D535" s="1">
        <v>826.59</v>
      </c>
    </row>
    <row r="536" spans="1:4" x14ac:dyDescent="0.25">
      <c r="A536" s="7">
        <v>44444</v>
      </c>
      <c r="B536" s="1" t="s">
        <v>70</v>
      </c>
      <c r="C536" s="1">
        <v>1642.81</v>
      </c>
      <c r="D536" s="1">
        <v>1058.51</v>
      </c>
    </row>
    <row r="537" spans="1:4" x14ac:dyDescent="0.25">
      <c r="A537" s="7">
        <v>44444</v>
      </c>
      <c r="B537" s="1" t="s">
        <v>72</v>
      </c>
      <c r="C537" s="1">
        <v>3541.82</v>
      </c>
      <c r="D537" s="1">
        <v>2907.4</v>
      </c>
    </row>
    <row r="538" spans="1:4" x14ac:dyDescent="0.25">
      <c r="A538" s="7">
        <v>44444</v>
      </c>
      <c r="B538" s="1" t="s">
        <v>77</v>
      </c>
      <c r="C538" s="1">
        <v>3621.01</v>
      </c>
      <c r="D538" s="1">
        <v>1343.41</v>
      </c>
    </row>
    <row r="539" spans="1:4" x14ac:dyDescent="0.25">
      <c r="A539" s="7">
        <v>44444</v>
      </c>
      <c r="B539" s="1" t="s">
        <v>69</v>
      </c>
      <c r="C539" s="1">
        <v>2175.3200000000002</v>
      </c>
      <c r="D539" s="1">
        <v>2178.39</v>
      </c>
    </row>
    <row r="540" spans="1:4" x14ac:dyDescent="0.25">
      <c r="A540" s="7">
        <v>44444</v>
      </c>
      <c r="B540" s="1" t="s">
        <v>78</v>
      </c>
      <c r="C540" s="1">
        <v>935.4</v>
      </c>
      <c r="D540" s="1">
        <v>708.81</v>
      </c>
    </row>
    <row r="541" spans="1:4" x14ac:dyDescent="0.25">
      <c r="A541" s="7">
        <v>44444.041666666664</v>
      </c>
      <c r="B541" s="1" t="s">
        <v>75</v>
      </c>
      <c r="C541" s="1">
        <v>275.18</v>
      </c>
      <c r="D541" s="1">
        <v>244.82</v>
      </c>
    </row>
    <row r="542" spans="1:4" x14ac:dyDescent="0.25">
      <c r="A542" s="7">
        <v>44444.041666666664</v>
      </c>
      <c r="B542" s="1" t="s">
        <v>74</v>
      </c>
      <c r="C542" s="1">
        <v>541.04999999999995</v>
      </c>
      <c r="D542" s="1">
        <v>242.51</v>
      </c>
    </row>
    <row r="543" spans="1:4" x14ac:dyDescent="0.25">
      <c r="A543" s="7">
        <v>44444.041666666664</v>
      </c>
      <c r="B543" s="1" t="s">
        <v>78</v>
      </c>
      <c r="C543" s="1">
        <v>424.45</v>
      </c>
      <c r="D543" s="1">
        <v>328.19</v>
      </c>
    </row>
    <row r="544" spans="1:4" x14ac:dyDescent="0.25">
      <c r="A544" s="7">
        <v>44444.041666666664</v>
      </c>
      <c r="B544" s="1" t="s">
        <v>76</v>
      </c>
      <c r="C544" s="1">
        <v>1131.7</v>
      </c>
      <c r="D544" s="1">
        <v>427.42</v>
      </c>
    </row>
    <row r="545" spans="1:4" x14ac:dyDescent="0.25">
      <c r="A545" s="7">
        <v>44444.041666666664</v>
      </c>
      <c r="B545" s="1" t="s">
        <v>71</v>
      </c>
      <c r="C545" s="1">
        <v>504.92</v>
      </c>
      <c r="D545" s="1">
        <v>325.02</v>
      </c>
    </row>
    <row r="546" spans="1:4" x14ac:dyDescent="0.25">
      <c r="A546" s="7">
        <v>44444.041666666664</v>
      </c>
      <c r="B546" s="1" t="s">
        <v>69</v>
      </c>
      <c r="C546" s="1">
        <v>920.02</v>
      </c>
      <c r="D546" s="1">
        <v>990.17</v>
      </c>
    </row>
    <row r="547" spans="1:4" x14ac:dyDescent="0.25">
      <c r="A547" s="7">
        <v>44444.041666666664</v>
      </c>
      <c r="B547" s="1" t="s">
        <v>70</v>
      </c>
      <c r="C547" s="1">
        <v>710.69</v>
      </c>
      <c r="D547" s="1">
        <v>462.32</v>
      </c>
    </row>
    <row r="548" spans="1:4" x14ac:dyDescent="0.25">
      <c r="A548" s="7">
        <v>44444.041666666664</v>
      </c>
      <c r="B548" s="1" t="s">
        <v>72</v>
      </c>
      <c r="C548" s="1">
        <v>1597.81</v>
      </c>
      <c r="D548" s="1">
        <v>1372.61</v>
      </c>
    </row>
    <row r="549" spans="1:4" x14ac:dyDescent="0.25">
      <c r="A549" s="7">
        <v>44444.041666666664</v>
      </c>
      <c r="B549" s="1" t="s">
        <v>73</v>
      </c>
      <c r="C549" s="1">
        <v>446.25</v>
      </c>
      <c r="D549" s="1">
        <v>121.03</v>
      </c>
    </row>
    <row r="550" spans="1:4" x14ac:dyDescent="0.25">
      <c r="A550" s="7">
        <v>44444.041666666664</v>
      </c>
      <c r="B550" s="1" t="s">
        <v>68</v>
      </c>
      <c r="C550" s="1">
        <v>575.53</v>
      </c>
      <c r="D550" s="1">
        <v>449.34</v>
      </c>
    </row>
    <row r="551" spans="1:4" x14ac:dyDescent="0.25">
      <c r="A551" s="7">
        <v>44444.041666666664</v>
      </c>
      <c r="B551" s="1" t="s">
        <v>77</v>
      </c>
      <c r="C551" s="1">
        <v>1450.22</v>
      </c>
      <c r="D551" s="1">
        <v>562.23</v>
      </c>
    </row>
    <row r="552" spans="1:4" x14ac:dyDescent="0.25">
      <c r="A552" s="7">
        <v>44444.083333333336</v>
      </c>
      <c r="B552" s="1" t="s">
        <v>75</v>
      </c>
      <c r="C552" s="1">
        <v>245.58</v>
      </c>
      <c r="D552" s="1">
        <v>188.56</v>
      </c>
    </row>
    <row r="553" spans="1:4" x14ac:dyDescent="0.25">
      <c r="A553" s="7">
        <v>44444.083333333336</v>
      </c>
      <c r="B553" s="1" t="s">
        <v>74</v>
      </c>
      <c r="C553" s="1">
        <v>518.87</v>
      </c>
      <c r="D553" s="1">
        <v>159.16</v>
      </c>
    </row>
    <row r="554" spans="1:4" x14ac:dyDescent="0.25">
      <c r="A554" s="7">
        <v>44444.083333333336</v>
      </c>
      <c r="B554" s="1" t="s">
        <v>71</v>
      </c>
      <c r="C554" s="1">
        <v>342.97</v>
      </c>
      <c r="D554" s="1">
        <v>172.27</v>
      </c>
    </row>
    <row r="555" spans="1:4" x14ac:dyDescent="0.25">
      <c r="A555" s="7">
        <v>44444.083333333336</v>
      </c>
      <c r="B555" s="1" t="s">
        <v>69</v>
      </c>
      <c r="C555" s="1">
        <v>565.69000000000005</v>
      </c>
      <c r="D555" s="1">
        <v>553.32000000000005</v>
      </c>
    </row>
    <row r="556" spans="1:4" x14ac:dyDescent="0.25">
      <c r="A556" s="7">
        <v>44444.083333333336</v>
      </c>
      <c r="B556" s="1" t="s">
        <v>70</v>
      </c>
      <c r="C556" s="1">
        <v>522.53</v>
      </c>
      <c r="D556" s="1">
        <v>314.22000000000003</v>
      </c>
    </row>
    <row r="557" spans="1:4" x14ac:dyDescent="0.25">
      <c r="A557" s="7">
        <v>44444.083333333336</v>
      </c>
      <c r="B557" s="1" t="s">
        <v>78</v>
      </c>
      <c r="C557" s="1">
        <v>330.7</v>
      </c>
      <c r="D557" s="1">
        <v>226.37</v>
      </c>
    </row>
    <row r="558" spans="1:4" x14ac:dyDescent="0.25">
      <c r="A558" s="7">
        <v>44444.083333333336</v>
      </c>
      <c r="B558" s="1" t="s">
        <v>76</v>
      </c>
      <c r="C558" s="1">
        <v>1214.23</v>
      </c>
      <c r="D558" s="1">
        <v>325.8</v>
      </c>
    </row>
    <row r="559" spans="1:4" x14ac:dyDescent="0.25">
      <c r="A559" s="7">
        <v>44444.083333333336</v>
      </c>
      <c r="B559" s="1" t="s">
        <v>73</v>
      </c>
      <c r="C559" s="1">
        <v>304.87</v>
      </c>
      <c r="D559" s="1">
        <v>75.64</v>
      </c>
    </row>
    <row r="560" spans="1:4" x14ac:dyDescent="0.25">
      <c r="A560" s="7">
        <v>44444.083333333336</v>
      </c>
      <c r="B560" s="1" t="s">
        <v>72</v>
      </c>
      <c r="C560" s="1">
        <v>987.08</v>
      </c>
      <c r="D560" s="1">
        <v>800.69</v>
      </c>
    </row>
    <row r="561" spans="1:4" x14ac:dyDescent="0.25">
      <c r="A561" s="7">
        <v>44444.083333333336</v>
      </c>
      <c r="B561" s="1" t="s">
        <v>68</v>
      </c>
      <c r="C561" s="1">
        <v>327.27999999999997</v>
      </c>
      <c r="D561" s="1">
        <v>215</v>
      </c>
    </row>
    <row r="562" spans="1:4" x14ac:dyDescent="0.25">
      <c r="A562" s="7">
        <v>44444.083333333336</v>
      </c>
      <c r="B562" s="1" t="s">
        <v>77</v>
      </c>
      <c r="C562" s="1">
        <v>1070.6500000000001</v>
      </c>
      <c r="D562" s="1">
        <v>357.12</v>
      </c>
    </row>
    <row r="563" spans="1:4" x14ac:dyDescent="0.25">
      <c r="A563" s="7">
        <v>44444.125</v>
      </c>
      <c r="B563" s="1" t="s">
        <v>74</v>
      </c>
      <c r="C563" s="1">
        <v>1528.09</v>
      </c>
      <c r="D563" s="1">
        <v>347.6</v>
      </c>
    </row>
    <row r="564" spans="1:4" x14ac:dyDescent="0.25">
      <c r="A564" s="7">
        <v>44444.125</v>
      </c>
      <c r="B564" s="1" t="s">
        <v>75</v>
      </c>
      <c r="C564" s="1">
        <v>531.16999999999996</v>
      </c>
      <c r="D564" s="1">
        <v>305.75</v>
      </c>
    </row>
    <row r="565" spans="1:4" x14ac:dyDescent="0.25">
      <c r="A565" s="7">
        <v>44444.125</v>
      </c>
      <c r="B565" s="1" t="s">
        <v>72</v>
      </c>
      <c r="C565" s="1">
        <v>2576.77</v>
      </c>
      <c r="D565" s="1">
        <v>1593.02</v>
      </c>
    </row>
    <row r="566" spans="1:4" x14ac:dyDescent="0.25">
      <c r="A566" s="7">
        <v>44444.125</v>
      </c>
      <c r="B566" s="1" t="s">
        <v>68</v>
      </c>
      <c r="C566" s="1">
        <v>990.21</v>
      </c>
      <c r="D566" s="1">
        <v>379.99</v>
      </c>
    </row>
    <row r="567" spans="1:4" x14ac:dyDescent="0.25">
      <c r="A567" s="7">
        <v>44444.125</v>
      </c>
      <c r="B567" s="1" t="s">
        <v>77</v>
      </c>
      <c r="C567" s="1">
        <v>3727.6</v>
      </c>
      <c r="D567" s="1">
        <v>1248.5999999999999</v>
      </c>
    </row>
    <row r="568" spans="1:4" x14ac:dyDescent="0.25">
      <c r="A568" s="7">
        <v>44444.125</v>
      </c>
      <c r="B568" s="1" t="s">
        <v>71</v>
      </c>
      <c r="C568" s="1">
        <v>1162.1099999999999</v>
      </c>
      <c r="D568" s="1">
        <v>405.5</v>
      </c>
    </row>
    <row r="569" spans="1:4" x14ac:dyDescent="0.25">
      <c r="A569" s="7">
        <v>44444.125</v>
      </c>
      <c r="B569" s="1" t="s">
        <v>69</v>
      </c>
      <c r="C569" s="1">
        <v>1547.92</v>
      </c>
      <c r="D569" s="1">
        <v>1206.94</v>
      </c>
    </row>
    <row r="570" spans="1:4" x14ac:dyDescent="0.25">
      <c r="A570" s="7">
        <v>44444.125</v>
      </c>
      <c r="B570" s="1" t="s">
        <v>70</v>
      </c>
      <c r="C570" s="1">
        <v>1634.71</v>
      </c>
      <c r="D570" s="1">
        <v>754.51</v>
      </c>
    </row>
    <row r="571" spans="1:4" x14ac:dyDescent="0.25">
      <c r="A571" s="7">
        <v>44444.125</v>
      </c>
      <c r="B571" s="1" t="s">
        <v>78</v>
      </c>
      <c r="C571" s="1">
        <v>783.53</v>
      </c>
      <c r="D571" s="1">
        <v>453.31</v>
      </c>
    </row>
    <row r="572" spans="1:4" x14ac:dyDescent="0.25">
      <c r="A572" s="7">
        <v>44444.125</v>
      </c>
      <c r="B572" s="1" t="s">
        <v>76</v>
      </c>
      <c r="C572" s="1">
        <v>3555.15</v>
      </c>
      <c r="D572" s="1">
        <v>824.81</v>
      </c>
    </row>
    <row r="573" spans="1:4" x14ac:dyDescent="0.25">
      <c r="A573" s="7">
        <v>44444.125</v>
      </c>
      <c r="B573" s="1" t="s">
        <v>73</v>
      </c>
      <c r="C573" s="1">
        <v>992.09</v>
      </c>
      <c r="D573" s="1">
        <v>144.38</v>
      </c>
    </row>
    <row r="574" spans="1:4" x14ac:dyDescent="0.25">
      <c r="A574" s="7">
        <v>44444.166666666664</v>
      </c>
      <c r="B574" s="1" t="s">
        <v>75</v>
      </c>
      <c r="C574" s="1">
        <v>229.4</v>
      </c>
      <c r="D574" s="1">
        <v>177.74</v>
      </c>
    </row>
    <row r="575" spans="1:4" x14ac:dyDescent="0.25">
      <c r="A575" s="7">
        <v>44444.166666666664</v>
      </c>
      <c r="B575" s="1" t="s">
        <v>74</v>
      </c>
      <c r="C575" s="1">
        <v>1054.3699999999999</v>
      </c>
      <c r="D575" s="1">
        <v>328.74</v>
      </c>
    </row>
    <row r="576" spans="1:4" x14ac:dyDescent="0.25">
      <c r="A576" s="7">
        <v>44444.166666666664</v>
      </c>
      <c r="B576" s="1" t="s">
        <v>73</v>
      </c>
      <c r="C576" s="1">
        <v>732.15</v>
      </c>
      <c r="D576" s="1">
        <v>136.66999999999999</v>
      </c>
    </row>
    <row r="577" spans="1:4" x14ac:dyDescent="0.25">
      <c r="A577" s="7">
        <v>44444.166666666664</v>
      </c>
      <c r="B577" s="1" t="s">
        <v>68</v>
      </c>
      <c r="C577" s="1">
        <v>879.92</v>
      </c>
      <c r="D577" s="1">
        <v>418.95</v>
      </c>
    </row>
    <row r="578" spans="1:4" x14ac:dyDescent="0.25">
      <c r="A578" s="7">
        <v>44444.166666666664</v>
      </c>
      <c r="B578" s="1" t="s">
        <v>77</v>
      </c>
      <c r="C578" s="1">
        <v>2242.2800000000002</v>
      </c>
      <c r="D578" s="1">
        <v>797.5</v>
      </c>
    </row>
    <row r="579" spans="1:4" x14ac:dyDescent="0.25">
      <c r="A579" s="7">
        <v>44444.166666666664</v>
      </c>
      <c r="B579" s="1" t="s">
        <v>71</v>
      </c>
      <c r="C579" s="1">
        <v>1086.33</v>
      </c>
      <c r="D579" s="1">
        <v>412.87</v>
      </c>
    </row>
    <row r="580" spans="1:4" x14ac:dyDescent="0.25">
      <c r="A580" s="7">
        <v>44444.166666666664</v>
      </c>
      <c r="B580" s="1" t="s">
        <v>70</v>
      </c>
      <c r="C580" s="1">
        <v>1125.3499999999999</v>
      </c>
      <c r="D580" s="1">
        <v>644.35</v>
      </c>
    </row>
    <row r="581" spans="1:4" x14ac:dyDescent="0.25">
      <c r="A581" s="7">
        <v>44444.166666666664</v>
      </c>
      <c r="B581" s="1" t="s">
        <v>78</v>
      </c>
      <c r="C581" s="1">
        <v>556.99</v>
      </c>
      <c r="D581" s="1">
        <v>421.43</v>
      </c>
    </row>
    <row r="582" spans="1:4" x14ac:dyDescent="0.25">
      <c r="A582" s="7">
        <v>44444.166666666664</v>
      </c>
      <c r="B582" s="1" t="s">
        <v>72</v>
      </c>
      <c r="C582" s="1">
        <v>1698.92</v>
      </c>
      <c r="D582" s="1">
        <v>1231.75</v>
      </c>
    </row>
    <row r="583" spans="1:4" x14ac:dyDescent="0.25">
      <c r="A583" s="7">
        <v>44444.166666666664</v>
      </c>
      <c r="B583" s="1" t="s">
        <v>76</v>
      </c>
      <c r="C583" s="1">
        <v>1619.18</v>
      </c>
      <c r="D583" s="1">
        <v>520.28</v>
      </c>
    </row>
    <row r="584" spans="1:4" x14ac:dyDescent="0.25">
      <c r="A584" s="7">
        <v>44444.166666666664</v>
      </c>
      <c r="B584" s="1" t="s">
        <v>69</v>
      </c>
      <c r="C584" s="1">
        <v>1031.71</v>
      </c>
      <c r="D584" s="1">
        <v>966.37</v>
      </c>
    </row>
    <row r="585" spans="1:4" x14ac:dyDescent="0.25">
      <c r="A585" s="7">
        <v>44444.208333333336</v>
      </c>
      <c r="B585" s="1" t="s">
        <v>75</v>
      </c>
      <c r="C585" s="1">
        <v>93.72</v>
      </c>
      <c r="D585" s="1">
        <v>63.87</v>
      </c>
    </row>
    <row r="586" spans="1:4" x14ac:dyDescent="0.25">
      <c r="A586" s="7">
        <v>44444.208333333336</v>
      </c>
      <c r="B586" s="1" t="s">
        <v>74</v>
      </c>
      <c r="C586" s="1">
        <v>749.12</v>
      </c>
      <c r="D586" s="1">
        <v>157.22999999999999</v>
      </c>
    </row>
    <row r="587" spans="1:4" x14ac:dyDescent="0.25">
      <c r="A587" s="7">
        <v>44444.208333333336</v>
      </c>
      <c r="B587" s="1" t="s">
        <v>78</v>
      </c>
      <c r="C587" s="1">
        <v>240.07</v>
      </c>
      <c r="D587" s="1">
        <v>143.44999999999999</v>
      </c>
    </row>
    <row r="588" spans="1:4" x14ac:dyDescent="0.25">
      <c r="A588" s="7">
        <v>44444.208333333336</v>
      </c>
      <c r="B588" s="1" t="s">
        <v>76</v>
      </c>
      <c r="C588" s="1">
        <v>785.5</v>
      </c>
      <c r="D588" s="1">
        <v>219.53</v>
      </c>
    </row>
    <row r="589" spans="1:4" x14ac:dyDescent="0.25">
      <c r="A589" s="7">
        <v>44444.208333333336</v>
      </c>
      <c r="B589" s="1" t="s">
        <v>73</v>
      </c>
      <c r="C589" s="1">
        <v>692.33</v>
      </c>
      <c r="D589" s="1">
        <v>87.87</v>
      </c>
    </row>
    <row r="590" spans="1:4" x14ac:dyDescent="0.25">
      <c r="A590" s="7">
        <v>44444.208333333336</v>
      </c>
      <c r="B590" s="1" t="s">
        <v>71</v>
      </c>
      <c r="C590" s="1">
        <v>1180.56</v>
      </c>
      <c r="D590" s="1">
        <v>292.70999999999998</v>
      </c>
    </row>
    <row r="591" spans="1:4" x14ac:dyDescent="0.25">
      <c r="A591" s="7">
        <v>44444.208333333336</v>
      </c>
      <c r="B591" s="1" t="s">
        <v>68</v>
      </c>
      <c r="C591" s="1">
        <v>951.03</v>
      </c>
      <c r="D591" s="1">
        <v>285.62</v>
      </c>
    </row>
    <row r="592" spans="1:4" x14ac:dyDescent="0.25">
      <c r="A592" s="7">
        <v>44444.208333333336</v>
      </c>
      <c r="B592" s="1" t="s">
        <v>72</v>
      </c>
      <c r="C592" s="1">
        <v>753.09</v>
      </c>
      <c r="D592" s="1">
        <v>447.07</v>
      </c>
    </row>
    <row r="593" spans="1:4" x14ac:dyDescent="0.25">
      <c r="A593" s="7">
        <v>44444.208333333336</v>
      </c>
      <c r="B593" s="1" t="s">
        <v>77</v>
      </c>
      <c r="C593" s="1">
        <v>1305.6199999999999</v>
      </c>
      <c r="D593" s="1">
        <v>379.26</v>
      </c>
    </row>
    <row r="594" spans="1:4" x14ac:dyDescent="0.25">
      <c r="A594" s="7">
        <v>44444.208333333336</v>
      </c>
      <c r="B594" s="1" t="s">
        <v>69</v>
      </c>
      <c r="C594" s="1">
        <v>419.43</v>
      </c>
      <c r="D594" s="1">
        <v>285.8</v>
      </c>
    </row>
    <row r="595" spans="1:4" x14ac:dyDescent="0.25">
      <c r="A595" s="7">
        <v>44444.208333333336</v>
      </c>
      <c r="B595" s="1" t="s">
        <v>70</v>
      </c>
      <c r="C595" s="1">
        <v>569.41999999999996</v>
      </c>
      <c r="D595" s="1">
        <v>243</v>
      </c>
    </row>
    <row r="596" spans="1:4" x14ac:dyDescent="0.25">
      <c r="A596" s="7">
        <v>44444.25</v>
      </c>
      <c r="B596" s="1" t="s">
        <v>75</v>
      </c>
      <c r="C596" s="1">
        <v>142.61000000000001</v>
      </c>
      <c r="D596" s="1">
        <v>61.27</v>
      </c>
    </row>
    <row r="597" spans="1:4" x14ac:dyDescent="0.25">
      <c r="A597" s="7">
        <v>44444.25</v>
      </c>
      <c r="B597" s="1" t="s">
        <v>74</v>
      </c>
      <c r="C597" s="1">
        <v>2143.7800000000002</v>
      </c>
      <c r="D597" s="1">
        <v>350.12</v>
      </c>
    </row>
    <row r="598" spans="1:4" x14ac:dyDescent="0.25">
      <c r="A598" s="7">
        <v>44444.25</v>
      </c>
      <c r="B598" s="1" t="s">
        <v>78</v>
      </c>
      <c r="C598" s="1">
        <v>455.54</v>
      </c>
      <c r="D598" s="1">
        <v>221.81</v>
      </c>
    </row>
    <row r="599" spans="1:4" x14ac:dyDescent="0.25">
      <c r="A599" s="7">
        <v>44444.25</v>
      </c>
      <c r="B599" s="1" t="s">
        <v>76</v>
      </c>
      <c r="C599" s="1">
        <v>2475.87</v>
      </c>
      <c r="D599" s="1">
        <v>488.1</v>
      </c>
    </row>
    <row r="600" spans="1:4" x14ac:dyDescent="0.25">
      <c r="A600" s="7">
        <v>44444.25</v>
      </c>
      <c r="B600" s="1" t="s">
        <v>68</v>
      </c>
      <c r="C600" s="1">
        <v>2701.1</v>
      </c>
      <c r="D600" s="1">
        <v>775.86</v>
      </c>
    </row>
    <row r="601" spans="1:4" x14ac:dyDescent="0.25">
      <c r="A601" s="7">
        <v>44444.25</v>
      </c>
      <c r="B601" s="1" t="s">
        <v>71</v>
      </c>
      <c r="C601" s="1">
        <v>3214.81</v>
      </c>
      <c r="D601" s="1">
        <v>825.78</v>
      </c>
    </row>
    <row r="602" spans="1:4" x14ac:dyDescent="0.25">
      <c r="A602" s="7">
        <v>44444.25</v>
      </c>
      <c r="B602" s="1" t="s">
        <v>70</v>
      </c>
      <c r="C602" s="1">
        <v>1265.18</v>
      </c>
      <c r="D602" s="1">
        <v>458.08</v>
      </c>
    </row>
    <row r="603" spans="1:4" x14ac:dyDescent="0.25">
      <c r="A603" s="7">
        <v>44444.25</v>
      </c>
      <c r="B603" s="1" t="s">
        <v>72</v>
      </c>
      <c r="C603" s="1">
        <v>1541.83</v>
      </c>
      <c r="D603" s="1">
        <v>697.19</v>
      </c>
    </row>
    <row r="604" spans="1:4" x14ac:dyDescent="0.25">
      <c r="A604" s="7">
        <v>44444.25</v>
      </c>
      <c r="B604" s="1" t="s">
        <v>73</v>
      </c>
      <c r="C604" s="1">
        <v>1955.77</v>
      </c>
      <c r="D604" s="1">
        <v>201.77</v>
      </c>
    </row>
    <row r="605" spans="1:4" x14ac:dyDescent="0.25">
      <c r="A605" s="7">
        <v>44444.25</v>
      </c>
      <c r="B605" s="1" t="s">
        <v>77</v>
      </c>
      <c r="C605" s="1">
        <v>3531.25</v>
      </c>
      <c r="D605" s="1">
        <v>1042.26</v>
      </c>
    </row>
    <row r="606" spans="1:4" x14ac:dyDescent="0.25">
      <c r="A606" s="7">
        <v>44444.25</v>
      </c>
      <c r="B606" s="1" t="s">
        <v>69</v>
      </c>
      <c r="C606" s="1">
        <v>926.97</v>
      </c>
      <c r="D606" s="1">
        <v>474.94</v>
      </c>
    </row>
    <row r="607" spans="1:4" x14ac:dyDescent="0.25">
      <c r="A607" s="7">
        <v>44444.291666666664</v>
      </c>
      <c r="B607" s="1" t="s">
        <v>75</v>
      </c>
      <c r="C607" s="1">
        <v>285.95</v>
      </c>
      <c r="D607" s="1">
        <v>107.98</v>
      </c>
    </row>
    <row r="608" spans="1:4" x14ac:dyDescent="0.25">
      <c r="A608" s="7">
        <v>44444.291666666664</v>
      </c>
      <c r="B608" s="1" t="s">
        <v>74</v>
      </c>
      <c r="C608" s="1">
        <v>3970.65</v>
      </c>
      <c r="D608" s="1">
        <v>748.85</v>
      </c>
    </row>
    <row r="609" spans="1:4" x14ac:dyDescent="0.25">
      <c r="A609" s="7">
        <v>44444.291666666664</v>
      </c>
      <c r="B609" s="1" t="s">
        <v>72</v>
      </c>
      <c r="C609" s="1">
        <v>3197.1</v>
      </c>
      <c r="D609" s="1">
        <v>1485.08</v>
      </c>
    </row>
    <row r="610" spans="1:4" x14ac:dyDescent="0.25">
      <c r="A610" s="7">
        <v>44444.291666666664</v>
      </c>
      <c r="B610" s="1" t="s">
        <v>76</v>
      </c>
      <c r="C610" s="1">
        <v>4946.55</v>
      </c>
      <c r="D610" s="1">
        <v>1005.27</v>
      </c>
    </row>
    <row r="611" spans="1:4" x14ac:dyDescent="0.25">
      <c r="A611" s="7">
        <v>44444.291666666664</v>
      </c>
      <c r="B611" s="1" t="s">
        <v>77</v>
      </c>
      <c r="C611" s="1">
        <v>5562.23</v>
      </c>
      <c r="D611" s="1">
        <v>1530.67</v>
      </c>
    </row>
    <row r="612" spans="1:4" x14ac:dyDescent="0.25">
      <c r="A612" s="7">
        <v>44444.291666666664</v>
      </c>
      <c r="B612" s="1" t="s">
        <v>69</v>
      </c>
      <c r="C612" s="1">
        <v>1754.85</v>
      </c>
      <c r="D612" s="1">
        <v>956.08</v>
      </c>
    </row>
    <row r="613" spans="1:4" x14ac:dyDescent="0.25">
      <c r="A613" s="7">
        <v>44444.291666666664</v>
      </c>
      <c r="B613" s="1" t="s">
        <v>70</v>
      </c>
      <c r="C613" s="1">
        <v>2599.83</v>
      </c>
      <c r="D613" s="1">
        <v>1006.84</v>
      </c>
    </row>
    <row r="614" spans="1:4" x14ac:dyDescent="0.25">
      <c r="A614" s="7">
        <v>44444.291666666664</v>
      </c>
      <c r="B614" s="1" t="s">
        <v>78</v>
      </c>
      <c r="C614" s="1">
        <v>686.37</v>
      </c>
      <c r="D614" s="1">
        <v>326.69</v>
      </c>
    </row>
    <row r="615" spans="1:4" x14ac:dyDescent="0.25">
      <c r="A615" s="7">
        <v>44444.291666666664</v>
      </c>
      <c r="B615" s="1" t="s">
        <v>73</v>
      </c>
      <c r="C615" s="1">
        <v>3792.47</v>
      </c>
      <c r="D615" s="1">
        <v>465.48</v>
      </c>
    </row>
    <row r="616" spans="1:4" x14ac:dyDescent="0.25">
      <c r="A616" s="7">
        <v>44444.291666666664</v>
      </c>
      <c r="B616" s="1" t="s">
        <v>68</v>
      </c>
      <c r="C616" s="1">
        <v>4724.45</v>
      </c>
      <c r="D616" s="1">
        <v>1551.71</v>
      </c>
    </row>
    <row r="617" spans="1:4" x14ac:dyDescent="0.25">
      <c r="A617" s="7">
        <v>44444.291666666664</v>
      </c>
      <c r="B617" s="1" t="s">
        <v>71</v>
      </c>
      <c r="C617" s="1">
        <v>5346.45</v>
      </c>
      <c r="D617" s="1">
        <v>1646.02</v>
      </c>
    </row>
    <row r="618" spans="1:4" x14ac:dyDescent="0.25">
      <c r="A618" s="7">
        <v>44444.333333333336</v>
      </c>
      <c r="B618" s="1" t="s">
        <v>74</v>
      </c>
      <c r="C618" s="1">
        <v>5478.23</v>
      </c>
      <c r="D618" s="1">
        <v>1256.06</v>
      </c>
    </row>
    <row r="619" spans="1:4" x14ac:dyDescent="0.25">
      <c r="A619" s="7">
        <v>44444.333333333336</v>
      </c>
      <c r="B619" s="1" t="s">
        <v>75</v>
      </c>
      <c r="C619" s="1">
        <v>504.35</v>
      </c>
      <c r="D619" s="1">
        <v>196.09</v>
      </c>
    </row>
    <row r="620" spans="1:4" x14ac:dyDescent="0.25">
      <c r="A620" s="7">
        <v>44444.333333333336</v>
      </c>
      <c r="B620" s="1" t="s">
        <v>73</v>
      </c>
      <c r="C620" s="1">
        <v>5403.01</v>
      </c>
      <c r="D620" s="1">
        <v>826.49</v>
      </c>
    </row>
    <row r="621" spans="1:4" x14ac:dyDescent="0.25">
      <c r="A621" s="7">
        <v>44444.333333333336</v>
      </c>
      <c r="B621" s="1" t="s">
        <v>77</v>
      </c>
      <c r="C621" s="1">
        <v>8542.06</v>
      </c>
      <c r="D621" s="1">
        <v>2594.1999999999998</v>
      </c>
    </row>
    <row r="622" spans="1:4" x14ac:dyDescent="0.25">
      <c r="A622" s="7">
        <v>44444.333333333336</v>
      </c>
      <c r="B622" s="1" t="s">
        <v>71</v>
      </c>
      <c r="C622" s="1">
        <v>7135.52</v>
      </c>
      <c r="D622" s="1">
        <v>2528.12</v>
      </c>
    </row>
    <row r="623" spans="1:4" x14ac:dyDescent="0.25">
      <c r="A623" s="7">
        <v>44444.333333333336</v>
      </c>
      <c r="B623" s="1" t="s">
        <v>70</v>
      </c>
      <c r="C623" s="1">
        <v>4276.59</v>
      </c>
      <c r="D623" s="1">
        <v>1869.37</v>
      </c>
    </row>
    <row r="624" spans="1:4" x14ac:dyDescent="0.25">
      <c r="A624" s="7">
        <v>44444.333333333336</v>
      </c>
      <c r="B624" s="1" t="s">
        <v>78</v>
      </c>
      <c r="C624" s="1">
        <v>1139.3900000000001</v>
      </c>
      <c r="D624" s="1">
        <v>583.88</v>
      </c>
    </row>
    <row r="625" spans="1:4" x14ac:dyDescent="0.25">
      <c r="A625" s="7">
        <v>44444.333333333336</v>
      </c>
      <c r="B625" s="1" t="s">
        <v>76</v>
      </c>
      <c r="C625" s="1">
        <v>7413.3</v>
      </c>
      <c r="D625" s="1">
        <v>1723.74</v>
      </c>
    </row>
    <row r="626" spans="1:4" x14ac:dyDescent="0.25">
      <c r="A626" s="7">
        <v>44444.333333333336</v>
      </c>
      <c r="B626" s="1" t="s">
        <v>72</v>
      </c>
      <c r="C626" s="1">
        <v>5506.12</v>
      </c>
      <c r="D626" s="1">
        <v>2999.83</v>
      </c>
    </row>
    <row r="627" spans="1:4" x14ac:dyDescent="0.25">
      <c r="A627" s="7">
        <v>44444.333333333336</v>
      </c>
      <c r="B627" s="1" t="s">
        <v>68</v>
      </c>
      <c r="C627" s="1">
        <v>6458.46</v>
      </c>
      <c r="D627" s="1">
        <v>2492.9499999999998</v>
      </c>
    </row>
    <row r="628" spans="1:4" x14ac:dyDescent="0.25">
      <c r="A628" s="7">
        <v>44444.333333333336</v>
      </c>
      <c r="B628" s="1" t="s">
        <v>69</v>
      </c>
      <c r="C628" s="1">
        <v>3078.43</v>
      </c>
      <c r="D628" s="1">
        <v>2086.67</v>
      </c>
    </row>
    <row r="629" spans="1:4" x14ac:dyDescent="0.25">
      <c r="A629" s="7">
        <v>44444.375</v>
      </c>
      <c r="B629" s="1" t="s">
        <v>75</v>
      </c>
      <c r="C629" s="1">
        <v>748.74</v>
      </c>
      <c r="D629" s="1">
        <v>365.52</v>
      </c>
    </row>
    <row r="630" spans="1:4" x14ac:dyDescent="0.25">
      <c r="A630" s="7">
        <v>44444.375</v>
      </c>
      <c r="B630" s="1" t="s">
        <v>74</v>
      </c>
      <c r="C630" s="1">
        <v>6751.17</v>
      </c>
      <c r="D630" s="1">
        <v>1768.65</v>
      </c>
    </row>
    <row r="631" spans="1:4" x14ac:dyDescent="0.25">
      <c r="A631" s="7">
        <v>44444.375</v>
      </c>
      <c r="B631" s="1" t="s">
        <v>73</v>
      </c>
      <c r="C631" s="1">
        <v>6570.28</v>
      </c>
      <c r="D631" s="1">
        <v>1151.55</v>
      </c>
    </row>
    <row r="632" spans="1:4" x14ac:dyDescent="0.25">
      <c r="A632" s="7">
        <v>44444.375</v>
      </c>
      <c r="B632" s="1" t="s">
        <v>68</v>
      </c>
      <c r="C632" s="1">
        <v>7806.28</v>
      </c>
      <c r="D632" s="1">
        <v>3482.61</v>
      </c>
    </row>
    <row r="633" spans="1:4" x14ac:dyDescent="0.25">
      <c r="A633" s="7">
        <v>44444.375</v>
      </c>
      <c r="B633" s="1" t="s">
        <v>77</v>
      </c>
      <c r="C633" s="1">
        <v>11354.95</v>
      </c>
      <c r="D633" s="1">
        <v>3745.98</v>
      </c>
    </row>
    <row r="634" spans="1:4" x14ac:dyDescent="0.25">
      <c r="A634" s="7">
        <v>44444.375</v>
      </c>
      <c r="B634" s="1" t="s">
        <v>71</v>
      </c>
      <c r="C634" s="1">
        <v>8427.33</v>
      </c>
      <c r="D634" s="1">
        <v>3297.31</v>
      </c>
    </row>
    <row r="635" spans="1:4" x14ac:dyDescent="0.25">
      <c r="A635" s="7">
        <v>44444.375</v>
      </c>
      <c r="B635" s="1" t="s">
        <v>70</v>
      </c>
      <c r="C635" s="1">
        <v>5766.91</v>
      </c>
      <c r="D635" s="1">
        <v>2814.44</v>
      </c>
    </row>
    <row r="636" spans="1:4" x14ac:dyDescent="0.25">
      <c r="A636" s="7">
        <v>44444.375</v>
      </c>
      <c r="B636" s="1" t="s">
        <v>78</v>
      </c>
      <c r="C636" s="1">
        <v>1759.85</v>
      </c>
      <c r="D636" s="1">
        <v>1068.74</v>
      </c>
    </row>
    <row r="637" spans="1:4" x14ac:dyDescent="0.25">
      <c r="A637" s="7">
        <v>44444.375</v>
      </c>
      <c r="B637" s="1" t="s">
        <v>72</v>
      </c>
      <c r="C637" s="1">
        <v>8342.2800000000007</v>
      </c>
      <c r="D637" s="1">
        <v>5302.62</v>
      </c>
    </row>
    <row r="638" spans="1:4" x14ac:dyDescent="0.25">
      <c r="A638" s="7">
        <v>44444.375</v>
      </c>
      <c r="B638" s="1" t="s">
        <v>76</v>
      </c>
      <c r="C638" s="1">
        <v>9491.5300000000007</v>
      </c>
      <c r="D638" s="1">
        <v>2548.81</v>
      </c>
    </row>
    <row r="639" spans="1:4" x14ac:dyDescent="0.25">
      <c r="A639" s="7">
        <v>44444.375</v>
      </c>
      <c r="B639" s="1" t="s">
        <v>69</v>
      </c>
      <c r="C639" s="1">
        <v>4724.6400000000003</v>
      </c>
      <c r="D639" s="1">
        <v>3936.22</v>
      </c>
    </row>
    <row r="640" spans="1:4" x14ac:dyDescent="0.25">
      <c r="A640" s="7">
        <v>44444.416666666664</v>
      </c>
      <c r="B640" s="1" t="s">
        <v>75</v>
      </c>
      <c r="C640" s="1">
        <v>974.41</v>
      </c>
      <c r="D640" s="1">
        <v>535.03</v>
      </c>
    </row>
    <row r="641" spans="1:4" x14ac:dyDescent="0.25">
      <c r="A641" s="7">
        <v>44444.416666666664</v>
      </c>
      <c r="B641" s="1" t="s">
        <v>74</v>
      </c>
      <c r="C641" s="1">
        <v>7477.32</v>
      </c>
      <c r="D641" s="1">
        <v>2193.4499999999998</v>
      </c>
    </row>
    <row r="642" spans="1:4" x14ac:dyDescent="0.25">
      <c r="A642" s="7">
        <v>44444.416666666664</v>
      </c>
      <c r="B642" s="1" t="s">
        <v>68</v>
      </c>
      <c r="C642" s="1">
        <v>8193.84</v>
      </c>
      <c r="D642" s="1">
        <v>4073.49</v>
      </c>
    </row>
    <row r="643" spans="1:4" x14ac:dyDescent="0.25">
      <c r="A643" s="7">
        <v>44444.416666666664</v>
      </c>
      <c r="B643" s="1" t="s">
        <v>77</v>
      </c>
      <c r="C643" s="1">
        <v>12995.66</v>
      </c>
      <c r="D643" s="1">
        <v>4528.5200000000004</v>
      </c>
    </row>
    <row r="644" spans="1:4" x14ac:dyDescent="0.25">
      <c r="A644" s="7">
        <v>44444.416666666664</v>
      </c>
      <c r="B644" s="1" t="s">
        <v>71</v>
      </c>
      <c r="C644" s="1">
        <v>8651.9599999999991</v>
      </c>
      <c r="D644" s="1">
        <v>3706.37</v>
      </c>
    </row>
    <row r="645" spans="1:4" x14ac:dyDescent="0.25">
      <c r="A645" s="7">
        <v>44444.416666666664</v>
      </c>
      <c r="B645" s="1" t="s">
        <v>70</v>
      </c>
      <c r="C645" s="1">
        <v>6627.84</v>
      </c>
      <c r="D645" s="1">
        <v>3480.73</v>
      </c>
    </row>
    <row r="646" spans="1:4" x14ac:dyDescent="0.25">
      <c r="A646" s="7">
        <v>44444.416666666664</v>
      </c>
      <c r="B646" s="1" t="s">
        <v>69</v>
      </c>
      <c r="C646" s="1">
        <v>6247.69</v>
      </c>
      <c r="D646" s="1">
        <v>6033.92</v>
      </c>
    </row>
    <row r="647" spans="1:4" x14ac:dyDescent="0.25">
      <c r="A647" s="7">
        <v>44444.416666666664</v>
      </c>
      <c r="B647" s="1" t="s">
        <v>78</v>
      </c>
      <c r="C647" s="1">
        <v>2308.36</v>
      </c>
      <c r="D647" s="1">
        <v>1591.96</v>
      </c>
    </row>
    <row r="648" spans="1:4" x14ac:dyDescent="0.25">
      <c r="A648" s="7">
        <v>44444.416666666664</v>
      </c>
      <c r="B648" s="1" t="s">
        <v>76</v>
      </c>
      <c r="C648" s="1">
        <v>10607.87</v>
      </c>
      <c r="D648" s="1">
        <v>3191.99</v>
      </c>
    </row>
    <row r="649" spans="1:4" x14ac:dyDescent="0.25">
      <c r="A649" s="7">
        <v>44444.416666666664</v>
      </c>
      <c r="B649" s="1" t="s">
        <v>72</v>
      </c>
      <c r="C649" s="1">
        <v>10659.29</v>
      </c>
      <c r="D649" s="1">
        <v>7737.77</v>
      </c>
    </row>
    <row r="650" spans="1:4" x14ac:dyDescent="0.25">
      <c r="A650" s="7">
        <v>44444.416666666664</v>
      </c>
      <c r="B650" s="1" t="s">
        <v>73</v>
      </c>
      <c r="C650" s="1">
        <v>7070.59</v>
      </c>
      <c r="D650" s="1">
        <v>1321.79</v>
      </c>
    </row>
    <row r="651" spans="1:4" x14ac:dyDescent="0.25">
      <c r="A651" s="7">
        <v>44444.458333333336</v>
      </c>
      <c r="B651" s="1" t="s">
        <v>75</v>
      </c>
      <c r="C651" s="1">
        <v>1058.0999999999999</v>
      </c>
      <c r="D651" s="1">
        <v>646.47</v>
      </c>
    </row>
    <row r="652" spans="1:4" x14ac:dyDescent="0.25">
      <c r="A652" s="7">
        <v>44444.458333333336</v>
      </c>
      <c r="B652" s="1" t="s">
        <v>74</v>
      </c>
      <c r="C652" s="1">
        <v>7311.77</v>
      </c>
      <c r="D652" s="1">
        <v>2294.83</v>
      </c>
    </row>
    <row r="653" spans="1:4" x14ac:dyDescent="0.25">
      <c r="A653" s="7">
        <v>44444.458333333336</v>
      </c>
      <c r="B653" s="1" t="s">
        <v>78</v>
      </c>
      <c r="C653" s="1">
        <v>2555.08</v>
      </c>
      <c r="D653" s="1">
        <v>1866.32</v>
      </c>
    </row>
    <row r="654" spans="1:4" x14ac:dyDescent="0.25">
      <c r="A654" s="7">
        <v>44444.458333333336</v>
      </c>
      <c r="B654" s="1" t="s">
        <v>76</v>
      </c>
      <c r="C654" s="1">
        <v>10427.66</v>
      </c>
      <c r="D654" s="1">
        <v>3288.62</v>
      </c>
    </row>
    <row r="655" spans="1:4" x14ac:dyDescent="0.25">
      <c r="A655" s="7">
        <v>44444.458333333336</v>
      </c>
      <c r="B655" s="1" t="s">
        <v>72</v>
      </c>
      <c r="C655" s="1">
        <v>11636.9</v>
      </c>
      <c r="D655" s="1">
        <v>8964.42</v>
      </c>
    </row>
    <row r="656" spans="1:4" x14ac:dyDescent="0.25">
      <c r="A656" s="7">
        <v>44444.458333333336</v>
      </c>
      <c r="B656" s="1" t="s">
        <v>68</v>
      </c>
      <c r="C656" s="1">
        <v>7901.32</v>
      </c>
      <c r="D656" s="1">
        <v>4095.98</v>
      </c>
    </row>
    <row r="657" spans="1:4" x14ac:dyDescent="0.25">
      <c r="A657" s="7">
        <v>44444.458333333336</v>
      </c>
      <c r="B657" s="1" t="s">
        <v>69</v>
      </c>
      <c r="C657" s="1">
        <v>6858.62</v>
      </c>
      <c r="D657" s="1">
        <v>7098.13</v>
      </c>
    </row>
    <row r="658" spans="1:4" x14ac:dyDescent="0.25">
      <c r="A658" s="7">
        <v>44444.458333333336</v>
      </c>
      <c r="B658" s="1" t="s">
        <v>73</v>
      </c>
      <c r="C658" s="1">
        <v>6696.02</v>
      </c>
      <c r="D658" s="1">
        <v>1355.31</v>
      </c>
    </row>
    <row r="659" spans="1:4" x14ac:dyDescent="0.25">
      <c r="A659" s="7">
        <v>44444.458333333336</v>
      </c>
      <c r="B659" s="1" t="s">
        <v>77</v>
      </c>
      <c r="C659" s="1">
        <v>12942.11</v>
      </c>
      <c r="D659" s="1">
        <v>4593.17</v>
      </c>
    </row>
    <row r="660" spans="1:4" x14ac:dyDescent="0.25">
      <c r="A660" s="7">
        <v>44444.458333333336</v>
      </c>
      <c r="B660" s="1" t="s">
        <v>71</v>
      </c>
      <c r="C660" s="1">
        <v>7933.45</v>
      </c>
      <c r="D660" s="1">
        <v>3613.87</v>
      </c>
    </row>
    <row r="661" spans="1:4" x14ac:dyDescent="0.25">
      <c r="A661" s="7">
        <v>44444.458333333336</v>
      </c>
      <c r="B661" s="1" t="s">
        <v>70</v>
      </c>
      <c r="C661" s="1">
        <v>6643.19</v>
      </c>
      <c r="D661" s="1">
        <v>3628.81</v>
      </c>
    </row>
    <row r="662" spans="1:4" x14ac:dyDescent="0.25">
      <c r="A662" s="7">
        <v>44444.5</v>
      </c>
      <c r="B662" s="1" t="s">
        <v>74</v>
      </c>
      <c r="C662" s="1">
        <v>6696.86</v>
      </c>
      <c r="D662" s="1">
        <v>2167.38</v>
      </c>
    </row>
    <row r="663" spans="1:4" x14ac:dyDescent="0.25">
      <c r="A663" s="7">
        <v>44444.5</v>
      </c>
      <c r="B663" s="1" t="s">
        <v>78</v>
      </c>
      <c r="C663" s="1">
        <v>2495.2800000000002</v>
      </c>
      <c r="D663" s="1">
        <v>1877.04</v>
      </c>
    </row>
    <row r="664" spans="1:4" x14ac:dyDescent="0.25">
      <c r="A664" s="7">
        <v>44444.5</v>
      </c>
      <c r="B664" s="1" t="s">
        <v>75</v>
      </c>
      <c r="C664" s="1">
        <v>1051.45</v>
      </c>
      <c r="D664" s="1">
        <v>681.78</v>
      </c>
    </row>
    <row r="665" spans="1:4" x14ac:dyDescent="0.25">
      <c r="A665" s="7">
        <v>44444.5</v>
      </c>
      <c r="B665" s="1" t="s">
        <v>76</v>
      </c>
      <c r="C665" s="1">
        <v>9394.67</v>
      </c>
      <c r="D665" s="1">
        <v>3058.29</v>
      </c>
    </row>
    <row r="666" spans="1:4" x14ac:dyDescent="0.25">
      <c r="A666" s="7">
        <v>44444.5</v>
      </c>
      <c r="B666" s="1" t="s">
        <v>72</v>
      </c>
      <c r="C666" s="1">
        <v>10914.56</v>
      </c>
      <c r="D666" s="1">
        <v>8822.9699999999993</v>
      </c>
    </row>
    <row r="667" spans="1:4" x14ac:dyDescent="0.25">
      <c r="A667" s="7">
        <v>44444.5</v>
      </c>
      <c r="B667" s="1" t="s">
        <v>68</v>
      </c>
      <c r="C667" s="1">
        <v>7069.42</v>
      </c>
      <c r="D667" s="1">
        <v>3703.62</v>
      </c>
    </row>
    <row r="668" spans="1:4" x14ac:dyDescent="0.25">
      <c r="A668" s="7">
        <v>44444.5</v>
      </c>
      <c r="B668" s="1" t="s">
        <v>71</v>
      </c>
      <c r="C668" s="1">
        <v>7462.28</v>
      </c>
      <c r="D668" s="1">
        <v>3274.25</v>
      </c>
    </row>
    <row r="669" spans="1:4" x14ac:dyDescent="0.25">
      <c r="A669" s="7">
        <v>44444.5</v>
      </c>
      <c r="B669" s="1" t="s">
        <v>69</v>
      </c>
      <c r="C669" s="1">
        <v>6530.83</v>
      </c>
      <c r="D669" s="1">
        <v>6962.5</v>
      </c>
    </row>
    <row r="670" spans="1:4" x14ac:dyDescent="0.25">
      <c r="A670" s="7">
        <v>44444.5</v>
      </c>
      <c r="B670" s="1" t="s">
        <v>70</v>
      </c>
      <c r="C670" s="1">
        <v>6059.97</v>
      </c>
      <c r="D670" s="1">
        <v>3371.62</v>
      </c>
    </row>
    <row r="671" spans="1:4" x14ac:dyDescent="0.25">
      <c r="A671" s="7">
        <v>44444.5</v>
      </c>
      <c r="B671" s="1" t="s">
        <v>73</v>
      </c>
      <c r="C671" s="1">
        <v>5911.41</v>
      </c>
      <c r="D671" s="1">
        <v>1217.54</v>
      </c>
    </row>
    <row r="672" spans="1:4" x14ac:dyDescent="0.25">
      <c r="A672" s="7">
        <v>44444.5</v>
      </c>
      <c r="B672" s="1" t="s">
        <v>77</v>
      </c>
      <c r="C672" s="1">
        <v>11889.97</v>
      </c>
      <c r="D672" s="1">
        <v>4204.2700000000004</v>
      </c>
    </row>
    <row r="673" spans="1:4" x14ac:dyDescent="0.25">
      <c r="A673" s="7">
        <v>44444.541666666664</v>
      </c>
      <c r="B673" s="1" t="s">
        <v>74</v>
      </c>
      <c r="C673" s="1">
        <v>5835.81</v>
      </c>
      <c r="D673" s="1">
        <v>1810.43</v>
      </c>
    </row>
    <row r="674" spans="1:4" x14ac:dyDescent="0.25">
      <c r="A674" s="7">
        <v>44444.541666666664</v>
      </c>
      <c r="B674" s="1" t="s">
        <v>75</v>
      </c>
      <c r="C674" s="1">
        <v>881.74</v>
      </c>
      <c r="D674" s="1">
        <v>593.9</v>
      </c>
    </row>
    <row r="675" spans="1:4" x14ac:dyDescent="0.25">
      <c r="A675" s="7">
        <v>44444.541666666664</v>
      </c>
      <c r="B675" s="1" t="s">
        <v>76</v>
      </c>
      <c r="C675" s="1">
        <v>7565.1</v>
      </c>
      <c r="D675" s="1">
        <v>2647.17</v>
      </c>
    </row>
    <row r="676" spans="1:4" x14ac:dyDescent="0.25">
      <c r="A676" s="7">
        <v>44444.541666666664</v>
      </c>
      <c r="B676" s="1" t="s">
        <v>73</v>
      </c>
      <c r="C676" s="1">
        <v>4657.0200000000004</v>
      </c>
      <c r="D676" s="1">
        <v>907.78</v>
      </c>
    </row>
    <row r="677" spans="1:4" x14ac:dyDescent="0.25">
      <c r="A677" s="7">
        <v>44444.541666666664</v>
      </c>
      <c r="B677" s="1" t="s">
        <v>77</v>
      </c>
      <c r="C677" s="1">
        <v>12856.88</v>
      </c>
      <c r="D677" s="1">
        <v>4684.2700000000004</v>
      </c>
    </row>
    <row r="678" spans="1:4" x14ac:dyDescent="0.25">
      <c r="A678" s="7">
        <v>44444.541666666664</v>
      </c>
      <c r="B678" s="1" t="s">
        <v>71</v>
      </c>
      <c r="C678" s="1">
        <v>6129.74</v>
      </c>
      <c r="D678" s="1">
        <v>2545.41</v>
      </c>
    </row>
    <row r="679" spans="1:4" x14ac:dyDescent="0.25">
      <c r="A679" s="7">
        <v>44444.541666666664</v>
      </c>
      <c r="B679" s="1" t="s">
        <v>70</v>
      </c>
      <c r="C679" s="1">
        <v>4886.46</v>
      </c>
      <c r="D679" s="1">
        <v>2690.87</v>
      </c>
    </row>
    <row r="680" spans="1:4" x14ac:dyDescent="0.25">
      <c r="A680" s="7">
        <v>44444.541666666664</v>
      </c>
      <c r="B680" s="1" t="s">
        <v>78</v>
      </c>
      <c r="C680" s="1">
        <v>2479.13</v>
      </c>
      <c r="D680" s="1">
        <v>1721.47</v>
      </c>
    </row>
    <row r="681" spans="1:4" x14ac:dyDescent="0.25">
      <c r="A681" s="7">
        <v>44444.541666666664</v>
      </c>
      <c r="B681" s="1" t="s">
        <v>72</v>
      </c>
      <c r="C681" s="1">
        <v>9437.59</v>
      </c>
      <c r="D681" s="1">
        <v>7635.33</v>
      </c>
    </row>
    <row r="682" spans="1:4" x14ac:dyDescent="0.25">
      <c r="A682" s="7">
        <v>44444.541666666664</v>
      </c>
      <c r="B682" s="1" t="s">
        <v>68</v>
      </c>
      <c r="C682" s="1">
        <v>5623.75</v>
      </c>
      <c r="D682" s="1">
        <v>2862.29</v>
      </c>
    </row>
    <row r="683" spans="1:4" x14ac:dyDescent="0.25">
      <c r="A683" s="7">
        <v>44444.541666666664</v>
      </c>
      <c r="B683" s="1" t="s">
        <v>69</v>
      </c>
      <c r="C683" s="1">
        <v>5896.05</v>
      </c>
      <c r="D683" s="1">
        <v>6122.7</v>
      </c>
    </row>
    <row r="684" spans="1:4" x14ac:dyDescent="0.25">
      <c r="A684" s="7">
        <v>44444.583333333336</v>
      </c>
      <c r="B684" s="1" t="s">
        <v>75</v>
      </c>
      <c r="C684" s="1">
        <v>935.14</v>
      </c>
      <c r="D684" s="1">
        <v>654.16</v>
      </c>
    </row>
    <row r="685" spans="1:4" x14ac:dyDescent="0.25">
      <c r="A685" s="7">
        <v>44444.583333333336</v>
      </c>
      <c r="B685" s="1" t="s">
        <v>74</v>
      </c>
      <c r="C685" s="1">
        <v>6474.98</v>
      </c>
      <c r="D685" s="1">
        <v>1989.84</v>
      </c>
    </row>
    <row r="686" spans="1:4" x14ac:dyDescent="0.25">
      <c r="A686" s="7">
        <v>44444.583333333336</v>
      </c>
      <c r="B686" s="1" t="s">
        <v>73</v>
      </c>
      <c r="C686" s="1">
        <v>5834.16</v>
      </c>
      <c r="D686" s="1">
        <v>1055.02</v>
      </c>
    </row>
    <row r="687" spans="1:4" x14ac:dyDescent="0.25">
      <c r="A687" s="7">
        <v>44444.583333333336</v>
      </c>
      <c r="B687" s="1" t="s">
        <v>77</v>
      </c>
      <c r="C687" s="1">
        <v>11392.16</v>
      </c>
      <c r="D687" s="1">
        <v>4081.14</v>
      </c>
    </row>
    <row r="688" spans="1:4" x14ac:dyDescent="0.25">
      <c r="A688" s="7">
        <v>44444.583333333336</v>
      </c>
      <c r="B688" s="1" t="s">
        <v>71</v>
      </c>
      <c r="C688" s="1">
        <v>7159.17</v>
      </c>
      <c r="D688" s="1">
        <v>2827.4</v>
      </c>
    </row>
    <row r="689" spans="1:4" x14ac:dyDescent="0.25">
      <c r="A689" s="7">
        <v>44444.583333333336</v>
      </c>
      <c r="B689" s="1" t="s">
        <v>69</v>
      </c>
      <c r="C689" s="1">
        <v>6051.76</v>
      </c>
      <c r="D689" s="1">
        <v>6186.9</v>
      </c>
    </row>
    <row r="690" spans="1:4" x14ac:dyDescent="0.25">
      <c r="A690" s="7">
        <v>44444.583333333336</v>
      </c>
      <c r="B690" s="1" t="s">
        <v>70</v>
      </c>
      <c r="C690" s="1">
        <v>5498.66</v>
      </c>
      <c r="D690" s="1">
        <v>2936.61</v>
      </c>
    </row>
    <row r="691" spans="1:4" x14ac:dyDescent="0.25">
      <c r="A691" s="7">
        <v>44444.583333333336</v>
      </c>
      <c r="B691" s="1" t="s">
        <v>78</v>
      </c>
      <c r="C691" s="1">
        <v>2490.87</v>
      </c>
      <c r="D691" s="1">
        <v>1727.38</v>
      </c>
    </row>
    <row r="692" spans="1:4" x14ac:dyDescent="0.25">
      <c r="A692" s="7">
        <v>44444.583333333336</v>
      </c>
      <c r="B692" s="1" t="s">
        <v>76</v>
      </c>
      <c r="C692" s="1">
        <v>8261.66</v>
      </c>
      <c r="D692" s="1">
        <v>2758.26</v>
      </c>
    </row>
    <row r="693" spans="1:4" x14ac:dyDescent="0.25">
      <c r="A693" s="7">
        <v>44444.583333333336</v>
      </c>
      <c r="B693" s="1" t="s">
        <v>72</v>
      </c>
      <c r="C693" s="1">
        <v>10339.57</v>
      </c>
      <c r="D693" s="1">
        <v>8066.37</v>
      </c>
    </row>
    <row r="694" spans="1:4" x14ac:dyDescent="0.25">
      <c r="A694" s="7">
        <v>44444.583333333336</v>
      </c>
      <c r="B694" s="1" t="s">
        <v>68</v>
      </c>
      <c r="C694" s="1">
        <v>6512.47</v>
      </c>
      <c r="D694" s="1">
        <v>3167.98</v>
      </c>
    </row>
    <row r="695" spans="1:4" x14ac:dyDescent="0.25">
      <c r="A695" s="7">
        <v>44444.625</v>
      </c>
      <c r="B695" s="1" t="s">
        <v>75</v>
      </c>
      <c r="C695" s="1">
        <v>972.07</v>
      </c>
      <c r="D695" s="1">
        <v>672.76</v>
      </c>
    </row>
    <row r="696" spans="1:4" x14ac:dyDescent="0.25">
      <c r="A696" s="7">
        <v>44444.625</v>
      </c>
      <c r="B696" s="1" t="s">
        <v>74</v>
      </c>
      <c r="C696" s="1">
        <v>6464.93</v>
      </c>
      <c r="D696" s="1">
        <v>1977.95</v>
      </c>
    </row>
    <row r="697" spans="1:4" x14ac:dyDescent="0.25">
      <c r="A697" s="7">
        <v>44444.625</v>
      </c>
      <c r="B697" s="1" t="s">
        <v>72</v>
      </c>
      <c r="C697" s="1">
        <v>10654.56</v>
      </c>
      <c r="D697" s="1">
        <v>8339.25</v>
      </c>
    </row>
    <row r="698" spans="1:4" x14ac:dyDescent="0.25">
      <c r="A698" s="7">
        <v>44444.625</v>
      </c>
      <c r="B698" s="1" t="s">
        <v>68</v>
      </c>
      <c r="C698" s="1">
        <v>6843.11</v>
      </c>
      <c r="D698" s="1">
        <v>3381.73</v>
      </c>
    </row>
    <row r="699" spans="1:4" x14ac:dyDescent="0.25">
      <c r="A699" s="7">
        <v>44444.625</v>
      </c>
      <c r="B699" s="1" t="s">
        <v>77</v>
      </c>
      <c r="C699" s="1">
        <v>12088.61</v>
      </c>
      <c r="D699" s="1">
        <v>4354.38</v>
      </c>
    </row>
    <row r="700" spans="1:4" x14ac:dyDescent="0.25">
      <c r="A700" s="7">
        <v>44444.625</v>
      </c>
      <c r="B700" s="1" t="s">
        <v>71</v>
      </c>
      <c r="C700" s="1">
        <v>7293.91</v>
      </c>
      <c r="D700" s="1">
        <v>3049.58</v>
      </c>
    </row>
    <row r="701" spans="1:4" x14ac:dyDescent="0.25">
      <c r="A701" s="7">
        <v>44444.625</v>
      </c>
      <c r="B701" s="1" t="s">
        <v>69</v>
      </c>
      <c r="C701" s="1">
        <v>6305.02</v>
      </c>
      <c r="D701" s="1">
        <v>6368.63</v>
      </c>
    </row>
    <row r="702" spans="1:4" x14ac:dyDescent="0.25">
      <c r="A702" s="7">
        <v>44444.625</v>
      </c>
      <c r="B702" s="1" t="s">
        <v>70</v>
      </c>
      <c r="C702" s="1">
        <v>5836.67</v>
      </c>
      <c r="D702" s="1">
        <v>3178.61</v>
      </c>
    </row>
    <row r="703" spans="1:4" x14ac:dyDescent="0.25">
      <c r="A703" s="7">
        <v>44444.625</v>
      </c>
      <c r="B703" s="1" t="s">
        <v>78</v>
      </c>
      <c r="C703" s="1">
        <v>2460.85</v>
      </c>
      <c r="D703" s="1">
        <v>1706.35</v>
      </c>
    </row>
    <row r="704" spans="1:4" x14ac:dyDescent="0.25">
      <c r="A704" s="7">
        <v>44444.625</v>
      </c>
      <c r="B704" s="1" t="s">
        <v>76</v>
      </c>
      <c r="C704" s="1">
        <v>9425.58</v>
      </c>
      <c r="D704" s="1">
        <v>2949.36</v>
      </c>
    </row>
    <row r="705" spans="1:4" x14ac:dyDescent="0.25">
      <c r="A705" s="7">
        <v>44444.625</v>
      </c>
      <c r="B705" s="1" t="s">
        <v>73</v>
      </c>
      <c r="C705" s="1">
        <v>6276.18</v>
      </c>
      <c r="D705" s="1">
        <v>1139.28</v>
      </c>
    </row>
    <row r="706" spans="1:4" x14ac:dyDescent="0.25">
      <c r="A706" s="7">
        <v>44444.666666666664</v>
      </c>
      <c r="B706" s="1" t="s">
        <v>74</v>
      </c>
      <c r="C706" s="1">
        <v>6213.05</v>
      </c>
      <c r="D706" s="1">
        <v>1917.49</v>
      </c>
    </row>
    <row r="707" spans="1:4" x14ac:dyDescent="0.25">
      <c r="A707" s="7">
        <v>44444.666666666664</v>
      </c>
      <c r="B707" s="1" t="s">
        <v>78</v>
      </c>
      <c r="C707" s="1">
        <v>2288.67</v>
      </c>
      <c r="D707" s="1">
        <v>1592.04</v>
      </c>
    </row>
    <row r="708" spans="1:4" x14ac:dyDescent="0.25">
      <c r="A708" s="7">
        <v>44444.666666666664</v>
      </c>
      <c r="B708" s="1" t="s">
        <v>75</v>
      </c>
      <c r="C708" s="1">
        <v>959.89</v>
      </c>
      <c r="D708" s="1">
        <v>611.99</v>
      </c>
    </row>
    <row r="709" spans="1:4" x14ac:dyDescent="0.25">
      <c r="A709" s="7">
        <v>44444.666666666664</v>
      </c>
      <c r="B709" s="1" t="s">
        <v>72</v>
      </c>
      <c r="C709" s="1">
        <v>9852.19</v>
      </c>
      <c r="D709" s="1">
        <v>7642.43</v>
      </c>
    </row>
    <row r="710" spans="1:4" x14ac:dyDescent="0.25">
      <c r="A710" s="7">
        <v>44444.666666666664</v>
      </c>
      <c r="B710" s="1" t="s">
        <v>68</v>
      </c>
      <c r="C710" s="1">
        <v>6748.1</v>
      </c>
      <c r="D710" s="1">
        <v>3420.02</v>
      </c>
    </row>
    <row r="711" spans="1:4" x14ac:dyDescent="0.25">
      <c r="A711" s="7">
        <v>44444.666666666664</v>
      </c>
      <c r="B711" s="1" t="s">
        <v>77</v>
      </c>
      <c r="C711" s="1">
        <v>12073.27</v>
      </c>
      <c r="D711" s="1">
        <v>4369.71</v>
      </c>
    </row>
    <row r="712" spans="1:4" x14ac:dyDescent="0.25">
      <c r="A712" s="7">
        <v>44444.666666666664</v>
      </c>
      <c r="B712" s="1" t="s">
        <v>69</v>
      </c>
      <c r="C712" s="1">
        <v>5729.51</v>
      </c>
      <c r="D712" s="1">
        <v>5876.81</v>
      </c>
    </row>
    <row r="713" spans="1:4" x14ac:dyDescent="0.25">
      <c r="A713" s="7">
        <v>44444.666666666664</v>
      </c>
      <c r="B713" s="1" t="s">
        <v>70</v>
      </c>
      <c r="C713" s="1">
        <v>5993</v>
      </c>
      <c r="D713" s="1">
        <v>3112.94</v>
      </c>
    </row>
    <row r="714" spans="1:4" x14ac:dyDescent="0.25">
      <c r="A714" s="7">
        <v>44444.666666666664</v>
      </c>
      <c r="B714" s="1" t="s">
        <v>76</v>
      </c>
      <c r="C714" s="1">
        <v>9170.09</v>
      </c>
      <c r="D714" s="1">
        <v>2891.58</v>
      </c>
    </row>
    <row r="715" spans="1:4" x14ac:dyDescent="0.25">
      <c r="A715" s="7">
        <v>44444.666666666664</v>
      </c>
      <c r="B715" s="1" t="s">
        <v>73</v>
      </c>
      <c r="C715" s="1">
        <v>5804.47</v>
      </c>
      <c r="D715" s="1">
        <v>1140.82</v>
      </c>
    </row>
    <row r="716" spans="1:4" x14ac:dyDescent="0.25">
      <c r="A716" s="7">
        <v>44444.666666666664</v>
      </c>
      <c r="B716" s="1" t="s">
        <v>71</v>
      </c>
      <c r="C716" s="1">
        <v>6722.74</v>
      </c>
      <c r="D716" s="1">
        <v>2991</v>
      </c>
    </row>
    <row r="717" spans="1:4" x14ac:dyDescent="0.25">
      <c r="A717" s="7">
        <v>44444.708333333336</v>
      </c>
      <c r="B717" s="1" t="s">
        <v>74</v>
      </c>
      <c r="C717" s="1">
        <v>6423.42</v>
      </c>
      <c r="D717" s="1">
        <v>1980.33</v>
      </c>
    </row>
    <row r="718" spans="1:4" x14ac:dyDescent="0.25">
      <c r="A718" s="7">
        <v>44444.708333333336</v>
      </c>
      <c r="B718" s="1" t="s">
        <v>78</v>
      </c>
      <c r="C718" s="1">
        <v>2356.92</v>
      </c>
      <c r="D718" s="1">
        <v>1597.38</v>
      </c>
    </row>
    <row r="719" spans="1:4" x14ac:dyDescent="0.25">
      <c r="A719" s="7">
        <v>44444.708333333336</v>
      </c>
      <c r="B719" s="1" t="s">
        <v>75</v>
      </c>
      <c r="C719" s="1">
        <v>964.99</v>
      </c>
      <c r="D719" s="1">
        <v>625.58000000000004</v>
      </c>
    </row>
    <row r="720" spans="1:4" x14ac:dyDescent="0.25">
      <c r="A720" s="7">
        <v>44444.708333333336</v>
      </c>
      <c r="B720" s="1" t="s">
        <v>76</v>
      </c>
      <c r="C720" s="1">
        <v>9307.3799999999992</v>
      </c>
      <c r="D720" s="1">
        <v>3000.29</v>
      </c>
    </row>
    <row r="721" spans="1:4" x14ac:dyDescent="0.25">
      <c r="A721" s="7">
        <v>44444.708333333336</v>
      </c>
      <c r="B721" s="1" t="s">
        <v>68</v>
      </c>
      <c r="C721" s="1">
        <v>7410.58</v>
      </c>
      <c r="D721" s="1">
        <v>3533.22</v>
      </c>
    </row>
    <row r="722" spans="1:4" x14ac:dyDescent="0.25">
      <c r="A722" s="7">
        <v>44444.708333333336</v>
      </c>
      <c r="B722" s="1" t="s">
        <v>71</v>
      </c>
      <c r="C722" s="1">
        <v>6738.04</v>
      </c>
      <c r="D722" s="1">
        <v>3173.18</v>
      </c>
    </row>
    <row r="723" spans="1:4" x14ac:dyDescent="0.25">
      <c r="A723" s="7">
        <v>44444.708333333336</v>
      </c>
      <c r="B723" s="1" t="s">
        <v>70</v>
      </c>
      <c r="C723" s="1">
        <v>6064.89</v>
      </c>
      <c r="D723" s="1">
        <v>2878.96</v>
      </c>
    </row>
    <row r="724" spans="1:4" x14ac:dyDescent="0.25">
      <c r="A724" s="7">
        <v>44444.708333333336</v>
      </c>
      <c r="B724" s="1" t="s">
        <v>73</v>
      </c>
      <c r="C724" s="1">
        <v>5959.38</v>
      </c>
      <c r="D724" s="1">
        <v>1151.21</v>
      </c>
    </row>
    <row r="725" spans="1:4" x14ac:dyDescent="0.25">
      <c r="A725" s="7">
        <v>44444.708333333336</v>
      </c>
      <c r="B725" s="1" t="s">
        <v>72</v>
      </c>
      <c r="C725" s="1">
        <v>9791.85</v>
      </c>
      <c r="D725" s="1">
        <v>7483.45</v>
      </c>
    </row>
    <row r="726" spans="1:4" x14ac:dyDescent="0.25">
      <c r="A726" s="7">
        <v>44444.708333333336</v>
      </c>
      <c r="B726" s="1" t="s">
        <v>77</v>
      </c>
      <c r="C726" s="1">
        <v>13473.3</v>
      </c>
      <c r="D726" s="1">
        <v>4988.92</v>
      </c>
    </row>
    <row r="727" spans="1:4" x14ac:dyDescent="0.25">
      <c r="A727" s="7">
        <v>44444.708333333336</v>
      </c>
      <c r="B727" s="1" t="s">
        <v>69</v>
      </c>
      <c r="C727" s="1">
        <v>5775.92</v>
      </c>
      <c r="D727" s="1">
        <v>5612.86</v>
      </c>
    </row>
    <row r="728" spans="1:4" x14ac:dyDescent="0.25">
      <c r="A728" s="7">
        <v>44444.75</v>
      </c>
      <c r="B728" s="1" t="s">
        <v>75</v>
      </c>
      <c r="C728" s="1">
        <v>721.67</v>
      </c>
      <c r="D728" s="1">
        <v>386.77</v>
      </c>
    </row>
    <row r="729" spans="1:4" x14ac:dyDescent="0.25">
      <c r="A729" s="7">
        <v>44444.75</v>
      </c>
      <c r="B729" s="1" t="s">
        <v>74</v>
      </c>
      <c r="C729" s="1">
        <v>5037.8500000000004</v>
      </c>
      <c r="D729" s="1">
        <v>1380.51</v>
      </c>
    </row>
    <row r="730" spans="1:4" x14ac:dyDescent="0.25">
      <c r="A730" s="7">
        <v>44444.75</v>
      </c>
      <c r="B730" s="1" t="s">
        <v>78</v>
      </c>
      <c r="C730" s="1">
        <v>1720.19</v>
      </c>
      <c r="D730" s="1">
        <v>1013.49</v>
      </c>
    </row>
    <row r="731" spans="1:4" x14ac:dyDescent="0.25">
      <c r="A731" s="7">
        <v>44444.75</v>
      </c>
      <c r="B731" s="1" t="s">
        <v>76</v>
      </c>
      <c r="C731" s="1">
        <v>7051.32</v>
      </c>
      <c r="D731" s="1">
        <v>2132.11</v>
      </c>
    </row>
    <row r="732" spans="1:4" x14ac:dyDescent="0.25">
      <c r="A732" s="7">
        <v>44444.75</v>
      </c>
      <c r="B732" s="1" t="s">
        <v>73</v>
      </c>
      <c r="C732" s="1">
        <v>4765.67</v>
      </c>
      <c r="D732" s="1">
        <v>775.74</v>
      </c>
    </row>
    <row r="733" spans="1:4" x14ac:dyDescent="0.25">
      <c r="A733" s="7">
        <v>44444.75</v>
      </c>
      <c r="B733" s="1" t="s">
        <v>71</v>
      </c>
      <c r="C733" s="1">
        <v>5733.82</v>
      </c>
      <c r="D733" s="1">
        <v>2291.44</v>
      </c>
    </row>
    <row r="734" spans="1:4" x14ac:dyDescent="0.25">
      <c r="A734" s="7">
        <v>44444.75</v>
      </c>
      <c r="B734" s="1" t="s">
        <v>70</v>
      </c>
      <c r="C734" s="1">
        <v>4291.6499999999996</v>
      </c>
      <c r="D734" s="1">
        <v>1927.82</v>
      </c>
    </row>
    <row r="735" spans="1:4" x14ac:dyDescent="0.25">
      <c r="A735" s="7">
        <v>44444.75</v>
      </c>
      <c r="B735" s="1" t="s">
        <v>72</v>
      </c>
      <c r="C735" s="1">
        <v>6823.9</v>
      </c>
      <c r="D735" s="1">
        <v>4599.04</v>
      </c>
    </row>
    <row r="736" spans="1:4" x14ac:dyDescent="0.25">
      <c r="A736" s="7">
        <v>44444.75</v>
      </c>
      <c r="B736" s="1" t="s">
        <v>68</v>
      </c>
      <c r="C736" s="1">
        <v>6548.75</v>
      </c>
      <c r="D736" s="1">
        <v>2799.89</v>
      </c>
    </row>
    <row r="737" spans="1:4" x14ac:dyDescent="0.25">
      <c r="A737" s="7">
        <v>44444.75</v>
      </c>
      <c r="B737" s="1" t="s">
        <v>77</v>
      </c>
      <c r="C737" s="1">
        <v>11913.56</v>
      </c>
      <c r="D737" s="1">
        <v>4145.1499999999996</v>
      </c>
    </row>
    <row r="738" spans="1:4" x14ac:dyDescent="0.25">
      <c r="A738" s="7">
        <v>44444.75</v>
      </c>
      <c r="B738" s="1" t="s">
        <v>69</v>
      </c>
      <c r="C738" s="1">
        <v>4135.71</v>
      </c>
      <c r="D738" s="1">
        <v>3407.64</v>
      </c>
    </row>
    <row r="739" spans="1:4" x14ac:dyDescent="0.25">
      <c r="A739" s="7">
        <v>44444.791666666664</v>
      </c>
      <c r="B739" s="1" t="s">
        <v>75</v>
      </c>
      <c r="C739" s="1">
        <v>2301.84</v>
      </c>
      <c r="D739" s="1">
        <v>1355.97</v>
      </c>
    </row>
    <row r="740" spans="1:4" x14ac:dyDescent="0.25">
      <c r="A740" s="7">
        <v>44444.791666666664</v>
      </c>
      <c r="B740" s="1" t="s">
        <v>74</v>
      </c>
      <c r="C740" s="1">
        <v>13621.17</v>
      </c>
      <c r="D740" s="1">
        <v>3645.31</v>
      </c>
    </row>
    <row r="741" spans="1:4" x14ac:dyDescent="0.25">
      <c r="A741" s="7">
        <v>44444.791666666664</v>
      </c>
      <c r="B741" s="1" t="s">
        <v>72</v>
      </c>
      <c r="C741" s="1">
        <v>19589.971000000001</v>
      </c>
      <c r="D741" s="1">
        <v>13064.51</v>
      </c>
    </row>
    <row r="742" spans="1:4" x14ac:dyDescent="0.25">
      <c r="A742" s="7">
        <v>44444.791666666664</v>
      </c>
      <c r="B742" s="1" t="s">
        <v>76</v>
      </c>
      <c r="C742" s="1">
        <v>21973.609</v>
      </c>
      <c r="D742" s="1">
        <v>6141.13</v>
      </c>
    </row>
    <row r="743" spans="1:4" x14ac:dyDescent="0.25">
      <c r="A743" s="7">
        <v>44444.791666666664</v>
      </c>
      <c r="B743" s="1" t="s">
        <v>77</v>
      </c>
      <c r="C743" s="1">
        <v>32038.199000000001</v>
      </c>
      <c r="D743" s="1">
        <v>10865.13</v>
      </c>
    </row>
    <row r="744" spans="1:4" x14ac:dyDescent="0.25">
      <c r="A744" s="7">
        <v>44444.791666666664</v>
      </c>
      <c r="B744" s="1" t="s">
        <v>71</v>
      </c>
      <c r="C744" s="1">
        <v>17278.93</v>
      </c>
      <c r="D744" s="1">
        <v>6302.36</v>
      </c>
    </row>
    <row r="745" spans="1:4" x14ac:dyDescent="0.25">
      <c r="A745" s="7">
        <v>44444.791666666664</v>
      </c>
      <c r="B745" s="1" t="s">
        <v>69</v>
      </c>
      <c r="C745" s="1">
        <v>12079.27</v>
      </c>
      <c r="D745" s="1">
        <v>10067.629999999999</v>
      </c>
    </row>
    <row r="746" spans="1:4" x14ac:dyDescent="0.25">
      <c r="A746" s="7">
        <v>44444.791666666664</v>
      </c>
      <c r="B746" s="1" t="s">
        <v>70</v>
      </c>
      <c r="C746" s="1">
        <v>13270.34</v>
      </c>
      <c r="D746" s="1">
        <v>6098.52</v>
      </c>
    </row>
    <row r="747" spans="1:4" x14ac:dyDescent="0.25">
      <c r="A747" s="7">
        <v>44444.791666666664</v>
      </c>
      <c r="B747" s="1" t="s">
        <v>78</v>
      </c>
      <c r="C747" s="1">
        <v>5318.27</v>
      </c>
      <c r="D747" s="1">
        <v>3499.29</v>
      </c>
    </row>
    <row r="748" spans="1:4" x14ac:dyDescent="0.25">
      <c r="A748" s="7">
        <v>44444.791666666664</v>
      </c>
      <c r="B748" s="1" t="s">
        <v>73</v>
      </c>
      <c r="C748" s="1">
        <v>13774.12</v>
      </c>
      <c r="D748" s="1">
        <v>2220.17</v>
      </c>
    </row>
    <row r="749" spans="1:4" x14ac:dyDescent="0.25">
      <c r="A749" s="7">
        <v>44444.791666666664</v>
      </c>
      <c r="B749" s="1" t="s">
        <v>68</v>
      </c>
      <c r="C749" s="1">
        <v>16776.381000000001</v>
      </c>
      <c r="D749" s="1">
        <v>6783.28</v>
      </c>
    </row>
    <row r="750" spans="1:4" x14ac:dyDescent="0.25">
      <c r="A750" s="7">
        <v>44444.833333333336</v>
      </c>
      <c r="B750" s="1" t="s">
        <v>75</v>
      </c>
      <c r="C750" s="1">
        <v>1653.73</v>
      </c>
      <c r="D750" s="1">
        <v>953.99</v>
      </c>
    </row>
    <row r="751" spans="1:4" x14ac:dyDescent="0.25">
      <c r="A751" s="7">
        <v>44444.833333333336</v>
      </c>
      <c r="B751" s="1" t="s">
        <v>74</v>
      </c>
      <c r="C751" s="1">
        <v>12727.33</v>
      </c>
      <c r="D751" s="1">
        <v>3384</v>
      </c>
    </row>
    <row r="752" spans="1:4" x14ac:dyDescent="0.25">
      <c r="A752" s="7">
        <v>44444.833333333336</v>
      </c>
      <c r="B752" s="1" t="s">
        <v>72</v>
      </c>
      <c r="C752" s="1">
        <v>15216.58</v>
      </c>
      <c r="D752" s="1">
        <v>10720.34</v>
      </c>
    </row>
    <row r="753" spans="1:4" x14ac:dyDescent="0.25">
      <c r="A753" s="7">
        <v>44444.833333333336</v>
      </c>
      <c r="B753" s="1" t="s">
        <v>77</v>
      </c>
      <c r="C753" s="1">
        <v>25272.141</v>
      </c>
      <c r="D753" s="1">
        <v>8589.35</v>
      </c>
    </row>
    <row r="754" spans="1:4" x14ac:dyDescent="0.25">
      <c r="A754" s="7">
        <v>44444.833333333336</v>
      </c>
      <c r="B754" s="1" t="s">
        <v>69</v>
      </c>
      <c r="C754" s="1">
        <v>9940.59</v>
      </c>
      <c r="D754" s="1">
        <v>8809</v>
      </c>
    </row>
    <row r="755" spans="1:4" x14ac:dyDescent="0.25">
      <c r="A755" s="7">
        <v>44444.833333333336</v>
      </c>
      <c r="B755" s="1" t="s">
        <v>70</v>
      </c>
      <c r="C755" s="1">
        <v>10295.870000000001</v>
      </c>
      <c r="D755" s="1">
        <v>4968.34</v>
      </c>
    </row>
    <row r="756" spans="1:4" x14ac:dyDescent="0.25">
      <c r="A756" s="7">
        <v>44444.833333333336</v>
      </c>
      <c r="B756" s="1" t="s">
        <v>78</v>
      </c>
      <c r="C756" s="1">
        <v>3855.53</v>
      </c>
      <c r="D756" s="1">
        <v>2687.97</v>
      </c>
    </row>
    <row r="757" spans="1:4" x14ac:dyDescent="0.25">
      <c r="A757" s="7">
        <v>44444.833333333336</v>
      </c>
      <c r="B757" s="1" t="s">
        <v>76</v>
      </c>
      <c r="C757" s="1">
        <v>18857.131000000001</v>
      </c>
      <c r="D757" s="1">
        <v>5164.28</v>
      </c>
    </row>
    <row r="758" spans="1:4" x14ac:dyDescent="0.25">
      <c r="A758" s="7">
        <v>44444.833333333336</v>
      </c>
      <c r="B758" s="1" t="s">
        <v>73</v>
      </c>
      <c r="C758" s="1">
        <v>9681.07</v>
      </c>
      <c r="D758" s="1">
        <v>1698.82</v>
      </c>
    </row>
    <row r="759" spans="1:4" x14ac:dyDescent="0.25">
      <c r="A759" s="7">
        <v>44444.833333333336</v>
      </c>
      <c r="B759" s="1" t="s">
        <v>68</v>
      </c>
      <c r="C759" s="1">
        <v>11721.42</v>
      </c>
      <c r="D759" s="1">
        <v>5153.97</v>
      </c>
    </row>
    <row r="760" spans="1:4" x14ac:dyDescent="0.25">
      <c r="A760" s="7">
        <v>44444.833333333336</v>
      </c>
      <c r="B760" s="1" t="s">
        <v>71</v>
      </c>
      <c r="C760" s="1">
        <v>12867.09</v>
      </c>
      <c r="D760" s="1">
        <v>4920.32</v>
      </c>
    </row>
    <row r="761" spans="1:4" x14ac:dyDescent="0.25">
      <c r="A761" s="7">
        <v>44444.875</v>
      </c>
      <c r="B761" s="1" t="s">
        <v>75</v>
      </c>
      <c r="C761" s="1">
        <v>1147.3699999999999</v>
      </c>
      <c r="D761" s="1">
        <v>730.08</v>
      </c>
    </row>
    <row r="762" spans="1:4" x14ac:dyDescent="0.25">
      <c r="A762" s="7">
        <v>44444.875</v>
      </c>
      <c r="B762" s="1" t="s">
        <v>74</v>
      </c>
      <c r="C762" s="1">
        <v>9452.24</v>
      </c>
      <c r="D762" s="1">
        <v>2570.4299999999998</v>
      </c>
    </row>
    <row r="763" spans="1:4" x14ac:dyDescent="0.25">
      <c r="A763" s="7">
        <v>44444.875</v>
      </c>
      <c r="B763" s="1" t="s">
        <v>73</v>
      </c>
      <c r="C763" s="1">
        <v>5215.29</v>
      </c>
      <c r="D763" s="1">
        <v>974.4</v>
      </c>
    </row>
    <row r="764" spans="1:4" x14ac:dyDescent="0.25">
      <c r="A764" s="7">
        <v>44444.875</v>
      </c>
      <c r="B764" s="1" t="s">
        <v>68</v>
      </c>
      <c r="C764" s="1">
        <v>7399.34</v>
      </c>
      <c r="D764" s="1">
        <v>3606.81</v>
      </c>
    </row>
    <row r="765" spans="1:4" x14ac:dyDescent="0.25">
      <c r="A765" s="7">
        <v>44444.875</v>
      </c>
      <c r="B765" s="1" t="s">
        <v>77</v>
      </c>
      <c r="C765" s="1">
        <v>17811.221000000001</v>
      </c>
      <c r="D765" s="1">
        <v>6236.85</v>
      </c>
    </row>
    <row r="766" spans="1:4" x14ac:dyDescent="0.25">
      <c r="A766" s="7">
        <v>44444.875</v>
      </c>
      <c r="B766" s="1" t="s">
        <v>71</v>
      </c>
      <c r="C766" s="1">
        <v>7696.13</v>
      </c>
      <c r="D766" s="1">
        <v>3073.79</v>
      </c>
    </row>
    <row r="767" spans="1:4" x14ac:dyDescent="0.25">
      <c r="A767" s="7">
        <v>44444.875</v>
      </c>
      <c r="B767" s="1" t="s">
        <v>69</v>
      </c>
      <c r="C767" s="1">
        <v>7289.05</v>
      </c>
      <c r="D767" s="1">
        <v>6452.07</v>
      </c>
    </row>
    <row r="768" spans="1:4" x14ac:dyDescent="0.25">
      <c r="A768" s="7">
        <v>44444.875</v>
      </c>
      <c r="B768" s="1" t="s">
        <v>70</v>
      </c>
      <c r="C768" s="1">
        <v>6434.65</v>
      </c>
      <c r="D768" s="1">
        <v>3249.15</v>
      </c>
    </row>
    <row r="769" spans="1:4" x14ac:dyDescent="0.25">
      <c r="A769" s="7">
        <v>44444.875</v>
      </c>
      <c r="B769" s="1" t="s">
        <v>78</v>
      </c>
      <c r="C769" s="1">
        <v>2978.08</v>
      </c>
      <c r="D769" s="1">
        <v>1956.44</v>
      </c>
    </row>
    <row r="770" spans="1:4" x14ac:dyDescent="0.25">
      <c r="A770" s="7">
        <v>44444.875</v>
      </c>
      <c r="B770" s="1" t="s">
        <v>72</v>
      </c>
      <c r="C770" s="1">
        <v>11110.28</v>
      </c>
      <c r="D770" s="1">
        <v>7893.08</v>
      </c>
    </row>
    <row r="771" spans="1:4" x14ac:dyDescent="0.25">
      <c r="A771" s="7">
        <v>44444.875</v>
      </c>
      <c r="B771" s="1" t="s">
        <v>76</v>
      </c>
      <c r="C771" s="1">
        <v>12135.6</v>
      </c>
      <c r="D771" s="1">
        <v>3567.54</v>
      </c>
    </row>
    <row r="772" spans="1:4" x14ac:dyDescent="0.25">
      <c r="A772" s="7">
        <v>44444.916666666664</v>
      </c>
      <c r="B772" s="1" t="s">
        <v>74</v>
      </c>
      <c r="C772" s="1">
        <v>6486.33</v>
      </c>
      <c r="D772" s="1">
        <v>1967</v>
      </c>
    </row>
    <row r="773" spans="1:4" x14ac:dyDescent="0.25">
      <c r="A773" s="7">
        <v>44444.916666666664</v>
      </c>
      <c r="B773" s="1" t="s">
        <v>78</v>
      </c>
      <c r="C773" s="1">
        <v>2886.25</v>
      </c>
      <c r="D773" s="1">
        <v>1915.05</v>
      </c>
    </row>
    <row r="774" spans="1:4" x14ac:dyDescent="0.25">
      <c r="A774" s="7">
        <v>44444.916666666664</v>
      </c>
      <c r="B774" s="1" t="s">
        <v>75</v>
      </c>
      <c r="C774" s="1">
        <v>1257.9000000000001</v>
      </c>
      <c r="D774" s="1">
        <v>835.05</v>
      </c>
    </row>
    <row r="775" spans="1:4" x14ac:dyDescent="0.25">
      <c r="A775" s="7">
        <v>44444.916666666664</v>
      </c>
      <c r="B775" s="1" t="s">
        <v>76</v>
      </c>
      <c r="C775" s="1">
        <v>9477.06</v>
      </c>
      <c r="D775" s="1">
        <v>2969.94</v>
      </c>
    </row>
    <row r="776" spans="1:4" x14ac:dyDescent="0.25">
      <c r="A776" s="7">
        <v>44444.916666666664</v>
      </c>
      <c r="B776" s="1" t="s">
        <v>73</v>
      </c>
      <c r="C776" s="1">
        <v>4417.3999999999996</v>
      </c>
      <c r="D776" s="1">
        <v>877.99</v>
      </c>
    </row>
    <row r="777" spans="1:4" x14ac:dyDescent="0.25">
      <c r="A777" s="7">
        <v>44444.916666666664</v>
      </c>
      <c r="B777" s="1" t="s">
        <v>68</v>
      </c>
      <c r="C777" s="1">
        <v>5745.08</v>
      </c>
      <c r="D777" s="1">
        <v>3026.86</v>
      </c>
    </row>
    <row r="778" spans="1:4" x14ac:dyDescent="0.25">
      <c r="A778" s="7">
        <v>44444.916666666664</v>
      </c>
      <c r="B778" s="1" t="s">
        <v>71</v>
      </c>
      <c r="C778" s="1">
        <v>5892.67</v>
      </c>
      <c r="D778" s="1">
        <v>2672.71</v>
      </c>
    </row>
    <row r="779" spans="1:4" x14ac:dyDescent="0.25">
      <c r="A779" s="7">
        <v>44444.916666666664</v>
      </c>
      <c r="B779" s="1" t="s">
        <v>72</v>
      </c>
      <c r="C779" s="1">
        <v>10534.4</v>
      </c>
      <c r="D779" s="1">
        <v>7652.67</v>
      </c>
    </row>
    <row r="780" spans="1:4" x14ac:dyDescent="0.25">
      <c r="A780" s="7">
        <v>44444.916666666664</v>
      </c>
      <c r="B780" s="1" t="s">
        <v>77</v>
      </c>
      <c r="C780" s="1">
        <v>14675.87</v>
      </c>
      <c r="D780" s="1">
        <v>5362.89</v>
      </c>
    </row>
    <row r="781" spans="1:4" x14ac:dyDescent="0.25">
      <c r="A781" s="7">
        <v>44444.916666666664</v>
      </c>
      <c r="B781" s="1" t="s">
        <v>69</v>
      </c>
      <c r="C781" s="1">
        <v>6760.58</v>
      </c>
      <c r="D781" s="1">
        <v>6076.66</v>
      </c>
    </row>
    <row r="782" spans="1:4" x14ac:dyDescent="0.25">
      <c r="A782" s="7">
        <v>44444.916666666664</v>
      </c>
      <c r="B782" s="1" t="s">
        <v>70</v>
      </c>
      <c r="C782" s="1">
        <v>5555.77</v>
      </c>
      <c r="D782" s="1">
        <v>2991</v>
      </c>
    </row>
    <row r="783" spans="1:4" x14ac:dyDescent="0.25">
      <c r="A783" s="7">
        <v>44444.958333333336</v>
      </c>
      <c r="B783" s="1" t="s">
        <v>75</v>
      </c>
      <c r="C783" s="1">
        <v>1106.21</v>
      </c>
      <c r="D783" s="1">
        <v>791.21</v>
      </c>
    </row>
    <row r="784" spans="1:4" x14ac:dyDescent="0.25">
      <c r="A784" s="7">
        <v>44444.958333333336</v>
      </c>
      <c r="B784" s="1" t="s">
        <v>74</v>
      </c>
      <c r="C784" s="1">
        <v>3430.69</v>
      </c>
      <c r="D784" s="1">
        <v>1237.06</v>
      </c>
    </row>
    <row r="785" spans="1:4" x14ac:dyDescent="0.25">
      <c r="A785" s="7">
        <v>44444.958333333336</v>
      </c>
      <c r="B785" s="1" t="s">
        <v>78</v>
      </c>
      <c r="C785" s="1">
        <v>2228.4699999999998</v>
      </c>
      <c r="D785" s="1">
        <v>1524.53</v>
      </c>
    </row>
    <row r="786" spans="1:4" x14ac:dyDescent="0.25">
      <c r="A786" s="7">
        <v>44444.958333333336</v>
      </c>
      <c r="B786" s="1" t="s">
        <v>76</v>
      </c>
      <c r="C786" s="1">
        <v>6155.79</v>
      </c>
      <c r="D786" s="1">
        <v>2026.17</v>
      </c>
    </row>
    <row r="787" spans="1:4" x14ac:dyDescent="0.25">
      <c r="A787" s="7">
        <v>44444.958333333336</v>
      </c>
      <c r="B787" s="1" t="s">
        <v>73</v>
      </c>
      <c r="C787" s="1">
        <v>3128.02</v>
      </c>
      <c r="D787" s="1">
        <v>698.05</v>
      </c>
    </row>
    <row r="788" spans="1:4" x14ac:dyDescent="0.25">
      <c r="A788" s="7">
        <v>44444.958333333336</v>
      </c>
      <c r="B788" s="1" t="s">
        <v>68</v>
      </c>
      <c r="C788" s="1">
        <v>3024.63</v>
      </c>
      <c r="D788" s="1">
        <v>1874.23</v>
      </c>
    </row>
    <row r="789" spans="1:4" x14ac:dyDescent="0.25">
      <c r="A789" s="7">
        <v>44444.958333333336</v>
      </c>
      <c r="B789" s="1" t="s">
        <v>71</v>
      </c>
      <c r="C789" s="1">
        <v>2996.68</v>
      </c>
      <c r="D789" s="1">
        <v>1701.13</v>
      </c>
    </row>
    <row r="790" spans="1:4" x14ac:dyDescent="0.25">
      <c r="A790" s="7">
        <v>44444.958333333336</v>
      </c>
      <c r="B790" s="1" t="s">
        <v>69</v>
      </c>
      <c r="C790" s="1">
        <v>5179.55</v>
      </c>
      <c r="D790" s="1">
        <v>4807.8</v>
      </c>
    </row>
    <row r="791" spans="1:4" x14ac:dyDescent="0.25">
      <c r="A791" s="7">
        <v>44444.958333333336</v>
      </c>
      <c r="B791" s="1" t="s">
        <v>70</v>
      </c>
      <c r="C791" s="1">
        <v>4093.36</v>
      </c>
      <c r="D791" s="1">
        <v>2295.81</v>
      </c>
    </row>
    <row r="792" spans="1:4" x14ac:dyDescent="0.25">
      <c r="A792" s="7">
        <v>44444.958333333336</v>
      </c>
      <c r="B792" s="1" t="s">
        <v>72</v>
      </c>
      <c r="C792" s="1">
        <v>7988.17</v>
      </c>
      <c r="D792" s="1">
        <v>6072.97</v>
      </c>
    </row>
    <row r="793" spans="1:4" x14ac:dyDescent="0.25">
      <c r="A793" s="7">
        <v>44444.958333333336</v>
      </c>
      <c r="B793" s="1" t="s">
        <v>77</v>
      </c>
      <c r="C793" s="1">
        <v>9445.8700000000008</v>
      </c>
      <c r="D793" s="1">
        <v>3460.86</v>
      </c>
    </row>
    <row r="794" spans="1:4" x14ac:dyDescent="0.25">
      <c r="A794" s="7">
        <v>44474</v>
      </c>
      <c r="B794" s="1" t="s">
        <v>75</v>
      </c>
      <c r="C794" s="1">
        <v>658.15</v>
      </c>
      <c r="D794" s="1">
        <v>506.04</v>
      </c>
    </row>
    <row r="795" spans="1:4" x14ac:dyDescent="0.25">
      <c r="A795" s="7">
        <v>44474</v>
      </c>
      <c r="B795" s="1" t="s">
        <v>74</v>
      </c>
      <c r="C795" s="1">
        <v>1491.38</v>
      </c>
      <c r="D795" s="1">
        <v>597.95000000000005</v>
      </c>
    </row>
    <row r="796" spans="1:4" x14ac:dyDescent="0.25">
      <c r="A796" s="7">
        <v>44474</v>
      </c>
      <c r="B796" s="1" t="s">
        <v>76</v>
      </c>
      <c r="C796" s="1">
        <v>2730.78</v>
      </c>
      <c r="D796" s="1">
        <v>997.62</v>
      </c>
    </row>
    <row r="797" spans="1:4" x14ac:dyDescent="0.25">
      <c r="A797" s="7">
        <v>44474</v>
      </c>
      <c r="B797" s="1" t="s">
        <v>71</v>
      </c>
      <c r="C797" s="1">
        <v>1175.8599999999999</v>
      </c>
      <c r="D797" s="1">
        <v>819.92</v>
      </c>
    </row>
    <row r="798" spans="1:4" x14ac:dyDescent="0.25">
      <c r="A798" s="7">
        <v>44474</v>
      </c>
      <c r="B798" s="1" t="s">
        <v>69</v>
      </c>
      <c r="C798" s="1">
        <v>2582.1</v>
      </c>
      <c r="D798" s="1">
        <v>2593.91</v>
      </c>
    </row>
    <row r="799" spans="1:4" x14ac:dyDescent="0.25">
      <c r="A799" s="7">
        <v>44474</v>
      </c>
      <c r="B799" s="1" t="s">
        <v>70</v>
      </c>
      <c r="C799" s="1">
        <v>2062.7800000000002</v>
      </c>
      <c r="D799" s="1">
        <v>1248.4000000000001</v>
      </c>
    </row>
    <row r="800" spans="1:4" x14ac:dyDescent="0.25">
      <c r="A800" s="7">
        <v>44474</v>
      </c>
      <c r="B800" s="1" t="s">
        <v>78</v>
      </c>
      <c r="C800" s="1">
        <v>1180.9000000000001</v>
      </c>
      <c r="D800" s="1">
        <v>882.74</v>
      </c>
    </row>
    <row r="801" spans="1:4" x14ac:dyDescent="0.25">
      <c r="A801" s="7">
        <v>44474</v>
      </c>
      <c r="B801" s="1" t="s">
        <v>72</v>
      </c>
      <c r="C801" s="1">
        <v>4126.74</v>
      </c>
      <c r="D801" s="1">
        <v>3278.42</v>
      </c>
    </row>
    <row r="802" spans="1:4" x14ac:dyDescent="0.25">
      <c r="A802" s="7">
        <v>44474</v>
      </c>
      <c r="B802" s="1" t="s">
        <v>73</v>
      </c>
      <c r="C802" s="1">
        <v>1333.77</v>
      </c>
      <c r="D802" s="1">
        <v>367.74</v>
      </c>
    </row>
    <row r="803" spans="1:4" x14ac:dyDescent="0.25">
      <c r="A803" s="7">
        <v>44474</v>
      </c>
      <c r="B803" s="1" t="s">
        <v>68</v>
      </c>
      <c r="C803" s="1">
        <v>1234.5999999999999</v>
      </c>
      <c r="D803" s="1">
        <v>912.39</v>
      </c>
    </row>
    <row r="804" spans="1:4" x14ac:dyDescent="0.25">
      <c r="A804" s="7">
        <v>44474</v>
      </c>
      <c r="B804" s="1" t="s">
        <v>77</v>
      </c>
      <c r="C804" s="1">
        <v>4190.12</v>
      </c>
      <c r="D804" s="1">
        <v>1576.54</v>
      </c>
    </row>
    <row r="805" spans="1:4" x14ac:dyDescent="0.25">
      <c r="A805" s="7">
        <v>44474.041666666664</v>
      </c>
      <c r="B805" s="1" t="s">
        <v>74</v>
      </c>
      <c r="C805" s="1">
        <v>719.96</v>
      </c>
      <c r="D805" s="1">
        <v>285.85000000000002</v>
      </c>
    </row>
    <row r="806" spans="1:4" x14ac:dyDescent="0.25">
      <c r="A806" s="7">
        <v>44474.041666666664</v>
      </c>
      <c r="B806" s="1" t="s">
        <v>75</v>
      </c>
      <c r="C806" s="1">
        <v>356.68</v>
      </c>
      <c r="D806" s="1">
        <v>284.35000000000002</v>
      </c>
    </row>
    <row r="807" spans="1:4" x14ac:dyDescent="0.25">
      <c r="A807" s="7">
        <v>44474.041666666664</v>
      </c>
      <c r="B807" s="1" t="s">
        <v>72</v>
      </c>
      <c r="C807" s="1">
        <v>1914.15</v>
      </c>
      <c r="D807" s="1">
        <v>1589.57</v>
      </c>
    </row>
    <row r="808" spans="1:4" x14ac:dyDescent="0.25">
      <c r="A808" s="7">
        <v>44474.041666666664</v>
      </c>
      <c r="B808" s="1" t="s">
        <v>77</v>
      </c>
      <c r="C808" s="1">
        <v>1830.17</v>
      </c>
      <c r="D808" s="1">
        <v>663.62</v>
      </c>
    </row>
    <row r="809" spans="1:4" x14ac:dyDescent="0.25">
      <c r="A809" s="7">
        <v>44474.041666666664</v>
      </c>
      <c r="B809" s="1" t="s">
        <v>70</v>
      </c>
      <c r="C809" s="1">
        <v>967.07</v>
      </c>
      <c r="D809" s="1">
        <v>607.05999999999995</v>
      </c>
    </row>
    <row r="810" spans="1:4" x14ac:dyDescent="0.25">
      <c r="A810" s="7">
        <v>44474.041666666664</v>
      </c>
      <c r="B810" s="1" t="s">
        <v>69</v>
      </c>
      <c r="C810" s="1">
        <v>1217.77</v>
      </c>
      <c r="D810" s="1">
        <v>1194.6300000000001</v>
      </c>
    </row>
    <row r="811" spans="1:4" x14ac:dyDescent="0.25">
      <c r="A811" s="7">
        <v>44474.041666666664</v>
      </c>
      <c r="B811" s="1" t="s">
        <v>78</v>
      </c>
      <c r="C811" s="1">
        <v>558.80999999999995</v>
      </c>
      <c r="D811" s="1">
        <v>420.25</v>
      </c>
    </row>
    <row r="812" spans="1:4" x14ac:dyDescent="0.25">
      <c r="A812" s="7">
        <v>44474.041666666664</v>
      </c>
      <c r="B812" s="1" t="s">
        <v>76</v>
      </c>
      <c r="C812" s="1">
        <v>1187.29</v>
      </c>
      <c r="D812" s="1">
        <v>475.1</v>
      </c>
    </row>
    <row r="813" spans="1:4" x14ac:dyDescent="0.25">
      <c r="A813" s="7">
        <v>44474.041666666664</v>
      </c>
      <c r="B813" s="1" t="s">
        <v>73</v>
      </c>
      <c r="C813" s="1">
        <v>559.42999999999995</v>
      </c>
      <c r="D813" s="1">
        <v>151.26</v>
      </c>
    </row>
    <row r="814" spans="1:4" x14ac:dyDescent="0.25">
      <c r="A814" s="7">
        <v>44474.041666666664</v>
      </c>
      <c r="B814" s="1" t="s">
        <v>68</v>
      </c>
      <c r="C814" s="1">
        <v>518.29</v>
      </c>
      <c r="D814" s="1">
        <v>418.38</v>
      </c>
    </row>
    <row r="815" spans="1:4" x14ac:dyDescent="0.25">
      <c r="A815" s="7">
        <v>44474.041666666664</v>
      </c>
      <c r="B815" s="1" t="s">
        <v>71</v>
      </c>
      <c r="C815" s="1">
        <v>485.66</v>
      </c>
      <c r="D815" s="1">
        <v>351.72</v>
      </c>
    </row>
    <row r="816" spans="1:4" x14ac:dyDescent="0.25">
      <c r="A816" s="7">
        <v>44474.083333333336</v>
      </c>
      <c r="B816" s="1" t="s">
        <v>75</v>
      </c>
      <c r="C816" s="1">
        <v>292.44</v>
      </c>
      <c r="D816" s="1">
        <v>208.83</v>
      </c>
    </row>
    <row r="817" spans="1:4" x14ac:dyDescent="0.25">
      <c r="A817" s="7">
        <v>44474.083333333336</v>
      </c>
      <c r="B817" s="1" t="s">
        <v>74</v>
      </c>
      <c r="C817" s="1">
        <v>626.87</v>
      </c>
      <c r="D817" s="1">
        <v>197.44</v>
      </c>
    </row>
    <row r="818" spans="1:4" x14ac:dyDescent="0.25">
      <c r="A818" s="7">
        <v>44474.083333333336</v>
      </c>
      <c r="B818" s="1" t="s">
        <v>73</v>
      </c>
      <c r="C818" s="1">
        <v>363.88</v>
      </c>
      <c r="D818" s="1">
        <v>81.14</v>
      </c>
    </row>
    <row r="819" spans="1:4" x14ac:dyDescent="0.25">
      <c r="A819" s="7">
        <v>44474.083333333336</v>
      </c>
      <c r="B819" s="1" t="s">
        <v>71</v>
      </c>
      <c r="C819" s="1">
        <v>358.59</v>
      </c>
      <c r="D819" s="1">
        <v>207.43</v>
      </c>
    </row>
    <row r="820" spans="1:4" x14ac:dyDescent="0.25">
      <c r="A820" s="7">
        <v>44474.083333333336</v>
      </c>
      <c r="B820" s="1" t="s">
        <v>68</v>
      </c>
      <c r="C820" s="1">
        <v>328.37</v>
      </c>
      <c r="D820" s="1">
        <v>245.77</v>
      </c>
    </row>
    <row r="821" spans="1:4" x14ac:dyDescent="0.25">
      <c r="A821" s="7">
        <v>44474.083333333336</v>
      </c>
      <c r="B821" s="1" t="s">
        <v>77</v>
      </c>
      <c r="C821" s="1">
        <v>1319.68</v>
      </c>
      <c r="D821" s="1">
        <v>446.71</v>
      </c>
    </row>
    <row r="822" spans="1:4" x14ac:dyDescent="0.25">
      <c r="A822" s="7">
        <v>44474.083333333336</v>
      </c>
      <c r="B822" s="1" t="s">
        <v>70</v>
      </c>
      <c r="C822" s="1">
        <v>682.44</v>
      </c>
      <c r="D822" s="1">
        <v>369.22</v>
      </c>
    </row>
    <row r="823" spans="1:4" x14ac:dyDescent="0.25">
      <c r="A823" s="7">
        <v>44474.083333333336</v>
      </c>
      <c r="B823" s="1" t="s">
        <v>78</v>
      </c>
      <c r="C823" s="1">
        <v>387.49</v>
      </c>
      <c r="D823" s="1">
        <v>275.04000000000002</v>
      </c>
    </row>
    <row r="824" spans="1:4" x14ac:dyDescent="0.25">
      <c r="A824" s="7">
        <v>44474.083333333336</v>
      </c>
      <c r="B824" s="1" t="s">
        <v>76</v>
      </c>
      <c r="C824" s="1">
        <v>1232.67</v>
      </c>
      <c r="D824" s="1">
        <v>354.53</v>
      </c>
    </row>
    <row r="825" spans="1:4" x14ac:dyDescent="0.25">
      <c r="A825" s="7">
        <v>44474.083333333336</v>
      </c>
      <c r="B825" s="1" t="s">
        <v>72</v>
      </c>
      <c r="C825" s="1">
        <v>1157.25</v>
      </c>
      <c r="D825" s="1">
        <v>924.5</v>
      </c>
    </row>
    <row r="826" spans="1:4" x14ac:dyDescent="0.25">
      <c r="A826" s="7">
        <v>44474.083333333336</v>
      </c>
      <c r="B826" s="1" t="s">
        <v>69</v>
      </c>
      <c r="C826" s="1">
        <v>735.07</v>
      </c>
      <c r="D826" s="1">
        <v>684.9</v>
      </c>
    </row>
    <row r="827" spans="1:4" x14ac:dyDescent="0.25">
      <c r="A827" s="7">
        <v>44474.125</v>
      </c>
      <c r="B827" s="1" t="s">
        <v>75</v>
      </c>
      <c r="C827" s="1">
        <v>483.46</v>
      </c>
      <c r="D827" s="1">
        <v>312.39999999999998</v>
      </c>
    </row>
    <row r="828" spans="1:4" x14ac:dyDescent="0.25">
      <c r="A828" s="7">
        <v>44474.125</v>
      </c>
      <c r="B828" s="1" t="s">
        <v>74</v>
      </c>
      <c r="C828" s="1">
        <v>1558.59</v>
      </c>
      <c r="D828" s="1">
        <v>394.11</v>
      </c>
    </row>
    <row r="829" spans="1:4" x14ac:dyDescent="0.25">
      <c r="A829" s="7">
        <v>44474.125</v>
      </c>
      <c r="B829" s="1" t="s">
        <v>72</v>
      </c>
      <c r="C829" s="1">
        <v>2695.14</v>
      </c>
      <c r="D829" s="1">
        <v>1678.68</v>
      </c>
    </row>
    <row r="830" spans="1:4" x14ac:dyDescent="0.25">
      <c r="A830" s="7">
        <v>44474.125</v>
      </c>
      <c r="B830" s="1" t="s">
        <v>73</v>
      </c>
      <c r="C830" s="1">
        <v>1002.24</v>
      </c>
      <c r="D830" s="1">
        <v>156.94999999999999</v>
      </c>
    </row>
    <row r="831" spans="1:4" x14ac:dyDescent="0.25">
      <c r="A831" s="7">
        <v>44474.125</v>
      </c>
      <c r="B831" s="1" t="s">
        <v>68</v>
      </c>
      <c r="C831" s="1">
        <v>1043.0899999999999</v>
      </c>
      <c r="D831" s="1">
        <v>439.84</v>
      </c>
    </row>
    <row r="832" spans="1:4" x14ac:dyDescent="0.25">
      <c r="A832" s="7">
        <v>44474.125</v>
      </c>
      <c r="B832" s="1" t="s">
        <v>77</v>
      </c>
      <c r="C832" s="1">
        <v>3919.18</v>
      </c>
      <c r="D832" s="1">
        <v>1327.94</v>
      </c>
    </row>
    <row r="833" spans="1:4" x14ac:dyDescent="0.25">
      <c r="A833" s="7">
        <v>44474.125</v>
      </c>
      <c r="B833" s="1" t="s">
        <v>71</v>
      </c>
      <c r="C833" s="1">
        <v>1229.8599999999999</v>
      </c>
      <c r="D833" s="1">
        <v>441.78</v>
      </c>
    </row>
    <row r="834" spans="1:4" x14ac:dyDescent="0.25">
      <c r="A834" s="7">
        <v>44474.125</v>
      </c>
      <c r="B834" s="1" t="s">
        <v>69</v>
      </c>
      <c r="C834" s="1">
        <v>1655.77</v>
      </c>
      <c r="D834" s="1">
        <v>1315.72</v>
      </c>
    </row>
    <row r="835" spans="1:4" x14ac:dyDescent="0.25">
      <c r="A835" s="7">
        <v>44474.125</v>
      </c>
      <c r="B835" s="1" t="s">
        <v>70</v>
      </c>
      <c r="C835" s="1">
        <v>1583.52</v>
      </c>
      <c r="D835" s="1">
        <v>740.95</v>
      </c>
    </row>
    <row r="836" spans="1:4" x14ac:dyDescent="0.25">
      <c r="A836" s="7">
        <v>44474.125</v>
      </c>
      <c r="B836" s="1" t="s">
        <v>78</v>
      </c>
      <c r="C836" s="1">
        <v>759.55</v>
      </c>
      <c r="D836" s="1">
        <v>474.7</v>
      </c>
    </row>
    <row r="837" spans="1:4" x14ac:dyDescent="0.25">
      <c r="A837" s="7">
        <v>44474.125</v>
      </c>
      <c r="B837" s="1" t="s">
        <v>76</v>
      </c>
      <c r="C837" s="1">
        <v>3438.89</v>
      </c>
      <c r="D837" s="1">
        <v>846.45</v>
      </c>
    </row>
    <row r="838" spans="1:4" x14ac:dyDescent="0.25">
      <c r="A838" s="7">
        <v>44474.166666666664</v>
      </c>
      <c r="B838" s="1" t="s">
        <v>75</v>
      </c>
      <c r="C838" s="1">
        <v>216.49</v>
      </c>
      <c r="D838" s="1">
        <v>184.08</v>
      </c>
    </row>
    <row r="839" spans="1:4" x14ac:dyDescent="0.25">
      <c r="A839" s="7">
        <v>44474.166666666664</v>
      </c>
      <c r="B839" s="1" t="s">
        <v>74</v>
      </c>
      <c r="C839" s="1">
        <v>919.49</v>
      </c>
      <c r="D839" s="1">
        <v>314.45</v>
      </c>
    </row>
    <row r="840" spans="1:4" x14ac:dyDescent="0.25">
      <c r="A840" s="7">
        <v>44474.166666666664</v>
      </c>
      <c r="B840" s="1" t="s">
        <v>78</v>
      </c>
      <c r="C840" s="1">
        <v>505.77</v>
      </c>
      <c r="D840" s="1">
        <v>391.48</v>
      </c>
    </row>
    <row r="841" spans="1:4" x14ac:dyDescent="0.25">
      <c r="A841" s="7">
        <v>44474.166666666664</v>
      </c>
      <c r="B841" s="1" t="s">
        <v>76</v>
      </c>
      <c r="C841" s="1">
        <v>1460.43</v>
      </c>
      <c r="D841" s="1">
        <v>498.93</v>
      </c>
    </row>
    <row r="842" spans="1:4" x14ac:dyDescent="0.25">
      <c r="A842" s="7">
        <v>44474.166666666664</v>
      </c>
      <c r="B842" s="1" t="s">
        <v>68</v>
      </c>
      <c r="C842" s="1">
        <v>894.65</v>
      </c>
      <c r="D842" s="1">
        <v>436.51</v>
      </c>
    </row>
    <row r="843" spans="1:4" x14ac:dyDescent="0.25">
      <c r="A843" s="7">
        <v>44474.166666666664</v>
      </c>
      <c r="B843" s="1" t="s">
        <v>71</v>
      </c>
      <c r="C843" s="1">
        <v>989.04</v>
      </c>
      <c r="D843" s="1">
        <v>417.51</v>
      </c>
    </row>
    <row r="844" spans="1:4" x14ac:dyDescent="0.25">
      <c r="A844" s="7">
        <v>44474.166666666664</v>
      </c>
      <c r="B844" s="1" t="s">
        <v>69</v>
      </c>
      <c r="C844" s="1">
        <v>1015.17</v>
      </c>
      <c r="D844" s="1">
        <v>921.96</v>
      </c>
    </row>
    <row r="845" spans="1:4" x14ac:dyDescent="0.25">
      <c r="A845" s="7">
        <v>44474.166666666664</v>
      </c>
      <c r="B845" s="1" t="s">
        <v>72</v>
      </c>
      <c r="C845" s="1">
        <v>1606.11</v>
      </c>
      <c r="D845" s="1">
        <v>1168.3</v>
      </c>
    </row>
    <row r="846" spans="1:4" x14ac:dyDescent="0.25">
      <c r="A846" s="7">
        <v>44474.166666666664</v>
      </c>
      <c r="B846" s="1" t="s">
        <v>73</v>
      </c>
      <c r="C846" s="1">
        <v>675.41</v>
      </c>
      <c r="D846" s="1">
        <v>131.46</v>
      </c>
    </row>
    <row r="847" spans="1:4" x14ac:dyDescent="0.25">
      <c r="A847" s="7">
        <v>44474.166666666664</v>
      </c>
      <c r="B847" s="1" t="s">
        <v>77</v>
      </c>
      <c r="C847" s="1">
        <v>2167.16</v>
      </c>
      <c r="D847" s="1">
        <v>809.35</v>
      </c>
    </row>
    <row r="848" spans="1:4" x14ac:dyDescent="0.25">
      <c r="A848" s="7">
        <v>44474.166666666664</v>
      </c>
      <c r="B848" s="1" t="s">
        <v>70</v>
      </c>
      <c r="C848" s="1">
        <v>981.17</v>
      </c>
      <c r="D848" s="1">
        <v>555.88</v>
      </c>
    </row>
    <row r="849" spans="1:4" x14ac:dyDescent="0.25">
      <c r="A849" s="7">
        <v>44474.208333333336</v>
      </c>
      <c r="B849" s="1" t="s">
        <v>75</v>
      </c>
      <c r="C849" s="1">
        <v>94.48</v>
      </c>
      <c r="D849" s="1">
        <v>60.27</v>
      </c>
    </row>
    <row r="850" spans="1:4" x14ac:dyDescent="0.25">
      <c r="A850" s="7">
        <v>44474.208333333336</v>
      </c>
      <c r="B850" s="1" t="s">
        <v>74</v>
      </c>
      <c r="C850" s="1">
        <v>708.85</v>
      </c>
      <c r="D850" s="1">
        <v>162.88</v>
      </c>
    </row>
    <row r="851" spans="1:4" x14ac:dyDescent="0.25">
      <c r="A851" s="7">
        <v>44474.208333333336</v>
      </c>
      <c r="B851" s="1" t="s">
        <v>78</v>
      </c>
      <c r="C851" s="1">
        <v>243.86</v>
      </c>
      <c r="D851" s="1">
        <v>137.99</v>
      </c>
    </row>
    <row r="852" spans="1:4" x14ac:dyDescent="0.25">
      <c r="A852" s="7">
        <v>44474.208333333336</v>
      </c>
      <c r="B852" s="1" t="s">
        <v>76</v>
      </c>
      <c r="C852" s="1">
        <v>766.23</v>
      </c>
      <c r="D852" s="1">
        <v>210.6</v>
      </c>
    </row>
    <row r="853" spans="1:4" x14ac:dyDescent="0.25">
      <c r="A853" s="7">
        <v>44474.208333333336</v>
      </c>
      <c r="B853" s="1" t="s">
        <v>72</v>
      </c>
      <c r="C853" s="1">
        <v>720.61</v>
      </c>
      <c r="D853" s="1">
        <v>447.33</v>
      </c>
    </row>
    <row r="854" spans="1:4" x14ac:dyDescent="0.25">
      <c r="A854" s="7">
        <v>44474.208333333336</v>
      </c>
      <c r="B854" s="1" t="s">
        <v>68</v>
      </c>
      <c r="C854" s="1">
        <v>875.91</v>
      </c>
      <c r="D854" s="1">
        <v>273.66000000000003</v>
      </c>
    </row>
    <row r="855" spans="1:4" x14ac:dyDescent="0.25">
      <c r="A855" s="7">
        <v>44474.208333333336</v>
      </c>
      <c r="B855" s="1" t="s">
        <v>70</v>
      </c>
      <c r="C855" s="1">
        <v>540.52</v>
      </c>
      <c r="D855" s="1">
        <v>247.77</v>
      </c>
    </row>
    <row r="856" spans="1:4" x14ac:dyDescent="0.25">
      <c r="A856" s="7">
        <v>44474.208333333336</v>
      </c>
      <c r="B856" s="1" t="s">
        <v>69</v>
      </c>
      <c r="C856" s="1">
        <v>421.52</v>
      </c>
      <c r="D856" s="1">
        <v>293.95999999999998</v>
      </c>
    </row>
    <row r="857" spans="1:4" x14ac:dyDescent="0.25">
      <c r="A857" s="7">
        <v>44474.208333333336</v>
      </c>
      <c r="B857" s="1" t="s">
        <v>73</v>
      </c>
      <c r="C857" s="1">
        <v>653.34</v>
      </c>
      <c r="D857" s="1">
        <v>83.68</v>
      </c>
    </row>
    <row r="858" spans="1:4" x14ac:dyDescent="0.25">
      <c r="A858" s="7">
        <v>44474.208333333336</v>
      </c>
      <c r="B858" s="1" t="s">
        <v>77</v>
      </c>
      <c r="C858" s="1">
        <v>1357.87</v>
      </c>
      <c r="D858" s="1">
        <v>399.59</v>
      </c>
    </row>
    <row r="859" spans="1:4" x14ac:dyDescent="0.25">
      <c r="A859" s="7">
        <v>44474.208333333336</v>
      </c>
      <c r="B859" s="1" t="s">
        <v>71</v>
      </c>
      <c r="C859" s="1">
        <v>1141.74</v>
      </c>
      <c r="D859" s="1">
        <v>306.99</v>
      </c>
    </row>
    <row r="860" spans="1:4" x14ac:dyDescent="0.25">
      <c r="A860" s="7">
        <v>44474.25</v>
      </c>
      <c r="B860" s="1" t="s">
        <v>74</v>
      </c>
      <c r="C860" s="1">
        <v>2070.7399999999998</v>
      </c>
      <c r="D860" s="1">
        <v>346.15</v>
      </c>
    </row>
    <row r="861" spans="1:4" x14ac:dyDescent="0.25">
      <c r="A861" s="7">
        <v>44474.25</v>
      </c>
      <c r="B861" s="1" t="s">
        <v>75</v>
      </c>
      <c r="C861" s="1">
        <v>129.75</v>
      </c>
      <c r="D861" s="1">
        <v>51.83</v>
      </c>
    </row>
    <row r="862" spans="1:4" x14ac:dyDescent="0.25">
      <c r="A862" s="7">
        <v>44474.25</v>
      </c>
      <c r="B862" s="1" t="s">
        <v>76</v>
      </c>
      <c r="C862" s="1">
        <v>2429.27</v>
      </c>
      <c r="D862" s="1">
        <v>494.28</v>
      </c>
    </row>
    <row r="863" spans="1:4" x14ac:dyDescent="0.25">
      <c r="A863" s="7">
        <v>44474.25</v>
      </c>
      <c r="B863" s="1" t="s">
        <v>71</v>
      </c>
      <c r="C863" s="1">
        <v>3324.55</v>
      </c>
      <c r="D863" s="1">
        <v>831.44</v>
      </c>
    </row>
    <row r="864" spans="1:4" x14ac:dyDescent="0.25">
      <c r="A864" s="7">
        <v>44474.25</v>
      </c>
      <c r="B864" s="1" t="s">
        <v>77</v>
      </c>
      <c r="C864" s="1">
        <v>3687.46</v>
      </c>
      <c r="D864" s="1">
        <v>1078.27</v>
      </c>
    </row>
    <row r="865" spans="1:4" x14ac:dyDescent="0.25">
      <c r="A865" s="7">
        <v>44474.25</v>
      </c>
      <c r="B865" s="1" t="s">
        <v>69</v>
      </c>
      <c r="C865" s="1">
        <v>871.56</v>
      </c>
      <c r="D865" s="1">
        <v>452.65</v>
      </c>
    </row>
    <row r="866" spans="1:4" x14ac:dyDescent="0.25">
      <c r="A866" s="7">
        <v>44474.25</v>
      </c>
      <c r="B866" s="1" t="s">
        <v>70</v>
      </c>
      <c r="C866" s="1">
        <v>1211.31</v>
      </c>
      <c r="D866" s="1">
        <v>433.93</v>
      </c>
    </row>
    <row r="867" spans="1:4" x14ac:dyDescent="0.25">
      <c r="A867" s="7">
        <v>44474.25</v>
      </c>
      <c r="B867" s="1" t="s">
        <v>78</v>
      </c>
      <c r="C867" s="1">
        <v>403.47</v>
      </c>
      <c r="D867" s="1">
        <v>202.62</v>
      </c>
    </row>
    <row r="868" spans="1:4" x14ac:dyDescent="0.25">
      <c r="A868" s="7">
        <v>44474.25</v>
      </c>
      <c r="B868" s="1" t="s">
        <v>72</v>
      </c>
      <c r="C868" s="1">
        <v>1470.48</v>
      </c>
      <c r="D868" s="1">
        <v>685.68</v>
      </c>
    </row>
    <row r="869" spans="1:4" x14ac:dyDescent="0.25">
      <c r="A869" s="7">
        <v>44474.25</v>
      </c>
      <c r="B869" s="1" t="s">
        <v>73</v>
      </c>
      <c r="C869" s="1">
        <v>1930.4</v>
      </c>
      <c r="D869" s="1">
        <v>196.23</v>
      </c>
    </row>
    <row r="870" spans="1:4" x14ac:dyDescent="0.25">
      <c r="A870" s="7">
        <v>44474.25</v>
      </c>
      <c r="B870" s="1" t="s">
        <v>68</v>
      </c>
      <c r="C870" s="1">
        <v>2614.44</v>
      </c>
      <c r="D870" s="1">
        <v>753.94</v>
      </c>
    </row>
    <row r="871" spans="1:4" x14ac:dyDescent="0.25">
      <c r="A871" s="7">
        <v>44474.291666666664</v>
      </c>
      <c r="B871" s="1" t="s">
        <v>74</v>
      </c>
      <c r="C871" s="1">
        <v>3855.99</v>
      </c>
      <c r="D871" s="1">
        <v>730.34</v>
      </c>
    </row>
    <row r="872" spans="1:4" x14ac:dyDescent="0.25">
      <c r="A872" s="7">
        <v>44474.291666666664</v>
      </c>
      <c r="B872" s="1" t="s">
        <v>75</v>
      </c>
      <c r="C872" s="1">
        <v>279.02999999999997</v>
      </c>
      <c r="D872" s="1">
        <v>90.16</v>
      </c>
    </row>
    <row r="873" spans="1:4" x14ac:dyDescent="0.25">
      <c r="A873" s="7">
        <v>44474.291666666664</v>
      </c>
      <c r="B873" s="1" t="s">
        <v>73</v>
      </c>
      <c r="C873" s="1">
        <v>3750.55</v>
      </c>
      <c r="D873" s="1">
        <v>480.85</v>
      </c>
    </row>
    <row r="874" spans="1:4" x14ac:dyDescent="0.25">
      <c r="A874" s="7">
        <v>44474.291666666664</v>
      </c>
      <c r="B874" s="1" t="s">
        <v>77</v>
      </c>
      <c r="C874" s="1">
        <v>5921.31</v>
      </c>
      <c r="D874" s="1">
        <v>1655.5</v>
      </c>
    </row>
    <row r="875" spans="1:4" x14ac:dyDescent="0.25">
      <c r="A875" s="7">
        <v>44474.291666666664</v>
      </c>
      <c r="B875" s="1" t="s">
        <v>71</v>
      </c>
      <c r="C875" s="1">
        <v>5582.54</v>
      </c>
      <c r="D875" s="1">
        <v>1655.63</v>
      </c>
    </row>
    <row r="876" spans="1:4" x14ac:dyDescent="0.25">
      <c r="A876" s="7">
        <v>44474.291666666664</v>
      </c>
      <c r="B876" s="1" t="s">
        <v>70</v>
      </c>
      <c r="C876" s="1">
        <v>2469.89</v>
      </c>
      <c r="D876" s="1">
        <v>952.17</v>
      </c>
    </row>
    <row r="877" spans="1:4" x14ac:dyDescent="0.25">
      <c r="A877" s="7">
        <v>44474.291666666664</v>
      </c>
      <c r="B877" s="1" t="s">
        <v>78</v>
      </c>
      <c r="C877" s="1">
        <v>659.33</v>
      </c>
      <c r="D877" s="1">
        <v>284.19</v>
      </c>
    </row>
    <row r="878" spans="1:4" x14ac:dyDescent="0.25">
      <c r="A878" s="7">
        <v>44474.291666666664</v>
      </c>
      <c r="B878" s="1" t="s">
        <v>76</v>
      </c>
      <c r="C878" s="1">
        <v>4906.75</v>
      </c>
      <c r="D878" s="1">
        <v>1012.24</v>
      </c>
    </row>
    <row r="879" spans="1:4" x14ac:dyDescent="0.25">
      <c r="A879" s="7">
        <v>44474.291666666664</v>
      </c>
      <c r="B879" s="1" t="s">
        <v>72</v>
      </c>
      <c r="C879" s="1">
        <v>3125.11</v>
      </c>
      <c r="D879" s="1">
        <v>1429.58</v>
      </c>
    </row>
    <row r="880" spans="1:4" x14ac:dyDescent="0.25">
      <c r="A880" s="7">
        <v>44474.291666666664</v>
      </c>
      <c r="B880" s="1" t="s">
        <v>68</v>
      </c>
      <c r="C880" s="1">
        <v>4730.91</v>
      </c>
      <c r="D880" s="1">
        <v>1552.21</v>
      </c>
    </row>
    <row r="881" spans="1:4" x14ac:dyDescent="0.25">
      <c r="A881" s="7">
        <v>44474.291666666664</v>
      </c>
      <c r="B881" s="1" t="s">
        <v>69</v>
      </c>
      <c r="C881" s="1">
        <v>1768.14</v>
      </c>
      <c r="D881" s="1">
        <v>914.02</v>
      </c>
    </row>
    <row r="882" spans="1:4" x14ac:dyDescent="0.25">
      <c r="A882" s="7">
        <v>44474.333333333336</v>
      </c>
      <c r="B882" s="1" t="s">
        <v>75</v>
      </c>
      <c r="C882" s="1">
        <v>481.11</v>
      </c>
      <c r="D882" s="1">
        <v>185.74</v>
      </c>
    </row>
    <row r="883" spans="1:4" x14ac:dyDescent="0.25">
      <c r="A883" s="7">
        <v>44474.333333333336</v>
      </c>
      <c r="B883" s="1" t="s">
        <v>74</v>
      </c>
      <c r="C883" s="1">
        <v>5482.36</v>
      </c>
      <c r="D883" s="1">
        <v>1217.1099999999999</v>
      </c>
    </row>
    <row r="884" spans="1:4" x14ac:dyDescent="0.25">
      <c r="A884" s="7">
        <v>44474.333333333336</v>
      </c>
      <c r="B884" s="1" t="s">
        <v>68</v>
      </c>
      <c r="C884" s="1">
        <v>6527.48</v>
      </c>
      <c r="D884" s="1">
        <v>2508.17</v>
      </c>
    </row>
    <row r="885" spans="1:4" x14ac:dyDescent="0.25">
      <c r="A885" s="7">
        <v>44474.333333333336</v>
      </c>
      <c r="B885" s="1" t="s">
        <v>77</v>
      </c>
      <c r="C885" s="1">
        <v>9028.2000000000007</v>
      </c>
      <c r="D885" s="1">
        <v>2713.19</v>
      </c>
    </row>
    <row r="886" spans="1:4" x14ac:dyDescent="0.25">
      <c r="A886" s="7">
        <v>44474.333333333336</v>
      </c>
      <c r="B886" s="1" t="s">
        <v>71</v>
      </c>
      <c r="C886" s="1">
        <v>7374.25</v>
      </c>
      <c r="D886" s="1">
        <v>2569.54</v>
      </c>
    </row>
    <row r="887" spans="1:4" x14ac:dyDescent="0.25">
      <c r="A887" s="7">
        <v>44474.333333333336</v>
      </c>
      <c r="B887" s="1" t="s">
        <v>69</v>
      </c>
      <c r="C887" s="1">
        <v>3067.39</v>
      </c>
      <c r="D887" s="1">
        <v>1905.23</v>
      </c>
    </row>
    <row r="888" spans="1:4" x14ac:dyDescent="0.25">
      <c r="A888" s="7">
        <v>44474.333333333336</v>
      </c>
      <c r="B888" s="1" t="s">
        <v>70</v>
      </c>
      <c r="C888" s="1">
        <v>4128.03</v>
      </c>
      <c r="D888" s="1">
        <v>1768.55</v>
      </c>
    </row>
    <row r="889" spans="1:4" x14ac:dyDescent="0.25">
      <c r="A889" s="7">
        <v>44474.333333333336</v>
      </c>
      <c r="B889" s="1" t="s">
        <v>78</v>
      </c>
      <c r="C889" s="1">
        <v>1070.8399999999999</v>
      </c>
      <c r="D889" s="1">
        <v>521.15</v>
      </c>
    </row>
    <row r="890" spans="1:4" x14ac:dyDescent="0.25">
      <c r="A890" s="7">
        <v>44474.333333333336</v>
      </c>
      <c r="B890" s="1" t="s">
        <v>76</v>
      </c>
      <c r="C890" s="1">
        <v>7545.21</v>
      </c>
      <c r="D890" s="1">
        <v>1769.68</v>
      </c>
    </row>
    <row r="891" spans="1:4" x14ac:dyDescent="0.25">
      <c r="A891" s="7">
        <v>44474.333333333336</v>
      </c>
      <c r="B891" s="1" t="s">
        <v>73</v>
      </c>
      <c r="C891" s="1">
        <v>5462.72</v>
      </c>
      <c r="D891" s="1">
        <v>801.85</v>
      </c>
    </row>
    <row r="892" spans="1:4" x14ac:dyDescent="0.25">
      <c r="A892" s="7">
        <v>44474.333333333336</v>
      </c>
      <c r="B892" s="1" t="s">
        <v>72</v>
      </c>
      <c r="C892" s="1">
        <v>5441.62</v>
      </c>
      <c r="D892" s="1">
        <v>2818.73</v>
      </c>
    </row>
    <row r="893" spans="1:4" x14ac:dyDescent="0.25">
      <c r="A893" s="7">
        <v>44474.375</v>
      </c>
      <c r="B893" s="1" t="s">
        <v>75</v>
      </c>
      <c r="C893" s="1">
        <v>702.17</v>
      </c>
      <c r="D893" s="1">
        <v>339.5</v>
      </c>
    </row>
    <row r="894" spans="1:4" x14ac:dyDescent="0.25">
      <c r="A894" s="7">
        <v>44474.375</v>
      </c>
      <c r="B894" s="1" t="s">
        <v>74</v>
      </c>
      <c r="C894" s="1">
        <v>6728.19</v>
      </c>
      <c r="D894" s="1">
        <v>1780.67</v>
      </c>
    </row>
    <row r="895" spans="1:4" x14ac:dyDescent="0.25">
      <c r="A895" s="7">
        <v>44474.375</v>
      </c>
      <c r="B895" s="1" t="s">
        <v>78</v>
      </c>
      <c r="C895" s="1">
        <v>1630.3</v>
      </c>
      <c r="D895" s="1">
        <v>949.68</v>
      </c>
    </row>
    <row r="896" spans="1:4" x14ac:dyDescent="0.25">
      <c r="A896" s="7">
        <v>44474.375</v>
      </c>
      <c r="B896" s="1" t="s">
        <v>72</v>
      </c>
      <c r="C896" s="1">
        <v>8251.0499999999993</v>
      </c>
      <c r="D896" s="1">
        <v>4969.68</v>
      </c>
    </row>
    <row r="897" spans="1:4" x14ac:dyDescent="0.25">
      <c r="A897" s="7">
        <v>44474.375</v>
      </c>
      <c r="B897" s="1" t="s">
        <v>68</v>
      </c>
      <c r="C897" s="1">
        <v>7878.64</v>
      </c>
      <c r="D897" s="1">
        <v>3456.15</v>
      </c>
    </row>
    <row r="898" spans="1:4" x14ac:dyDescent="0.25">
      <c r="A898" s="7">
        <v>44474.375</v>
      </c>
      <c r="B898" s="1" t="s">
        <v>77</v>
      </c>
      <c r="C898" s="1">
        <v>12065.51</v>
      </c>
      <c r="D898" s="1">
        <v>3903.18</v>
      </c>
    </row>
    <row r="899" spans="1:4" x14ac:dyDescent="0.25">
      <c r="A899" s="7">
        <v>44474.375</v>
      </c>
      <c r="B899" s="1" t="s">
        <v>71</v>
      </c>
      <c r="C899" s="1">
        <v>8535.98</v>
      </c>
      <c r="D899" s="1">
        <v>3314.48</v>
      </c>
    </row>
    <row r="900" spans="1:4" x14ac:dyDescent="0.25">
      <c r="A900" s="7">
        <v>44474.375</v>
      </c>
      <c r="B900" s="1" t="s">
        <v>69</v>
      </c>
      <c r="C900" s="1">
        <v>4735.3500000000004</v>
      </c>
      <c r="D900" s="1">
        <v>3628.34</v>
      </c>
    </row>
    <row r="901" spans="1:4" x14ac:dyDescent="0.25">
      <c r="A901" s="7">
        <v>44474.375</v>
      </c>
      <c r="B901" s="1" t="s">
        <v>76</v>
      </c>
      <c r="C901" s="1">
        <v>9584.15</v>
      </c>
      <c r="D901" s="1">
        <v>2610.29</v>
      </c>
    </row>
    <row r="902" spans="1:4" x14ac:dyDescent="0.25">
      <c r="A902" s="7">
        <v>44474.375</v>
      </c>
      <c r="B902" s="1" t="s">
        <v>73</v>
      </c>
      <c r="C902" s="1">
        <v>6717.68</v>
      </c>
      <c r="D902" s="1">
        <v>1148.8399999999999</v>
      </c>
    </row>
    <row r="903" spans="1:4" x14ac:dyDescent="0.25">
      <c r="A903" s="7">
        <v>44474.375</v>
      </c>
      <c r="B903" s="1" t="s">
        <v>70</v>
      </c>
      <c r="C903" s="1">
        <v>5735.21</v>
      </c>
      <c r="D903" s="1">
        <v>2751.34</v>
      </c>
    </row>
    <row r="904" spans="1:4" x14ac:dyDescent="0.25">
      <c r="A904" s="7">
        <v>44474.416666666664</v>
      </c>
      <c r="B904" s="1" t="s">
        <v>74</v>
      </c>
      <c r="C904" s="1">
        <v>7506.3</v>
      </c>
      <c r="D904" s="1">
        <v>2199.46</v>
      </c>
    </row>
    <row r="905" spans="1:4" x14ac:dyDescent="0.25">
      <c r="A905" s="7">
        <v>44474.416666666664</v>
      </c>
      <c r="B905" s="1" t="s">
        <v>78</v>
      </c>
      <c r="C905" s="1">
        <v>2298.13</v>
      </c>
      <c r="D905" s="1">
        <v>1423.88</v>
      </c>
    </row>
    <row r="906" spans="1:4" x14ac:dyDescent="0.25">
      <c r="A906" s="7">
        <v>44474.416666666664</v>
      </c>
      <c r="B906" s="1" t="s">
        <v>75</v>
      </c>
      <c r="C906" s="1">
        <v>938.82</v>
      </c>
      <c r="D906" s="1">
        <v>502</v>
      </c>
    </row>
    <row r="907" spans="1:4" x14ac:dyDescent="0.25">
      <c r="A907" s="7">
        <v>44474.416666666664</v>
      </c>
      <c r="B907" s="1" t="s">
        <v>76</v>
      </c>
      <c r="C907" s="1">
        <v>11018.4</v>
      </c>
      <c r="D907" s="1">
        <v>3224.14</v>
      </c>
    </row>
    <row r="908" spans="1:4" x14ac:dyDescent="0.25">
      <c r="A908" s="7">
        <v>44474.416666666664</v>
      </c>
      <c r="B908" s="1" t="s">
        <v>72</v>
      </c>
      <c r="C908" s="1">
        <v>10565.3</v>
      </c>
      <c r="D908" s="1">
        <v>7226.17</v>
      </c>
    </row>
    <row r="909" spans="1:4" x14ac:dyDescent="0.25">
      <c r="A909" s="7">
        <v>44474.416666666664</v>
      </c>
      <c r="B909" s="1" t="s">
        <v>68</v>
      </c>
      <c r="C909" s="1">
        <v>8372.24</v>
      </c>
      <c r="D909" s="1">
        <v>4078.9</v>
      </c>
    </row>
    <row r="910" spans="1:4" x14ac:dyDescent="0.25">
      <c r="A910" s="7">
        <v>44474.416666666664</v>
      </c>
      <c r="B910" s="1" t="s">
        <v>70</v>
      </c>
      <c r="C910" s="1">
        <v>6715.97</v>
      </c>
      <c r="D910" s="1">
        <v>3465.57</v>
      </c>
    </row>
    <row r="911" spans="1:4" x14ac:dyDescent="0.25">
      <c r="A911" s="7">
        <v>44474.416666666664</v>
      </c>
      <c r="B911" s="1" t="s">
        <v>69</v>
      </c>
      <c r="C911" s="1">
        <v>6227.11</v>
      </c>
      <c r="D911" s="1">
        <v>5575.75</v>
      </c>
    </row>
    <row r="912" spans="1:4" x14ac:dyDescent="0.25">
      <c r="A912" s="7">
        <v>44474.416666666664</v>
      </c>
      <c r="B912" s="1" t="s">
        <v>73</v>
      </c>
      <c r="C912" s="1">
        <v>7289.31</v>
      </c>
      <c r="D912" s="1">
        <v>1380.5</v>
      </c>
    </row>
    <row r="913" spans="1:4" x14ac:dyDescent="0.25">
      <c r="A913" s="7">
        <v>44474.416666666664</v>
      </c>
      <c r="B913" s="1" t="s">
        <v>77</v>
      </c>
      <c r="C913" s="1">
        <v>13960.63</v>
      </c>
      <c r="D913" s="1">
        <v>4778.3999999999996</v>
      </c>
    </row>
    <row r="914" spans="1:4" x14ac:dyDescent="0.25">
      <c r="A914" s="7">
        <v>44474.416666666664</v>
      </c>
      <c r="B914" s="1" t="s">
        <v>71</v>
      </c>
      <c r="C914" s="1">
        <v>8911.7000000000007</v>
      </c>
      <c r="D914" s="1">
        <v>3783.24</v>
      </c>
    </row>
    <row r="915" spans="1:4" x14ac:dyDescent="0.25">
      <c r="A915" s="7">
        <v>44474.458333333336</v>
      </c>
      <c r="B915" s="1" t="s">
        <v>74</v>
      </c>
      <c r="C915" s="1">
        <v>7345.19</v>
      </c>
      <c r="D915" s="1">
        <v>2301.36</v>
      </c>
    </row>
    <row r="916" spans="1:4" x14ac:dyDescent="0.25">
      <c r="A916" s="7">
        <v>44474.458333333336</v>
      </c>
      <c r="B916" s="1" t="s">
        <v>78</v>
      </c>
      <c r="C916" s="1">
        <v>2579.21</v>
      </c>
      <c r="D916" s="1">
        <v>1719.85</v>
      </c>
    </row>
    <row r="917" spans="1:4" x14ac:dyDescent="0.25">
      <c r="A917" s="7">
        <v>44474.458333333336</v>
      </c>
      <c r="B917" s="1" t="s">
        <v>75</v>
      </c>
      <c r="C917" s="1">
        <v>1077.6500000000001</v>
      </c>
      <c r="D917" s="1">
        <v>641.46</v>
      </c>
    </row>
    <row r="918" spans="1:4" x14ac:dyDescent="0.25">
      <c r="A918" s="7">
        <v>44474.458333333336</v>
      </c>
      <c r="B918" s="1" t="s">
        <v>76</v>
      </c>
      <c r="C918" s="1">
        <v>10924.39</v>
      </c>
      <c r="D918" s="1">
        <v>3392.83</v>
      </c>
    </row>
    <row r="919" spans="1:4" x14ac:dyDescent="0.25">
      <c r="A919" s="7">
        <v>44474.458333333336</v>
      </c>
      <c r="B919" s="1" t="s">
        <v>73</v>
      </c>
      <c r="C919" s="1">
        <v>6959.89</v>
      </c>
      <c r="D919" s="1">
        <v>1362.42</v>
      </c>
    </row>
    <row r="920" spans="1:4" x14ac:dyDescent="0.25">
      <c r="A920" s="7">
        <v>44474.458333333336</v>
      </c>
      <c r="B920" s="1" t="s">
        <v>71</v>
      </c>
      <c r="C920" s="1">
        <v>8427.26</v>
      </c>
      <c r="D920" s="1">
        <v>3740.66</v>
      </c>
    </row>
    <row r="921" spans="1:4" x14ac:dyDescent="0.25">
      <c r="A921" s="7">
        <v>44474.458333333336</v>
      </c>
      <c r="B921" s="1" t="s">
        <v>70</v>
      </c>
      <c r="C921" s="1">
        <v>6722.89</v>
      </c>
      <c r="D921" s="1">
        <v>3586.56</v>
      </c>
    </row>
    <row r="922" spans="1:4" x14ac:dyDescent="0.25">
      <c r="A922" s="7">
        <v>44474.458333333336</v>
      </c>
      <c r="B922" s="1" t="s">
        <v>72</v>
      </c>
      <c r="C922" s="1">
        <v>11410.61</v>
      </c>
      <c r="D922" s="1">
        <v>8464.84</v>
      </c>
    </row>
    <row r="923" spans="1:4" x14ac:dyDescent="0.25">
      <c r="A923" s="7">
        <v>44474.458333333336</v>
      </c>
      <c r="B923" s="1" t="s">
        <v>68</v>
      </c>
      <c r="C923" s="1">
        <v>7976.17</v>
      </c>
      <c r="D923" s="1">
        <v>4097.76</v>
      </c>
    </row>
    <row r="924" spans="1:4" x14ac:dyDescent="0.25">
      <c r="A924" s="7">
        <v>44474.458333333336</v>
      </c>
      <c r="B924" s="1" t="s">
        <v>77</v>
      </c>
      <c r="C924" s="1">
        <v>13889.1</v>
      </c>
      <c r="D924" s="1">
        <v>4903.78</v>
      </c>
    </row>
    <row r="925" spans="1:4" x14ac:dyDescent="0.25">
      <c r="A925" s="7">
        <v>44474.458333333336</v>
      </c>
      <c r="B925" s="1" t="s">
        <v>69</v>
      </c>
      <c r="C925" s="1">
        <v>6882.97</v>
      </c>
      <c r="D925" s="1">
        <v>6694.16</v>
      </c>
    </row>
    <row r="926" spans="1:4" x14ac:dyDescent="0.25">
      <c r="A926" s="7">
        <v>44474.5</v>
      </c>
      <c r="B926" s="1" t="s">
        <v>75</v>
      </c>
      <c r="C926" s="1">
        <v>1071.8900000000001</v>
      </c>
      <c r="D926" s="1">
        <v>667.35</v>
      </c>
    </row>
    <row r="927" spans="1:4" x14ac:dyDescent="0.25">
      <c r="A927" s="7">
        <v>44474.5</v>
      </c>
      <c r="B927" s="1" t="s">
        <v>74</v>
      </c>
      <c r="C927" s="1">
        <v>6596.53</v>
      </c>
      <c r="D927" s="1">
        <v>2109.6799999999998</v>
      </c>
    </row>
    <row r="928" spans="1:4" x14ac:dyDescent="0.25">
      <c r="A928" s="7">
        <v>44474.5</v>
      </c>
      <c r="B928" s="1" t="s">
        <v>76</v>
      </c>
      <c r="C928" s="1">
        <v>10070.44</v>
      </c>
      <c r="D928" s="1">
        <v>3234.83</v>
      </c>
    </row>
    <row r="929" spans="1:4" x14ac:dyDescent="0.25">
      <c r="A929" s="7">
        <v>44474.5</v>
      </c>
      <c r="B929" s="1" t="s">
        <v>73</v>
      </c>
      <c r="C929" s="1">
        <v>6289.11</v>
      </c>
      <c r="D929" s="1">
        <v>1245.96</v>
      </c>
    </row>
    <row r="930" spans="1:4" x14ac:dyDescent="0.25">
      <c r="A930" s="7">
        <v>44474.5</v>
      </c>
      <c r="B930" s="1" t="s">
        <v>77</v>
      </c>
      <c r="C930" s="1">
        <v>12863.06</v>
      </c>
      <c r="D930" s="1">
        <v>4618.95</v>
      </c>
    </row>
    <row r="931" spans="1:4" x14ac:dyDescent="0.25">
      <c r="A931" s="7">
        <v>44474.5</v>
      </c>
      <c r="B931" s="1" t="s">
        <v>71</v>
      </c>
      <c r="C931" s="1">
        <v>7590.69</v>
      </c>
      <c r="D931" s="1">
        <v>3365.25</v>
      </c>
    </row>
    <row r="932" spans="1:4" x14ac:dyDescent="0.25">
      <c r="A932" s="7">
        <v>44474.5</v>
      </c>
      <c r="B932" s="1" t="s">
        <v>69</v>
      </c>
      <c r="C932" s="1">
        <v>6602.86</v>
      </c>
      <c r="D932" s="1">
        <v>6754.25</v>
      </c>
    </row>
    <row r="933" spans="1:4" x14ac:dyDescent="0.25">
      <c r="A933" s="7">
        <v>44474.5</v>
      </c>
      <c r="B933" s="1" t="s">
        <v>70</v>
      </c>
      <c r="C933" s="1">
        <v>6239.71</v>
      </c>
      <c r="D933" s="1">
        <v>3391.48</v>
      </c>
    </row>
    <row r="934" spans="1:4" x14ac:dyDescent="0.25">
      <c r="A934" s="7">
        <v>44474.5</v>
      </c>
      <c r="B934" s="1" t="s">
        <v>78</v>
      </c>
      <c r="C934" s="1">
        <v>2585.6999999999998</v>
      </c>
      <c r="D934" s="1">
        <v>1813.73</v>
      </c>
    </row>
    <row r="935" spans="1:4" x14ac:dyDescent="0.25">
      <c r="A935" s="7">
        <v>44474.5</v>
      </c>
      <c r="B935" s="1" t="s">
        <v>72</v>
      </c>
      <c r="C935" s="1">
        <v>10912.07</v>
      </c>
      <c r="D935" s="1">
        <v>8372.42</v>
      </c>
    </row>
    <row r="936" spans="1:4" x14ac:dyDescent="0.25">
      <c r="A936" s="7">
        <v>44474.5</v>
      </c>
      <c r="B936" s="1" t="s">
        <v>68</v>
      </c>
      <c r="C936" s="1">
        <v>7203.93</v>
      </c>
      <c r="D936" s="1">
        <v>3778.15</v>
      </c>
    </row>
    <row r="937" spans="1:4" x14ac:dyDescent="0.25">
      <c r="A937" s="7">
        <v>44474.541666666664</v>
      </c>
      <c r="B937" s="1" t="s">
        <v>75</v>
      </c>
      <c r="C937" s="1">
        <v>898.55</v>
      </c>
      <c r="D937" s="1">
        <v>571.51</v>
      </c>
    </row>
    <row r="938" spans="1:4" x14ac:dyDescent="0.25">
      <c r="A938" s="7">
        <v>44474.541666666664</v>
      </c>
      <c r="B938" s="1" t="s">
        <v>74</v>
      </c>
      <c r="C938" s="1">
        <v>5541.51</v>
      </c>
      <c r="D938" s="1">
        <v>1713.4</v>
      </c>
    </row>
    <row r="939" spans="1:4" x14ac:dyDescent="0.25">
      <c r="A939" s="7">
        <v>44474.541666666664</v>
      </c>
      <c r="B939" s="1" t="s">
        <v>77</v>
      </c>
      <c r="C939" s="1">
        <v>14035.75</v>
      </c>
      <c r="D939" s="1">
        <v>5121.2700000000004</v>
      </c>
    </row>
    <row r="940" spans="1:4" x14ac:dyDescent="0.25">
      <c r="A940" s="7">
        <v>44474.541666666664</v>
      </c>
      <c r="B940" s="1" t="s">
        <v>71</v>
      </c>
      <c r="C940" s="1">
        <v>6080.36</v>
      </c>
      <c r="D940" s="1">
        <v>2651.69</v>
      </c>
    </row>
    <row r="941" spans="1:4" x14ac:dyDescent="0.25">
      <c r="A941" s="7">
        <v>44474.541666666664</v>
      </c>
      <c r="B941" s="1" t="s">
        <v>70</v>
      </c>
      <c r="C941" s="1">
        <v>5073.4799999999996</v>
      </c>
      <c r="D941" s="1">
        <v>2706.38</v>
      </c>
    </row>
    <row r="942" spans="1:4" x14ac:dyDescent="0.25">
      <c r="A942" s="7">
        <v>44474.541666666664</v>
      </c>
      <c r="B942" s="1" t="s">
        <v>69</v>
      </c>
      <c r="C942" s="1">
        <v>5942.66</v>
      </c>
      <c r="D942" s="1">
        <v>5834.77</v>
      </c>
    </row>
    <row r="943" spans="1:4" x14ac:dyDescent="0.25">
      <c r="A943" s="7">
        <v>44474.541666666664</v>
      </c>
      <c r="B943" s="1" t="s">
        <v>78</v>
      </c>
      <c r="C943" s="1">
        <v>2529.73</v>
      </c>
      <c r="D943" s="1">
        <v>1674.67</v>
      </c>
    </row>
    <row r="944" spans="1:4" x14ac:dyDescent="0.25">
      <c r="A944" s="7">
        <v>44474.541666666664</v>
      </c>
      <c r="B944" s="1" t="s">
        <v>76</v>
      </c>
      <c r="C944" s="1">
        <v>8798.16</v>
      </c>
      <c r="D944" s="1">
        <v>2913.16</v>
      </c>
    </row>
    <row r="945" spans="1:4" x14ac:dyDescent="0.25">
      <c r="A945" s="7">
        <v>44474.541666666664</v>
      </c>
      <c r="B945" s="1" t="s">
        <v>72</v>
      </c>
      <c r="C945" s="1">
        <v>9533.25</v>
      </c>
      <c r="D945" s="1">
        <v>7234.79</v>
      </c>
    </row>
    <row r="946" spans="1:4" x14ac:dyDescent="0.25">
      <c r="A946" s="7">
        <v>44474.541666666664</v>
      </c>
      <c r="B946" s="1" t="s">
        <v>73</v>
      </c>
      <c r="C946" s="1">
        <v>4894.1400000000003</v>
      </c>
      <c r="D946" s="1">
        <v>938.29</v>
      </c>
    </row>
    <row r="947" spans="1:4" x14ac:dyDescent="0.25">
      <c r="A947" s="7">
        <v>44474.541666666664</v>
      </c>
      <c r="B947" s="1" t="s">
        <v>68</v>
      </c>
      <c r="C947" s="1">
        <v>5672.43</v>
      </c>
      <c r="D947" s="1">
        <v>2916.75</v>
      </c>
    </row>
    <row r="948" spans="1:4" x14ac:dyDescent="0.25">
      <c r="A948" s="7">
        <v>44474.583333333336</v>
      </c>
      <c r="B948" s="1" t="s">
        <v>75</v>
      </c>
      <c r="C948" s="1">
        <v>995.95</v>
      </c>
      <c r="D948" s="1">
        <v>650.47</v>
      </c>
    </row>
    <row r="949" spans="1:4" x14ac:dyDescent="0.25">
      <c r="A949" s="7">
        <v>44474.583333333336</v>
      </c>
      <c r="B949" s="1" t="s">
        <v>74</v>
      </c>
      <c r="C949" s="1">
        <v>6004.8</v>
      </c>
      <c r="D949" s="1">
        <v>1840.47</v>
      </c>
    </row>
    <row r="950" spans="1:4" x14ac:dyDescent="0.25">
      <c r="A950" s="7">
        <v>44474.583333333336</v>
      </c>
      <c r="B950" s="1" t="s">
        <v>72</v>
      </c>
      <c r="C950" s="1">
        <v>10280.76</v>
      </c>
      <c r="D950" s="1">
        <v>7581.14</v>
      </c>
    </row>
    <row r="951" spans="1:4" x14ac:dyDescent="0.25">
      <c r="A951" s="7">
        <v>44474.583333333336</v>
      </c>
      <c r="B951" s="1" t="s">
        <v>68</v>
      </c>
      <c r="C951" s="1">
        <v>6474.65</v>
      </c>
      <c r="D951" s="1">
        <v>3126.67</v>
      </c>
    </row>
    <row r="952" spans="1:4" x14ac:dyDescent="0.25">
      <c r="A952" s="7">
        <v>44474.583333333336</v>
      </c>
      <c r="B952" s="1" t="s">
        <v>77</v>
      </c>
      <c r="C952" s="1">
        <v>12139.01</v>
      </c>
      <c r="D952" s="1">
        <v>4241.53</v>
      </c>
    </row>
    <row r="953" spans="1:4" x14ac:dyDescent="0.25">
      <c r="A953" s="7">
        <v>44474.583333333336</v>
      </c>
      <c r="B953" s="1" t="s">
        <v>69</v>
      </c>
      <c r="C953" s="1">
        <v>6200.46</v>
      </c>
      <c r="D953" s="1">
        <v>5964.26</v>
      </c>
    </row>
    <row r="954" spans="1:4" x14ac:dyDescent="0.25">
      <c r="A954" s="7">
        <v>44474.583333333336</v>
      </c>
      <c r="B954" s="1" t="s">
        <v>70</v>
      </c>
      <c r="C954" s="1">
        <v>5611.36</v>
      </c>
      <c r="D954" s="1">
        <v>2926.39</v>
      </c>
    </row>
    <row r="955" spans="1:4" x14ac:dyDescent="0.25">
      <c r="A955" s="7">
        <v>44474.583333333336</v>
      </c>
      <c r="B955" s="1" t="s">
        <v>78</v>
      </c>
      <c r="C955" s="1">
        <v>2548.85</v>
      </c>
      <c r="D955" s="1">
        <v>1694.99</v>
      </c>
    </row>
    <row r="956" spans="1:4" x14ac:dyDescent="0.25">
      <c r="A956" s="7">
        <v>44474.583333333336</v>
      </c>
      <c r="B956" s="1" t="s">
        <v>76</v>
      </c>
      <c r="C956" s="1">
        <v>8847.73</v>
      </c>
      <c r="D956" s="1">
        <v>2855.94</v>
      </c>
    </row>
    <row r="957" spans="1:4" x14ac:dyDescent="0.25">
      <c r="A957" s="7">
        <v>44474.583333333336</v>
      </c>
      <c r="B957" s="1" t="s">
        <v>73</v>
      </c>
      <c r="C957" s="1">
        <v>5362.36</v>
      </c>
      <c r="D957" s="1">
        <v>980.64</v>
      </c>
    </row>
    <row r="958" spans="1:4" x14ac:dyDescent="0.25">
      <c r="A958" s="7">
        <v>44474.583333333336</v>
      </c>
      <c r="B958" s="1" t="s">
        <v>71</v>
      </c>
      <c r="C958" s="1">
        <v>6709.12</v>
      </c>
      <c r="D958" s="1">
        <v>2725.22</v>
      </c>
    </row>
    <row r="959" spans="1:4" x14ac:dyDescent="0.25">
      <c r="A959" s="7">
        <v>44474.625</v>
      </c>
      <c r="B959" s="1" t="s">
        <v>74</v>
      </c>
      <c r="C959" s="1">
        <v>6085.47</v>
      </c>
      <c r="D959" s="1">
        <v>1863.52</v>
      </c>
    </row>
    <row r="960" spans="1:4" x14ac:dyDescent="0.25">
      <c r="A960" s="7">
        <v>44474.625</v>
      </c>
      <c r="B960" s="1" t="s">
        <v>78</v>
      </c>
      <c r="C960" s="1">
        <v>2456.8000000000002</v>
      </c>
      <c r="D960" s="1">
        <v>1642.24</v>
      </c>
    </row>
    <row r="961" spans="1:4" x14ac:dyDescent="0.25">
      <c r="A961" s="7">
        <v>44474.625</v>
      </c>
      <c r="B961" s="1" t="s">
        <v>75</v>
      </c>
      <c r="C961" s="1">
        <v>1001.95</v>
      </c>
      <c r="D961" s="1">
        <v>654.04999999999995</v>
      </c>
    </row>
    <row r="962" spans="1:4" x14ac:dyDescent="0.25">
      <c r="A962" s="7">
        <v>44474.625</v>
      </c>
      <c r="B962" s="1" t="s">
        <v>76</v>
      </c>
      <c r="C962" s="1">
        <v>8596.23</v>
      </c>
      <c r="D962" s="1">
        <v>2803.54</v>
      </c>
    </row>
    <row r="963" spans="1:4" x14ac:dyDescent="0.25">
      <c r="A963" s="7">
        <v>44474.625</v>
      </c>
      <c r="B963" s="1" t="s">
        <v>68</v>
      </c>
      <c r="C963" s="1">
        <v>6860.65</v>
      </c>
      <c r="D963" s="1">
        <v>3295.92</v>
      </c>
    </row>
    <row r="964" spans="1:4" x14ac:dyDescent="0.25">
      <c r="A964" s="7">
        <v>44474.625</v>
      </c>
      <c r="B964" s="1" t="s">
        <v>71</v>
      </c>
      <c r="C964" s="1">
        <v>6961.05</v>
      </c>
      <c r="D964" s="1">
        <v>2876.2</v>
      </c>
    </row>
    <row r="965" spans="1:4" x14ac:dyDescent="0.25">
      <c r="A965" s="7">
        <v>44474.625</v>
      </c>
      <c r="B965" s="1" t="s">
        <v>72</v>
      </c>
      <c r="C965" s="1">
        <v>10013.129999999999</v>
      </c>
      <c r="D965" s="1">
        <v>7446.15</v>
      </c>
    </row>
    <row r="966" spans="1:4" x14ac:dyDescent="0.25">
      <c r="A966" s="7">
        <v>44474.625</v>
      </c>
      <c r="B966" s="1" t="s">
        <v>73</v>
      </c>
      <c r="C966" s="1">
        <v>5732.49</v>
      </c>
      <c r="D966" s="1">
        <v>1092.1300000000001</v>
      </c>
    </row>
    <row r="967" spans="1:4" x14ac:dyDescent="0.25">
      <c r="A967" s="7">
        <v>44474.625</v>
      </c>
      <c r="B967" s="1" t="s">
        <v>77</v>
      </c>
      <c r="C967" s="1">
        <v>12258.07</v>
      </c>
      <c r="D967" s="1">
        <v>4411.6499999999996</v>
      </c>
    </row>
    <row r="968" spans="1:4" x14ac:dyDescent="0.25">
      <c r="A968" s="7">
        <v>44474.625</v>
      </c>
      <c r="B968" s="1" t="s">
        <v>69</v>
      </c>
      <c r="C968" s="1">
        <v>6056.98</v>
      </c>
      <c r="D968" s="1">
        <v>5859.65</v>
      </c>
    </row>
    <row r="969" spans="1:4" x14ac:dyDescent="0.25">
      <c r="A969" s="7">
        <v>44474.625</v>
      </c>
      <c r="B969" s="1" t="s">
        <v>70</v>
      </c>
      <c r="C969" s="1">
        <v>5598.33</v>
      </c>
      <c r="D969" s="1">
        <v>3016.62</v>
      </c>
    </row>
    <row r="970" spans="1:4" x14ac:dyDescent="0.25">
      <c r="A970" s="7">
        <v>44474.666666666664</v>
      </c>
      <c r="B970" s="1" t="s">
        <v>74</v>
      </c>
      <c r="C970" s="1">
        <v>6345.36</v>
      </c>
      <c r="D970" s="1">
        <v>1890.38</v>
      </c>
    </row>
    <row r="971" spans="1:4" x14ac:dyDescent="0.25">
      <c r="A971" s="7">
        <v>44474.666666666664</v>
      </c>
      <c r="B971" s="1" t="s">
        <v>78</v>
      </c>
      <c r="C971" s="1">
        <v>2258.77</v>
      </c>
      <c r="D971" s="1">
        <v>1545.15</v>
      </c>
    </row>
    <row r="972" spans="1:4" x14ac:dyDescent="0.25">
      <c r="A972" s="7">
        <v>44474.666666666664</v>
      </c>
      <c r="B972" s="1" t="s">
        <v>75</v>
      </c>
      <c r="C972" s="1">
        <v>910.13</v>
      </c>
      <c r="D972" s="1">
        <v>607.07000000000005</v>
      </c>
    </row>
    <row r="973" spans="1:4" x14ac:dyDescent="0.25">
      <c r="A973" s="7">
        <v>44474.666666666664</v>
      </c>
      <c r="B973" s="1" t="s">
        <v>76</v>
      </c>
      <c r="C973" s="1">
        <v>8072.36</v>
      </c>
      <c r="D973" s="1">
        <v>2725.1</v>
      </c>
    </row>
    <row r="974" spans="1:4" x14ac:dyDescent="0.25">
      <c r="A974" s="7">
        <v>44474.666666666664</v>
      </c>
      <c r="B974" s="1" t="s">
        <v>73</v>
      </c>
      <c r="C974" s="1">
        <v>5667.17</v>
      </c>
      <c r="D974" s="1">
        <v>1148.07</v>
      </c>
    </row>
    <row r="975" spans="1:4" x14ac:dyDescent="0.25">
      <c r="A975" s="7">
        <v>44474.666666666664</v>
      </c>
      <c r="B975" s="1" t="s">
        <v>68</v>
      </c>
      <c r="C975" s="1">
        <v>6712.43</v>
      </c>
      <c r="D975" s="1">
        <v>3353.33</v>
      </c>
    </row>
    <row r="976" spans="1:4" x14ac:dyDescent="0.25">
      <c r="A976" s="7">
        <v>44474.666666666664</v>
      </c>
      <c r="B976" s="1" t="s">
        <v>71</v>
      </c>
      <c r="C976" s="1">
        <v>6588.7</v>
      </c>
      <c r="D976" s="1">
        <v>2902.19</v>
      </c>
    </row>
    <row r="977" spans="1:4" x14ac:dyDescent="0.25">
      <c r="A977" s="7">
        <v>44474.666666666664</v>
      </c>
      <c r="B977" s="1" t="s">
        <v>70</v>
      </c>
      <c r="C977" s="1">
        <v>5278.9</v>
      </c>
      <c r="D977" s="1">
        <v>2886.41</v>
      </c>
    </row>
    <row r="978" spans="1:4" x14ac:dyDescent="0.25">
      <c r="A978" s="7">
        <v>44474.666666666664</v>
      </c>
      <c r="B978" s="1" t="s">
        <v>72</v>
      </c>
      <c r="C978" s="1">
        <v>9339.25</v>
      </c>
      <c r="D978" s="1">
        <v>7077.67</v>
      </c>
    </row>
    <row r="979" spans="1:4" x14ac:dyDescent="0.25">
      <c r="A979" s="7">
        <v>44474.666666666664</v>
      </c>
      <c r="B979" s="1" t="s">
        <v>77</v>
      </c>
      <c r="C979" s="1">
        <v>12132.53</v>
      </c>
      <c r="D979" s="1">
        <v>4476.92</v>
      </c>
    </row>
    <row r="980" spans="1:4" x14ac:dyDescent="0.25">
      <c r="A980" s="7">
        <v>44474.666666666664</v>
      </c>
      <c r="B980" s="1" t="s">
        <v>69</v>
      </c>
      <c r="C980" s="1">
        <v>5608.75</v>
      </c>
      <c r="D980" s="1">
        <v>5502.68</v>
      </c>
    </row>
    <row r="981" spans="1:4" x14ac:dyDescent="0.25">
      <c r="A981" s="7">
        <v>44474.708333333336</v>
      </c>
      <c r="B981" s="1" t="s">
        <v>75</v>
      </c>
      <c r="C981" s="1">
        <v>897.52</v>
      </c>
      <c r="D981" s="1">
        <v>569.88</v>
      </c>
    </row>
    <row r="982" spans="1:4" x14ac:dyDescent="0.25">
      <c r="A982" s="7">
        <v>44474.708333333336</v>
      </c>
      <c r="B982" s="1" t="s">
        <v>74</v>
      </c>
      <c r="C982" s="1">
        <v>6543.96</v>
      </c>
      <c r="D982" s="1">
        <v>1986.5</v>
      </c>
    </row>
    <row r="983" spans="1:4" x14ac:dyDescent="0.25">
      <c r="A983" s="7">
        <v>44474.708333333336</v>
      </c>
      <c r="B983" s="1" t="s">
        <v>78</v>
      </c>
      <c r="C983" s="1">
        <v>2321.5100000000002</v>
      </c>
      <c r="D983" s="1">
        <v>1591.73</v>
      </c>
    </row>
    <row r="984" spans="1:4" x14ac:dyDescent="0.25">
      <c r="A984" s="7">
        <v>44474.708333333336</v>
      </c>
      <c r="B984" s="1" t="s">
        <v>76</v>
      </c>
      <c r="C984" s="1">
        <v>8662.7800000000007</v>
      </c>
      <c r="D984" s="1">
        <v>2846.13</v>
      </c>
    </row>
    <row r="985" spans="1:4" x14ac:dyDescent="0.25">
      <c r="A985" s="7">
        <v>44474.708333333336</v>
      </c>
      <c r="B985" s="1" t="s">
        <v>71</v>
      </c>
      <c r="C985" s="1">
        <v>6556.76</v>
      </c>
      <c r="D985" s="1">
        <v>3103.82</v>
      </c>
    </row>
    <row r="986" spans="1:4" x14ac:dyDescent="0.25">
      <c r="A986" s="7">
        <v>44474.708333333336</v>
      </c>
      <c r="B986" s="1" t="s">
        <v>69</v>
      </c>
      <c r="C986" s="1">
        <v>5626.69</v>
      </c>
      <c r="D986" s="1">
        <v>5344.39</v>
      </c>
    </row>
    <row r="987" spans="1:4" x14ac:dyDescent="0.25">
      <c r="A987" s="7">
        <v>44474.708333333336</v>
      </c>
      <c r="B987" s="1" t="s">
        <v>70</v>
      </c>
      <c r="C987" s="1">
        <v>5410.58</v>
      </c>
      <c r="D987" s="1">
        <v>2948.59</v>
      </c>
    </row>
    <row r="988" spans="1:4" x14ac:dyDescent="0.25">
      <c r="A988" s="7">
        <v>44474.708333333336</v>
      </c>
      <c r="B988" s="1" t="s">
        <v>73</v>
      </c>
      <c r="C988" s="1">
        <v>5998.19</v>
      </c>
      <c r="D988" s="1">
        <v>1224.05</v>
      </c>
    </row>
    <row r="989" spans="1:4" x14ac:dyDescent="0.25">
      <c r="A989" s="7">
        <v>44474.708333333336</v>
      </c>
      <c r="B989" s="1" t="s">
        <v>72</v>
      </c>
      <c r="C989" s="1">
        <v>9316.17</v>
      </c>
      <c r="D989" s="1">
        <v>7085.04</v>
      </c>
    </row>
    <row r="990" spans="1:4" x14ac:dyDescent="0.25">
      <c r="A990" s="7">
        <v>44474.708333333336</v>
      </c>
      <c r="B990" s="1" t="s">
        <v>68</v>
      </c>
      <c r="C990" s="1">
        <v>6829.23</v>
      </c>
      <c r="D990" s="1">
        <v>3527.97</v>
      </c>
    </row>
    <row r="991" spans="1:4" x14ac:dyDescent="0.25">
      <c r="A991" s="7">
        <v>44474.708333333336</v>
      </c>
      <c r="B991" s="1" t="s">
        <v>77</v>
      </c>
      <c r="C991" s="1">
        <v>13363.31</v>
      </c>
      <c r="D991" s="1">
        <v>5070.54</v>
      </c>
    </row>
    <row r="992" spans="1:4" x14ac:dyDescent="0.25">
      <c r="A992" s="7">
        <v>44474.75</v>
      </c>
      <c r="B992" s="1" t="s">
        <v>75</v>
      </c>
      <c r="C992" s="1">
        <v>646.79</v>
      </c>
      <c r="D992" s="1">
        <v>345.37</v>
      </c>
    </row>
    <row r="993" spans="1:4" x14ac:dyDescent="0.25">
      <c r="A993" s="7">
        <v>44474.75</v>
      </c>
      <c r="B993" s="1" t="s">
        <v>74</v>
      </c>
      <c r="C993" s="1">
        <v>5207.78</v>
      </c>
      <c r="D993" s="1">
        <v>1424.89</v>
      </c>
    </row>
    <row r="994" spans="1:4" x14ac:dyDescent="0.25">
      <c r="A994" s="7">
        <v>44474.75</v>
      </c>
      <c r="B994" s="1" t="s">
        <v>72</v>
      </c>
      <c r="C994" s="1">
        <v>6746.2</v>
      </c>
      <c r="D994" s="1">
        <v>4555.88</v>
      </c>
    </row>
    <row r="995" spans="1:4" x14ac:dyDescent="0.25">
      <c r="A995" s="7">
        <v>44474.75</v>
      </c>
      <c r="B995" s="1" t="s">
        <v>77</v>
      </c>
      <c r="C995" s="1">
        <v>11982.03</v>
      </c>
      <c r="D995" s="1">
        <v>4292.24</v>
      </c>
    </row>
    <row r="996" spans="1:4" x14ac:dyDescent="0.25">
      <c r="A996" s="7">
        <v>44474.75</v>
      </c>
      <c r="B996" s="1" t="s">
        <v>69</v>
      </c>
      <c r="C996" s="1">
        <v>4144.83</v>
      </c>
      <c r="D996" s="1">
        <v>3336.16</v>
      </c>
    </row>
    <row r="997" spans="1:4" x14ac:dyDescent="0.25">
      <c r="A997" s="7">
        <v>44474.75</v>
      </c>
      <c r="B997" s="1" t="s">
        <v>70</v>
      </c>
      <c r="C997" s="1">
        <v>4028.05</v>
      </c>
      <c r="D997" s="1">
        <v>1995.98</v>
      </c>
    </row>
    <row r="998" spans="1:4" x14ac:dyDescent="0.25">
      <c r="A998" s="7">
        <v>44474.75</v>
      </c>
      <c r="B998" s="1" t="s">
        <v>78</v>
      </c>
      <c r="C998" s="1">
        <v>1734.24</v>
      </c>
      <c r="D998" s="1">
        <v>1033.21</v>
      </c>
    </row>
    <row r="999" spans="1:4" x14ac:dyDescent="0.25">
      <c r="A999" s="7">
        <v>44474.75</v>
      </c>
      <c r="B999" s="1" t="s">
        <v>76</v>
      </c>
      <c r="C999" s="1">
        <v>7851.57</v>
      </c>
      <c r="D999" s="1">
        <v>2264.5500000000002</v>
      </c>
    </row>
    <row r="1000" spans="1:4" x14ac:dyDescent="0.25">
      <c r="A1000" s="7">
        <v>44474.75</v>
      </c>
      <c r="B1000" s="1" t="s">
        <v>73</v>
      </c>
      <c r="C1000" s="1">
        <v>4659.6400000000003</v>
      </c>
      <c r="D1000" s="1">
        <v>875.77</v>
      </c>
    </row>
    <row r="1001" spans="1:4" x14ac:dyDescent="0.25">
      <c r="A1001" s="7">
        <v>44474.75</v>
      </c>
      <c r="B1001" s="1" t="s">
        <v>68</v>
      </c>
      <c r="C1001" s="1">
        <v>5568.04</v>
      </c>
      <c r="D1001" s="1">
        <v>2732.41</v>
      </c>
    </row>
    <row r="1002" spans="1:4" x14ac:dyDescent="0.25">
      <c r="A1002" s="7">
        <v>44474.75</v>
      </c>
      <c r="B1002" s="1" t="s">
        <v>71</v>
      </c>
      <c r="C1002" s="1">
        <v>5037.8500000000004</v>
      </c>
      <c r="D1002" s="1">
        <v>2327.81</v>
      </c>
    </row>
    <row r="1003" spans="1:4" x14ac:dyDescent="0.25">
      <c r="A1003" s="7">
        <v>44474.791666666664</v>
      </c>
      <c r="B1003" s="1" t="s">
        <v>74</v>
      </c>
      <c r="C1003" s="1">
        <v>13259.65</v>
      </c>
      <c r="D1003" s="1">
        <v>3528.52</v>
      </c>
    </row>
    <row r="1004" spans="1:4" x14ac:dyDescent="0.25">
      <c r="A1004" s="7">
        <v>44474.791666666664</v>
      </c>
      <c r="B1004" s="1" t="s">
        <v>75</v>
      </c>
      <c r="C1004" s="1">
        <v>2134.77</v>
      </c>
      <c r="D1004" s="1">
        <v>1250.27</v>
      </c>
    </row>
    <row r="1005" spans="1:4" x14ac:dyDescent="0.25">
      <c r="A1005" s="7">
        <v>44474.791666666664</v>
      </c>
      <c r="B1005" s="1" t="s">
        <v>72</v>
      </c>
      <c r="C1005" s="1">
        <v>18390.528999999999</v>
      </c>
      <c r="D1005" s="1">
        <v>12275.24</v>
      </c>
    </row>
    <row r="1006" spans="1:4" x14ac:dyDescent="0.25">
      <c r="A1006" s="7">
        <v>44474.791666666664</v>
      </c>
      <c r="B1006" s="1" t="s">
        <v>68</v>
      </c>
      <c r="C1006" s="1">
        <v>14865.39</v>
      </c>
      <c r="D1006" s="1">
        <v>6555.15</v>
      </c>
    </row>
    <row r="1007" spans="1:4" x14ac:dyDescent="0.25">
      <c r="A1007" s="7">
        <v>44474.791666666664</v>
      </c>
      <c r="B1007" s="1" t="s">
        <v>77</v>
      </c>
      <c r="C1007" s="1">
        <v>30208.391</v>
      </c>
      <c r="D1007" s="1">
        <v>10301.15</v>
      </c>
    </row>
    <row r="1008" spans="1:4" x14ac:dyDescent="0.25">
      <c r="A1008" s="7">
        <v>44474.791666666664</v>
      </c>
      <c r="B1008" s="1" t="s">
        <v>71</v>
      </c>
      <c r="C1008" s="1">
        <v>15500.26</v>
      </c>
      <c r="D1008" s="1">
        <v>6168.56</v>
      </c>
    </row>
    <row r="1009" spans="1:4" x14ac:dyDescent="0.25">
      <c r="A1009" s="7">
        <v>44474.791666666664</v>
      </c>
      <c r="B1009" s="1" t="s">
        <v>69</v>
      </c>
      <c r="C1009" s="1">
        <v>11287.05</v>
      </c>
      <c r="D1009" s="1">
        <v>9320.15</v>
      </c>
    </row>
    <row r="1010" spans="1:4" x14ac:dyDescent="0.25">
      <c r="A1010" s="7">
        <v>44474.791666666664</v>
      </c>
      <c r="B1010" s="1" t="s">
        <v>70</v>
      </c>
      <c r="C1010" s="1">
        <v>12066.43</v>
      </c>
      <c r="D1010" s="1">
        <v>5899.47</v>
      </c>
    </row>
    <row r="1011" spans="1:4" x14ac:dyDescent="0.25">
      <c r="A1011" s="7">
        <v>44474.791666666664</v>
      </c>
      <c r="B1011" s="1" t="s">
        <v>78</v>
      </c>
      <c r="C1011" s="1">
        <v>4864.0200000000004</v>
      </c>
      <c r="D1011" s="1">
        <v>3171.54</v>
      </c>
    </row>
    <row r="1012" spans="1:4" x14ac:dyDescent="0.25">
      <c r="A1012" s="7">
        <v>44474.791666666664</v>
      </c>
      <c r="B1012" s="1" t="s">
        <v>76</v>
      </c>
      <c r="C1012" s="1">
        <v>21017.449000000001</v>
      </c>
      <c r="D1012" s="1">
        <v>5777.33</v>
      </c>
    </row>
    <row r="1013" spans="1:4" x14ac:dyDescent="0.25">
      <c r="A1013" s="7">
        <v>44474.791666666664</v>
      </c>
      <c r="B1013" s="1" t="s">
        <v>73</v>
      </c>
      <c r="C1013" s="1">
        <v>12582.12</v>
      </c>
      <c r="D1013" s="1">
        <v>2116.4699999999998</v>
      </c>
    </row>
    <row r="1014" spans="1:4" x14ac:dyDescent="0.25">
      <c r="A1014" s="7">
        <v>44474.833333333336</v>
      </c>
      <c r="B1014" s="1" t="s">
        <v>75</v>
      </c>
      <c r="C1014" s="1">
        <v>1696.7</v>
      </c>
      <c r="D1014" s="1">
        <v>1000.75</v>
      </c>
    </row>
    <row r="1015" spans="1:4" x14ac:dyDescent="0.25">
      <c r="A1015" s="7">
        <v>44474.833333333336</v>
      </c>
      <c r="B1015" s="1" t="s">
        <v>74</v>
      </c>
      <c r="C1015" s="1">
        <v>12383.88</v>
      </c>
      <c r="D1015" s="1">
        <v>3361.93</v>
      </c>
    </row>
    <row r="1016" spans="1:4" x14ac:dyDescent="0.25">
      <c r="A1016" s="7">
        <v>44474.833333333336</v>
      </c>
      <c r="B1016" s="1" t="s">
        <v>73</v>
      </c>
      <c r="C1016" s="1">
        <v>11121.62</v>
      </c>
      <c r="D1016" s="1">
        <v>1990.34</v>
      </c>
    </row>
    <row r="1017" spans="1:4" x14ac:dyDescent="0.25">
      <c r="A1017" s="7">
        <v>44474.833333333336</v>
      </c>
      <c r="B1017" s="1" t="s">
        <v>68</v>
      </c>
      <c r="C1017" s="1">
        <v>13228.52</v>
      </c>
      <c r="D1017" s="1">
        <v>6150.33</v>
      </c>
    </row>
    <row r="1018" spans="1:4" x14ac:dyDescent="0.25">
      <c r="A1018" s="7">
        <v>44474.833333333336</v>
      </c>
      <c r="B1018" s="1" t="s">
        <v>77</v>
      </c>
      <c r="C1018" s="1">
        <v>24814.57</v>
      </c>
      <c r="D1018" s="1">
        <v>8381.23</v>
      </c>
    </row>
    <row r="1019" spans="1:4" x14ac:dyDescent="0.25">
      <c r="A1019" s="7">
        <v>44474.833333333336</v>
      </c>
      <c r="B1019" s="1" t="s">
        <v>71</v>
      </c>
      <c r="C1019" s="1">
        <v>14449.37</v>
      </c>
      <c r="D1019" s="1">
        <v>5913.76</v>
      </c>
    </row>
    <row r="1020" spans="1:4" x14ac:dyDescent="0.25">
      <c r="A1020" s="7">
        <v>44474.833333333336</v>
      </c>
      <c r="B1020" s="1" t="s">
        <v>70</v>
      </c>
      <c r="C1020" s="1">
        <v>10310.49</v>
      </c>
      <c r="D1020" s="1">
        <v>5038.5600000000004</v>
      </c>
    </row>
    <row r="1021" spans="1:4" x14ac:dyDescent="0.25">
      <c r="A1021" s="7">
        <v>44474.833333333336</v>
      </c>
      <c r="B1021" s="1" t="s">
        <v>78</v>
      </c>
      <c r="C1021" s="1">
        <v>3942.43</v>
      </c>
      <c r="D1021" s="1">
        <v>2686.78</v>
      </c>
    </row>
    <row r="1022" spans="1:4" x14ac:dyDescent="0.25">
      <c r="A1022" s="7">
        <v>44474.833333333336</v>
      </c>
      <c r="B1022" s="1" t="s">
        <v>76</v>
      </c>
      <c r="C1022" s="1">
        <v>18417.59</v>
      </c>
      <c r="D1022" s="1">
        <v>4908.93</v>
      </c>
    </row>
    <row r="1023" spans="1:4" x14ac:dyDescent="0.25">
      <c r="A1023" s="7">
        <v>44474.833333333336</v>
      </c>
      <c r="B1023" s="1" t="s">
        <v>72</v>
      </c>
      <c r="C1023" s="1">
        <v>15265.24</v>
      </c>
      <c r="D1023" s="1">
        <v>10747.79</v>
      </c>
    </row>
    <row r="1024" spans="1:4" x14ac:dyDescent="0.25">
      <c r="A1024" s="7">
        <v>44474.833333333336</v>
      </c>
      <c r="B1024" s="1" t="s">
        <v>69</v>
      </c>
      <c r="C1024" s="1">
        <v>9592.85</v>
      </c>
      <c r="D1024" s="1">
        <v>8474.34</v>
      </c>
    </row>
    <row r="1025" spans="1:4" x14ac:dyDescent="0.25">
      <c r="A1025" s="7">
        <v>44474.875</v>
      </c>
      <c r="B1025" s="1" t="s">
        <v>75</v>
      </c>
      <c r="C1025" s="1">
        <v>1664.55</v>
      </c>
      <c r="D1025" s="1">
        <v>984.61</v>
      </c>
    </row>
    <row r="1026" spans="1:4" x14ac:dyDescent="0.25">
      <c r="A1026" s="7">
        <v>44474.875</v>
      </c>
      <c r="B1026" s="1" t="s">
        <v>74</v>
      </c>
      <c r="C1026" s="1">
        <v>10550.11</v>
      </c>
      <c r="D1026" s="1">
        <v>2927.65</v>
      </c>
    </row>
    <row r="1027" spans="1:4" x14ac:dyDescent="0.25">
      <c r="A1027" s="7">
        <v>44474.875</v>
      </c>
      <c r="B1027" s="1" t="s">
        <v>78</v>
      </c>
      <c r="C1027" s="1">
        <v>3905.95</v>
      </c>
      <c r="D1027" s="1">
        <v>2550.5500000000002</v>
      </c>
    </row>
    <row r="1028" spans="1:4" x14ac:dyDescent="0.25">
      <c r="A1028" s="7">
        <v>44474.875</v>
      </c>
      <c r="B1028" s="1" t="s">
        <v>76</v>
      </c>
      <c r="C1028" s="1">
        <v>15264.52</v>
      </c>
      <c r="D1028" s="1">
        <v>3869.6</v>
      </c>
    </row>
    <row r="1029" spans="1:4" x14ac:dyDescent="0.25">
      <c r="A1029" s="7">
        <v>44474.875</v>
      </c>
      <c r="B1029" s="1" t="s">
        <v>73</v>
      </c>
      <c r="C1029" s="1">
        <v>10093.07</v>
      </c>
      <c r="D1029" s="1">
        <v>1770.14</v>
      </c>
    </row>
    <row r="1030" spans="1:4" x14ac:dyDescent="0.25">
      <c r="A1030" s="7">
        <v>44474.875</v>
      </c>
      <c r="B1030" s="1" t="s">
        <v>68</v>
      </c>
      <c r="C1030" s="1">
        <v>12002.91</v>
      </c>
      <c r="D1030" s="1">
        <v>5633.42</v>
      </c>
    </row>
    <row r="1031" spans="1:4" x14ac:dyDescent="0.25">
      <c r="A1031" s="7">
        <v>44474.875</v>
      </c>
      <c r="B1031" s="1" t="s">
        <v>71</v>
      </c>
      <c r="C1031" s="1">
        <v>13180.22</v>
      </c>
      <c r="D1031" s="1">
        <v>5379.4</v>
      </c>
    </row>
    <row r="1032" spans="1:4" x14ac:dyDescent="0.25">
      <c r="A1032" s="7">
        <v>44474.875</v>
      </c>
      <c r="B1032" s="1" t="s">
        <v>72</v>
      </c>
      <c r="C1032" s="1">
        <v>14346.43</v>
      </c>
      <c r="D1032" s="1">
        <v>9902.9699999999993</v>
      </c>
    </row>
    <row r="1033" spans="1:4" x14ac:dyDescent="0.25">
      <c r="A1033" s="7">
        <v>44474.875</v>
      </c>
      <c r="B1033" s="1" t="s">
        <v>77</v>
      </c>
      <c r="C1033" s="1">
        <v>22065.028999999999</v>
      </c>
      <c r="D1033" s="1">
        <v>7579.93</v>
      </c>
    </row>
    <row r="1034" spans="1:4" x14ac:dyDescent="0.25">
      <c r="A1034" s="7">
        <v>44474.875</v>
      </c>
      <c r="B1034" s="1" t="s">
        <v>69</v>
      </c>
      <c r="C1034" s="1">
        <v>8883.23</v>
      </c>
      <c r="D1034" s="1">
        <v>7601.73</v>
      </c>
    </row>
    <row r="1035" spans="1:4" x14ac:dyDescent="0.25">
      <c r="A1035" s="7">
        <v>44474.875</v>
      </c>
      <c r="B1035" s="1" t="s">
        <v>70</v>
      </c>
      <c r="C1035" s="1">
        <v>9411.07</v>
      </c>
      <c r="D1035" s="1">
        <v>4679.5600000000004</v>
      </c>
    </row>
    <row r="1036" spans="1:4" x14ac:dyDescent="0.25">
      <c r="A1036" s="7">
        <v>44474.916666666664</v>
      </c>
      <c r="B1036" s="1" t="s">
        <v>75</v>
      </c>
      <c r="C1036" s="1">
        <v>1402.66</v>
      </c>
      <c r="D1036" s="1">
        <v>929.12</v>
      </c>
    </row>
    <row r="1037" spans="1:4" x14ac:dyDescent="0.25">
      <c r="A1037" s="7">
        <v>44474.916666666664</v>
      </c>
      <c r="B1037" s="1" t="s">
        <v>74</v>
      </c>
      <c r="C1037" s="1">
        <v>6931.79</v>
      </c>
      <c r="D1037" s="1">
        <v>2155.02</v>
      </c>
    </row>
    <row r="1038" spans="1:4" x14ac:dyDescent="0.25">
      <c r="A1038" s="7">
        <v>44474.916666666664</v>
      </c>
      <c r="B1038" s="1" t="s">
        <v>78</v>
      </c>
      <c r="C1038" s="1">
        <v>3267.74</v>
      </c>
      <c r="D1038" s="1">
        <v>2248.44</v>
      </c>
    </row>
    <row r="1039" spans="1:4" x14ac:dyDescent="0.25">
      <c r="A1039" s="7">
        <v>44474.916666666664</v>
      </c>
      <c r="B1039" s="1" t="s">
        <v>76</v>
      </c>
      <c r="C1039" s="1">
        <v>10213.620000000001</v>
      </c>
      <c r="D1039" s="1">
        <v>2789.83</v>
      </c>
    </row>
    <row r="1040" spans="1:4" x14ac:dyDescent="0.25">
      <c r="A1040" s="7">
        <v>44474.916666666664</v>
      </c>
      <c r="B1040" s="1" t="s">
        <v>68</v>
      </c>
      <c r="C1040" s="1">
        <v>8527.08</v>
      </c>
      <c r="D1040" s="1">
        <v>4446.83</v>
      </c>
    </row>
    <row r="1041" spans="1:4" x14ac:dyDescent="0.25">
      <c r="A1041" s="7">
        <v>44474.916666666664</v>
      </c>
      <c r="B1041" s="1" t="s">
        <v>71</v>
      </c>
      <c r="C1041" s="1">
        <v>9104.7000000000007</v>
      </c>
      <c r="D1041" s="1">
        <v>3997.53</v>
      </c>
    </row>
    <row r="1042" spans="1:4" x14ac:dyDescent="0.25">
      <c r="A1042" s="7">
        <v>44474.916666666664</v>
      </c>
      <c r="B1042" s="1" t="s">
        <v>69</v>
      </c>
      <c r="C1042" s="1">
        <v>7991.78</v>
      </c>
      <c r="D1042" s="1">
        <v>7116.46</v>
      </c>
    </row>
    <row r="1043" spans="1:4" x14ac:dyDescent="0.25">
      <c r="A1043" s="7">
        <v>44474.916666666664</v>
      </c>
      <c r="B1043" s="1" t="s">
        <v>70</v>
      </c>
      <c r="C1043" s="1">
        <v>7211.96</v>
      </c>
      <c r="D1043" s="1">
        <v>3744.8</v>
      </c>
    </row>
    <row r="1044" spans="1:4" x14ac:dyDescent="0.25">
      <c r="A1044" s="7">
        <v>44474.916666666664</v>
      </c>
      <c r="B1044" s="1" t="s">
        <v>72</v>
      </c>
      <c r="C1044" s="1">
        <v>12548.42</v>
      </c>
      <c r="D1044" s="1">
        <v>8940.7199999999993</v>
      </c>
    </row>
    <row r="1045" spans="1:4" x14ac:dyDescent="0.25">
      <c r="A1045" s="7">
        <v>44474.916666666664</v>
      </c>
      <c r="B1045" s="1" t="s">
        <v>73</v>
      </c>
      <c r="C1045" s="1">
        <v>7391.3</v>
      </c>
      <c r="D1045" s="1">
        <v>1398.72</v>
      </c>
    </row>
    <row r="1046" spans="1:4" x14ac:dyDescent="0.25">
      <c r="A1046" s="7">
        <v>44474.916666666664</v>
      </c>
      <c r="B1046" s="1" t="s">
        <v>77</v>
      </c>
      <c r="C1046" s="1">
        <v>17004.311000000002</v>
      </c>
      <c r="D1046" s="1">
        <v>6117.33</v>
      </c>
    </row>
    <row r="1047" spans="1:4" x14ac:dyDescent="0.25">
      <c r="A1047" s="7">
        <v>44474.958333333336</v>
      </c>
      <c r="B1047" s="1" t="s">
        <v>74</v>
      </c>
      <c r="C1047" s="1">
        <v>2970.43</v>
      </c>
      <c r="D1047" s="1">
        <v>1115.3800000000001</v>
      </c>
    </row>
    <row r="1048" spans="1:4" x14ac:dyDescent="0.25">
      <c r="A1048" s="7">
        <v>44474.958333333336</v>
      </c>
      <c r="B1048" s="1" t="s">
        <v>75</v>
      </c>
      <c r="C1048" s="1">
        <v>849.14</v>
      </c>
      <c r="D1048" s="1">
        <v>633.70000000000005</v>
      </c>
    </row>
    <row r="1049" spans="1:4" x14ac:dyDescent="0.25">
      <c r="A1049" s="7">
        <v>44474.958333333336</v>
      </c>
      <c r="B1049" s="1" t="s">
        <v>76</v>
      </c>
      <c r="C1049" s="1">
        <v>4841.63</v>
      </c>
      <c r="D1049" s="1">
        <v>1496.85</v>
      </c>
    </row>
    <row r="1050" spans="1:4" x14ac:dyDescent="0.25">
      <c r="A1050" s="7">
        <v>44474.958333333336</v>
      </c>
      <c r="B1050" s="1" t="s">
        <v>72</v>
      </c>
      <c r="C1050" s="1">
        <v>7343.04</v>
      </c>
      <c r="D1050" s="1">
        <v>5743.56</v>
      </c>
    </row>
    <row r="1051" spans="1:4" x14ac:dyDescent="0.25">
      <c r="A1051" s="7">
        <v>44474.958333333336</v>
      </c>
      <c r="B1051" s="1" t="s">
        <v>77</v>
      </c>
      <c r="C1051" s="1">
        <v>8747.2000000000007</v>
      </c>
      <c r="D1051" s="1">
        <v>3302.49</v>
      </c>
    </row>
    <row r="1052" spans="1:4" x14ac:dyDescent="0.25">
      <c r="A1052" s="7">
        <v>44474.958333333336</v>
      </c>
      <c r="B1052" s="1" t="s">
        <v>69</v>
      </c>
      <c r="C1052" s="1">
        <v>4860.2700000000004</v>
      </c>
      <c r="D1052" s="1">
        <v>4519.4399999999996</v>
      </c>
    </row>
    <row r="1053" spans="1:4" x14ac:dyDescent="0.25">
      <c r="A1053" s="7">
        <v>44474.958333333336</v>
      </c>
      <c r="B1053" s="1" t="s">
        <v>70</v>
      </c>
      <c r="C1053" s="1">
        <v>3606.05</v>
      </c>
      <c r="D1053" s="1">
        <v>2069.27</v>
      </c>
    </row>
    <row r="1054" spans="1:4" x14ac:dyDescent="0.25">
      <c r="A1054" s="7">
        <v>44474.958333333336</v>
      </c>
      <c r="B1054" s="1" t="s">
        <v>78</v>
      </c>
      <c r="C1054" s="1">
        <v>1920.08</v>
      </c>
      <c r="D1054" s="1">
        <v>1361.79</v>
      </c>
    </row>
    <row r="1055" spans="1:4" x14ac:dyDescent="0.25">
      <c r="A1055" s="7">
        <v>44474.958333333336</v>
      </c>
      <c r="B1055" s="1" t="s">
        <v>73</v>
      </c>
      <c r="C1055" s="1">
        <v>3275.9</v>
      </c>
      <c r="D1055" s="1">
        <v>734.22</v>
      </c>
    </row>
    <row r="1056" spans="1:4" x14ac:dyDescent="0.25">
      <c r="A1056" s="7">
        <v>44474.958333333336</v>
      </c>
      <c r="B1056" s="1" t="s">
        <v>68</v>
      </c>
      <c r="C1056" s="1">
        <v>3782.68</v>
      </c>
      <c r="D1056" s="1">
        <v>2379.65</v>
      </c>
    </row>
    <row r="1057" spans="1:4" x14ac:dyDescent="0.25">
      <c r="A1057" s="7">
        <v>44474.958333333336</v>
      </c>
      <c r="B1057" s="1" t="s">
        <v>71</v>
      </c>
      <c r="C1057" s="1">
        <v>3675.58</v>
      </c>
      <c r="D1057" s="1">
        <v>2045.77</v>
      </c>
    </row>
    <row r="1058" spans="1:4" x14ac:dyDescent="0.25">
      <c r="A1058" s="7">
        <v>44505</v>
      </c>
      <c r="B1058" s="1" t="s">
        <v>74</v>
      </c>
      <c r="C1058" s="1">
        <v>1275.3399999999999</v>
      </c>
      <c r="D1058" s="1">
        <v>532.63</v>
      </c>
    </row>
    <row r="1059" spans="1:4" x14ac:dyDescent="0.25">
      <c r="A1059" s="7">
        <v>44505</v>
      </c>
      <c r="B1059" s="1" t="s">
        <v>75</v>
      </c>
      <c r="C1059" s="1">
        <v>474.29</v>
      </c>
      <c r="D1059" s="1">
        <v>372.03</v>
      </c>
    </row>
    <row r="1060" spans="1:4" x14ac:dyDescent="0.25">
      <c r="A1060" s="7">
        <v>44505</v>
      </c>
      <c r="B1060" s="1" t="s">
        <v>77</v>
      </c>
      <c r="C1060" s="1">
        <v>3736.36</v>
      </c>
      <c r="D1060" s="1">
        <v>1446.47</v>
      </c>
    </row>
    <row r="1061" spans="1:4" x14ac:dyDescent="0.25">
      <c r="A1061" s="7">
        <v>44505</v>
      </c>
      <c r="B1061" s="1" t="s">
        <v>71</v>
      </c>
      <c r="C1061" s="1">
        <v>1361.48</v>
      </c>
      <c r="D1061" s="1">
        <v>887.04</v>
      </c>
    </row>
    <row r="1062" spans="1:4" x14ac:dyDescent="0.25">
      <c r="A1062" s="7">
        <v>44505</v>
      </c>
      <c r="B1062" s="1" t="s">
        <v>70</v>
      </c>
      <c r="C1062" s="1">
        <v>1524.62</v>
      </c>
      <c r="D1062" s="1">
        <v>961.94</v>
      </c>
    </row>
    <row r="1063" spans="1:4" x14ac:dyDescent="0.25">
      <c r="A1063" s="7">
        <v>44505</v>
      </c>
      <c r="B1063" s="1" t="s">
        <v>78</v>
      </c>
      <c r="C1063" s="1">
        <v>909.95</v>
      </c>
      <c r="D1063" s="1">
        <v>710.97</v>
      </c>
    </row>
    <row r="1064" spans="1:4" x14ac:dyDescent="0.25">
      <c r="A1064" s="7">
        <v>44505</v>
      </c>
      <c r="B1064" s="1" t="s">
        <v>76</v>
      </c>
      <c r="C1064" s="1">
        <v>2113.06</v>
      </c>
      <c r="D1064" s="1">
        <v>704.2</v>
      </c>
    </row>
    <row r="1065" spans="1:4" x14ac:dyDescent="0.25">
      <c r="A1065" s="7">
        <v>44505</v>
      </c>
      <c r="B1065" s="1" t="s">
        <v>72</v>
      </c>
      <c r="C1065" s="1">
        <v>3597.39</v>
      </c>
      <c r="D1065" s="1">
        <v>3001.14</v>
      </c>
    </row>
    <row r="1066" spans="1:4" x14ac:dyDescent="0.25">
      <c r="A1066" s="7">
        <v>44505</v>
      </c>
      <c r="B1066" s="1" t="s">
        <v>73</v>
      </c>
      <c r="C1066" s="1">
        <v>1233.97</v>
      </c>
      <c r="D1066" s="1">
        <v>348.1</v>
      </c>
    </row>
    <row r="1067" spans="1:4" x14ac:dyDescent="0.25">
      <c r="A1067" s="7">
        <v>44505</v>
      </c>
      <c r="B1067" s="1" t="s">
        <v>68</v>
      </c>
      <c r="C1067" s="1">
        <v>1465.04</v>
      </c>
      <c r="D1067" s="1">
        <v>1106.25</v>
      </c>
    </row>
    <row r="1068" spans="1:4" x14ac:dyDescent="0.25">
      <c r="A1068" s="7">
        <v>44505</v>
      </c>
      <c r="B1068" s="1" t="s">
        <v>69</v>
      </c>
      <c r="C1068" s="1">
        <v>2311.46</v>
      </c>
      <c r="D1068" s="1">
        <v>2231.36</v>
      </c>
    </row>
    <row r="1069" spans="1:4" x14ac:dyDescent="0.25">
      <c r="A1069" s="7">
        <v>44505.041666666664</v>
      </c>
      <c r="B1069" s="1" t="s">
        <v>75</v>
      </c>
      <c r="C1069" s="1">
        <v>265.44</v>
      </c>
      <c r="D1069" s="1">
        <v>229.07</v>
      </c>
    </row>
    <row r="1070" spans="1:4" x14ac:dyDescent="0.25">
      <c r="A1070" s="7">
        <v>44505.041666666664</v>
      </c>
      <c r="B1070" s="1" t="s">
        <v>74</v>
      </c>
      <c r="C1070" s="1">
        <v>597.01</v>
      </c>
      <c r="D1070" s="1">
        <v>240.7</v>
      </c>
    </row>
    <row r="1071" spans="1:4" x14ac:dyDescent="0.25">
      <c r="A1071" s="7">
        <v>44505.041666666664</v>
      </c>
      <c r="B1071" s="1" t="s">
        <v>73</v>
      </c>
      <c r="C1071" s="1">
        <v>528.66999999999996</v>
      </c>
      <c r="D1071" s="1">
        <v>142.87</v>
      </c>
    </row>
    <row r="1072" spans="1:4" x14ac:dyDescent="0.25">
      <c r="A1072" s="7">
        <v>44505.041666666664</v>
      </c>
      <c r="B1072" s="1" t="s">
        <v>68</v>
      </c>
      <c r="C1072" s="1">
        <v>635.54999999999995</v>
      </c>
      <c r="D1072" s="1">
        <v>476.9</v>
      </c>
    </row>
    <row r="1073" spans="1:4" x14ac:dyDescent="0.25">
      <c r="A1073" s="7">
        <v>44505.041666666664</v>
      </c>
      <c r="B1073" s="1" t="s">
        <v>77</v>
      </c>
      <c r="C1073" s="1">
        <v>1611.48</v>
      </c>
      <c r="D1073" s="1">
        <v>643.5</v>
      </c>
    </row>
    <row r="1074" spans="1:4" x14ac:dyDescent="0.25">
      <c r="A1074" s="7">
        <v>44505.041666666664</v>
      </c>
      <c r="B1074" s="1" t="s">
        <v>71</v>
      </c>
      <c r="C1074" s="1">
        <v>540.22</v>
      </c>
      <c r="D1074" s="1">
        <v>377.35</v>
      </c>
    </row>
    <row r="1075" spans="1:4" x14ac:dyDescent="0.25">
      <c r="A1075" s="7">
        <v>44505.041666666664</v>
      </c>
      <c r="B1075" s="1" t="s">
        <v>70</v>
      </c>
      <c r="C1075" s="1">
        <v>700.68</v>
      </c>
      <c r="D1075" s="1">
        <v>464.84</v>
      </c>
    </row>
    <row r="1076" spans="1:4" x14ac:dyDescent="0.25">
      <c r="A1076" s="7">
        <v>44505.041666666664</v>
      </c>
      <c r="B1076" s="1" t="s">
        <v>78</v>
      </c>
      <c r="C1076" s="1">
        <v>476.68</v>
      </c>
      <c r="D1076" s="1">
        <v>371.52</v>
      </c>
    </row>
    <row r="1077" spans="1:4" x14ac:dyDescent="0.25">
      <c r="A1077" s="7">
        <v>44505.041666666664</v>
      </c>
      <c r="B1077" s="1" t="s">
        <v>76</v>
      </c>
      <c r="C1077" s="1">
        <v>1044.67</v>
      </c>
      <c r="D1077" s="1">
        <v>355.96</v>
      </c>
    </row>
    <row r="1078" spans="1:4" x14ac:dyDescent="0.25">
      <c r="A1078" s="7">
        <v>44505.041666666664</v>
      </c>
      <c r="B1078" s="1" t="s">
        <v>72</v>
      </c>
      <c r="C1078" s="1">
        <v>1792.66</v>
      </c>
      <c r="D1078" s="1">
        <v>1507.21</v>
      </c>
    </row>
    <row r="1079" spans="1:4" x14ac:dyDescent="0.25">
      <c r="A1079" s="7">
        <v>44505.041666666664</v>
      </c>
      <c r="B1079" s="1" t="s">
        <v>69</v>
      </c>
      <c r="C1079" s="1">
        <v>1052.4000000000001</v>
      </c>
      <c r="D1079" s="1">
        <v>1102.55</v>
      </c>
    </row>
    <row r="1080" spans="1:4" x14ac:dyDescent="0.25">
      <c r="A1080" s="7">
        <v>44505.083333333336</v>
      </c>
      <c r="B1080" s="1" t="s">
        <v>75</v>
      </c>
      <c r="C1080" s="1">
        <v>239.37</v>
      </c>
      <c r="D1080" s="1">
        <v>176.01</v>
      </c>
    </row>
    <row r="1081" spans="1:4" x14ac:dyDescent="0.25">
      <c r="A1081" s="7">
        <v>44505.083333333336</v>
      </c>
      <c r="B1081" s="1" t="s">
        <v>74</v>
      </c>
      <c r="C1081" s="1">
        <v>558.99</v>
      </c>
      <c r="D1081" s="1">
        <v>163.47999999999999</v>
      </c>
    </row>
    <row r="1082" spans="1:4" x14ac:dyDescent="0.25">
      <c r="A1082" s="7">
        <v>44505.083333333336</v>
      </c>
      <c r="B1082" s="1" t="s">
        <v>68</v>
      </c>
      <c r="C1082" s="1">
        <v>365.26</v>
      </c>
      <c r="D1082" s="1">
        <v>238.6</v>
      </c>
    </row>
    <row r="1083" spans="1:4" x14ac:dyDescent="0.25">
      <c r="A1083" s="7">
        <v>44505.083333333336</v>
      </c>
      <c r="B1083" s="1" t="s">
        <v>77</v>
      </c>
      <c r="C1083" s="1">
        <v>1253.75</v>
      </c>
      <c r="D1083" s="1">
        <v>420.55</v>
      </c>
    </row>
    <row r="1084" spans="1:4" x14ac:dyDescent="0.25">
      <c r="A1084" s="7">
        <v>44505.083333333336</v>
      </c>
      <c r="B1084" s="1" t="s">
        <v>71</v>
      </c>
      <c r="C1084" s="1">
        <v>369.9</v>
      </c>
      <c r="D1084" s="1">
        <v>229.29</v>
      </c>
    </row>
    <row r="1085" spans="1:4" x14ac:dyDescent="0.25">
      <c r="A1085" s="7">
        <v>44505.083333333336</v>
      </c>
      <c r="B1085" s="1" t="s">
        <v>69</v>
      </c>
      <c r="C1085" s="1">
        <v>668.21</v>
      </c>
      <c r="D1085" s="1">
        <v>606.46</v>
      </c>
    </row>
    <row r="1086" spans="1:4" x14ac:dyDescent="0.25">
      <c r="A1086" s="7">
        <v>44505.083333333336</v>
      </c>
      <c r="B1086" s="1" t="s">
        <v>78</v>
      </c>
      <c r="C1086" s="1">
        <v>333.88</v>
      </c>
      <c r="D1086" s="1">
        <v>245.74</v>
      </c>
    </row>
    <row r="1087" spans="1:4" x14ac:dyDescent="0.25">
      <c r="A1087" s="7">
        <v>44505.083333333336</v>
      </c>
      <c r="B1087" s="1" t="s">
        <v>76</v>
      </c>
      <c r="C1087" s="1">
        <v>1179.3499999999999</v>
      </c>
      <c r="D1087" s="1">
        <v>299.8</v>
      </c>
    </row>
    <row r="1088" spans="1:4" x14ac:dyDescent="0.25">
      <c r="A1088" s="7">
        <v>44505.083333333336</v>
      </c>
      <c r="B1088" s="1" t="s">
        <v>73</v>
      </c>
      <c r="C1088" s="1">
        <v>344.54</v>
      </c>
      <c r="D1088" s="1">
        <v>71.430000000000007</v>
      </c>
    </row>
    <row r="1089" spans="1:4" x14ac:dyDescent="0.25">
      <c r="A1089" s="7">
        <v>44505.083333333336</v>
      </c>
      <c r="B1089" s="1" t="s">
        <v>72</v>
      </c>
      <c r="C1089" s="1">
        <v>1152.19</v>
      </c>
      <c r="D1089" s="1">
        <v>882.07</v>
      </c>
    </row>
    <row r="1090" spans="1:4" x14ac:dyDescent="0.25">
      <c r="A1090" s="7">
        <v>44505.083333333336</v>
      </c>
      <c r="B1090" s="1" t="s">
        <v>70</v>
      </c>
      <c r="C1090" s="1">
        <v>541.46</v>
      </c>
      <c r="D1090" s="1">
        <v>300.72000000000003</v>
      </c>
    </row>
    <row r="1091" spans="1:4" x14ac:dyDescent="0.25">
      <c r="A1091" s="7">
        <v>44505.125</v>
      </c>
      <c r="B1091" s="1" t="s">
        <v>75</v>
      </c>
      <c r="C1091" s="1">
        <v>490.66</v>
      </c>
      <c r="D1091" s="1">
        <v>324.2</v>
      </c>
    </row>
    <row r="1092" spans="1:4" x14ac:dyDescent="0.25">
      <c r="A1092" s="7">
        <v>44505.125</v>
      </c>
      <c r="B1092" s="1" t="s">
        <v>74</v>
      </c>
      <c r="C1092" s="1">
        <v>1450.22</v>
      </c>
      <c r="D1092" s="1">
        <v>350.79</v>
      </c>
    </row>
    <row r="1093" spans="1:4" x14ac:dyDescent="0.25">
      <c r="A1093" s="7">
        <v>44505.125</v>
      </c>
      <c r="B1093" s="1" t="s">
        <v>78</v>
      </c>
      <c r="C1093" s="1">
        <v>751.48</v>
      </c>
      <c r="D1093" s="1">
        <v>453.38</v>
      </c>
    </row>
    <row r="1094" spans="1:4" x14ac:dyDescent="0.25">
      <c r="A1094" s="7">
        <v>44505.125</v>
      </c>
      <c r="B1094" s="1" t="s">
        <v>76</v>
      </c>
      <c r="C1094" s="1">
        <v>3005.14</v>
      </c>
      <c r="D1094" s="1">
        <v>754.61</v>
      </c>
    </row>
    <row r="1095" spans="1:4" x14ac:dyDescent="0.25">
      <c r="A1095" s="7">
        <v>44505.125</v>
      </c>
      <c r="B1095" s="1" t="s">
        <v>68</v>
      </c>
      <c r="C1095" s="1">
        <v>1075.4000000000001</v>
      </c>
      <c r="D1095" s="1">
        <v>399.99</v>
      </c>
    </row>
    <row r="1096" spans="1:4" x14ac:dyDescent="0.25">
      <c r="A1096" s="7">
        <v>44505.125</v>
      </c>
      <c r="B1096" s="1" t="s">
        <v>69</v>
      </c>
      <c r="C1096" s="1">
        <v>1575.72</v>
      </c>
      <c r="D1096" s="1">
        <v>1228.3900000000001</v>
      </c>
    </row>
    <row r="1097" spans="1:4" x14ac:dyDescent="0.25">
      <c r="A1097" s="7">
        <v>44505.125</v>
      </c>
      <c r="B1097" s="1" t="s">
        <v>70</v>
      </c>
      <c r="C1097" s="1">
        <v>1617.28</v>
      </c>
      <c r="D1097" s="1">
        <v>750.67</v>
      </c>
    </row>
    <row r="1098" spans="1:4" x14ac:dyDescent="0.25">
      <c r="A1098" s="7">
        <v>44505.125</v>
      </c>
      <c r="B1098" s="1" t="s">
        <v>72</v>
      </c>
      <c r="C1098" s="1">
        <v>2589.52</v>
      </c>
      <c r="D1098" s="1">
        <v>1650.16</v>
      </c>
    </row>
    <row r="1099" spans="1:4" x14ac:dyDescent="0.25">
      <c r="A1099" s="7">
        <v>44505.125</v>
      </c>
      <c r="B1099" s="1" t="s">
        <v>73</v>
      </c>
      <c r="C1099" s="1">
        <v>1072.19</v>
      </c>
      <c r="D1099" s="1">
        <v>159.16</v>
      </c>
    </row>
    <row r="1100" spans="1:4" x14ac:dyDescent="0.25">
      <c r="A1100" s="7">
        <v>44505.125</v>
      </c>
      <c r="B1100" s="1" t="s">
        <v>77</v>
      </c>
      <c r="C1100" s="1">
        <v>3795.59</v>
      </c>
      <c r="D1100" s="1">
        <v>1285.3800000000001</v>
      </c>
    </row>
    <row r="1101" spans="1:4" x14ac:dyDescent="0.25">
      <c r="A1101" s="7">
        <v>44505.125</v>
      </c>
      <c r="B1101" s="1" t="s">
        <v>71</v>
      </c>
      <c r="C1101" s="1">
        <v>1252.6500000000001</v>
      </c>
      <c r="D1101" s="1">
        <v>452.53</v>
      </c>
    </row>
    <row r="1102" spans="1:4" x14ac:dyDescent="0.25">
      <c r="A1102" s="7">
        <v>44505.166666666664</v>
      </c>
      <c r="B1102" s="1" t="s">
        <v>74</v>
      </c>
      <c r="C1102" s="1">
        <v>926.86</v>
      </c>
      <c r="D1102" s="1">
        <v>290.75</v>
      </c>
    </row>
    <row r="1103" spans="1:4" x14ac:dyDescent="0.25">
      <c r="A1103" s="7">
        <v>44505.166666666664</v>
      </c>
      <c r="B1103" s="1" t="s">
        <v>78</v>
      </c>
      <c r="C1103" s="1">
        <v>537.12</v>
      </c>
      <c r="D1103" s="1">
        <v>415.34</v>
      </c>
    </row>
    <row r="1104" spans="1:4" x14ac:dyDescent="0.25">
      <c r="A1104" s="7">
        <v>44505.166666666664</v>
      </c>
      <c r="B1104" s="1" t="s">
        <v>75</v>
      </c>
      <c r="C1104" s="1">
        <v>226.63</v>
      </c>
      <c r="D1104" s="1">
        <v>192.04</v>
      </c>
    </row>
    <row r="1105" spans="1:4" x14ac:dyDescent="0.25">
      <c r="A1105" s="7">
        <v>44505.166666666664</v>
      </c>
      <c r="B1105" s="1" t="s">
        <v>76</v>
      </c>
      <c r="C1105" s="1">
        <v>1488.52</v>
      </c>
      <c r="D1105" s="1">
        <v>487.46</v>
      </c>
    </row>
    <row r="1106" spans="1:4" x14ac:dyDescent="0.25">
      <c r="A1106" s="7">
        <v>44505.166666666664</v>
      </c>
      <c r="B1106" s="1" t="s">
        <v>71</v>
      </c>
      <c r="C1106" s="1">
        <v>1137.72</v>
      </c>
      <c r="D1106" s="1">
        <v>461.68</v>
      </c>
    </row>
    <row r="1107" spans="1:4" x14ac:dyDescent="0.25">
      <c r="A1107" s="7">
        <v>44505.166666666664</v>
      </c>
      <c r="B1107" s="1" t="s">
        <v>69</v>
      </c>
      <c r="C1107" s="1">
        <v>1062.03</v>
      </c>
      <c r="D1107" s="1">
        <v>937.64</v>
      </c>
    </row>
    <row r="1108" spans="1:4" x14ac:dyDescent="0.25">
      <c r="A1108" s="7">
        <v>44505.166666666664</v>
      </c>
      <c r="B1108" s="1" t="s">
        <v>70</v>
      </c>
      <c r="C1108" s="1">
        <v>1111.2</v>
      </c>
      <c r="D1108" s="1">
        <v>634.72</v>
      </c>
    </row>
    <row r="1109" spans="1:4" x14ac:dyDescent="0.25">
      <c r="A1109" s="7">
        <v>44505.166666666664</v>
      </c>
      <c r="B1109" s="1" t="s">
        <v>72</v>
      </c>
      <c r="C1109" s="1">
        <v>1699.55</v>
      </c>
      <c r="D1109" s="1">
        <v>1230.6099999999999</v>
      </c>
    </row>
    <row r="1110" spans="1:4" x14ac:dyDescent="0.25">
      <c r="A1110" s="7">
        <v>44505.166666666664</v>
      </c>
      <c r="B1110" s="1" t="s">
        <v>73</v>
      </c>
      <c r="C1110" s="1">
        <v>795.15</v>
      </c>
      <c r="D1110" s="1">
        <v>145.34</v>
      </c>
    </row>
    <row r="1111" spans="1:4" x14ac:dyDescent="0.25">
      <c r="A1111" s="7">
        <v>44505.166666666664</v>
      </c>
      <c r="B1111" s="1" t="s">
        <v>68</v>
      </c>
      <c r="C1111" s="1">
        <v>972.39</v>
      </c>
      <c r="D1111" s="1">
        <v>427.39</v>
      </c>
    </row>
    <row r="1112" spans="1:4" x14ac:dyDescent="0.25">
      <c r="A1112" s="7">
        <v>44505.166666666664</v>
      </c>
      <c r="B1112" s="1" t="s">
        <v>77</v>
      </c>
      <c r="C1112" s="1">
        <v>2419.12</v>
      </c>
      <c r="D1112" s="1">
        <v>911.97</v>
      </c>
    </row>
    <row r="1113" spans="1:4" x14ac:dyDescent="0.25">
      <c r="A1113" s="7">
        <v>44505.208333333336</v>
      </c>
      <c r="B1113" s="1" t="s">
        <v>75</v>
      </c>
      <c r="C1113" s="1">
        <v>82.1</v>
      </c>
      <c r="D1113" s="1">
        <v>60.01</v>
      </c>
    </row>
    <row r="1114" spans="1:4" x14ac:dyDescent="0.25">
      <c r="A1114" s="7">
        <v>44505.208333333336</v>
      </c>
      <c r="B1114" s="1" t="s">
        <v>74</v>
      </c>
      <c r="C1114" s="1">
        <v>588.64</v>
      </c>
      <c r="D1114" s="1">
        <v>138.87</v>
      </c>
    </row>
    <row r="1115" spans="1:4" x14ac:dyDescent="0.25">
      <c r="A1115" s="7">
        <v>44505.208333333336</v>
      </c>
      <c r="B1115" s="1" t="s">
        <v>76</v>
      </c>
      <c r="C1115" s="1">
        <v>705.51</v>
      </c>
      <c r="D1115" s="1">
        <v>193.56</v>
      </c>
    </row>
    <row r="1116" spans="1:4" x14ac:dyDescent="0.25">
      <c r="A1116" s="7">
        <v>44505.208333333336</v>
      </c>
      <c r="B1116" s="1" t="s">
        <v>73</v>
      </c>
      <c r="C1116" s="1">
        <v>648.57000000000005</v>
      </c>
      <c r="D1116" s="1">
        <v>78.28</v>
      </c>
    </row>
    <row r="1117" spans="1:4" x14ac:dyDescent="0.25">
      <c r="A1117" s="7">
        <v>44505.208333333336</v>
      </c>
      <c r="B1117" s="1" t="s">
        <v>77</v>
      </c>
      <c r="C1117" s="1">
        <v>1611.42</v>
      </c>
      <c r="D1117" s="1">
        <v>541.14</v>
      </c>
    </row>
    <row r="1118" spans="1:4" x14ac:dyDescent="0.25">
      <c r="A1118" s="7">
        <v>44505.208333333336</v>
      </c>
      <c r="B1118" s="1" t="s">
        <v>71</v>
      </c>
      <c r="C1118" s="1">
        <v>1152.6199999999999</v>
      </c>
      <c r="D1118" s="1">
        <v>296.56</v>
      </c>
    </row>
    <row r="1119" spans="1:4" x14ac:dyDescent="0.25">
      <c r="A1119" s="7">
        <v>44505.208333333336</v>
      </c>
      <c r="B1119" s="1" t="s">
        <v>70</v>
      </c>
      <c r="C1119" s="1">
        <v>586.77</v>
      </c>
      <c r="D1119" s="1">
        <v>275.62</v>
      </c>
    </row>
    <row r="1120" spans="1:4" x14ac:dyDescent="0.25">
      <c r="A1120" s="7">
        <v>44505.208333333336</v>
      </c>
      <c r="B1120" s="1" t="s">
        <v>78</v>
      </c>
      <c r="C1120" s="1">
        <v>247.05</v>
      </c>
      <c r="D1120" s="1">
        <v>155.52000000000001</v>
      </c>
    </row>
    <row r="1121" spans="1:4" x14ac:dyDescent="0.25">
      <c r="A1121" s="7">
        <v>44505.208333333336</v>
      </c>
      <c r="B1121" s="1" t="s">
        <v>72</v>
      </c>
      <c r="C1121" s="1">
        <v>927.65</v>
      </c>
      <c r="D1121" s="1">
        <v>558.45000000000005</v>
      </c>
    </row>
    <row r="1122" spans="1:4" x14ac:dyDescent="0.25">
      <c r="A1122" s="7">
        <v>44505.208333333336</v>
      </c>
      <c r="B1122" s="1" t="s">
        <v>68</v>
      </c>
      <c r="C1122" s="1">
        <v>992.88</v>
      </c>
      <c r="D1122" s="1">
        <v>285.24</v>
      </c>
    </row>
    <row r="1123" spans="1:4" x14ac:dyDescent="0.25">
      <c r="A1123" s="7">
        <v>44505.208333333336</v>
      </c>
      <c r="B1123" s="1" t="s">
        <v>69</v>
      </c>
      <c r="C1123" s="1">
        <v>514.05999999999995</v>
      </c>
      <c r="D1123" s="1">
        <v>379.01</v>
      </c>
    </row>
    <row r="1124" spans="1:4" x14ac:dyDescent="0.25">
      <c r="A1124" s="7">
        <v>44505.25</v>
      </c>
      <c r="B1124" s="1" t="s">
        <v>75</v>
      </c>
      <c r="C1124" s="1">
        <v>112.45</v>
      </c>
      <c r="D1124" s="1">
        <v>48.71</v>
      </c>
    </row>
    <row r="1125" spans="1:4" x14ac:dyDescent="0.25">
      <c r="A1125" s="7">
        <v>44505.25</v>
      </c>
      <c r="B1125" s="1" t="s">
        <v>74</v>
      </c>
      <c r="C1125" s="1">
        <v>1796.92</v>
      </c>
      <c r="D1125" s="1">
        <v>291.77</v>
      </c>
    </row>
    <row r="1126" spans="1:4" x14ac:dyDescent="0.25">
      <c r="A1126" s="7">
        <v>44505.25</v>
      </c>
      <c r="B1126" s="1" t="s">
        <v>73</v>
      </c>
      <c r="C1126" s="1">
        <v>1812.65</v>
      </c>
      <c r="D1126" s="1">
        <v>195.31</v>
      </c>
    </row>
    <row r="1127" spans="1:4" x14ac:dyDescent="0.25">
      <c r="A1127" s="7">
        <v>44505.25</v>
      </c>
      <c r="B1127" s="1" t="s">
        <v>71</v>
      </c>
      <c r="C1127" s="1">
        <v>3129.36</v>
      </c>
      <c r="D1127" s="1">
        <v>778.61</v>
      </c>
    </row>
    <row r="1128" spans="1:4" x14ac:dyDescent="0.25">
      <c r="A1128" s="7">
        <v>44505.25</v>
      </c>
      <c r="B1128" s="1" t="s">
        <v>77</v>
      </c>
      <c r="C1128" s="1">
        <v>3645.54</v>
      </c>
      <c r="D1128" s="1">
        <v>1163.67</v>
      </c>
    </row>
    <row r="1129" spans="1:4" x14ac:dyDescent="0.25">
      <c r="A1129" s="7">
        <v>44505.25</v>
      </c>
      <c r="B1129" s="1" t="s">
        <v>69</v>
      </c>
      <c r="C1129" s="1">
        <v>887.98</v>
      </c>
      <c r="D1129" s="1">
        <v>468.6</v>
      </c>
    </row>
    <row r="1130" spans="1:4" x14ac:dyDescent="0.25">
      <c r="A1130" s="7">
        <v>44505.25</v>
      </c>
      <c r="B1130" s="1" t="s">
        <v>70</v>
      </c>
      <c r="C1130" s="1">
        <v>1252.01</v>
      </c>
      <c r="D1130" s="1">
        <v>482.73</v>
      </c>
    </row>
    <row r="1131" spans="1:4" x14ac:dyDescent="0.25">
      <c r="A1131" s="7">
        <v>44505.25</v>
      </c>
      <c r="B1131" s="1" t="s">
        <v>78</v>
      </c>
      <c r="C1131" s="1">
        <v>446.83</v>
      </c>
      <c r="D1131" s="1">
        <v>227.58</v>
      </c>
    </row>
    <row r="1132" spans="1:4" x14ac:dyDescent="0.25">
      <c r="A1132" s="7">
        <v>44505.25</v>
      </c>
      <c r="B1132" s="1" t="s">
        <v>76</v>
      </c>
      <c r="C1132" s="1">
        <v>2086.2600000000002</v>
      </c>
      <c r="D1132" s="1">
        <v>381.67</v>
      </c>
    </row>
    <row r="1133" spans="1:4" x14ac:dyDescent="0.25">
      <c r="A1133" s="7">
        <v>44505.25</v>
      </c>
      <c r="B1133" s="1" t="s">
        <v>72</v>
      </c>
      <c r="C1133" s="1">
        <v>1526.66</v>
      </c>
      <c r="D1133" s="1">
        <v>723.83</v>
      </c>
    </row>
    <row r="1134" spans="1:4" x14ac:dyDescent="0.25">
      <c r="A1134" s="7">
        <v>44505.25</v>
      </c>
      <c r="B1134" s="1" t="s">
        <v>68</v>
      </c>
      <c r="C1134" s="1">
        <v>2759.64</v>
      </c>
      <c r="D1134" s="1">
        <v>784.27</v>
      </c>
    </row>
    <row r="1135" spans="1:4" x14ac:dyDescent="0.25">
      <c r="A1135" s="7">
        <v>44505.291666666664</v>
      </c>
      <c r="B1135" s="1" t="s">
        <v>75</v>
      </c>
      <c r="C1135" s="1">
        <v>220.66</v>
      </c>
      <c r="D1135" s="1">
        <v>74.87</v>
      </c>
    </row>
    <row r="1136" spans="1:4" x14ac:dyDescent="0.25">
      <c r="A1136" s="7">
        <v>44505.291666666664</v>
      </c>
      <c r="B1136" s="1" t="s">
        <v>74</v>
      </c>
      <c r="C1136" s="1">
        <v>3712.53</v>
      </c>
      <c r="D1136" s="1">
        <v>662.81</v>
      </c>
    </row>
    <row r="1137" spans="1:4" x14ac:dyDescent="0.25">
      <c r="A1137" s="7">
        <v>44505.291666666664</v>
      </c>
      <c r="B1137" s="1" t="s">
        <v>68</v>
      </c>
      <c r="C1137" s="1">
        <v>4938.6899999999996</v>
      </c>
      <c r="D1137" s="1">
        <v>1580.74</v>
      </c>
    </row>
    <row r="1138" spans="1:4" x14ac:dyDescent="0.25">
      <c r="A1138" s="7">
        <v>44505.291666666664</v>
      </c>
      <c r="B1138" s="1" t="s">
        <v>77</v>
      </c>
      <c r="C1138" s="1">
        <v>6135.44</v>
      </c>
      <c r="D1138" s="1">
        <v>1826.12</v>
      </c>
    </row>
    <row r="1139" spans="1:4" x14ac:dyDescent="0.25">
      <c r="A1139" s="7">
        <v>44505.291666666664</v>
      </c>
      <c r="B1139" s="1" t="s">
        <v>71</v>
      </c>
      <c r="C1139" s="1">
        <v>5247.09</v>
      </c>
      <c r="D1139" s="1">
        <v>1561.44</v>
      </c>
    </row>
    <row r="1140" spans="1:4" x14ac:dyDescent="0.25">
      <c r="A1140" s="7">
        <v>44505.291666666664</v>
      </c>
      <c r="B1140" s="1" t="s">
        <v>69</v>
      </c>
      <c r="C1140" s="1">
        <v>1709.97</v>
      </c>
      <c r="D1140" s="1">
        <v>945.7</v>
      </c>
    </row>
    <row r="1141" spans="1:4" x14ac:dyDescent="0.25">
      <c r="A1141" s="7">
        <v>44505.291666666664</v>
      </c>
      <c r="B1141" s="1" t="s">
        <v>70</v>
      </c>
      <c r="C1141" s="1">
        <v>2527.7399999999998</v>
      </c>
      <c r="D1141" s="1">
        <v>932.85</v>
      </c>
    </row>
    <row r="1142" spans="1:4" x14ac:dyDescent="0.25">
      <c r="A1142" s="7">
        <v>44505.291666666664</v>
      </c>
      <c r="B1142" s="1" t="s">
        <v>78</v>
      </c>
      <c r="C1142" s="1">
        <v>672.49</v>
      </c>
      <c r="D1142" s="1">
        <v>318.61</v>
      </c>
    </row>
    <row r="1143" spans="1:4" x14ac:dyDescent="0.25">
      <c r="A1143" s="7">
        <v>44505.291666666664</v>
      </c>
      <c r="B1143" s="1" t="s">
        <v>76</v>
      </c>
      <c r="C1143" s="1">
        <v>4746.97</v>
      </c>
      <c r="D1143" s="1">
        <v>831.97</v>
      </c>
    </row>
    <row r="1144" spans="1:4" x14ac:dyDescent="0.25">
      <c r="A1144" s="7">
        <v>44505.291666666664</v>
      </c>
      <c r="B1144" s="1" t="s">
        <v>72</v>
      </c>
      <c r="C1144" s="1">
        <v>2945.63</v>
      </c>
      <c r="D1144" s="1">
        <v>1459.04</v>
      </c>
    </row>
    <row r="1145" spans="1:4" x14ac:dyDescent="0.25">
      <c r="A1145" s="7">
        <v>44505.291666666664</v>
      </c>
      <c r="B1145" s="1" t="s">
        <v>73</v>
      </c>
      <c r="C1145" s="1">
        <v>3854.5</v>
      </c>
      <c r="D1145" s="1">
        <v>467.7</v>
      </c>
    </row>
    <row r="1146" spans="1:4" x14ac:dyDescent="0.25">
      <c r="A1146" s="7">
        <v>44505.333333333336</v>
      </c>
      <c r="B1146" s="1" t="s">
        <v>74</v>
      </c>
      <c r="C1146" s="1">
        <v>5698.57</v>
      </c>
      <c r="D1146" s="1">
        <v>1193.07</v>
      </c>
    </row>
    <row r="1147" spans="1:4" x14ac:dyDescent="0.25">
      <c r="A1147" s="7">
        <v>44505.333333333336</v>
      </c>
      <c r="B1147" s="1" t="s">
        <v>75</v>
      </c>
      <c r="C1147" s="1">
        <v>440.26</v>
      </c>
      <c r="D1147" s="1">
        <v>141.99</v>
      </c>
    </row>
    <row r="1148" spans="1:4" x14ac:dyDescent="0.25">
      <c r="A1148" s="7">
        <v>44505.333333333336</v>
      </c>
      <c r="B1148" s="1" t="s">
        <v>72</v>
      </c>
      <c r="C1148" s="1">
        <v>5238.8500000000004</v>
      </c>
      <c r="D1148" s="1">
        <v>2850.69</v>
      </c>
    </row>
    <row r="1149" spans="1:4" x14ac:dyDescent="0.25">
      <c r="A1149" s="7">
        <v>44505.333333333336</v>
      </c>
      <c r="B1149" s="1" t="s">
        <v>68</v>
      </c>
      <c r="C1149" s="1">
        <v>6811.83</v>
      </c>
      <c r="D1149" s="1">
        <v>2563.63</v>
      </c>
    </row>
    <row r="1150" spans="1:4" x14ac:dyDescent="0.25">
      <c r="A1150" s="7">
        <v>44505.333333333336</v>
      </c>
      <c r="B1150" s="1" t="s">
        <v>69</v>
      </c>
      <c r="C1150" s="1">
        <v>3065.34</v>
      </c>
      <c r="D1150" s="1">
        <v>1975.42</v>
      </c>
    </row>
    <row r="1151" spans="1:4" x14ac:dyDescent="0.25">
      <c r="A1151" s="7">
        <v>44505.333333333336</v>
      </c>
      <c r="B1151" s="1" t="s">
        <v>78</v>
      </c>
      <c r="C1151" s="1">
        <v>1127.18</v>
      </c>
      <c r="D1151" s="1">
        <v>568.65</v>
      </c>
    </row>
    <row r="1152" spans="1:4" x14ac:dyDescent="0.25">
      <c r="A1152" s="7">
        <v>44505.333333333336</v>
      </c>
      <c r="B1152" s="1" t="s">
        <v>76</v>
      </c>
      <c r="C1152" s="1">
        <v>7532.73</v>
      </c>
      <c r="D1152" s="1">
        <v>1518.62</v>
      </c>
    </row>
    <row r="1153" spans="1:4" x14ac:dyDescent="0.25">
      <c r="A1153" s="7">
        <v>44505.333333333336</v>
      </c>
      <c r="B1153" s="1" t="s">
        <v>73</v>
      </c>
      <c r="C1153" s="1">
        <v>5421.87</v>
      </c>
      <c r="D1153" s="1">
        <v>826.53</v>
      </c>
    </row>
    <row r="1154" spans="1:4" x14ac:dyDescent="0.25">
      <c r="A1154" s="7">
        <v>44505.333333333336</v>
      </c>
      <c r="B1154" s="1" t="s">
        <v>77</v>
      </c>
      <c r="C1154" s="1">
        <v>9569.2900000000009</v>
      </c>
      <c r="D1154" s="1">
        <v>2981.33</v>
      </c>
    </row>
    <row r="1155" spans="1:4" x14ac:dyDescent="0.25">
      <c r="A1155" s="7">
        <v>44505.333333333336</v>
      </c>
      <c r="B1155" s="1" t="s">
        <v>71</v>
      </c>
      <c r="C1155" s="1">
        <v>7045.23</v>
      </c>
      <c r="D1155" s="1">
        <v>2461.5300000000002</v>
      </c>
    </row>
    <row r="1156" spans="1:4" x14ac:dyDescent="0.25">
      <c r="A1156" s="7">
        <v>44505.333333333336</v>
      </c>
      <c r="B1156" s="1" t="s">
        <v>70</v>
      </c>
      <c r="C1156" s="1">
        <v>4039.1</v>
      </c>
      <c r="D1156" s="1">
        <v>1728.56</v>
      </c>
    </row>
    <row r="1157" spans="1:4" x14ac:dyDescent="0.25">
      <c r="A1157" s="7">
        <v>44505.375</v>
      </c>
      <c r="B1157" s="1" t="s">
        <v>74</v>
      </c>
      <c r="C1157" s="1">
        <v>7003.19</v>
      </c>
      <c r="D1157" s="1">
        <v>1741.22</v>
      </c>
    </row>
    <row r="1158" spans="1:4" x14ac:dyDescent="0.25">
      <c r="A1158" s="7">
        <v>44505.375</v>
      </c>
      <c r="B1158" s="1" t="s">
        <v>78</v>
      </c>
      <c r="C1158" s="1">
        <v>1799.24</v>
      </c>
      <c r="D1158" s="1">
        <v>1045.24</v>
      </c>
    </row>
    <row r="1159" spans="1:4" x14ac:dyDescent="0.25">
      <c r="A1159" s="7">
        <v>44505.375</v>
      </c>
      <c r="B1159" s="1" t="s">
        <v>75</v>
      </c>
      <c r="C1159" s="1">
        <v>691.05</v>
      </c>
      <c r="D1159" s="1">
        <v>318.02</v>
      </c>
    </row>
    <row r="1160" spans="1:4" x14ac:dyDescent="0.25">
      <c r="A1160" s="7">
        <v>44505.375</v>
      </c>
      <c r="B1160" s="1" t="s">
        <v>76</v>
      </c>
      <c r="C1160" s="1">
        <v>9880.9500000000007</v>
      </c>
      <c r="D1160" s="1">
        <v>2281.1799999999998</v>
      </c>
    </row>
    <row r="1161" spans="1:4" x14ac:dyDescent="0.25">
      <c r="A1161" s="7">
        <v>44505.375</v>
      </c>
      <c r="B1161" s="1" t="s">
        <v>68</v>
      </c>
      <c r="C1161" s="1">
        <v>8027.16</v>
      </c>
      <c r="D1161" s="1">
        <v>3513.04</v>
      </c>
    </row>
    <row r="1162" spans="1:4" x14ac:dyDescent="0.25">
      <c r="A1162" s="7">
        <v>44505.375</v>
      </c>
      <c r="B1162" s="1" t="s">
        <v>71</v>
      </c>
      <c r="C1162" s="1">
        <v>8314.18</v>
      </c>
      <c r="D1162" s="1">
        <v>3258.53</v>
      </c>
    </row>
    <row r="1163" spans="1:4" x14ac:dyDescent="0.25">
      <c r="A1163" s="7">
        <v>44505.375</v>
      </c>
      <c r="B1163" s="1" t="s">
        <v>70</v>
      </c>
      <c r="C1163" s="1">
        <v>5596.61</v>
      </c>
      <c r="D1163" s="1">
        <v>2635.53</v>
      </c>
    </row>
    <row r="1164" spans="1:4" x14ac:dyDescent="0.25">
      <c r="A1164" s="7">
        <v>44505.375</v>
      </c>
      <c r="B1164" s="1" t="s">
        <v>72</v>
      </c>
      <c r="C1164" s="1">
        <v>8163.89</v>
      </c>
      <c r="D1164" s="1">
        <v>5152.8999999999996</v>
      </c>
    </row>
    <row r="1165" spans="1:4" x14ac:dyDescent="0.25">
      <c r="A1165" s="7">
        <v>44505.375</v>
      </c>
      <c r="B1165" s="1" t="s">
        <v>73</v>
      </c>
      <c r="C1165" s="1">
        <v>6647.08</v>
      </c>
      <c r="D1165" s="1">
        <v>1149.58</v>
      </c>
    </row>
    <row r="1166" spans="1:4" x14ac:dyDescent="0.25">
      <c r="A1166" s="7">
        <v>44505.375</v>
      </c>
      <c r="B1166" s="1" t="s">
        <v>77</v>
      </c>
      <c r="C1166" s="1">
        <v>13056.94</v>
      </c>
      <c r="D1166" s="1">
        <v>4304.58</v>
      </c>
    </row>
    <row r="1167" spans="1:4" x14ac:dyDescent="0.25">
      <c r="A1167" s="7">
        <v>44505.375</v>
      </c>
      <c r="B1167" s="1" t="s">
        <v>69</v>
      </c>
      <c r="C1167" s="1">
        <v>5016.37</v>
      </c>
      <c r="D1167" s="1">
        <v>3942.27</v>
      </c>
    </row>
    <row r="1168" spans="1:4" x14ac:dyDescent="0.25">
      <c r="A1168" s="7">
        <v>44505.416666666664</v>
      </c>
      <c r="B1168" s="1" t="s">
        <v>75</v>
      </c>
      <c r="C1168" s="1">
        <v>926.85</v>
      </c>
      <c r="D1168" s="1">
        <v>512.6</v>
      </c>
    </row>
    <row r="1169" spans="1:4" x14ac:dyDescent="0.25">
      <c r="A1169" s="7">
        <v>44505.416666666664</v>
      </c>
      <c r="B1169" s="1" t="s">
        <v>74</v>
      </c>
      <c r="C1169" s="1">
        <v>7741.23</v>
      </c>
      <c r="D1169" s="1">
        <v>2212.31</v>
      </c>
    </row>
    <row r="1170" spans="1:4" x14ac:dyDescent="0.25">
      <c r="A1170" s="7">
        <v>44505.416666666664</v>
      </c>
      <c r="B1170" s="1" t="s">
        <v>78</v>
      </c>
      <c r="C1170" s="1">
        <v>2260.59</v>
      </c>
      <c r="D1170" s="1">
        <v>1543.15</v>
      </c>
    </row>
    <row r="1171" spans="1:4" x14ac:dyDescent="0.25">
      <c r="A1171" s="7">
        <v>44505.416666666664</v>
      </c>
      <c r="B1171" s="1" t="s">
        <v>76</v>
      </c>
      <c r="C1171" s="1">
        <v>11107.32</v>
      </c>
      <c r="D1171" s="1">
        <v>2955.2</v>
      </c>
    </row>
    <row r="1172" spans="1:4" x14ac:dyDescent="0.25">
      <c r="A1172" s="7">
        <v>44505.416666666664</v>
      </c>
      <c r="B1172" s="1" t="s">
        <v>73</v>
      </c>
      <c r="C1172" s="1">
        <v>7274.48</v>
      </c>
      <c r="D1172" s="1">
        <v>1372.92</v>
      </c>
    </row>
    <row r="1173" spans="1:4" x14ac:dyDescent="0.25">
      <c r="A1173" s="7">
        <v>44505.416666666664</v>
      </c>
      <c r="B1173" s="1" t="s">
        <v>71</v>
      </c>
      <c r="C1173" s="1">
        <v>8926.5400000000009</v>
      </c>
      <c r="D1173" s="1">
        <v>3741.24</v>
      </c>
    </row>
    <row r="1174" spans="1:4" x14ac:dyDescent="0.25">
      <c r="A1174" s="7">
        <v>44505.416666666664</v>
      </c>
      <c r="B1174" s="1" t="s">
        <v>69</v>
      </c>
      <c r="C1174" s="1">
        <v>6501.88</v>
      </c>
      <c r="D1174" s="1">
        <v>5874.26</v>
      </c>
    </row>
    <row r="1175" spans="1:4" x14ac:dyDescent="0.25">
      <c r="A1175" s="7">
        <v>44505.416666666664</v>
      </c>
      <c r="B1175" s="1" t="s">
        <v>70</v>
      </c>
      <c r="C1175" s="1">
        <v>6560.08</v>
      </c>
      <c r="D1175" s="1">
        <v>3380.69</v>
      </c>
    </row>
    <row r="1176" spans="1:4" x14ac:dyDescent="0.25">
      <c r="A1176" s="7">
        <v>44505.416666666664</v>
      </c>
      <c r="B1176" s="1" t="s">
        <v>72</v>
      </c>
      <c r="C1176" s="1">
        <v>11291.42</v>
      </c>
      <c r="D1176" s="1">
        <v>7870.76</v>
      </c>
    </row>
    <row r="1177" spans="1:4" x14ac:dyDescent="0.25">
      <c r="A1177" s="7">
        <v>44505.416666666664</v>
      </c>
      <c r="B1177" s="1" t="s">
        <v>68</v>
      </c>
      <c r="C1177" s="1">
        <v>8456.5300000000007</v>
      </c>
      <c r="D1177" s="1">
        <v>4088.92</v>
      </c>
    </row>
    <row r="1178" spans="1:4" x14ac:dyDescent="0.25">
      <c r="A1178" s="7">
        <v>44505.416666666664</v>
      </c>
      <c r="B1178" s="1" t="s">
        <v>77</v>
      </c>
      <c r="C1178" s="1">
        <v>14846.33</v>
      </c>
      <c r="D1178" s="1">
        <v>4983.3100000000004</v>
      </c>
    </row>
    <row r="1179" spans="1:4" x14ac:dyDescent="0.25">
      <c r="A1179" s="7">
        <v>44505.458333333336</v>
      </c>
      <c r="B1179" s="1" t="s">
        <v>75</v>
      </c>
      <c r="C1179" s="1">
        <v>1068.8699999999999</v>
      </c>
      <c r="D1179" s="1">
        <v>641.84</v>
      </c>
    </row>
    <row r="1180" spans="1:4" x14ac:dyDescent="0.25">
      <c r="A1180" s="7">
        <v>44505.458333333336</v>
      </c>
      <c r="B1180" s="1" t="s">
        <v>74</v>
      </c>
      <c r="C1180" s="1">
        <v>7695.08</v>
      </c>
      <c r="D1180" s="1">
        <v>2368.98</v>
      </c>
    </row>
    <row r="1181" spans="1:4" x14ac:dyDescent="0.25">
      <c r="A1181" s="7">
        <v>44505.458333333336</v>
      </c>
      <c r="B1181" s="1" t="s">
        <v>72</v>
      </c>
      <c r="C1181" s="1">
        <v>11284.74</v>
      </c>
      <c r="D1181" s="1">
        <v>8662.59</v>
      </c>
    </row>
    <row r="1182" spans="1:4" x14ac:dyDescent="0.25">
      <c r="A1182" s="7">
        <v>44505.458333333336</v>
      </c>
      <c r="B1182" s="1" t="s">
        <v>77</v>
      </c>
      <c r="C1182" s="1">
        <v>14854.81</v>
      </c>
      <c r="D1182" s="1">
        <v>5245.67</v>
      </c>
    </row>
    <row r="1183" spans="1:4" x14ac:dyDescent="0.25">
      <c r="A1183" s="7">
        <v>44505.458333333336</v>
      </c>
      <c r="B1183" s="1" t="s">
        <v>71</v>
      </c>
      <c r="C1183" s="1">
        <v>8745.39</v>
      </c>
      <c r="D1183" s="1">
        <v>3825.68</v>
      </c>
    </row>
    <row r="1184" spans="1:4" x14ac:dyDescent="0.25">
      <c r="A1184" s="7">
        <v>44505.458333333336</v>
      </c>
      <c r="B1184" s="1" t="s">
        <v>69</v>
      </c>
      <c r="C1184" s="1">
        <v>6782.53</v>
      </c>
      <c r="D1184" s="1">
        <v>6873.34</v>
      </c>
    </row>
    <row r="1185" spans="1:4" x14ac:dyDescent="0.25">
      <c r="A1185" s="7">
        <v>44505.458333333336</v>
      </c>
      <c r="B1185" s="1" t="s">
        <v>70</v>
      </c>
      <c r="C1185" s="1">
        <v>6855.76</v>
      </c>
      <c r="D1185" s="1">
        <v>3649.73</v>
      </c>
    </row>
    <row r="1186" spans="1:4" x14ac:dyDescent="0.25">
      <c r="A1186" s="7">
        <v>44505.458333333336</v>
      </c>
      <c r="B1186" s="1" t="s">
        <v>78</v>
      </c>
      <c r="C1186" s="1">
        <v>2449.34</v>
      </c>
      <c r="D1186" s="1">
        <v>1785.45</v>
      </c>
    </row>
    <row r="1187" spans="1:4" x14ac:dyDescent="0.25">
      <c r="A1187" s="7">
        <v>44505.458333333336</v>
      </c>
      <c r="B1187" s="1" t="s">
        <v>76</v>
      </c>
      <c r="C1187" s="1">
        <v>11249.59</v>
      </c>
      <c r="D1187" s="1">
        <v>3316.87</v>
      </c>
    </row>
    <row r="1188" spans="1:4" x14ac:dyDescent="0.25">
      <c r="A1188" s="7">
        <v>44505.458333333336</v>
      </c>
      <c r="B1188" s="1" t="s">
        <v>73</v>
      </c>
      <c r="C1188" s="1">
        <v>7061.28</v>
      </c>
      <c r="D1188" s="1">
        <v>1365.84</v>
      </c>
    </row>
    <row r="1189" spans="1:4" x14ac:dyDescent="0.25">
      <c r="A1189" s="7">
        <v>44505.458333333336</v>
      </c>
      <c r="B1189" s="1" t="s">
        <v>68</v>
      </c>
      <c r="C1189" s="1">
        <v>8328.16</v>
      </c>
      <c r="D1189" s="1">
        <v>4217.5</v>
      </c>
    </row>
    <row r="1190" spans="1:4" x14ac:dyDescent="0.25">
      <c r="A1190" s="7">
        <v>44505.5</v>
      </c>
      <c r="B1190" s="1" t="s">
        <v>74</v>
      </c>
      <c r="C1190" s="1">
        <v>7222.24</v>
      </c>
      <c r="D1190" s="1">
        <v>2260.84</v>
      </c>
    </row>
    <row r="1191" spans="1:4" x14ac:dyDescent="0.25">
      <c r="A1191" s="7">
        <v>44505.5</v>
      </c>
      <c r="B1191" s="1" t="s">
        <v>75</v>
      </c>
      <c r="C1191" s="1">
        <v>1081.24</v>
      </c>
      <c r="D1191" s="1">
        <v>690.06</v>
      </c>
    </row>
    <row r="1192" spans="1:4" x14ac:dyDescent="0.25">
      <c r="A1192" s="7">
        <v>44505.5</v>
      </c>
      <c r="B1192" s="1" t="s">
        <v>72</v>
      </c>
      <c r="C1192" s="1">
        <v>10947.98</v>
      </c>
      <c r="D1192" s="1">
        <v>8657.34</v>
      </c>
    </row>
    <row r="1193" spans="1:4" x14ac:dyDescent="0.25">
      <c r="A1193" s="7">
        <v>44505.5</v>
      </c>
      <c r="B1193" s="1" t="s">
        <v>77</v>
      </c>
      <c r="C1193" s="1">
        <v>14564.36</v>
      </c>
      <c r="D1193" s="1">
        <v>5162.87</v>
      </c>
    </row>
    <row r="1194" spans="1:4" x14ac:dyDescent="0.25">
      <c r="A1194" s="7">
        <v>44505.5</v>
      </c>
      <c r="B1194" s="1" t="s">
        <v>70</v>
      </c>
      <c r="C1194" s="1">
        <v>6510.54</v>
      </c>
      <c r="D1194" s="1">
        <v>3527.88</v>
      </c>
    </row>
    <row r="1195" spans="1:4" x14ac:dyDescent="0.25">
      <c r="A1195" s="7">
        <v>44505.5</v>
      </c>
      <c r="B1195" s="1" t="s">
        <v>69</v>
      </c>
      <c r="C1195" s="1">
        <v>6649.16</v>
      </c>
      <c r="D1195" s="1">
        <v>6921.8</v>
      </c>
    </row>
    <row r="1196" spans="1:4" x14ac:dyDescent="0.25">
      <c r="A1196" s="7">
        <v>44505.5</v>
      </c>
      <c r="B1196" s="1" t="s">
        <v>78</v>
      </c>
      <c r="C1196" s="1">
        <v>2482.0500000000002</v>
      </c>
      <c r="D1196" s="1">
        <v>1790.4</v>
      </c>
    </row>
    <row r="1197" spans="1:4" x14ac:dyDescent="0.25">
      <c r="A1197" s="7">
        <v>44505.5</v>
      </c>
      <c r="B1197" s="1" t="s">
        <v>76</v>
      </c>
      <c r="C1197" s="1">
        <v>10742.88</v>
      </c>
      <c r="D1197" s="1">
        <v>3139.45</v>
      </c>
    </row>
    <row r="1198" spans="1:4" x14ac:dyDescent="0.25">
      <c r="A1198" s="7">
        <v>44505.5</v>
      </c>
      <c r="B1198" s="1" t="s">
        <v>73</v>
      </c>
      <c r="C1198" s="1">
        <v>6550.67</v>
      </c>
      <c r="D1198" s="1">
        <v>1310.96</v>
      </c>
    </row>
    <row r="1199" spans="1:4" x14ac:dyDescent="0.25">
      <c r="A1199" s="7">
        <v>44505.5</v>
      </c>
      <c r="B1199" s="1" t="s">
        <v>68</v>
      </c>
      <c r="C1199" s="1">
        <v>7493.84</v>
      </c>
      <c r="D1199" s="1">
        <v>3871.52</v>
      </c>
    </row>
    <row r="1200" spans="1:4" x14ac:dyDescent="0.25">
      <c r="A1200" s="7">
        <v>44505.5</v>
      </c>
      <c r="B1200" s="1" t="s">
        <v>71</v>
      </c>
      <c r="C1200" s="1">
        <v>7911.12</v>
      </c>
      <c r="D1200" s="1">
        <v>3505.31</v>
      </c>
    </row>
    <row r="1201" spans="1:4" x14ac:dyDescent="0.25">
      <c r="A1201" s="7">
        <v>44505.541666666664</v>
      </c>
      <c r="B1201" s="1" t="s">
        <v>75</v>
      </c>
      <c r="C1201" s="1">
        <v>946.93</v>
      </c>
      <c r="D1201" s="1">
        <v>606.73</v>
      </c>
    </row>
    <row r="1202" spans="1:4" x14ac:dyDescent="0.25">
      <c r="A1202" s="7">
        <v>44505.541666666664</v>
      </c>
      <c r="B1202" s="1" t="s">
        <v>74</v>
      </c>
      <c r="C1202" s="1">
        <v>6350.46</v>
      </c>
      <c r="D1202" s="1">
        <v>1986.72</v>
      </c>
    </row>
    <row r="1203" spans="1:4" x14ac:dyDescent="0.25">
      <c r="A1203" s="7">
        <v>44505.541666666664</v>
      </c>
      <c r="B1203" s="1" t="s">
        <v>68</v>
      </c>
      <c r="C1203" s="1">
        <v>6310.9</v>
      </c>
      <c r="D1203" s="1">
        <v>3099.01</v>
      </c>
    </row>
    <row r="1204" spans="1:4" x14ac:dyDescent="0.25">
      <c r="A1204" s="7">
        <v>44505.541666666664</v>
      </c>
      <c r="B1204" s="1" t="s">
        <v>77</v>
      </c>
      <c r="C1204" s="1">
        <v>15888.19</v>
      </c>
      <c r="D1204" s="1">
        <v>5841.41</v>
      </c>
    </row>
    <row r="1205" spans="1:4" x14ac:dyDescent="0.25">
      <c r="A1205" s="7">
        <v>44505.541666666664</v>
      </c>
      <c r="B1205" s="1" t="s">
        <v>71</v>
      </c>
      <c r="C1205" s="1">
        <v>6337.62</v>
      </c>
      <c r="D1205" s="1">
        <v>2802.37</v>
      </c>
    </row>
    <row r="1206" spans="1:4" x14ac:dyDescent="0.25">
      <c r="A1206" s="7">
        <v>44505.541666666664</v>
      </c>
      <c r="B1206" s="1" t="s">
        <v>70</v>
      </c>
      <c r="C1206" s="1">
        <v>5475.59</v>
      </c>
      <c r="D1206" s="1">
        <v>2943.53</v>
      </c>
    </row>
    <row r="1207" spans="1:4" x14ac:dyDescent="0.25">
      <c r="A1207" s="7">
        <v>44505.541666666664</v>
      </c>
      <c r="B1207" s="1" t="s">
        <v>78</v>
      </c>
      <c r="C1207" s="1">
        <v>2576.85</v>
      </c>
      <c r="D1207" s="1">
        <v>1767.86</v>
      </c>
    </row>
    <row r="1208" spans="1:4" x14ac:dyDescent="0.25">
      <c r="A1208" s="7">
        <v>44505.541666666664</v>
      </c>
      <c r="B1208" s="1" t="s">
        <v>76</v>
      </c>
      <c r="C1208" s="1">
        <v>9577.44</v>
      </c>
      <c r="D1208" s="1">
        <v>3024.4</v>
      </c>
    </row>
    <row r="1209" spans="1:4" x14ac:dyDescent="0.25">
      <c r="A1209" s="7">
        <v>44505.541666666664</v>
      </c>
      <c r="B1209" s="1" t="s">
        <v>72</v>
      </c>
      <c r="C1209" s="1">
        <v>9935.2099999999991</v>
      </c>
      <c r="D1209" s="1">
        <v>7848.25</v>
      </c>
    </row>
    <row r="1210" spans="1:4" x14ac:dyDescent="0.25">
      <c r="A1210" s="7">
        <v>44505.541666666664</v>
      </c>
      <c r="B1210" s="1" t="s">
        <v>73</v>
      </c>
      <c r="C1210" s="1">
        <v>5500.04</v>
      </c>
      <c r="D1210" s="1">
        <v>1074.96</v>
      </c>
    </row>
    <row r="1211" spans="1:4" x14ac:dyDescent="0.25">
      <c r="A1211" s="7">
        <v>44505.541666666664</v>
      </c>
      <c r="B1211" s="1" t="s">
        <v>69</v>
      </c>
      <c r="C1211" s="1">
        <v>6355.48</v>
      </c>
      <c r="D1211" s="1">
        <v>6252.82</v>
      </c>
    </row>
    <row r="1212" spans="1:4" x14ac:dyDescent="0.25">
      <c r="A1212" s="7">
        <v>44505.583333333336</v>
      </c>
      <c r="B1212" s="1" t="s">
        <v>75</v>
      </c>
      <c r="C1212" s="1">
        <v>1012.08</v>
      </c>
      <c r="D1212" s="1">
        <v>645.57000000000005</v>
      </c>
    </row>
    <row r="1213" spans="1:4" x14ac:dyDescent="0.25">
      <c r="A1213" s="7">
        <v>44505.583333333336</v>
      </c>
      <c r="B1213" s="1" t="s">
        <v>74</v>
      </c>
      <c r="C1213" s="1">
        <v>7143.89</v>
      </c>
      <c r="D1213" s="1">
        <v>2135.3200000000002</v>
      </c>
    </row>
    <row r="1214" spans="1:4" x14ac:dyDescent="0.25">
      <c r="A1214" s="7">
        <v>44505.583333333336</v>
      </c>
      <c r="B1214" s="1" t="s">
        <v>68</v>
      </c>
      <c r="C1214" s="1">
        <v>7349.59</v>
      </c>
      <c r="D1214" s="1">
        <v>3525.16</v>
      </c>
    </row>
    <row r="1215" spans="1:4" x14ac:dyDescent="0.25">
      <c r="A1215" s="7">
        <v>44505.583333333336</v>
      </c>
      <c r="B1215" s="1" t="s">
        <v>78</v>
      </c>
      <c r="C1215" s="1">
        <v>2718.34</v>
      </c>
      <c r="D1215" s="1">
        <v>1759.5</v>
      </c>
    </row>
    <row r="1216" spans="1:4" x14ac:dyDescent="0.25">
      <c r="A1216" s="7">
        <v>44505.583333333336</v>
      </c>
      <c r="B1216" s="1" t="s">
        <v>73</v>
      </c>
      <c r="C1216" s="1">
        <v>6067.88</v>
      </c>
      <c r="D1216" s="1">
        <v>1112.94</v>
      </c>
    </row>
    <row r="1217" spans="1:4" x14ac:dyDescent="0.25">
      <c r="A1217" s="7">
        <v>44505.583333333336</v>
      </c>
      <c r="B1217" s="1" t="s">
        <v>71</v>
      </c>
      <c r="C1217" s="1">
        <v>7389.83</v>
      </c>
      <c r="D1217" s="1">
        <v>3113.65</v>
      </c>
    </row>
    <row r="1218" spans="1:4" x14ac:dyDescent="0.25">
      <c r="A1218" s="7">
        <v>44505.583333333336</v>
      </c>
      <c r="B1218" s="1" t="s">
        <v>76</v>
      </c>
      <c r="C1218" s="1">
        <v>9806.74</v>
      </c>
      <c r="D1218" s="1">
        <v>3105.77</v>
      </c>
    </row>
    <row r="1219" spans="1:4" x14ac:dyDescent="0.25">
      <c r="A1219" s="7">
        <v>44505.583333333336</v>
      </c>
      <c r="B1219" s="1" t="s">
        <v>72</v>
      </c>
      <c r="C1219" s="1">
        <v>10841.5</v>
      </c>
      <c r="D1219" s="1">
        <v>8292.8700000000008</v>
      </c>
    </row>
    <row r="1220" spans="1:4" x14ac:dyDescent="0.25">
      <c r="A1220" s="7">
        <v>44505.583333333336</v>
      </c>
      <c r="B1220" s="1" t="s">
        <v>77</v>
      </c>
      <c r="C1220" s="1">
        <v>16152.26</v>
      </c>
      <c r="D1220" s="1">
        <v>5860.61</v>
      </c>
    </row>
    <row r="1221" spans="1:4" x14ac:dyDescent="0.25">
      <c r="A1221" s="7">
        <v>44505.583333333336</v>
      </c>
      <c r="B1221" s="1" t="s">
        <v>69</v>
      </c>
      <c r="C1221" s="1">
        <v>6868.66</v>
      </c>
      <c r="D1221" s="1">
        <v>6635.58</v>
      </c>
    </row>
    <row r="1222" spans="1:4" x14ac:dyDescent="0.25">
      <c r="A1222" s="7">
        <v>44505.583333333336</v>
      </c>
      <c r="B1222" s="1" t="s">
        <v>70</v>
      </c>
      <c r="C1222" s="1">
        <v>5976.75</v>
      </c>
      <c r="D1222" s="1">
        <v>3165.92</v>
      </c>
    </row>
    <row r="1223" spans="1:4" x14ac:dyDescent="0.25">
      <c r="A1223" s="7">
        <v>44505.625</v>
      </c>
      <c r="B1223" s="1" t="s">
        <v>75</v>
      </c>
      <c r="C1223" s="1">
        <v>1000.99</v>
      </c>
      <c r="D1223" s="1">
        <v>651.04999999999995</v>
      </c>
    </row>
    <row r="1224" spans="1:4" x14ac:dyDescent="0.25">
      <c r="A1224" s="7">
        <v>44505.625</v>
      </c>
      <c r="B1224" s="1" t="s">
        <v>74</v>
      </c>
      <c r="C1224" s="1">
        <v>7392.54</v>
      </c>
      <c r="D1224" s="1">
        <v>2207.36</v>
      </c>
    </row>
    <row r="1225" spans="1:4" x14ac:dyDescent="0.25">
      <c r="A1225" s="7">
        <v>44505.625</v>
      </c>
      <c r="B1225" s="1" t="s">
        <v>78</v>
      </c>
      <c r="C1225" s="1">
        <v>2707.39</v>
      </c>
      <c r="D1225" s="1">
        <v>1783.76</v>
      </c>
    </row>
    <row r="1226" spans="1:4" x14ac:dyDescent="0.25">
      <c r="A1226" s="7">
        <v>44505.625</v>
      </c>
      <c r="B1226" s="1" t="s">
        <v>76</v>
      </c>
      <c r="C1226" s="1">
        <v>10194.1</v>
      </c>
      <c r="D1226" s="1">
        <v>3253.24</v>
      </c>
    </row>
    <row r="1227" spans="1:4" x14ac:dyDescent="0.25">
      <c r="A1227" s="7">
        <v>44505.625</v>
      </c>
      <c r="B1227" s="1" t="s">
        <v>68</v>
      </c>
      <c r="C1227" s="1">
        <v>8153.95</v>
      </c>
      <c r="D1227" s="1">
        <v>3800.24</v>
      </c>
    </row>
    <row r="1228" spans="1:4" x14ac:dyDescent="0.25">
      <c r="A1228" s="7">
        <v>44505.625</v>
      </c>
      <c r="B1228" s="1" t="s">
        <v>71</v>
      </c>
      <c r="C1228" s="1">
        <v>8783.84</v>
      </c>
      <c r="D1228" s="1">
        <v>3529.51</v>
      </c>
    </row>
    <row r="1229" spans="1:4" x14ac:dyDescent="0.25">
      <c r="A1229" s="7">
        <v>44505.625</v>
      </c>
      <c r="B1229" s="1" t="s">
        <v>70</v>
      </c>
      <c r="C1229" s="1">
        <v>6012.97</v>
      </c>
      <c r="D1229" s="1">
        <v>3258.48</v>
      </c>
    </row>
    <row r="1230" spans="1:4" x14ac:dyDescent="0.25">
      <c r="A1230" s="7">
        <v>44505.625</v>
      </c>
      <c r="B1230" s="1" t="s">
        <v>72</v>
      </c>
      <c r="C1230" s="1">
        <v>10955.56</v>
      </c>
      <c r="D1230" s="1">
        <v>8534.93</v>
      </c>
    </row>
    <row r="1231" spans="1:4" x14ac:dyDescent="0.25">
      <c r="A1231" s="7">
        <v>44505.625</v>
      </c>
      <c r="B1231" s="1" t="s">
        <v>73</v>
      </c>
      <c r="C1231" s="1">
        <v>6491.07</v>
      </c>
      <c r="D1231" s="1">
        <v>1225.44</v>
      </c>
    </row>
    <row r="1232" spans="1:4" x14ac:dyDescent="0.25">
      <c r="A1232" s="7">
        <v>44505.625</v>
      </c>
      <c r="B1232" s="1" t="s">
        <v>77</v>
      </c>
      <c r="C1232" s="1">
        <v>16827.23</v>
      </c>
      <c r="D1232" s="1">
        <v>6186.42</v>
      </c>
    </row>
    <row r="1233" spans="1:4" x14ac:dyDescent="0.25">
      <c r="A1233" s="7">
        <v>44505.625</v>
      </c>
      <c r="B1233" s="1" t="s">
        <v>69</v>
      </c>
      <c r="C1233" s="1">
        <v>6993.2</v>
      </c>
      <c r="D1233" s="1">
        <v>6634.5</v>
      </c>
    </row>
    <row r="1234" spans="1:4" x14ac:dyDescent="0.25">
      <c r="A1234" s="7">
        <v>44505.666666666664</v>
      </c>
      <c r="B1234" s="1" t="s">
        <v>75</v>
      </c>
      <c r="C1234" s="1">
        <v>942.31</v>
      </c>
      <c r="D1234" s="1">
        <v>628.71</v>
      </c>
    </row>
    <row r="1235" spans="1:4" x14ac:dyDescent="0.25">
      <c r="A1235" s="7">
        <v>44505.666666666664</v>
      </c>
      <c r="B1235" s="1" t="s">
        <v>74</v>
      </c>
      <c r="C1235" s="1">
        <v>7178.33</v>
      </c>
      <c r="D1235" s="1">
        <v>2150.71</v>
      </c>
    </row>
    <row r="1236" spans="1:4" x14ac:dyDescent="0.25">
      <c r="A1236" s="7">
        <v>44505.666666666664</v>
      </c>
      <c r="B1236" s="1" t="s">
        <v>76</v>
      </c>
      <c r="C1236" s="1">
        <v>10005.379999999999</v>
      </c>
      <c r="D1236" s="1">
        <v>3230.99</v>
      </c>
    </row>
    <row r="1237" spans="1:4" x14ac:dyDescent="0.25">
      <c r="A1237" s="7">
        <v>44505.666666666664</v>
      </c>
      <c r="B1237" s="1" t="s">
        <v>77</v>
      </c>
      <c r="C1237" s="1">
        <v>17028.221000000001</v>
      </c>
      <c r="D1237" s="1">
        <v>6132.07</v>
      </c>
    </row>
    <row r="1238" spans="1:4" x14ac:dyDescent="0.25">
      <c r="A1238" s="7">
        <v>44505.666666666664</v>
      </c>
      <c r="B1238" s="1" t="s">
        <v>71</v>
      </c>
      <c r="C1238" s="1">
        <v>9407.16</v>
      </c>
      <c r="D1238" s="1">
        <v>3781.53</v>
      </c>
    </row>
    <row r="1239" spans="1:4" x14ac:dyDescent="0.25">
      <c r="A1239" s="7">
        <v>44505.666666666664</v>
      </c>
      <c r="B1239" s="1" t="s">
        <v>69</v>
      </c>
      <c r="C1239" s="1">
        <v>6819.42</v>
      </c>
      <c r="D1239" s="1">
        <v>6236.42</v>
      </c>
    </row>
    <row r="1240" spans="1:4" x14ac:dyDescent="0.25">
      <c r="A1240" s="7">
        <v>44505.666666666664</v>
      </c>
      <c r="B1240" s="1" t="s">
        <v>70</v>
      </c>
      <c r="C1240" s="1">
        <v>5833.06</v>
      </c>
      <c r="D1240" s="1">
        <v>3177.12</v>
      </c>
    </row>
    <row r="1241" spans="1:4" x14ac:dyDescent="0.25">
      <c r="A1241" s="7">
        <v>44505.666666666664</v>
      </c>
      <c r="B1241" s="1" t="s">
        <v>78</v>
      </c>
      <c r="C1241" s="1">
        <v>2489.44</v>
      </c>
      <c r="D1241" s="1">
        <v>1670.22</v>
      </c>
    </row>
    <row r="1242" spans="1:4" x14ac:dyDescent="0.25">
      <c r="A1242" s="7">
        <v>44505.666666666664</v>
      </c>
      <c r="B1242" s="1" t="s">
        <v>72</v>
      </c>
      <c r="C1242" s="1">
        <v>10576.85</v>
      </c>
      <c r="D1242" s="1">
        <v>8046.42</v>
      </c>
    </row>
    <row r="1243" spans="1:4" x14ac:dyDescent="0.25">
      <c r="A1243" s="7">
        <v>44505.666666666664</v>
      </c>
      <c r="B1243" s="1" t="s">
        <v>73</v>
      </c>
      <c r="C1243" s="1">
        <v>7218.02</v>
      </c>
      <c r="D1243" s="1">
        <v>1307.23</v>
      </c>
    </row>
    <row r="1244" spans="1:4" x14ac:dyDescent="0.25">
      <c r="A1244" s="7">
        <v>44505.666666666664</v>
      </c>
      <c r="B1244" s="1" t="s">
        <v>68</v>
      </c>
      <c r="C1244" s="1">
        <v>8486.36</v>
      </c>
      <c r="D1244" s="1">
        <v>4047.48</v>
      </c>
    </row>
    <row r="1245" spans="1:4" x14ac:dyDescent="0.25">
      <c r="A1245" s="7">
        <v>44505.708333333336</v>
      </c>
      <c r="B1245" s="1" t="s">
        <v>74</v>
      </c>
      <c r="C1245" s="1">
        <v>7455.08</v>
      </c>
      <c r="D1245" s="1">
        <v>2194.66</v>
      </c>
    </row>
    <row r="1246" spans="1:4" x14ac:dyDescent="0.25">
      <c r="A1246" s="7">
        <v>44505.708333333336</v>
      </c>
      <c r="B1246" s="1" t="s">
        <v>75</v>
      </c>
      <c r="C1246" s="1">
        <v>930.91</v>
      </c>
      <c r="D1246" s="1">
        <v>610.25</v>
      </c>
    </row>
    <row r="1247" spans="1:4" x14ac:dyDescent="0.25">
      <c r="A1247" s="7">
        <v>44505.708333333336</v>
      </c>
      <c r="B1247" s="1" t="s">
        <v>72</v>
      </c>
      <c r="C1247" s="1">
        <v>11184.35</v>
      </c>
      <c r="D1247" s="1">
        <v>7892.46</v>
      </c>
    </row>
    <row r="1248" spans="1:4" x14ac:dyDescent="0.25">
      <c r="A1248" s="7">
        <v>44505.708333333336</v>
      </c>
      <c r="B1248" s="1" t="s">
        <v>77</v>
      </c>
      <c r="C1248" s="1">
        <v>19299.93</v>
      </c>
      <c r="D1248" s="1">
        <v>6589</v>
      </c>
    </row>
    <row r="1249" spans="1:4" x14ac:dyDescent="0.25">
      <c r="A1249" s="7">
        <v>44505.708333333336</v>
      </c>
      <c r="B1249" s="1" t="s">
        <v>71</v>
      </c>
      <c r="C1249" s="1">
        <v>8844.09</v>
      </c>
      <c r="D1249" s="1">
        <v>3708.92</v>
      </c>
    </row>
    <row r="1250" spans="1:4" x14ac:dyDescent="0.25">
      <c r="A1250" s="7">
        <v>44505.708333333336</v>
      </c>
      <c r="B1250" s="1" t="s">
        <v>69</v>
      </c>
      <c r="C1250" s="1">
        <v>6946.41</v>
      </c>
      <c r="D1250" s="1">
        <v>5886.19</v>
      </c>
    </row>
    <row r="1251" spans="1:4" x14ac:dyDescent="0.25">
      <c r="A1251" s="7">
        <v>44505.708333333336</v>
      </c>
      <c r="B1251" s="1" t="s">
        <v>70</v>
      </c>
      <c r="C1251" s="1">
        <v>6205.5</v>
      </c>
      <c r="D1251" s="1">
        <v>3181.9</v>
      </c>
    </row>
    <row r="1252" spans="1:4" x14ac:dyDescent="0.25">
      <c r="A1252" s="7">
        <v>44505.708333333336</v>
      </c>
      <c r="B1252" s="1" t="s">
        <v>78</v>
      </c>
      <c r="C1252" s="1">
        <v>2503.2600000000002</v>
      </c>
      <c r="D1252" s="1">
        <v>1695.56</v>
      </c>
    </row>
    <row r="1253" spans="1:4" x14ac:dyDescent="0.25">
      <c r="A1253" s="7">
        <v>44505.708333333336</v>
      </c>
      <c r="B1253" s="1" t="s">
        <v>76</v>
      </c>
      <c r="C1253" s="1">
        <v>10937.05</v>
      </c>
      <c r="D1253" s="1">
        <v>3438.02</v>
      </c>
    </row>
    <row r="1254" spans="1:4" x14ac:dyDescent="0.25">
      <c r="A1254" s="7">
        <v>44505.708333333336</v>
      </c>
      <c r="B1254" s="1" t="s">
        <v>73</v>
      </c>
      <c r="C1254" s="1">
        <v>7903.22</v>
      </c>
      <c r="D1254" s="1">
        <v>1334.37</v>
      </c>
    </row>
    <row r="1255" spans="1:4" x14ac:dyDescent="0.25">
      <c r="A1255" s="7">
        <v>44505.708333333336</v>
      </c>
      <c r="B1255" s="1" t="s">
        <v>68</v>
      </c>
      <c r="C1255" s="1">
        <v>8895.8799999999992</v>
      </c>
      <c r="D1255" s="1">
        <v>4035</v>
      </c>
    </row>
    <row r="1256" spans="1:4" x14ac:dyDescent="0.25">
      <c r="A1256" s="7">
        <v>44505.75</v>
      </c>
      <c r="B1256" s="1" t="s">
        <v>75</v>
      </c>
      <c r="C1256" s="1">
        <v>688.87</v>
      </c>
      <c r="D1256" s="1">
        <v>360.36</v>
      </c>
    </row>
    <row r="1257" spans="1:4" x14ac:dyDescent="0.25">
      <c r="A1257" s="7">
        <v>44505.75</v>
      </c>
      <c r="B1257" s="1" t="s">
        <v>74</v>
      </c>
      <c r="C1257" s="1">
        <v>5897.33</v>
      </c>
      <c r="D1257" s="1">
        <v>1584.92</v>
      </c>
    </row>
    <row r="1258" spans="1:4" x14ac:dyDescent="0.25">
      <c r="A1258" s="7">
        <v>44505.75</v>
      </c>
      <c r="B1258" s="1" t="s">
        <v>73</v>
      </c>
      <c r="C1258" s="1">
        <v>6094.73</v>
      </c>
      <c r="D1258" s="1">
        <v>885.48</v>
      </c>
    </row>
    <row r="1259" spans="1:4" x14ac:dyDescent="0.25">
      <c r="A1259" s="7">
        <v>44505.75</v>
      </c>
      <c r="B1259" s="1" t="s">
        <v>68</v>
      </c>
      <c r="C1259" s="1">
        <v>7469.86</v>
      </c>
      <c r="D1259" s="1">
        <v>2900.89</v>
      </c>
    </row>
    <row r="1260" spans="1:4" x14ac:dyDescent="0.25">
      <c r="A1260" s="7">
        <v>44505.75</v>
      </c>
      <c r="B1260" s="1" t="s">
        <v>77</v>
      </c>
      <c r="C1260" s="1">
        <v>15492.89</v>
      </c>
      <c r="D1260" s="1">
        <v>5014.96</v>
      </c>
    </row>
    <row r="1261" spans="1:4" x14ac:dyDescent="0.25">
      <c r="A1261" s="7">
        <v>44505.75</v>
      </c>
      <c r="B1261" s="1" t="s">
        <v>71</v>
      </c>
      <c r="C1261" s="1">
        <v>6599.75</v>
      </c>
      <c r="D1261" s="1">
        <v>2609</v>
      </c>
    </row>
    <row r="1262" spans="1:4" x14ac:dyDescent="0.25">
      <c r="A1262" s="7">
        <v>44505.75</v>
      </c>
      <c r="B1262" s="1" t="s">
        <v>70</v>
      </c>
      <c r="C1262" s="1">
        <v>4745.3500000000004</v>
      </c>
      <c r="D1262" s="1">
        <v>2124.75</v>
      </c>
    </row>
    <row r="1263" spans="1:4" x14ac:dyDescent="0.25">
      <c r="A1263" s="7">
        <v>44505.75</v>
      </c>
      <c r="B1263" s="1" t="s">
        <v>78</v>
      </c>
      <c r="C1263" s="1">
        <v>1869.84</v>
      </c>
      <c r="D1263" s="1">
        <v>1065.82</v>
      </c>
    </row>
    <row r="1264" spans="1:4" x14ac:dyDescent="0.25">
      <c r="A1264" s="7">
        <v>44505.75</v>
      </c>
      <c r="B1264" s="1" t="s">
        <v>76</v>
      </c>
      <c r="C1264" s="1">
        <v>8669.2000000000007</v>
      </c>
      <c r="D1264" s="1">
        <v>2491.17</v>
      </c>
    </row>
    <row r="1265" spans="1:4" x14ac:dyDescent="0.25">
      <c r="A1265" s="7">
        <v>44505.75</v>
      </c>
      <c r="B1265" s="1" t="s">
        <v>69</v>
      </c>
      <c r="C1265" s="1">
        <v>4932.22</v>
      </c>
      <c r="D1265" s="1">
        <v>3677.06</v>
      </c>
    </row>
    <row r="1266" spans="1:4" x14ac:dyDescent="0.25">
      <c r="A1266" s="7">
        <v>44505.75</v>
      </c>
      <c r="B1266" s="1" t="s">
        <v>72</v>
      </c>
      <c r="C1266" s="1">
        <v>7949.88</v>
      </c>
      <c r="D1266" s="1">
        <v>4993.3599999999997</v>
      </c>
    </row>
    <row r="1267" spans="1:4" x14ac:dyDescent="0.25">
      <c r="A1267" s="7">
        <v>44505.791666666664</v>
      </c>
      <c r="B1267" s="1" t="s">
        <v>75</v>
      </c>
      <c r="C1267" s="1">
        <v>2238.65</v>
      </c>
      <c r="D1267" s="1">
        <v>1295.9100000000001</v>
      </c>
    </row>
    <row r="1268" spans="1:4" x14ac:dyDescent="0.25">
      <c r="A1268" s="7">
        <v>44505.791666666664</v>
      </c>
      <c r="B1268" s="1" t="s">
        <v>74</v>
      </c>
      <c r="C1268" s="1">
        <v>13887.04</v>
      </c>
      <c r="D1268" s="1">
        <v>3605.06</v>
      </c>
    </row>
    <row r="1269" spans="1:4" x14ac:dyDescent="0.25">
      <c r="A1269" s="7">
        <v>44505.791666666664</v>
      </c>
      <c r="B1269" s="1" t="s">
        <v>73</v>
      </c>
      <c r="C1269" s="1">
        <v>13401.5</v>
      </c>
      <c r="D1269" s="1">
        <v>2005.04</v>
      </c>
    </row>
    <row r="1270" spans="1:4" x14ac:dyDescent="0.25">
      <c r="A1270" s="7">
        <v>44505.791666666664</v>
      </c>
      <c r="B1270" s="1" t="s">
        <v>68</v>
      </c>
      <c r="C1270" s="1">
        <v>15480.33</v>
      </c>
      <c r="D1270" s="1">
        <v>5725.29</v>
      </c>
    </row>
    <row r="1271" spans="1:4" x14ac:dyDescent="0.25">
      <c r="A1271" s="7">
        <v>44505.791666666664</v>
      </c>
      <c r="B1271" s="1" t="s">
        <v>77</v>
      </c>
      <c r="C1271" s="1">
        <v>31369.49</v>
      </c>
      <c r="D1271" s="1">
        <v>9779.84</v>
      </c>
    </row>
    <row r="1272" spans="1:4" x14ac:dyDescent="0.25">
      <c r="A1272" s="7">
        <v>44505.791666666664</v>
      </c>
      <c r="B1272" s="1" t="s">
        <v>71</v>
      </c>
      <c r="C1272" s="1">
        <v>16352.98</v>
      </c>
      <c r="D1272" s="1">
        <v>5590.67</v>
      </c>
    </row>
    <row r="1273" spans="1:4" x14ac:dyDescent="0.25">
      <c r="A1273" s="7">
        <v>44505.791666666664</v>
      </c>
      <c r="B1273" s="1" t="s">
        <v>69</v>
      </c>
      <c r="C1273" s="1">
        <v>11578.2</v>
      </c>
      <c r="D1273" s="1">
        <v>9259.83</v>
      </c>
    </row>
    <row r="1274" spans="1:4" x14ac:dyDescent="0.25">
      <c r="A1274" s="7">
        <v>44505.791666666664</v>
      </c>
      <c r="B1274" s="1" t="s">
        <v>78</v>
      </c>
      <c r="C1274" s="1">
        <v>4950.18</v>
      </c>
      <c r="D1274" s="1">
        <v>3189.55</v>
      </c>
    </row>
    <row r="1275" spans="1:4" x14ac:dyDescent="0.25">
      <c r="A1275" s="7">
        <v>44505.791666666664</v>
      </c>
      <c r="B1275" s="1" t="s">
        <v>76</v>
      </c>
      <c r="C1275" s="1">
        <v>23918.368999999999</v>
      </c>
      <c r="D1275" s="1">
        <v>6290.02</v>
      </c>
    </row>
    <row r="1276" spans="1:4" x14ac:dyDescent="0.25">
      <c r="A1276" s="7">
        <v>44505.791666666664</v>
      </c>
      <c r="B1276" s="1" t="s">
        <v>72</v>
      </c>
      <c r="C1276" s="1">
        <v>18806.259999999998</v>
      </c>
      <c r="D1276" s="1">
        <v>12126.02</v>
      </c>
    </row>
    <row r="1277" spans="1:4" x14ac:dyDescent="0.25">
      <c r="A1277" s="7">
        <v>44505.791666666664</v>
      </c>
      <c r="B1277" s="1" t="s">
        <v>70</v>
      </c>
      <c r="C1277" s="1">
        <v>13918.82</v>
      </c>
      <c r="D1277" s="1">
        <v>6218.73</v>
      </c>
    </row>
    <row r="1278" spans="1:4" x14ac:dyDescent="0.25">
      <c r="A1278" s="7">
        <v>44505.833333333336</v>
      </c>
      <c r="B1278" s="1" t="s">
        <v>75</v>
      </c>
      <c r="C1278" s="1">
        <v>1774.11</v>
      </c>
      <c r="D1278" s="1">
        <v>1022.47</v>
      </c>
    </row>
    <row r="1279" spans="1:4" x14ac:dyDescent="0.25">
      <c r="A1279" s="7">
        <v>44505.833333333336</v>
      </c>
      <c r="B1279" s="1" t="s">
        <v>74</v>
      </c>
      <c r="C1279" s="1">
        <v>12605.46</v>
      </c>
      <c r="D1279" s="1">
        <v>3406.79</v>
      </c>
    </row>
    <row r="1280" spans="1:4" x14ac:dyDescent="0.25">
      <c r="A1280" s="7">
        <v>44505.833333333336</v>
      </c>
      <c r="B1280" s="1" t="s">
        <v>78</v>
      </c>
      <c r="C1280" s="1">
        <v>3923.95</v>
      </c>
      <c r="D1280" s="1">
        <v>2641.05</v>
      </c>
    </row>
    <row r="1281" spans="1:4" x14ac:dyDescent="0.25">
      <c r="A1281" s="7">
        <v>44505.833333333336</v>
      </c>
      <c r="B1281" s="1" t="s">
        <v>76</v>
      </c>
      <c r="C1281" s="1">
        <v>20129.971000000001</v>
      </c>
      <c r="D1281" s="1">
        <v>5412.59</v>
      </c>
    </row>
    <row r="1282" spans="1:4" x14ac:dyDescent="0.25">
      <c r="A1282" s="7">
        <v>44505.833333333336</v>
      </c>
      <c r="B1282" s="1" t="s">
        <v>68</v>
      </c>
      <c r="C1282" s="1">
        <v>11337.13</v>
      </c>
      <c r="D1282" s="1">
        <v>4870.03</v>
      </c>
    </row>
    <row r="1283" spans="1:4" x14ac:dyDescent="0.25">
      <c r="A1283" s="7">
        <v>44505.833333333336</v>
      </c>
      <c r="B1283" s="1" t="s">
        <v>71</v>
      </c>
      <c r="C1283" s="1">
        <v>12325.99</v>
      </c>
      <c r="D1283" s="1">
        <v>4742.53</v>
      </c>
    </row>
    <row r="1284" spans="1:4" x14ac:dyDescent="0.25">
      <c r="A1284" s="7">
        <v>44505.833333333336</v>
      </c>
      <c r="B1284" s="1" t="s">
        <v>70</v>
      </c>
      <c r="C1284" s="1">
        <v>10146.540000000001</v>
      </c>
      <c r="D1284" s="1">
        <v>4863.34</v>
      </c>
    </row>
    <row r="1285" spans="1:4" x14ac:dyDescent="0.25">
      <c r="A1285" s="7">
        <v>44505.833333333336</v>
      </c>
      <c r="B1285" s="1" t="s">
        <v>69</v>
      </c>
      <c r="C1285" s="1">
        <v>9592.4</v>
      </c>
      <c r="D1285" s="1">
        <v>8270.43</v>
      </c>
    </row>
    <row r="1286" spans="1:4" x14ac:dyDescent="0.25">
      <c r="A1286" s="7">
        <v>44505.833333333336</v>
      </c>
      <c r="B1286" s="1" t="s">
        <v>73</v>
      </c>
      <c r="C1286" s="1">
        <v>9387.8799999999992</v>
      </c>
      <c r="D1286" s="1">
        <v>1603.35</v>
      </c>
    </row>
    <row r="1287" spans="1:4" x14ac:dyDescent="0.25">
      <c r="A1287" s="7">
        <v>44505.833333333336</v>
      </c>
      <c r="B1287" s="1" t="s">
        <v>72</v>
      </c>
      <c r="C1287" s="1">
        <v>14615.85</v>
      </c>
      <c r="D1287" s="1">
        <v>10326.93</v>
      </c>
    </row>
    <row r="1288" spans="1:4" x14ac:dyDescent="0.25">
      <c r="A1288" s="7">
        <v>44505.833333333336</v>
      </c>
      <c r="B1288" s="1" t="s">
        <v>77</v>
      </c>
      <c r="C1288" s="1">
        <v>24891.289000000001</v>
      </c>
      <c r="D1288" s="1">
        <v>8112.72</v>
      </c>
    </row>
    <row r="1289" spans="1:4" x14ac:dyDescent="0.25">
      <c r="A1289" s="7">
        <v>44505.875</v>
      </c>
      <c r="B1289" s="1" t="s">
        <v>74</v>
      </c>
      <c r="C1289" s="1">
        <v>10434.14</v>
      </c>
      <c r="D1289" s="1">
        <v>2866.5</v>
      </c>
    </row>
    <row r="1290" spans="1:4" x14ac:dyDescent="0.25">
      <c r="A1290" s="7">
        <v>44505.875</v>
      </c>
      <c r="B1290" s="1" t="s">
        <v>78</v>
      </c>
      <c r="C1290" s="1">
        <v>3693.9</v>
      </c>
      <c r="D1290" s="1">
        <v>2383.44</v>
      </c>
    </row>
    <row r="1291" spans="1:4" x14ac:dyDescent="0.25">
      <c r="A1291" s="7">
        <v>44505.875</v>
      </c>
      <c r="B1291" s="1" t="s">
        <v>75</v>
      </c>
      <c r="C1291" s="1">
        <v>1727.05</v>
      </c>
      <c r="D1291" s="1">
        <v>1016.37</v>
      </c>
    </row>
    <row r="1292" spans="1:4" x14ac:dyDescent="0.25">
      <c r="A1292" s="7">
        <v>44505.875</v>
      </c>
      <c r="B1292" s="1" t="s">
        <v>72</v>
      </c>
      <c r="C1292" s="1">
        <v>12703.23</v>
      </c>
      <c r="D1292" s="1">
        <v>8968.15</v>
      </c>
    </row>
    <row r="1293" spans="1:4" x14ac:dyDescent="0.25">
      <c r="A1293" s="7">
        <v>44505.875</v>
      </c>
      <c r="B1293" s="1" t="s">
        <v>76</v>
      </c>
      <c r="C1293" s="1">
        <v>17135.721000000001</v>
      </c>
      <c r="D1293" s="1">
        <v>4683.1400000000003</v>
      </c>
    </row>
    <row r="1294" spans="1:4" x14ac:dyDescent="0.25">
      <c r="A1294" s="7">
        <v>44505.875</v>
      </c>
      <c r="B1294" s="1" t="s">
        <v>70</v>
      </c>
      <c r="C1294" s="1">
        <v>8399.9500000000007</v>
      </c>
      <c r="D1294" s="1">
        <v>4204.54</v>
      </c>
    </row>
    <row r="1295" spans="1:4" x14ac:dyDescent="0.25">
      <c r="A1295" s="7">
        <v>44505.875</v>
      </c>
      <c r="B1295" s="1" t="s">
        <v>69</v>
      </c>
      <c r="C1295" s="1">
        <v>8220.86</v>
      </c>
      <c r="D1295" s="1">
        <v>7084.2</v>
      </c>
    </row>
    <row r="1296" spans="1:4" x14ac:dyDescent="0.25">
      <c r="A1296" s="7">
        <v>44505.875</v>
      </c>
      <c r="B1296" s="1" t="s">
        <v>73</v>
      </c>
      <c r="C1296" s="1">
        <v>6568.64</v>
      </c>
      <c r="D1296" s="1">
        <v>1198.3399999999999</v>
      </c>
    </row>
    <row r="1297" spans="1:4" x14ac:dyDescent="0.25">
      <c r="A1297" s="7">
        <v>44505.875</v>
      </c>
      <c r="B1297" s="1" t="s">
        <v>71</v>
      </c>
      <c r="C1297" s="1">
        <v>8774.2800000000007</v>
      </c>
      <c r="D1297" s="1">
        <v>3535.29</v>
      </c>
    </row>
    <row r="1298" spans="1:4" x14ac:dyDescent="0.25">
      <c r="A1298" s="7">
        <v>44505.875</v>
      </c>
      <c r="B1298" s="1" t="s">
        <v>68</v>
      </c>
      <c r="C1298" s="1">
        <v>8265.6</v>
      </c>
      <c r="D1298" s="1">
        <v>3810.17</v>
      </c>
    </row>
    <row r="1299" spans="1:4" x14ac:dyDescent="0.25">
      <c r="A1299" s="7">
        <v>44505.875</v>
      </c>
      <c r="B1299" s="1" t="s">
        <v>77</v>
      </c>
      <c r="C1299" s="1">
        <v>20889.359</v>
      </c>
      <c r="D1299" s="1">
        <v>6777.22</v>
      </c>
    </row>
    <row r="1300" spans="1:4" x14ac:dyDescent="0.25">
      <c r="A1300" s="7">
        <v>44505.916666666664</v>
      </c>
      <c r="B1300" s="1" t="s">
        <v>74</v>
      </c>
      <c r="C1300" s="1">
        <v>7175.7</v>
      </c>
      <c r="D1300" s="1">
        <v>2166.3000000000002</v>
      </c>
    </row>
    <row r="1301" spans="1:4" x14ac:dyDescent="0.25">
      <c r="A1301" s="7">
        <v>44505.916666666664</v>
      </c>
      <c r="B1301" s="1" t="s">
        <v>75</v>
      </c>
      <c r="C1301" s="1">
        <v>1545.62</v>
      </c>
      <c r="D1301" s="1">
        <v>957.17</v>
      </c>
    </row>
    <row r="1302" spans="1:4" x14ac:dyDescent="0.25">
      <c r="A1302" s="7">
        <v>44505.916666666664</v>
      </c>
      <c r="B1302" s="1" t="s">
        <v>76</v>
      </c>
      <c r="C1302" s="1">
        <v>12425.56</v>
      </c>
      <c r="D1302" s="1">
        <v>3573.81</v>
      </c>
    </row>
    <row r="1303" spans="1:4" x14ac:dyDescent="0.25">
      <c r="A1303" s="7">
        <v>44505.916666666664</v>
      </c>
      <c r="B1303" s="1" t="s">
        <v>73</v>
      </c>
      <c r="C1303" s="1">
        <v>4431.6400000000003</v>
      </c>
      <c r="D1303" s="1">
        <v>920.59</v>
      </c>
    </row>
    <row r="1304" spans="1:4" x14ac:dyDescent="0.25">
      <c r="A1304" s="7">
        <v>44505.916666666664</v>
      </c>
      <c r="B1304" s="1" t="s">
        <v>77</v>
      </c>
      <c r="C1304" s="1">
        <v>15625.05</v>
      </c>
      <c r="D1304" s="1">
        <v>5059.2700000000004</v>
      </c>
    </row>
    <row r="1305" spans="1:4" x14ac:dyDescent="0.25">
      <c r="A1305" s="7">
        <v>44505.916666666664</v>
      </c>
      <c r="B1305" s="1" t="s">
        <v>71</v>
      </c>
      <c r="C1305" s="1">
        <v>5273.53</v>
      </c>
      <c r="D1305" s="1">
        <v>2402.02</v>
      </c>
    </row>
    <row r="1306" spans="1:4" x14ac:dyDescent="0.25">
      <c r="A1306" s="7">
        <v>44505.916666666664</v>
      </c>
      <c r="B1306" s="1" t="s">
        <v>70</v>
      </c>
      <c r="C1306" s="1">
        <v>6389.31</v>
      </c>
      <c r="D1306" s="1">
        <v>3331.24</v>
      </c>
    </row>
    <row r="1307" spans="1:4" x14ac:dyDescent="0.25">
      <c r="A1307" s="7">
        <v>44505.916666666664</v>
      </c>
      <c r="B1307" s="1" t="s">
        <v>78</v>
      </c>
      <c r="C1307" s="1">
        <v>3149.58</v>
      </c>
      <c r="D1307" s="1">
        <v>2103.9299999999998</v>
      </c>
    </row>
    <row r="1308" spans="1:4" x14ac:dyDescent="0.25">
      <c r="A1308" s="7">
        <v>44505.916666666664</v>
      </c>
      <c r="B1308" s="1" t="s">
        <v>72</v>
      </c>
      <c r="C1308" s="1">
        <v>10931.82</v>
      </c>
      <c r="D1308" s="1">
        <v>7941.11</v>
      </c>
    </row>
    <row r="1309" spans="1:4" x14ac:dyDescent="0.25">
      <c r="A1309" s="7">
        <v>44505.916666666664</v>
      </c>
      <c r="B1309" s="1" t="s">
        <v>68</v>
      </c>
      <c r="C1309" s="1">
        <v>5129.04</v>
      </c>
      <c r="D1309" s="1">
        <v>2764.66</v>
      </c>
    </row>
    <row r="1310" spans="1:4" x14ac:dyDescent="0.25">
      <c r="A1310" s="7">
        <v>44505.916666666664</v>
      </c>
      <c r="B1310" s="1" t="s">
        <v>69</v>
      </c>
      <c r="C1310" s="1">
        <v>7141.77</v>
      </c>
      <c r="D1310" s="1">
        <v>6304.38</v>
      </c>
    </row>
    <row r="1311" spans="1:4" x14ac:dyDescent="0.25">
      <c r="A1311" s="7">
        <v>44505.958333333336</v>
      </c>
      <c r="B1311" s="1" t="s">
        <v>75</v>
      </c>
      <c r="C1311" s="1">
        <v>990.46</v>
      </c>
      <c r="D1311" s="1">
        <v>698.32</v>
      </c>
    </row>
    <row r="1312" spans="1:4" x14ac:dyDescent="0.25">
      <c r="A1312" s="7">
        <v>44505.958333333336</v>
      </c>
      <c r="B1312" s="1" t="s">
        <v>74</v>
      </c>
      <c r="C1312" s="1">
        <v>3220.02</v>
      </c>
      <c r="D1312" s="1">
        <v>1138.03</v>
      </c>
    </row>
    <row r="1313" spans="1:4" x14ac:dyDescent="0.25">
      <c r="A1313" s="7">
        <v>44505.958333333336</v>
      </c>
      <c r="B1313" s="1" t="s">
        <v>73</v>
      </c>
      <c r="C1313" s="1">
        <v>1897.19</v>
      </c>
      <c r="D1313" s="1">
        <v>522.74</v>
      </c>
    </row>
    <row r="1314" spans="1:4" x14ac:dyDescent="0.25">
      <c r="A1314" s="7">
        <v>44505.958333333336</v>
      </c>
      <c r="B1314" s="1" t="s">
        <v>68</v>
      </c>
      <c r="C1314" s="1">
        <v>2261.54</v>
      </c>
      <c r="D1314" s="1">
        <v>1483.84</v>
      </c>
    </row>
    <row r="1315" spans="1:4" x14ac:dyDescent="0.25">
      <c r="A1315" s="7">
        <v>44505.958333333336</v>
      </c>
      <c r="B1315" s="1" t="s">
        <v>77</v>
      </c>
      <c r="C1315" s="1">
        <v>8278.3799999999992</v>
      </c>
      <c r="D1315" s="1">
        <v>2884.32</v>
      </c>
    </row>
    <row r="1316" spans="1:4" x14ac:dyDescent="0.25">
      <c r="A1316" s="7">
        <v>44505.958333333336</v>
      </c>
      <c r="B1316" s="1" t="s">
        <v>71</v>
      </c>
      <c r="C1316" s="1">
        <v>2101.35</v>
      </c>
      <c r="D1316" s="1">
        <v>1226</v>
      </c>
    </row>
    <row r="1317" spans="1:4" x14ac:dyDescent="0.25">
      <c r="A1317" s="7">
        <v>44505.958333333336</v>
      </c>
      <c r="B1317" s="1" t="s">
        <v>70</v>
      </c>
      <c r="C1317" s="1">
        <v>3154.95</v>
      </c>
      <c r="D1317" s="1">
        <v>1878.76</v>
      </c>
    </row>
    <row r="1318" spans="1:4" x14ac:dyDescent="0.25">
      <c r="A1318" s="7">
        <v>44505.958333333336</v>
      </c>
      <c r="B1318" s="1" t="s">
        <v>78</v>
      </c>
      <c r="C1318" s="1">
        <v>1874.25</v>
      </c>
      <c r="D1318" s="1">
        <v>1314.6</v>
      </c>
    </row>
    <row r="1319" spans="1:4" x14ac:dyDescent="0.25">
      <c r="A1319" s="7">
        <v>44505.958333333336</v>
      </c>
      <c r="B1319" s="1" t="s">
        <v>76</v>
      </c>
      <c r="C1319" s="1">
        <v>6278.29</v>
      </c>
      <c r="D1319" s="1">
        <v>1981.48</v>
      </c>
    </row>
    <row r="1320" spans="1:4" x14ac:dyDescent="0.25">
      <c r="A1320" s="7">
        <v>44505.958333333336</v>
      </c>
      <c r="B1320" s="1" t="s">
        <v>72</v>
      </c>
      <c r="C1320" s="1">
        <v>6551.28</v>
      </c>
      <c r="D1320" s="1">
        <v>5120.84</v>
      </c>
    </row>
    <row r="1321" spans="1:4" x14ac:dyDescent="0.25">
      <c r="A1321" s="7">
        <v>44505.958333333336</v>
      </c>
      <c r="B1321" s="1" t="s">
        <v>69</v>
      </c>
      <c r="C1321" s="1">
        <v>4306.93</v>
      </c>
      <c r="D1321" s="1">
        <v>4051.38</v>
      </c>
    </row>
    <row r="1322" spans="1:4" x14ac:dyDescent="0.25">
      <c r="A1322" s="7">
        <v>44535</v>
      </c>
      <c r="B1322" s="1" t="s">
        <v>75</v>
      </c>
      <c r="C1322" s="1">
        <v>526.54999999999995</v>
      </c>
      <c r="D1322" s="1">
        <v>422.85</v>
      </c>
    </row>
    <row r="1323" spans="1:4" x14ac:dyDescent="0.25">
      <c r="A1323" s="7">
        <v>44535</v>
      </c>
      <c r="B1323" s="1" t="s">
        <v>74</v>
      </c>
      <c r="C1323" s="1">
        <v>1358.51</v>
      </c>
      <c r="D1323" s="1">
        <v>553.01</v>
      </c>
    </row>
    <row r="1324" spans="1:4" x14ac:dyDescent="0.25">
      <c r="A1324" s="7">
        <v>44535</v>
      </c>
      <c r="B1324" s="1" t="s">
        <v>72</v>
      </c>
      <c r="C1324" s="1">
        <v>3325.29</v>
      </c>
      <c r="D1324" s="1">
        <v>2843.86</v>
      </c>
    </row>
    <row r="1325" spans="1:4" x14ac:dyDescent="0.25">
      <c r="A1325" s="7">
        <v>44535</v>
      </c>
      <c r="B1325" s="1" t="s">
        <v>68</v>
      </c>
      <c r="C1325" s="1">
        <v>951.62</v>
      </c>
      <c r="D1325" s="1">
        <v>724.17</v>
      </c>
    </row>
    <row r="1326" spans="1:4" x14ac:dyDescent="0.25">
      <c r="A1326" s="7">
        <v>44535</v>
      </c>
      <c r="B1326" s="1" t="s">
        <v>77</v>
      </c>
      <c r="C1326" s="1">
        <v>3951.74</v>
      </c>
      <c r="D1326" s="1">
        <v>1426.81</v>
      </c>
    </row>
    <row r="1327" spans="1:4" x14ac:dyDescent="0.25">
      <c r="A1327" s="7">
        <v>44535</v>
      </c>
      <c r="B1327" s="1" t="s">
        <v>71</v>
      </c>
      <c r="C1327" s="1">
        <v>829.51</v>
      </c>
      <c r="D1327" s="1">
        <v>594.79999999999995</v>
      </c>
    </row>
    <row r="1328" spans="1:4" x14ac:dyDescent="0.25">
      <c r="A1328" s="7">
        <v>44535</v>
      </c>
      <c r="B1328" s="1" t="s">
        <v>69</v>
      </c>
      <c r="C1328" s="1">
        <v>2166.29</v>
      </c>
      <c r="D1328" s="1">
        <v>2113.77</v>
      </c>
    </row>
    <row r="1329" spans="1:4" x14ac:dyDescent="0.25">
      <c r="A1329" s="7">
        <v>44535</v>
      </c>
      <c r="B1329" s="1" t="s">
        <v>70</v>
      </c>
      <c r="C1329" s="1">
        <v>1454.97</v>
      </c>
      <c r="D1329" s="1">
        <v>925</v>
      </c>
    </row>
    <row r="1330" spans="1:4" x14ac:dyDescent="0.25">
      <c r="A1330" s="7">
        <v>44535</v>
      </c>
      <c r="B1330" s="1" t="s">
        <v>78</v>
      </c>
      <c r="C1330" s="1">
        <v>896.52</v>
      </c>
      <c r="D1330" s="1">
        <v>673.71</v>
      </c>
    </row>
    <row r="1331" spans="1:4" x14ac:dyDescent="0.25">
      <c r="A1331" s="7">
        <v>44535</v>
      </c>
      <c r="B1331" s="1" t="s">
        <v>76</v>
      </c>
      <c r="C1331" s="1">
        <v>2902.96</v>
      </c>
      <c r="D1331" s="1">
        <v>1018.41</v>
      </c>
    </row>
    <row r="1332" spans="1:4" x14ac:dyDescent="0.25">
      <c r="A1332" s="7">
        <v>44535</v>
      </c>
      <c r="B1332" s="1" t="s">
        <v>73</v>
      </c>
      <c r="C1332" s="1">
        <v>819.6</v>
      </c>
      <c r="D1332" s="1">
        <v>229.38</v>
      </c>
    </row>
    <row r="1333" spans="1:4" x14ac:dyDescent="0.25">
      <c r="A1333" s="7">
        <v>44535.041666666664</v>
      </c>
      <c r="B1333" s="1" t="s">
        <v>75</v>
      </c>
      <c r="C1333" s="1">
        <v>311.58999999999997</v>
      </c>
      <c r="D1333" s="1">
        <v>254.55</v>
      </c>
    </row>
    <row r="1334" spans="1:4" x14ac:dyDescent="0.25">
      <c r="A1334" s="7">
        <v>44535.041666666664</v>
      </c>
      <c r="B1334" s="1" t="s">
        <v>74</v>
      </c>
      <c r="C1334" s="1">
        <v>662.89</v>
      </c>
      <c r="D1334" s="1">
        <v>282.82</v>
      </c>
    </row>
    <row r="1335" spans="1:4" x14ac:dyDescent="0.25">
      <c r="A1335" s="7">
        <v>44535.041666666664</v>
      </c>
      <c r="B1335" s="1" t="s">
        <v>76</v>
      </c>
      <c r="C1335" s="1">
        <v>1543.87</v>
      </c>
      <c r="D1335" s="1">
        <v>519.69000000000005</v>
      </c>
    </row>
    <row r="1336" spans="1:4" x14ac:dyDescent="0.25">
      <c r="A1336" s="7">
        <v>44535.041666666664</v>
      </c>
      <c r="B1336" s="1" t="s">
        <v>68</v>
      </c>
      <c r="C1336" s="1">
        <v>433.03</v>
      </c>
      <c r="D1336" s="1">
        <v>349.42</v>
      </c>
    </row>
    <row r="1337" spans="1:4" x14ac:dyDescent="0.25">
      <c r="A1337" s="7">
        <v>44535.041666666664</v>
      </c>
      <c r="B1337" s="1" t="s">
        <v>69</v>
      </c>
      <c r="C1337" s="1">
        <v>1091.29</v>
      </c>
      <c r="D1337" s="1">
        <v>1084.9100000000001</v>
      </c>
    </row>
    <row r="1338" spans="1:4" x14ac:dyDescent="0.25">
      <c r="A1338" s="7">
        <v>44535.041666666664</v>
      </c>
      <c r="B1338" s="1" t="s">
        <v>78</v>
      </c>
      <c r="C1338" s="1">
        <v>437.57</v>
      </c>
      <c r="D1338" s="1">
        <v>351.86</v>
      </c>
    </row>
    <row r="1339" spans="1:4" x14ac:dyDescent="0.25">
      <c r="A1339" s="7">
        <v>44535.041666666664</v>
      </c>
      <c r="B1339" s="1" t="s">
        <v>72</v>
      </c>
      <c r="C1339" s="1">
        <v>1739.16</v>
      </c>
      <c r="D1339" s="1">
        <v>1497.75</v>
      </c>
    </row>
    <row r="1340" spans="1:4" x14ac:dyDescent="0.25">
      <c r="A1340" s="7">
        <v>44535.041666666664</v>
      </c>
      <c r="B1340" s="1" t="s">
        <v>73</v>
      </c>
      <c r="C1340" s="1">
        <v>428.35</v>
      </c>
      <c r="D1340" s="1">
        <v>108.38</v>
      </c>
    </row>
    <row r="1341" spans="1:4" x14ac:dyDescent="0.25">
      <c r="A1341" s="7">
        <v>44535.041666666664</v>
      </c>
      <c r="B1341" s="1" t="s">
        <v>77</v>
      </c>
      <c r="C1341" s="1">
        <v>2063.84</v>
      </c>
      <c r="D1341" s="1">
        <v>763.84</v>
      </c>
    </row>
    <row r="1342" spans="1:4" x14ac:dyDescent="0.25">
      <c r="A1342" s="7">
        <v>44535.041666666664</v>
      </c>
      <c r="B1342" s="1" t="s">
        <v>71</v>
      </c>
      <c r="C1342" s="1">
        <v>380.34</v>
      </c>
      <c r="D1342" s="1">
        <v>307.89</v>
      </c>
    </row>
    <row r="1343" spans="1:4" x14ac:dyDescent="0.25">
      <c r="A1343" s="7">
        <v>44535.041666666664</v>
      </c>
      <c r="B1343" s="1" t="s">
        <v>70</v>
      </c>
      <c r="C1343" s="1">
        <v>726.08</v>
      </c>
      <c r="D1343" s="1">
        <v>462.23</v>
      </c>
    </row>
    <row r="1344" spans="1:4" x14ac:dyDescent="0.25">
      <c r="A1344" s="7">
        <v>44535.083333333336</v>
      </c>
      <c r="B1344" s="1" t="s">
        <v>74</v>
      </c>
      <c r="C1344" s="1">
        <v>673.57</v>
      </c>
      <c r="D1344" s="1">
        <v>220.37</v>
      </c>
    </row>
    <row r="1345" spans="1:4" x14ac:dyDescent="0.25">
      <c r="A1345" s="7">
        <v>44535.083333333336</v>
      </c>
      <c r="B1345" s="1" t="s">
        <v>78</v>
      </c>
      <c r="C1345" s="1">
        <v>334.96</v>
      </c>
      <c r="D1345" s="1">
        <v>241.88</v>
      </c>
    </row>
    <row r="1346" spans="1:4" x14ac:dyDescent="0.25">
      <c r="A1346" s="7">
        <v>44535.083333333336</v>
      </c>
      <c r="B1346" s="1" t="s">
        <v>75</v>
      </c>
      <c r="C1346" s="1">
        <v>298.13</v>
      </c>
      <c r="D1346" s="1">
        <v>190.12</v>
      </c>
    </row>
    <row r="1347" spans="1:4" x14ac:dyDescent="0.25">
      <c r="A1347" s="7">
        <v>44535.083333333336</v>
      </c>
      <c r="B1347" s="1" t="s">
        <v>76</v>
      </c>
      <c r="C1347" s="1">
        <v>1796.55</v>
      </c>
      <c r="D1347" s="1">
        <v>474.47</v>
      </c>
    </row>
    <row r="1348" spans="1:4" x14ac:dyDescent="0.25">
      <c r="A1348" s="7">
        <v>44535.083333333336</v>
      </c>
      <c r="B1348" s="1" t="s">
        <v>68</v>
      </c>
      <c r="C1348" s="1">
        <v>311.3</v>
      </c>
      <c r="D1348" s="1">
        <v>206.8</v>
      </c>
    </row>
    <row r="1349" spans="1:4" x14ac:dyDescent="0.25">
      <c r="A1349" s="7">
        <v>44535.083333333336</v>
      </c>
      <c r="B1349" s="1" t="s">
        <v>71</v>
      </c>
      <c r="C1349" s="1">
        <v>353.48</v>
      </c>
      <c r="D1349" s="1">
        <v>211.22</v>
      </c>
    </row>
    <row r="1350" spans="1:4" x14ac:dyDescent="0.25">
      <c r="A1350" s="7">
        <v>44535.083333333336</v>
      </c>
      <c r="B1350" s="1" t="s">
        <v>69</v>
      </c>
      <c r="C1350" s="1">
        <v>709.41</v>
      </c>
      <c r="D1350" s="1">
        <v>632.41999999999996</v>
      </c>
    </row>
    <row r="1351" spans="1:4" x14ac:dyDescent="0.25">
      <c r="A1351" s="7">
        <v>44535.083333333336</v>
      </c>
      <c r="B1351" s="1" t="s">
        <v>70</v>
      </c>
      <c r="C1351" s="1">
        <v>585.45000000000005</v>
      </c>
      <c r="D1351" s="1">
        <v>324.02</v>
      </c>
    </row>
    <row r="1352" spans="1:4" x14ac:dyDescent="0.25">
      <c r="A1352" s="7">
        <v>44535.083333333336</v>
      </c>
      <c r="B1352" s="1" t="s">
        <v>73</v>
      </c>
      <c r="C1352" s="1">
        <v>349.05</v>
      </c>
      <c r="D1352" s="1">
        <v>73.8</v>
      </c>
    </row>
    <row r="1353" spans="1:4" x14ac:dyDescent="0.25">
      <c r="A1353" s="7">
        <v>44535.083333333336</v>
      </c>
      <c r="B1353" s="1" t="s">
        <v>72</v>
      </c>
      <c r="C1353" s="1">
        <v>1181.96</v>
      </c>
      <c r="D1353" s="1">
        <v>935.96</v>
      </c>
    </row>
    <row r="1354" spans="1:4" x14ac:dyDescent="0.25">
      <c r="A1354" s="7">
        <v>44535.083333333336</v>
      </c>
      <c r="B1354" s="1" t="s">
        <v>77</v>
      </c>
      <c r="C1354" s="1">
        <v>1718.03</v>
      </c>
      <c r="D1354" s="1">
        <v>570.35</v>
      </c>
    </row>
    <row r="1355" spans="1:4" x14ac:dyDescent="0.25">
      <c r="A1355" s="7">
        <v>44535.125</v>
      </c>
      <c r="B1355" s="1" t="s">
        <v>74</v>
      </c>
      <c r="C1355" s="1">
        <v>1786.69</v>
      </c>
      <c r="D1355" s="1">
        <v>443.4</v>
      </c>
    </row>
    <row r="1356" spans="1:4" x14ac:dyDescent="0.25">
      <c r="A1356" s="7">
        <v>44535.125</v>
      </c>
      <c r="B1356" s="1" t="s">
        <v>78</v>
      </c>
      <c r="C1356" s="1">
        <v>742.2</v>
      </c>
      <c r="D1356" s="1">
        <v>447.67</v>
      </c>
    </row>
    <row r="1357" spans="1:4" x14ac:dyDescent="0.25">
      <c r="A1357" s="7">
        <v>44535.125</v>
      </c>
      <c r="B1357" s="1" t="s">
        <v>75</v>
      </c>
      <c r="C1357" s="1">
        <v>540.33000000000004</v>
      </c>
      <c r="D1357" s="1">
        <v>319.12</v>
      </c>
    </row>
    <row r="1358" spans="1:4" x14ac:dyDescent="0.25">
      <c r="A1358" s="7">
        <v>44535.125</v>
      </c>
      <c r="B1358" s="1" t="s">
        <v>76</v>
      </c>
      <c r="C1358" s="1">
        <v>4552.5600000000004</v>
      </c>
      <c r="D1358" s="1">
        <v>1052.31</v>
      </c>
    </row>
    <row r="1359" spans="1:4" x14ac:dyDescent="0.25">
      <c r="A1359" s="7">
        <v>44535.125</v>
      </c>
      <c r="B1359" s="1" t="s">
        <v>73</v>
      </c>
      <c r="C1359" s="1">
        <v>1176.28</v>
      </c>
      <c r="D1359" s="1">
        <v>168.19</v>
      </c>
    </row>
    <row r="1360" spans="1:4" x14ac:dyDescent="0.25">
      <c r="A1360" s="7">
        <v>44535.125</v>
      </c>
      <c r="B1360" s="1" t="s">
        <v>71</v>
      </c>
      <c r="C1360" s="1">
        <v>1479.49</v>
      </c>
      <c r="D1360" s="1">
        <v>523.59</v>
      </c>
    </row>
    <row r="1361" spans="1:4" x14ac:dyDescent="0.25">
      <c r="A1361" s="7">
        <v>44535.125</v>
      </c>
      <c r="B1361" s="1" t="s">
        <v>70</v>
      </c>
      <c r="C1361" s="1">
        <v>1784.87</v>
      </c>
      <c r="D1361" s="1">
        <v>807.31</v>
      </c>
    </row>
    <row r="1362" spans="1:4" x14ac:dyDescent="0.25">
      <c r="A1362" s="7">
        <v>44535.125</v>
      </c>
      <c r="B1362" s="1" t="s">
        <v>72</v>
      </c>
      <c r="C1362" s="1">
        <v>2620.71</v>
      </c>
      <c r="D1362" s="1">
        <v>1630.37</v>
      </c>
    </row>
    <row r="1363" spans="1:4" x14ac:dyDescent="0.25">
      <c r="A1363" s="7">
        <v>44535.125</v>
      </c>
      <c r="B1363" s="1" t="s">
        <v>68</v>
      </c>
      <c r="C1363" s="1">
        <v>1155.92</v>
      </c>
      <c r="D1363" s="1">
        <v>419.56</v>
      </c>
    </row>
    <row r="1364" spans="1:4" x14ac:dyDescent="0.25">
      <c r="A1364" s="7">
        <v>44535.125</v>
      </c>
      <c r="B1364" s="1" t="s">
        <v>77</v>
      </c>
      <c r="C1364" s="1">
        <v>4417.6899999999996</v>
      </c>
      <c r="D1364" s="1">
        <v>1379.34</v>
      </c>
    </row>
    <row r="1365" spans="1:4" x14ac:dyDescent="0.25">
      <c r="A1365" s="7">
        <v>44535.125</v>
      </c>
      <c r="B1365" s="1" t="s">
        <v>69</v>
      </c>
      <c r="C1365" s="1">
        <v>1643.24</v>
      </c>
      <c r="D1365" s="1">
        <v>1223.0899999999999</v>
      </c>
    </row>
    <row r="1366" spans="1:4" x14ac:dyDescent="0.25">
      <c r="A1366" s="7">
        <v>44535.166666666664</v>
      </c>
      <c r="B1366" s="1" t="s">
        <v>75</v>
      </c>
      <c r="C1366" s="1">
        <v>256.95</v>
      </c>
      <c r="D1366" s="1">
        <v>190.14</v>
      </c>
    </row>
    <row r="1367" spans="1:4" x14ac:dyDescent="0.25">
      <c r="A1367" s="7">
        <v>44535.166666666664</v>
      </c>
      <c r="B1367" s="1" t="s">
        <v>74</v>
      </c>
      <c r="C1367" s="1">
        <v>1139.3900000000001</v>
      </c>
      <c r="D1367" s="1">
        <v>365.68</v>
      </c>
    </row>
    <row r="1368" spans="1:4" x14ac:dyDescent="0.25">
      <c r="A1368" s="7">
        <v>44535.166666666664</v>
      </c>
      <c r="B1368" s="1" t="s">
        <v>73</v>
      </c>
      <c r="C1368" s="1">
        <v>808.35</v>
      </c>
      <c r="D1368" s="1">
        <v>145.11000000000001</v>
      </c>
    </row>
    <row r="1369" spans="1:4" x14ac:dyDescent="0.25">
      <c r="A1369" s="7">
        <v>44535.166666666664</v>
      </c>
      <c r="B1369" s="1" t="s">
        <v>77</v>
      </c>
      <c r="C1369" s="1">
        <v>2782.78</v>
      </c>
      <c r="D1369" s="1">
        <v>965.55</v>
      </c>
    </row>
    <row r="1370" spans="1:4" x14ac:dyDescent="0.25">
      <c r="A1370" s="7">
        <v>44535.166666666664</v>
      </c>
      <c r="B1370" s="1" t="s">
        <v>71</v>
      </c>
      <c r="C1370" s="1">
        <v>1140.3699999999999</v>
      </c>
      <c r="D1370" s="1">
        <v>449.25</v>
      </c>
    </row>
    <row r="1371" spans="1:4" x14ac:dyDescent="0.25">
      <c r="A1371" s="7">
        <v>44535.166666666664</v>
      </c>
      <c r="B1371" s="1" t="s">
        <v>69</v>
      </c>
      <c r="C1371" s="1">
        <v>1095.8</v>
      </c>
      <c r="D1371" s="1">
        <v>960</v>
      </c>
    </row>
    <row r="1372" spans="1:4" x14ac:dyDescent="0.25">
      <c r="A1372" s="7">
        <v>44535.166666666664</v>
      </c>
      <c r="B1372" s="1" t="s">
        <v>70</v>
      </c>
      <c r="C1372" s="1">
        <v>1224.96</v>
      </c>
      <c r="D1372" s="1">
        <v>658.33</v>
      </c>
    </row>
    <row r="1373" spans="1:4" x14ac:dyDescent="0.25">
      <c r="A1373" s="7">
        <v>44535.166666666664</v>
      </c>
      <c r="B1373" s="1" t="s">
        <v>78</v>
      </c>
      <c r="C1373" s="1">
        <v>540.94000000000005</v>
      </c>
      <c r="D1373" s="1">
        <v>386.2</v>
      </c>
    </row>
    <row r="1374" spans="1:4" x14ac:dyDescent="0.25">
      <c r="A1374" s="7">
        <v>44535.166666666664</v>
      </c>
      <c r="B1374" s="1" t="s">
        <v>76</v>
      </c>
      <c r="C1374" s="1">
        <v>2093.69</v>
      </c>
      <c r="D1374" s="1">
        <v>658.58</v>
      </c>
    </row>
    <row r="1375" spans="1:4" x14ac:dyDescent="0.25">
      <c r="A1375" s="7">
        <v>44535.166666666664</v>
      </c>
      <c r="B1375" s="1" t="s">
        <v>72</v>
      </c>
      <c r="C1375" s="1">
        <v>1760.38</v>
      </c>
      <c r="D1375" s="1">
        <v>1228.7</v>
      </c>
    </row>
    <row r="1376" spans="1:4" x14ac:dyDescent="0.25">
      <c r="A1376" s="7">
        <v>44535.166666666664</v>
      </c>
      <c r="B1376" s="1" t="s">
        <v>68</v>
      </c>
      <c r="C1376" s="1">
        <v>951.83</v>
      </c>
      <c r="D1376" s="1">
        <v>400.97</v>
      </c>
    </row>
    <row r="1377" spans="1:4" x14ac:dyDescent="0.25">
      <c r="A1377" s="7">
        <v>44535.208333333336</v>
      </c>
      <c r="B1377" s="1" t="s">
        <v>75</v>
      </c>
      <c r="C1377" s="1">
        <v>107.52</v>
      </c>
      <c r="D1377" s="1">
        <v>66.63</v>
      </c>
    </row>
    <row r="1378" spans="1:4" x14ac:dyDescent="0.25">
      <c r="A1378" s="7">
        <v>44535.208333333336</v>
      </c>
      <c r="B1378" s="1" t="s">
        <v>74</v>
      </c>
      <c r="C1378" s="1">
        <v>870.2</v>
      </c>
      <c r="D1378" s="1">
        <v>204.08</v>
      </c>
    </row>
    <row r="1379" spans="1:4" x14ac:dyDescent="0.25">
      <c r="A1379" s="7">
        <v>44535.208333333336</v>
      </c>
      <c r="B1379" s="1" t="s">
        <v>72</v>
      </c>
      <c r="C1379" s="1">
        <v>938.97</v>
      </c>
      <c r="D1379" s="1">
        <v>560.32000000000005</v>
      </c>
    </row>
    <row r="1380" spans="1:4" x14ac:dyDescent="0.25">
      <c r="A1380" s="7">
        <v>44535.208333333336</v>
      </c>
      <c r="B1380" s="1" t="s">
        <v>77</v>
      </c>
      <c r="C1380" s="1">
        <v>2111.19</v>
      </c>
      <c r="D1380" s="1">
        <v>619.33000000000004</v>
      </c>
    </row>
    <row r="1381" spans="1:4" x14ac:dyDescent="0.25">
      <c r="A1381" s="7">
        <v>44535.208333333336</v>
      </c>
      <c r="B1381" s="1" t="s">
        <v>71</v>
      </c>
      <c r="C1381" s="1">
        <v>1173.94</v>
      </c>
      <c r="D1381" s="1">
        <v>321.17</v>
      </c>
    </row>
    <row r="1382" spans="1:4" x14ac:dyDescent="0.25">
      <c r="A1382" s="7">
        <v>44535.208333333336</v>
      </c>
      <c r="B1382" s="1" t="s">
        <v>69</v>
      </c>
      <c r="C1382" s="1">
        <v>561.63</v>
      </c>
      <c r="D1382" s="1">
        <v>360.19</v>
      </c>
    </row>
    <row r="1383" spans="1:4" x14ac:dyDescent="0.25">
      <c r="A1383" s="7">
        <v>44535.208333333336</v>
      </c>
      <c r="B1383" s="1" t="s">
        <v>70</v>
      </c>
      <c r="C1383" s="1">
        <v>676.02</v>
      </c>
      <c r="D1383" s="1">
        <v>306.39</v>
      </c>
    </row>
    <row r="1384" spans="1:4" x14ac:dyDescent="0.25">
      <c r="A1384" s="7">
        <v>44535.208333333336</v>
      </c>
      <c r="B1384" s="1" t="s">
        <v>78</v>
      </c>
      <c r="C1384" s="1">
        <v>232.61</v>
      </c>
      <c r="D1384" s="1">
        <v>150.41</v>
      </c>
    </row>
    <row r="1385" spans="1:4" x14ac:dyDescent="0.25">
      <c r="A1385" s="7">
        <v>44535.208333333336</v>
      </c>
      <c r="B1385" s="1" t="s">
        <v>76</v>
      </c>
      <c r="C1385" s="1">
        <v>1304.18</v>
      </c>
      <c r="D1385" s="1">
        <v>393.41</v>
      </c>
    </row>
    <row r="1386" spans="1:4" x14ac:dyDescent="0.25">
      <c r="A1386" s="7">
        <v>44535.208333333336</v>
      </c>
      <c r="B1386" s="1" t="s">
        <v>73</v>
      </c>
      <c r="C1386" s="1">
        <v>802.66</v>
      </c>
      <c r="D1386" s="1">
        <v>87.27</v>
      </c>
    </row>
    <row r="1387" spans="1:4" x14ac:dyDescent="0.25">
      <c r="A1387" s="7">
        <v>44535.208333333336</v>
      </c>
      <c r="B1387" s="1" t="s">
        <v>68</v>
      </c>
      <c r="C1387" s="1">
        <v>977.42</v>
      </c>
      <c r="D1387" s="1">
        <v>288.88</v>
      </c>
    </row>
    <row r="1388" spans="1:4" x14ac:dyDescent="0.25">
      <c r="A1388" s="7">
        <v>44535.25</v>
      </c>
      <c r="B1388" s="1" t="s">
        <v>75</v>
      </c>
      <c r="C1388" s="1">
        <v>156.11000000000001</v>
      </c>
      <c r="D1388" s="1">
        <v>59.65</v>
      </c>
    </row>
    <row r="1389" spans="1:4" x14ac:dyDescent="0.25">
      <c r="A1389" s="7">
        <v>44535.25</v>
      </c>
      <c r="B1389" s="1" t="s">
        <v>74</v>
      </c>
      <c r="C1389" s="1">
        <v>2494</v>
      </c>
      <c r="D1389" s="1">
        <v>460.93</v>
      </c>
    </row>
    <row r="1390" spans="1:4" x14ac:dyDescent="0.25">
      <c r="A1390" s="7">
        <v>44535.25</v>
      </c>
      <c r="B1390" s="1" t="s">
        <v>72</v>
      </c>
      <c r="C1390" s="1">
        <v>1833.16</v>
      </c>
      <c r="D1390" s="1">
        <v>841.1</v>
      </c>
    </row>
    <row r="1391" spans="1:4" x14ac:dyDescent="0.25">
      <c r="A1391" s="7">
        <v>44535.25</v>
      </c>
      <c r="B1391" s="1" t="s">
        <v>68</v>
      </c>
      <c r="C1391" s="1">
        <v>2888.36</v>
      </c>
      <c r="D1391" s="1">
        <v>820.67</v>
      </c>
    </row>
    <row r="1392" spans="1:4" x14ac:dyDescent="0.25">
      <c r="A1392" s="7">
        <v>44535.25</v>
      </c>
      <c r="B1392" s="1" t="s">
        <v>77</v>
      </c>
      <c r="C1392" s="1">
        <v>4640.09</v>
      </c>
      <c r="D1392" s="1">
        <v>1213.5999999999999</v>
      </c>
    </row>
    <row r="1393" spans="1:4" x14ac:dyDescent="0.25">
      <c r="A1393" s="7">
        <v>44535.25</v>
      </c>
      <c r="B1393" s="1" t="s">
        <v>69</v>
      </c>
      <c r="C1393" s="1">
        <v>1049.3499999999999</v>
      </c>
      <c r="D1393" s="1">
        <v>501.76</v>
      </c>
    </row>
    <row r="1394" spans="1:4" x14ac:dyDescent="0.25">
      <c r="A1394" s="7">
        <v>44535.25</v>
      </c>
      <c r="B1394" s="1" t="s">
        <v>70</v>
      </c>
      <c r="C1394" s="1">
        <v>1484.52</v>
      </c>
      <c r="D1394" s="1">
        <v>555.16</v>
      </c>
    </row>
    <row r="1395" spans="1:4" x14ac:dyDescent="0.25">
      <c r="A1395" s="7">
        <v>44535.25</v>
      </c>
      <c r="B1395" s="1" t="s">
        <v>78</v>
      </c>
      <c r="C1395" s="1">
        <v>395.97</v>
      </c>
      <c r="D1395" s="1">
        <v>189.12</v>
      </c>
    </row>
    <row r="1396" spans="1:4" x14ac:dyDescent="0.25">
      <c r="A1396" s="7">
        <v>44535.25</v>
      </c>
      <c r="B1396" s="1" t="s">
        <v>76</v>
      </c>
      <c r="C1396" s="1">
        <v>3566.39</v>
      </c>
      <c r="D1396" s="1">
        <v>780.44</v>
      </c>
    </row>
    <row r="1397" spans="1:4" x14ac:dyDescent="0.25">
      <c r="A1397" s="7">
        <v>44535.25</v>
      </c>
      <c r="B1397" s="1" t="s">
        <v>73</v>
      </c>
      <c r="C1397" s="1">
        <v>2278.71</v>
      </c>
      <c r="D1397" s="1">
        <v>248.37</v>
      </c>
    </row>
    <row r="1398" spans="1:4" x14ac:dyDescent="0.25">
      <c r="A1398" s="7">
        <v>44535.25</v>
      </c>
      <c r="B1398" s="1" t="s">
        <v>71</v>
      </c>
      <c r="C1398" s="1">
        <v>3555.81</v>
      </c>
      <c r="D1398" s="1">
        <v>946.6</v>
      </c>
    </row>
    <row r="1399" spans="1:4" x14ac:dyDescent="0.25">
      <c r="A1399" s="7">
        <v>44535.291666666664</v>
      </c>
      <c r="B1399" s="1" t="s">
        <v>74</v>
      </c>
      <c r="C1399" s="1">
        <v>4688.37</v>
      </c>
      <c r="D1399" s="1">
        <v>933.53</v>
      </c>
    </row>
    <row r="1400" spans="1:4" x14ac:dyDescent="0.25">
      <c r="A1400" s="7">
        <v>44535.291666666664</v>
      </c>
      <c r="B1400" s="1" t="s">
        <v>78</v>
      </c>
      <c r="C1400" s="1">
        <v>707.05</v>
      </c>
      <c r="D1400" s="1">
        <v>317.81</v>
      </c>
    </row>
    <row r="1401" spans="1:4" x14ac:dyDescent="0.25">
      <c r="A1401" s="7">
        <v>44535.291666666664</v>
      </c>
      <c r="B1401" s="1" t="s">
        <v>75</v>
      </c>
      <c r="C1401" s="1">
        <v>299.07</v>
      </c>
      <c r="D1401" s="1">
        <v>103.87</v>
      </c>
    </row>
    <row r="1402" spans="1:4" x14ac:dyDescent="0.25">
      <c r="A1402" s="7">
        <v>44535.291666666664</v>
      </c>
      <c r="B1402" s="1" t="s">
        <v>76</v>
      </c>
      <c r="C1402" s="1">
        <v>7037.67</v>
      </c>
      <c r="D1402" s="1">
        <v>1514.68</v>
      </c>
    </row>
    <row r="1403" spans="1:4" x14ac:dyDescent="0.25">
      <c r="A1403" s="7">
        <v>44535.291666666664</v>
      </c>
      <c r="B1403" s="1" t="s">
        <v>68</v>
      </c>
      <c r="C1403" s="1">
        <v>5285.74</v>
      </c>
      <c r="D1403" s="1">
        <v>1710.89</v>
      </c>
    </row>
    <row r="1404" spans="1:4" x14ac:dyDescent="0.25">
      <c r="A1404" s="7">
        <v>44535.291666666664</v>
      </c>
      <c r="B1404" s="1" t="s">
        <v>71</v>
      </c>
      <c r="C1404" s="1">
        <v>6025.08</v>
      </c>
      <c r="D1404" s="1">
        <v>1878.39</v>
      </c>
    </row>
    <row r="1405" spans="1:4" x14ac:dyDescent="0.25">
      <c r="A1405" s="7">
        <v>44535.291666666664</v>
      </c>
      <c r="B1405" s="1" t="s">
        <v>72</v>
      </c>
      <c r="C1405" s="1">
        <v>3570.62</v>
      </c>
      <c r="D1405" s="1">
        <v>1710.43</v>
      </c>
    </row>
    <row r="1406" spans="1:4" x14ac:dyDescent="0.25">
      <c r="A1406" s="7">
        <v>44535.291666666664</v>
      </c>
      <c r="B1406" s="1" t="s">
        <v>73</v>
      </c>
      <c r="C1406" s="1">
        <v>4346.6899999999996</v>
      </c>
      <c r="D1406" s="1">
        <v>554.62</v>
      </c>
    </row>
    <row r="1407" spans="1:4" x14ac:dyDescent="0.25">
      <c r="A1407" s="7">
        <v>44535.291666666664</v>
      </c>
      <c r="B1407" s="1" t="s">
        <v>77</v>
      </c>
      <c r="C1407" s="1">
        <v>8447.73</v>
      </c>
      <c r="D1407" s="1">
        <v>2243.92</v>
      </c>
    </row>
    <row r="1408" spans="1:4" x14ac:dyDescent="0.25">
      <c r="A1408" s="7">
        <v>44535.291666666664</v>
      </c>
      <c r="B1408" s="1" t="s">
        <v>69</v>
      </c>
      <c r="C1408" s="1">
        <v>2089.87</v>
      </c>
      <c r="D1408" s="1">
        <v>1057.22</v>
      </c>
    </row>
    <row r="1409" spans="1:4" x14ac:dyDescent="0.25">
      <c r="A1409" s="7">
        <v>44535.291666666664</v>
      </c>
      <c r="B1409" s="1" t="s">
        <v>70</v>
      </c>
      <c r="C1409" s="1">
        <v>2993.22</v>
      </c>
      <c r="D1409" s="1">
        <v>1180.83</v>
      </c>
    </row>
    <row r="1410" spans="1:4" x14ac:dyDescent="0.25">
      <c r="A1410" s="7">
        <v>44535.333333333336</v>
      </c>
      <c r="B1410" s="1" t="s">
        <v>75</v>
      </c>
      <c r="C1410" s="1">
        <v>507.42</v>
      </c>
      <c r="D1410" s="1">
        <v>195.98</v>
      </c>
    </row>
    <row r="1411" spans="1:4" x14ac:dyDescent="0.25">
      <c r="A1411" s="7">
        <v>44535.333333333336</v>
      </c>
      <c r="B1411" s="1" t="s">
        <v>74</v>
      </c>
      <c r="C1411" s="1">
        <v>6419.69</v>
      </c>
      <c r="D1411" s="1">
        <v>1520.24</v>
      </c>
    </row>
    <row r="1412" spans="1:4" x14ac:dyDescent="0.25">
      <c r="A1412" s="7">
        <v>44535.333333333336</v>
      </c>
      <c r="B1412" s="1" t="s">
        <v>78</v>
      </c>
      <c r="C1412" s="1">
        <v>1235.72</v>
      </c>
      <c r="D1412" s="1">
        <v>609.44000000000005</v>
      </c>
    </row>
    <row r="1413" spans="1:4" x14ac:dyDescent="0.25">
      <c r="A1413" s="7">
        <v>44535.333333333336</v>
      </c>
      <c r="B1413" s="1" t="s">
        <v>76</v>
      </c>
      <c r="C1413" s="1">
        <v>10127.68</v>
      </c>
      <c r="D1413" s="1">
        <v>2412.9899999999998</v>
      </c>
    </row>
    <row r="1414" spans="1:4" x14ac:dyDescent="0.25">
      <c r="A1414" s="7">
        <v>44535.333333333336</v>
      </c>
      <c r="B1414" s="1" t="s">
        <v>73</v>
      </c>
      <c r="C1414" s="1">
        <v>6097.5</v>
      </c>
      <c r="D1414" s="1">
        <v>932.02</v>
      </c>
    </row>
    <row r="1415" spans="1:4" x14ac:dyDescent="0.25">
      <c r="A1415" s="7">
        <v>44535.333333333336</v>
      </c>
      <c r="B1415" s="1" t="s">
        <v>68</v>
      </c>
      <c r="C1415" s="1">
        <v>7232.71</v>
      </c>
      <c r="D1415" s="1">
        <v>2686.69</v>
      </c>
    </row>
    <row r="1416" spans="1:4" x14ac:dyDescent="0.25">
      <c r="A1416" s="7">
        <v>44535.333333333336</v>
      </c>
      <c r="B1416" s="1" t="s">
        <v>71</v>
      </c>
      <c r="C1416" s="1">
        <v>7836.61</v>
      </c>
      <c r="D1416" s="1">
        <v>2763.51</v>
      </c>
    </row>
    <row r="1417" spans="1:4" x14ac:dyDescent="0.25">
      <c r="A1417" s="7">
        <v>44535.333333333336</v>
      </c>
      <c r="B1417" s="1" t="s">
        <v>69</v>
      </c>
      <c r="C1417" s="1">
        <v>3632.76</v>
      </c>
      <c r="D1417" s="1">
        <v>2109.25</v>
      </c>
    </row>
    <row r="1418" spans="1:4" x14ac:dyDescent="0.25">
      <c r="A1418" s="7">
        <v>44535.333333333336</v>
      </c>
      <c r="B1418" s="1" t="s">
        <v>70</v>
      </c>
      <c r="C1418" s="1">
        <v>4674.51</v>
      </c>
      <c r="D1418" s="1">
        <v>2052.09</v>
      </c>
    </row>
    <row r="1419" spans="1:4" x14ac:dyDescent="0.25">
      <c r="A1419" s="7">
        <v>44535.333333333336</v>
      </c>
      <c r="B1419" s="1" t="s">
        <v>72</v>
      </c>
      <c r="C1419" s="1">
        <v>5975.45</v>
      </c>
      <c r="D1419" s="1">
        <v>3165.59</v>
      </c>
    </row>
    <row r="1420" spans="1:4" x14ac:dyDescent="0.25">
      <c r="A1420" s="7">
        <v>44535.333333333336</v>
      </c>
      <c r="B1420" s="1" t="s">
        <v>77</v>
      </c>
      <c r="C1420" s="1">
        <v>12476.75</v>
      </c>
      <c r="D1420" s="1">
        <v>3526.22</v>
      </c>
    </row>
    <row r="1421" spans="1:4" x14ac:dyDescent="0.25">
      <c r="A1421" s="7">
        <v>44535.375</v>
      </c>
      <c r="B1421" s="1" t="s">
        <v>75</v>
      </c>
      <c r="C1421" s="1">
        <v>753.4</v>
      </c>
      <c r="D1421" s="1">
        <v>352.89</v>
      </c>
    </row>
    <row r="1422" spans="1:4" x14ac:dyDescent="0.25">
      <c r="A1422" s="7">
        <v>44535.375</v>
      </c>
      <c r="B1422" s="1" t="s">
        <v>74</v>
      </c>
      <c r="C1422" s="1">
        <v>7693.19</v>
      </c>
      <c r="D1422" s="1">
        <v>2049.7800000000002</v>
      </c>
    </row>
    <row r="1423" spans="1:4" x14ac:dyDescent="0.25">
      <c r="A1423" s="7">
        <v>44535.375</v>
      </c>
      <c r="B1423" s="1" t="s">
        <v>76</v>
      </c>
      <c r="C1423" s="1">
        <v>12289.64</v>
      </c>
      <c r="D1423" s="1">
        <v>3256.14</v>
      </c>
    </row>
    <row r="1424" spans="1:4" x14ac:dyDescent="0.25">
      <c r="A1424" s="7">
        <v>44535.375</v>
      </c>
      <c r="B1424" s="1" t="s">
        <v>77</v>
      </c>
      <c r="C1424" s="1">
        <v>15626.95</v>
      </c>
      <c r="D1424" s="1">
        <v>4719.33</v>
      </c>
    </row>
    <row r="1425" spans="1:4" x14ac:dyDescent="0.25">
      <c r="A1425" s="7">
        <v>44535.375</v>
      </c>
      <c r="B1425" s="1" t="s">
        <v>71</v>
      </c>
      <c r="C1425" s="1">
        <v>8904.74</v>
      </c>
      <c r="D1425" s="1">
        <v>3540.8</v>
      </c>
    </row>
    <row r="1426" spans="1:4" x14ac:dyDescent="0.25">
      <c r="A1426" s="7">
        <v>44535.375</v>
      </c>
      <c r="B1426" s="1" t="s">
        <v>69</v>
      </c>
      <c r="C1426" s="1">
        <v>5249.86</v>
      </c>
      <c r="D1426" s="1">
        <v>3713.45</v>
      </c>
    </row>
    <row r="1427" spans="1:4" x14ac:dyDescent="0.25">
      <c r="A1427" s="7">
        <v>44535.375</v>
      </c>
      <c r="B1427" s="1" t="s">
        <v>70</v>
      </c>
      <c r="C1427" s="1">
        <v>6237.06</v>
      </c>
      <c r="D1427" s="1">
        <v>2967.98</v>
      </c>
    </row>
    <row r="1428" spans="1:4" x14ac:dyDescent="0.25">
      <c r="A1428" s="7">
        <v>44535.375</v>
      </c>
      <c r="B1428" s="1" t="s">
        <v>78</v>
      </c>
      <c r="C1428" s="1">
        <v>1905.04</v>
      </c>
      <c r="D1428" s="1">
        <v>1059.8</v>
      </c>
    </row>
    <row r="1429" spans="1:4" x14ac:dyDescent="0.25">
      <c r="A1429" s="7">
        <v>44535.375</v>
      </c>
      <c r="B1429" s="1" t="s">
        <v>72</v>
      </c>
      <c r="C1429" s="1">
        <v>8595.6</v>
      </c>
      <c r="D1429" s="1">
        <v>5210.04</v>
      </c>
    </row>
    <row r="1430" spans="1:4" x14ac:dyDescent="0.25">
      <c r="A1430" s="7">
        <v>44535.375</v>
      </c>
      <c r="B1430" s="1" t="s">
        <v>73</v>
      </c>
      <c r="C1430" s="1">
        <v>7240.15</v>
      </c>
      <c r="D1430" s="1">
        <v>1273.75</v>
      </c>
    </row>
    <row r="1431" spans="1:4" x14ac:dyDescent="0.25">
      <c r="A1431" s="7">
        <v>44535.375</v>
      </c>
      <c r="B1431" s="1" t="s">
        <v>68</v>
      </c>
      <c r="C1431" s="1">
        <v>8474.23</v>
      </c>
      <c r="D1431" s="1">
        <v>3560.55</v>
      </c>
    </row>
    <row r="1432" spans="1:4" x14ac:dyDescent="0.25">
      <c r="A1432" s="7">
        <v>44535.416666666664</v>
      </c>
      <c r="B1432" s="1" t="s">
        <v>75</v>
      </c>
      <c r="C1432" s="1">
        <v>967.55</v>
      </c>
      <c r="D1432" s="1">
        <v>513.49</v>
      </c>
    </row>
    <row r="1433" spans="1:4" x14ac:dyDescent="0.25">
      <c r="A1433" s="7">
        <v>44535.416666666664</v>
      </c>
      <c r="B1433" s="1" t="s">
        <v>74</v>
      </c>
      <c r="C1433" s="1">
        <v>8261.69</v>
      </c>
      <c r="D1433" s="1">
        <v>2465.71</v>
      </c>
    </row>
    <row r="1434" spans="1:4" x14ac:dyDescent="0.25">
      <c r="A1434" s="7">
        <v>44535.416666666664</v>
      </c>
      <c r="B1434" s="1" t="s">
        <v>72</v>
      </c>
      <c r="C1434" s="1">
        <v>10659.58</v>
      </c>
      <c r="D1434" s="1">
        <v>7321.3</v>
      </c>
    </row>
    <row r="1435" spans="1:4" x14ac:dyDescent="0.25">
      <c r="A1435" s="7">
        <v>44535.416666666664</v>
      </c>
      <c r="B1435" s="1" t="s">
        <v>77</v>
      </c>
      <c r="C1435" s="1">
        <v>16792.27</v>
      </c>
      <c r="D1435" s="1">
        <v>5322.57</v>
      </c>
    </row>
    <row r="1436" spans="1:4" x14ac:dyDescent="0.25">
      <c r="A1436" s="7">
        <v>44535.416666666664</v>
      </c>
      <c r="B1436" s="1" t="s">
        <v>69</v>
      </c>
      <c r="C1436" s="1">
        <v>6529.97</v>
      </c>
      <c r="D1436" s="1">
        <v>5465.41</v>
      </c>
    </row>
    <row r="1437" spans="1:4" x14ac:dyDescent="0.25">
      <c r="A1437" s="7">
        <v>44535.416666666664</v>
      </c>
      <c r="B1437" s="1" t="s">
        <v>70</v>
      </c>
      <c r="C1437" s="1">
        <v>7071.59</v>
      </c>
      <c r="D1437" s="1">
        <v>3626.6</v>
      </c>
    </row>
    <row r="1438" spans="1:4" x14ac:dyDescent="0.25">
      <c r="A1438" s="7">
        <v>44535.416666666664</v>
      </c>
      <c r="B1438" s="1" t="s">
        <v>78</v>
      </c>
      <c r="C1438" s="1">
        <v>2486.66</v>
      </c>
      <c r="D1438" s="1">
        <v>1570.38</v>
      </c>
    </row>
    <row r="1439" spans="1:4" x14ac:dyDescent="0.25">
      <c r="A1439" s="7">
        <v>44535.416666666664</v>
      </c>
      <c r="B1439" s="1" t="s">
        <v>76</v>
      </c>
      <c r="C1439" s="1">
        <v>13225.37</v>
      </c>
      <c r="D1439" s="1">
        <v>3799.48</v>
      </c>
    </row>
    <row r="1440" spans="1:4" x14ac:dyDescent="0.25">
      <c r="A1440" s="7">
        <v>44535.416666666664</v>
      </c>
      <c r="B1440" s="1" t="s">
        <v>73</v>
      </c>
      <c r="C1440" s="1">
        <v>7646.41</v>
      </c>
      <c r="D1440" s="1">
        <v>1444.1</v>
      </c>
    </row>
    <row r="1441" spans="1:4" x14ac:dyDescent="0.25">
      <c r="A1441" s="7">
        <v>44535.416666666664</v>
      </c>
      <c r="B1441" s="1" t="s">
        <v>68</v>
      </c>
      <c r="C1441" s="1">
        <v>8779.2900000000009</v>
      </c>
      <c r="D1441" s="1">
        <v>4143.5</v>
      </c>
    </row>
    <row r="1442" spans="1:4" x14ac:dyDescent="0.25">
      <c r="A1442" s="7">
        <v>44535.416666666664</v>
      </c>
      <c r="B1442" s="1" t="s">
        <v>71</v>
      </c>
      <c r="C1442" s="1">
        <v>9254.57</v>
      </c>
      <c r="D1442" s="1">
        <v>4007.78</v>
      </c>
    </row>
    <row r="1443" spans="1:4" x14ac:dyDescent="0.25">
      <c r="A1443" s="7">
        <v>44535.458333333336</v>
      </c>
      <c r="B1443" s="1" t="s">
        <v>75</v>
      </c>
      <c r="C1443" s="1">
        <v>1051.8900000000001</v>
      </c>
      <c r="D1443" s="1">
        <v>628.51</v>
      </c>
    </row>
    <row r="1444" spans="1:4" x14ac:dyDescent="0.25">
      <c r="A1444" s="7">
        <v>44535.458333333336</v>
      </c>
      <c r="B1444" s="1" t="s">
        <v>74</v>
      </c>
      <c r="C1444" s="1">
        <v>8043.7</v>
      </c>
      <c r="D1444" s="1">
        <v>2523.2600000000002</v>
      </c>
    </row>
    <row r="1445" spans="1:4" x14ac:dyDescent="0.25">
      <c r="A1445" s="7">
        <v>44535.458333333336</v>
      </c>
      <c r="B1445" s="1" t="s">
        <v>68</v>
      </c>
      <c r="C1445" s="1">
        <v>8450.83</v>
      </c>
      <c r="D1445" s="1">
        <v>4204.3599999999997</v>
      </c>
    </row>
    <row r="1446" spans="1:4" x14ac:dyDescent="0.25">
      <c r="A1446" s="7">
        <v>44535.458333333336</v>
      </c>
      <c r="B1446" s="1" t="s">
        <v>77</v>
      </c>
      <c r="C1446" s="1">
        <v>16542.550999999999</v>
      </c>
      <c r="D1446" s="1">
        <v>5317.77</v>
      </c>
    </row>
    <row r="1447" spans="1:4" x14ac:dyDescent="0.25">
      <c r="A1447" s="7">
        <v>44535.458333333336</v>
      </c>
      <c r="B1447" s="1" t="s">
        <v>71</v>
      </c>
      <c r="C1447" s="1">
        <v>8871.89</v>
      </c>
      <c r="D1447" s="1">
        <v>3994.84</v>
      </c>
    </row>
    <row r="1448" spans="1:4" x14ac:dyDescent="0.25">
      <c r="A1448" s="7">
        <v>44535.458333333336</v>
      </c>
      <c r="B1448" s="1" t="s">
        <v>70</v>
      </c>
      <c r="C1448" s="1">
        <v>7093.29</v>
      </c>
      <c r="D1448" s="1">
        <v>3744.81</v>
      </c>
    </row>
    <row r="1449" spans="1:4" x14ac:dyDescent="0.25">
      <c r="A1449" s="7">
        <v>44535.458333333336</v>
      </c>
      <c r="B1449" s="1" t="s">
        <v>78</v>
      </c>
      <c r="C1449" s="1">
        <v>2707.72</v>
      </c>
      <c r="D1449" s="1">
        <v>1808.96</v>
      </c>
    </row>
    <row r="1450" spans="1:4" x14ac:dyDescent="0.25">
      <c r="A1450" s="7">
        <v>44535.458333333336</v>
      </c>
      <c r="B1450" s="1" t="s">
        <v>76</v>
      </c>
      <c r="C1450" s="1">
        <v>12936.54</v>
      </c>
      <c r="D1450" s="1">
        <v>3878.57</v>
      </c>
    </row>
    <row r="1451" spans="1:4" x14ac:dyDescent="0.25">
      <c r="A1451" s="7">
        <v>44535.458333333336</v>
      </c>
      <c r="B1451" s="1" t="s">
        <v>73</v>
      </c>
      <c r="C1451" s="1">
        <v>7404.81</v>
      </c>
      <c r="D1451" s="1">
        <v>1459.13</v>
      </c>
    </row>
    <row r="1452" spans="1:4" x14ac:dyDescent="0.25">
      <c r="A1452" s="7">
        <v>44535.458333333336</v>
      </c>
      <c r="B1452" s="1" t="s">
        <v>72</v>
      </c>
      <c r="C1452" s="1">
        <v>11204.45</v>
      </c>
      <c r="D1452" s="1">
        <v>8296.9500000000007</v>
      </c>
    </row>
    <row r="1453" spans="1:4" x14ac:dyDescent="0.25">
      <c r="A1453" s="7">
        <v>44535.458333333336</v>
      </c>
      <c r="B1453" s="1" t="s">
        <v>69</v>
      </c>
      <c r="C1453" s="1">
        <v>7002.86</v>
      </c>
      <c r="D1453" s="1">
        <v>6262.36</v>
      </c>
    </row>
    <row r="1454" spans="1:4" x14ac:dyDescent="0.25">
      <c r="A1454" s="7">
        <v>44535.5</v>
      </c>
      <c r="B1454" s="1" t="s">
        <v>75</v>
      </c>
      <c r="C1454" s="1">
        <v>1051.9000000000001</v>
      </c>
      <c r="D1454" s="1">
        <v>627.75</v>
      </c>
    </row>
    <row r="1455" spans="1:4" x14ac:dyDescent="0.25">
      <c r="A1455" s="7">
        <v>44535.5</v>
      </c>
      <c r="B1455" s="1" t="s">
        <v>74</v>
      </c>
      <c r="C1455" s="1">
        <v>7373.77</v>
      </c>
      <c r="D1455" s="1">
        <v>2368.62</v>
      </c>
    </row>
    <row r="1456" spans="1:4" x14ac:dyDescent="0.25">
      <c r="A1456" s="7">
        <v>44535.5</v>
      </c>
      <c r="B1456" s="1" t="s">
        <v>73</v>
      </c>
      <c r="C1456" s="1">
        <v>6608.38</v>
      </c>
      <c r="D1456" s="1">
        <v>1288.6099999999999</v>
      </c>
    </row>
    <row r="1457" spans="1:4" x14ac:dyDescent="0.25">
      <c r="A1457" s="7">
        <v>44535.5</v>
      </c>
      <c r="B1457" s="1" t="s">
        <v>68</v>
      </c>
      <c r="C1457" s="1">
        <v>7911.08</v>
      </c>
      <c r="D1457" s="1">
        <v>3935.06</v>
      </c>
    </row>
    <row r="1458" spans="1:4" x14ac:dyDescent="0.25">
      <c r="A1458" s="7">
        <v>44535.5</v>
      </c>
      <c r="B1458" s="1" t="s">
        <v>77</v>
      </c>
      <c r="C1458" s="1">
        <v>15201.81</v>
      </c>
      <c r="D1458" s="1">
        <v>4902.8999999999996</v>
      </c>
    </row>
    <row r="1459" spans="1:4" x14ac:dyDescent="0.25">
      <c r="A1459" s="7">
        <v>44535.5</v>
      </c>
      <c r="B1459" s="1" t="s">
        <v>71</v>
      </c>
      <c r="C1459" s="1">
        <v>8449.58</v>
      </c>
      <c r="D1459" s="1">
        <v>3745.84</v>
      </c>
    </row>
    <row r="1460" spans="1:4" x14ac:dyDescent="0.25">
      <c r="A1460" s="7">
        <v>44535.5</v>
      </c>
      <c r="B1460" s="1" t="s">
        <v>78</v>
      </c>
      <c r="C1460" s="1">
        <v>2665.74</v>
      </c>
      <c r="D1460" s="1">
        <v>1843.79</v>
      </c>
    </row>
    <row r="1461" spans="1:4" x14ac:dyDescent="0.25">
      <c r="A1461" s="7">
        <v>44535.5</v>
      </c>
      <c r="B1461" s="1" t="s">
        <v>76</v>
      </c>
      <c r="C1461" s="1">
        <v>11887.74</v>
      </c>
      <c r="D1461" s="1">
        <v>3666.07</v>
      </c>
    </row>
    <row r="1462" spans="1:4" x14ac:dyDescent="0.25">
      <c r="A1462" s="7">
        <v>44535.5</v>
      </c>
      <c r="B1462" s="1" t="s">
        <v>72</v>
      </c>
      <c r="C1462" s="1">
        <v>10760.82</v>
      </c>
      <c r="D1462" s="1">
        <v>8074.04</v>
      </c>
    </row>
    <row r="1463" spans="1:4" x14ac:dyDescent="0.25">
      <c r="A1463" s="7">
        <v>44535.5</v>
      </c>
      <c r="B1463" s="1" t="s">
        <v>69</v>
      </c>
      <c r="C1463" s="1">
        <v>6656.82</v>
      </c>
      <c r="D1463" s="1">
        <v>6244.13</v>
      </c>
    </row>
    <row r="1464" spans="1:4" x14ac:dyDescent="0.25">
      <c r="A1464" s="7">
        <v>44535.5</v>
      </c>
      <c r="B1464" s="1" t="s">
        <v>70</v>
      </c>
      <c r="C1464" s="1">
        <v>6542.67</v>
      </c>
      <c r="D1464" s="1">
        <v>3535.49</v>
      </c>
    </row>
    <row r="1465" spans="1:4" x14ac:dyDescent="0.25">
      <c r="A1465" s="7">
        <v>44535.541666666664</v>
      </c>
      <c r="B1465" s="1" t="s">
        <v>75</v>
      </c>
      <c r="C1465" s="1">
        <v>884.27</v>
      </c>
      <c r="D1465" s="1">
        <v>556.67999999999995</v>
      </c>
    </row>
    <row r="1466" spans="1:4" x14ac:dyDescent="0.25">
      <c r="A1466" s="7">
        <v>44535.541666666664</v>
      </c>
      <c r="B1466" s="1" t="s">
        <v>74</v>
      </c>
      <c r="C1466" s="1">
        <v>6289.41</v>
      </c>
      <c r="D1466" s="1">
        <v>1988.23</v>
      </c>
    </row>
    <row r="1467" spans="1:4" x14ac:dyDescent="0.25">
      <c r="A1467" s="7">
        <v>44535.541666666664</v>
      </c>
      <c r="B1467" s="1" t="s">
        <v>78</v>
      </c>
      <c r="C1467" s="1">
        <v>2429.1</v>
      </c>
      <c r="D1467" s="1">
        <v>1580.56</v>
      </c>
    </row>
    <row r="1468" spans="1:4" x14ac:dyDescent="0.25">
      <c r="A1468" s="7">
        <v>44535.541666666664</v>
      </c>
      <c r="B1468" s="1" t="s">
        <v>76</v>
      </c>
      <c r="C1468" s="1">
        <v>10158.629999999999</v>
      </c>
      <c r="D1468" s="1">
        <v>3134.58</v>
      </c>
    </row>
    <row r="1469" spans="1:4" x14ac:dyDescent="0.25">
      <c r="A1469" s="7">
        <v>44535.541666666664</v>
      </c>
      <c r="B1469" s="1" t="s">
        <v>73</v>
      </c>
      <c r="C1469" s="1">
        <v>5341.93</v>
      </c>
      <c r="D1469" s="1">
        <v>1012.18</v>
      </c>
    </row>
    <row r="1470" spans="1:4" x14ac:dyDescent="0.25">
      <c r="A1470" s="7">
        <v>44535.541666666664</v>
      </c>
      <c r="B1470" s="1" t="s">
        <v>68</v>
      </c>
      <c r="C1470" s="1">
        <v>6354.78</v>
      </c>
      <c r="D1470" s="1">
        <v>3112.2</v>
      </c>
    </row>
    <row r="1471" spans="1:4" x14ac:dyDescent="0.25">
      <c r="A1471" s="7">
        <v>44535.541666666664</v>
      </c>
      <c r="B1471" s="1" t="s">
        <v>71</v>
      </c>
      <c r="C1471" s="1">
        <v>6795.29</v>
      </c>
      <c r="D1471" s="1">
        <v>2996.42</v>
      </c>
    </row>
    <row r="1472" spans="1:4" x14ac:dyDescent="0.25">
      <c r="A1472" s="7">
        <v>44535.541666666664</v>
      </c>
      <c r="B1472" s="1" t="s">
        <v>69</v>
      </c>
      <c r="C1472" s="1">
        <v>5701.01</v>
      </c>
      <c r="D1472" s="1">
        <v>5253.32</v>
      </c>
    </row>
    <row r="1473" spans="1:4" x14ac:dyDescent="0.25">
      <c r="A1473" s="7">
        <v>44535.541666666664</v>
      </c>
      <c r="B1473" s="1" t="s">
        <v>70</v>
      </c>
      <c r="C1473" s="1">
        <v>5296.21</v>
      </c>
      <c r="D1473" s="1">
        <v>2838.53</v>
      </c>
    </row>
    <row r="1474" spans="1:4" x14ac:dyDescent="0.25">
      <c r="A1474" s="7">
        <v>44535.541666666664</v>
      </c>
      <c r="B1474" s="1" t="s">
        <v>72</v>
      </c>
      <c r="C1474" s="1">
        <v>8988.6200000000008</v>
      </c>
      <c r="D1474" s="1">
        <v>6745.5</v>
      </c>
    </row>
    <row r="1475" spans="1:4" x14ac:dyDescent="0.25">
      <c r="A1475" s="7">
        <v>44535.541666666664</v>
      </c>
      <c r="B1475" s="1" t="s">
        <v>77</v>
      </c>
      <c r="C1475" s="1">
        <v>13390.38</v>
      </c>
      <c r="D1475" s="1">
        <v>4308.96</v>
      </c>
    </row>
    <row r="1476" spans="1:4" x14ac:dyDescent="0.25">
      <c r="A1476" s="7">
        <v>44535.583333333336</v>
      </c>
      <c r="B1476" s="1" t="s">
        <v>75</v>
      </c>
      <c r="C1476" s="1">
        <v>972.64</v>
      </c>
      <c r="D1476" s="1">
        <v>596.24</v>
      </c>
    </row>
    <row r="1477" spans="1:4" x14ac:dyDescent="0.25">
      <c r="A1477" s="7">
        <v>44535.583333333336</v>
      </c>
      <c r="B1477" s="1" t="s">
        <v>74</v>
      </c>
      <c r="C1477" s="1">
        <v>6674.08</v>
      </c>
      <c r="D1477" s="1">
        <v>2049.5500000000002</v>
      </c>
    </row>
    <row r="1478" spans="1:4" x14ac:dyDescent="0.25">
      <c r="A1478" s="7">
        <v>44535.583333333336</v>
      </c>
      <c r="B1478" s="1" t="s">
        <v>78</v>
      </c>
      <c r="C1478" s="1">
        <v>2707.53</v>
      </c>
      <c r="D1478" s="1">
        <v>1713.82</v>
      </c>
    </row>
    <row r="1479" spans="1:4" x14ac:dyDescent="0.25">
      <c r="A1479" s="7">
        <v>44535.583333333336</v>
      </c>
      <c r="B1479" s="1" t="s">
        <v>72</v>
      </c>
      <c r="C1479" s="1">
        <v>9700.2199999999993</v>
      </c>
      <c r="D1479" s="1">
        <v>7125.42</v>
      </c>
    </row>
    <row r="1480" spans="1:4" x14ac:dyDescent="0.25">
      <c r="A1480" s="7">
        <v>44535.583333333336</v>
      </c>
      <c r="B1480" s="1" t="s">
        <v>76</v>
      </c>
      <c r="C1480" s="1">
        <v>10500.04</v>
      </c>
      <c r="D1480" s="1">
        <v>3148.69</v>
      </c>
    </row>
    <row r="1481" spans="1:4" x14ac:dyDescent="0.25">
      <c r="A1481" s="7">
        <v>44535.583333333336</v>
      </c>
      <c r="B1481" s="1" t="s">
        <v>71</v>
      </c>
      <c r="C1481" s="1">
        <v>7405.01</v>
      </c>
      <c r="D1481" s="1">
        <v>3137.15</v>
      </c>
    </row>
    <row r="1482" spans="1:4" x14ac:dyDescent="0.25">
      <c r="A1482" s="7">
        <v>44535.583333333336</v>
      </c>
      <c r="B1482" s="1" t="s">
        <v>70</v>
      </c>
      <c r="C1482" s="1">
        <v>5836.54</v>
      </c>
      <c r="D1482" s="1">
        <v>3009.87</v>
      </c>
    </row>
    <row r="1483" spans="1:4" x14ac:dyDescent="0.25">
      <c r="A1483" s="7">
        <v>44535.583333333336</v>
      </c>
      <c r="B1483" s="1" t="s">
        <v>69</v>
      </c>
      <c r="C1483" s="1">
        <v>6085.45</v>
      </c>
      <c r="D1483" s="1">
        <v>5409.09</v>
      </c>
    </row>
    <row r="1484" spans="1:4" x14ac:dyDescent="0.25">
      <c r="A1484" s="7">
        <v>44535.583333333336</v>
      </c>
      <c r="B1484" s="1" t="s">
        <v>73</v>
      </c>
      <c r="C1484" s="1">
        <v>5858.49</v>
      </c>
      <c r="D1484" s="1">
        <v>1047.83</v>
      </c>
    </row>
    <row r="1485" spans="1:4" x14ac:dyDescent="0.25">
      <c r="A1485" s="7">
        <v>44535.583333333336</v>
      </c>
      <c r="B1485" s="1" t="s">
        <v>68</v>
      </c>
      <c r="C1485" s="1">
        <v>7021.62</v>
      </c>
      <c r="D1485" s="1">
        <v>3231.1</v>
      </c>
    </row>
    <row r="1486" spans="1:4" x14ac:dyDescent="0.25">
      <c r="A1486" s="7">
        <v>44535.583333333336</v>
      </c>
      <c r="B1486" s="1" t="s">
        <v>77</v>
      </c>
      <c r="C1486" s="1">
        <v>13992.61</v>
      </c>
      <c r="D1486" s="1">
        <v>4308.12</v>
      </c>
    </row>
    <row r="1487" spans="1:4" x14ac:dyDescent="0.25">
      <c r="A1487" s="7">
        <v>44535.625</v>
      </c>
      <c r="B1487" s="1" t="s">
        <v>74</v>
      </c>
      <c r="C1487" s="1">
        <v>7012.84</v>
      </c>
      <c r="D1487" s="1">
        <v>2193.5300000000002</v>
      </c>
    </row>
    <row r="1488" spans="1:4" x14ac:dyDescent="0.25">
      <c r="A1488" s="7">
        <v>44535.625</v>
      </c>
      <c r="B1488" s="1" t="s">
        <v>75</v>
      </c>
      <c r="C1488" s="1">
        <v>949.72</v>
      </c>
      <c r="D1488" s="1">
        <v>604.97</v>
      </c>
    </row>
    <row r="1489" spans="1:4" x14ac:dyDescent="0.25">
      <c r="A1489" s="7">
        <v>44535.625</v>
      </c>
      <c r="B1489" s="1" t="s">
        <v>76</v>
      </c>
      <c r="C1489" s="1">
        <v>10434.06</v>
      </c>
      <c r="D1489" s="1">
        <v>3181.58</v>
      </c>
    </row>
    <row r="1490" spans="1:4" x14ac:dyDescent="0.25">
      <c r="A1490" s="7">
        <v>44535.625</v>
      </c>
      <c r="B1490" s="1" t="s">
        <v>72</v>
      </c>
      <c r="C1490" s="1">
        <v>9577.69</v>
      </c>
      <c r="D1490" s="1">
        <v>6978.6</v>
      </c>
    </row>
    <row r="1491" spans="1:4" x14ac:dyDescent="0.25">
      <c r="A1491" s="7">
        <v>44535.625</v>
      </c>
      <c r="B1491" s="1" t="s">
        <v>77</v>
      </c>
      <c r="C1491" s="1">
        <v>13836.51</v>
      </c>
      <c r="D1491" s="1">
        <v>4276.83</v>
      </c>
    </row>
    <row r="1492" spans="1:4" x14ac:dyDescent="0.25">
      <c r="A1492" s="7">
        <v>44535.625</v>
      </c>
      <c r="B1492" s="1" t="s">
        <v>69</v>
      </c>
      <c r="C1492" s="1">
        <v>6047.94</v>
      </c>
      <c r="D1492" s="1">
        <v>5304.4</v>
      </c>
    </row>
    <row r="1493" spans="1:4" x14ac:dyDescent="0.25">
      <c r="A1493" s="7">
        <v>44535.625</v>
      </c>
      <c r="B1493" s="1" t="s">
        <v>70</v>
      </c>
      <c r="C1493" s="1">
        <v>5962.73</v>
      </c>
      <c r="D1493" s="1">
        <v>3081.68</v>
      </c>
    </row>
    <row r="1494" spans="1:4" x14ac:dyDescent="0.25">
      <c r="A1494" s="7">
        <v>44535.625</v>
      </c>
      <c r="B1494" s="1" t="s">
        <v>78</v>
      </c>
      <c r="C1494" s="1">
        <v>2698.05</v>
      </c>
      <c r="D1494" s="1">
        <v>1685.74</v>
      </c>
    </row>
    <row r="1495" spans="1:4" x14ac:dyDescent="0.25">
      <c r="A1495" s="7">
        <v>44535.625</v>
      </c>
      <c r="B1495" s="1" t="s">
        <v>73</v>
      </c>
      <c r="C1495" s="1">
        <v>6220.58</v>
      </c>
      <c r="D1495" s="1">
        <v>1131.5</v>
      </c>
    </row>
    <row r="1496" spans="1:4" x14ac:dyDescent="0.25">
      <c r="A1496" s="7">
        <v>44535.625</v>
      </c>
      <c r="B1496" s="1" t="s">
        <v>68</v>
      </c>
      <c r="C1496" s="1">
        <v>7574.57</v>
      </c>
      <c r="D1496" s="1">
        <v>3426.34</v>
      </c>
    </row>
    <row r="1497" spans="1:4" x14ac:dyDescent="0.25">
      <c r="A1497" s="7">
        <v>44535.625</v>
      </c>
      <c r="B1497" s="1" t="s">
        <v>71</v>
      </c>
      <c r="C1497" s="1">
        <v>7761.38</v>
      </c>
      <c r="D1497" s="1">
        <v>3230.77</v>
      </c>
    </row>
    <row r="1498" spans="1:4" x14ac:dyDescent="0.25">
      <c r="A1498" s="7">
        <v>44535.666666666664</v>
      </c>
      <c r="B1498" s="1" t="s">
        <v>74</v>
      </c>
      <c r="C1498" s="1">
        <v>7000.28</v>
      </c>
      <c r="D1498" s="1">
        <v>2230.4299999999998</v>
      </c>
    </row>
    <row r="1499" spans="1:4" x14ac:dyDescent="0.25">
      <c r="A1499" s="7">
        <v>44535.666666666664</v>
      </c>
      <c r="B1499" s="1" t="s">
        <v>75</v>
      </c>
      <c r="C1499" s="1">
        <v>918.05</v>
      </c>
      <c r="D1499" s="1">
        <v>558.32000000000005</v>
      </c>
    </row>
    <row r="1500" spans="1:4" x14ac:dyDescent="0.25">
      <c r="A1500" s="7">
        <v>44535.666666666664</v>
      </c>
      <c r="B1500" s="1" t="s">
        <v>73</v>
      </c>
      <c r="C1500" s="1">
        <v>5918.88</v>
      </c>
      <c r="D1500" s="1">
        <v>1190.3399999999999</v>
      </c>
    </row>
    <row r="1501" spans="1:4" x14ac:dyDescent="0.25">
      <c r="A1501" s="7">
        <v>44535.666666666664</v>
      </c>
      <c r="B1501" s="1" t="s">
        <v>77</v>
      </c>
      <c r="C1501" s="1">
        <v>13231.71</v>
      </c>
      <c r="D1501" s="1">
        <v>4187.79</v>
      </c>
    </row>
    <row r="1502" spans="1:4" x14ac:dyDescent="0.25">
      <c r="A1502" s="7">
        <v>44535.666666666664</v>
      </c>
      <c r="B1502" s="1" t="s">
        <v>71</v>
      </c>
      <c r="C1502" s="1">
        <v>7369.49</v>
      </c>
      <c r="D1502" s="1">
        <v>3318.42</v>
      </c>
    </row>
    <row r="1503" spans="1:4" x14ac:dyDescent="0.25">
      <c r="A1503" s="7">
        <v>44535.666666666664</v>
      </c>
      <c r="B1503" s="1" t="s">
        <v>70</v>
      </c>
      <c r="C1503" s="1">
        <v>5591.38</v>
      </c>
      <c r="D1503" s="1">
        <v>3005.5</v>
      </c>
    </row>
    <row r="1504" spans="1:4" x14ac:dyDescent="0.25">
      <c r="A1504" s="7">
        <v>44535.666666666664</v>
      </c>
      <c r="B1504" s="1" t="s">
        <v>78</v>
      </c>
      <c r="C1504" s="1">
        <v>2359.2399999999998</v>
      </c>
      <c r="D1504" s="1">
        <v>1544.18</v>
      </c>
    </row>
    <row r="1505" spans="1:4" x14ac:dyDescent="0.25">
      <c r="A1505" s="7">
        <v>44535.666666666664</v>
      </c>
      <c r="B1505" s="1" t="s">
        <v>76</v>
      </c>
      <c r="C1505" s="1">
        <v>10241.620000000001</v>
      </c>
      <c r="D1505" s="1">
        <v>3234.25</v>
      </c>
    </row>
    <row r="1506" spans="1:4" x14ac:dyDescent="0.25">
      <c r="A1506" s="7">
        <v>44535.666666666664</v>
      </c>
      <c r="B1506" s="1" t="s">
        <v>72</v>
      </c>
      <c r="C1506" s="1">
        <v>8928.02</v>
      </c>
      <c r="D1506" s="1">
        <v>6560.17</v>
      </c>
    </row>
    <row r="1507" spans="1:4" x14ac:dyDescent="0.25">
      <c r="A1507" s="7">
        <v>44535.666666666664</v>
      </c>
      <c r="B1507" s="1" t="s">
        <v>68</v>
      </c>
      <c r="C1507" s="1">
        <v>7385.53</v>
      </c>
      <c r="D1507" s="1">
        <v>3481.59</v>
      </c>
    </row>
    <row r="1508" spans="1:4" x14ac:dyDescent="0.25">
      <c r="A1508" s="7">
        <v>44535.666666666664</v>
      </c>
      <c r="B1508" s="1" t="s">
        <v>69</v>
      </c>
      <c r="C1508" s="1">
        <v>5673.01</v>
      </c>
      <c r="D1508" s="1">
        <v>4973.38</v>
      </c>
    </row>
    <row r="1509" spans="1:4" x14ac:dyDescent="0.25">
      <c r="A1509" s="7">
        <v>44535.708333333336</v>
      </c>
      <c r="B1509" s="1" t="s">
        <v>75</v>
      </c>
      <c r="C1509" s="1">
        <v>909.38</v>
      </c>
      <c r="D1509" s="1">
        <v>558.11</v>
      </c>
    </row>
    <row r="1510" spans="1:4" x14ac:dyDescent="0.25">
      <c r="A1510" s="7">
        <v>44535.708333333336</v>
      </c>
      <c r="B1510" s="1" t="s">
        <v>74</v>
      </c>
      <c r="C1510" s="1">
        <v>7317.94</v>
      </c>
      <c r="D1510" s="1">
        <v>2326.1999999999998</v>
      </c>
    </row>
    <row r="1511" spans="1:4" x14ac:dyDescent="0.25">
      <c r="A1511" s="7">
        <v>44535.708333333336</v>
      </c>
      <c r="B1511" s="1" t="s">
        <v>73</v>
      </c>
      <c r="C1511" s="1">
        <v>6203.32</v>
      </c>
      <c r="D1511" s="1">
        <v>1288.7</v>
      </c>
    </row>
    <row r="1512" spans="1:4" x14ac:dyDescent="0.25">
      <c r="A1512" s="7">
        <v>44535.708333333336</v>
      </c>
      <c r="B1512" s="1" t="s">
        <v>68</v>
      </c>
      <c r="C1512" s="1">
        <v>7215.69</v>
      </c>
      <c r="D1512" s="1">
        <v>3661.12</v>
      </c>
    </row>
    <row r="1513" spans="1:4" x14ac:dyDescent="0.25">
      <c r="A1513" s="7">
        <v>44535.708333333336</v>
      </c>
      <c r="B1513" s="1" t="s">
        <v>77</v>
      </c>
      <c r="C1513" s="1">
        <v>13490.61</v>
      </c>
      <c r="D1513" s="1">
        <v>4348.24</v>
      </c>
    </row>
    <row r="1514" spans="1:4" x14ac:dyDescent="0.25">
      <c r="A1514" s="7">
        <v>44535.708333333336</v>
      </c>
      <c r="B1514" s="1" t="s">
        <v>71</v>
      </c>
      <c r="C1514" s="1">
        <v>7221.31</v>
      </c>
      <c r="D1514" s="1">
        <v>3611.06</v>
      </c>
    </row>
    <row r="1515" spans="1:4" x14ac:dyDescent="0.25">
      <c r="A1515" s="7">
        <v>44535.708333333336</v>
      </c>
      <c r="B1515" s="1" t="s">
        <v>70</v>
      </c>
      <c r="C1515" s="1">
        <v>5720.84</v>
      </c>
      <c r="D1515" s="1">
        <v>3076.44</v>
      </c>
    </row>
    <row r="1516" spans="1:4" x14ac:dyDescent="0.25">
      <c r="A1516" s="7">
        <v>44535.708333333336</v>
      </c>
      <c r="B1516" s="1" t="s">
        <v>69</v>
      </c>
      <c r="C1516" s="1">
        <v>5384.61</v>
      </c>
      <c r="D1516" s="1">
        <v>4682.4399999999996</v>
      </c>
    </row>
    <row r="1517" spans="1:4" x14ac:dyDescent="0.25">
      <c r="A1517" s="7">
        <v>44535.708333333336</v>
      </c>
      <c r="B1517" s="1" t="s">
        <v>78</v>
      </c>
      <c r="C1517" s="1">
        <v>2320.2399999999998</v>
      </c>
      <c r="D1517" s="1">
        <v>1526.4</v>
      </c>
    </row>
    <row r="1518" spans="1:4" x14ac:dyDescent="0.25">
      <c r="A1518" s="7">
        <v>44535.708333333336</v>
      </c>
      <c r="B1518" s="1" t="s">
        <v>72</v>
      </c>
      <c r="C1518" s="1">
        <v>8800.25</v>
      </c>
      <c r="D1518" s="1">
        <v>6440.84</v>
      </c>
    </row>
    <row r="1519" spans="1:4" x14ac:dyDescent="0.25">
      <c r="A1519" s="7">
        <v>44535.708333333336</v>
      </c>
      <c r="B1519" s="1" t="s">
        <v>76</v>
      </c>
      <c r="C1519" s="1">
        <v>10689.27</v>
      </c>
      <c r="D1519" s="1">
        <v>3464.9</v>
      </c>
    </row>
    <row r="1520" spans="1:4" x14ac:dyDescent="0.25">
      <c r="A1520" s="7">
        <v>44535.75</v>
      </c>
      <c r="B1520" s="1" t="s">
        <v>75</v>
      </c>
      <c r="C1520" s="1">
        <v>639.29999999999995</v>
      </c>
      <c r="D1520" s="1">
        <v>348.63</v>
      </c>
    </row>
    <row r="1521" spans="1:4" x14ac:dyDescent="0.25">
      <c r="A1521" s="7">
        <v>44535.75</v>
      </c>
      <c r="B1521" s="1" t="s">
        <v>74</v>
      </c>
      <c r="C1521" s="1">
        <v>5967.38</v>
      </c>
      <c r="D1521" s="1">
        <v>1711.7</v>
      </c>
    </row>
    <row r="1522" spans="1:4" x14ac:dyDescent="0.25">
      <c r="A1522" s="7">
        <v>44535.75</v>
      </c>
      <c r="B1522" s="1" t="s">
        <v>68</v>
      </c>
      <c r="C1522" s="1">
        <v>5869.47</v>
      </c>
      <c r="D1522" s="1">
        <v>2897.3</v>
      </c>
    </row>
    <row r="1523" spans="1:4" x14ac:dyDescent="0.25">
      <c r="A1523" s="7">
        <v>44535.75</v>
      </c>
      <c r="B1523" s="1" t="s">
        <v>71</v>
      </c>
      <c r="C1523" s="1">
        <v>5561.65</v>
      </c>
      <c r="D1523" s="1">
        <v>2650.36</v>
      </c>
    </row>
    <row r="1524" spans="1:4" x14ac:dyDescent="0.25">
      <c r="A1524" s="7">
        <v>44535.75</v>
      </c>
      <c r="B1524" s="1" t="s">
        <v>69</v>
      </c>
      <c r="C1524" s="1">
        <v>3730.56</v>
      </c>
      <c r="D1524" s="1">
        <v>2803.46</v>
      </c>
    </row>
    <row r="1525" spans="1:4" x14ac:dyDescent="0.25">
      <c r="A1525" s="7">
        <v>44535.75</v>
      </c>
      <c r="B1525" s="1" t="s">
        <v>78</v>
      </c>
      <c r="C1525" s="1">
        <v>1702.69</v>
      </c>
      <c r="D1525" s="1">
        <v>985.45</v>
      </c>
    </row>
    <row r="1526" spans="1:4" x14ac:dyDescent="0.25">
      <c r="A1526" s="7">
        <v>44535.75</v>
      </c>
      <c r="B1526" s="1" t="s">
        <v>72</v>
      </c>
      <c r="C1526" s="1">
        <v>6170.91</v>
      </c>
      <c r="D1526" s="1">
        <v>4087.72</v>
      </c>
    </row>
    <row r="1527" spans="1:4" x14ac:dyDescent="0.25">
      <c r="A1527" s="7">
        <v>44535.75</v>
      </c>
      <c r="B1527" s="1" t="s">
        <v>76</v>
      </c>
      <c r="C1527" s="1">
        <v>8356.74</v>
      </c>
      <c r="D1527" s="1">
        <v>2475.69</v>
      </c>
    </row>
    <row r="1528" spans="1:4" x14ac:dyDescent="0.25">
      <c r="A1528" s="7">
        <v>44535.75</v>
      </c>
      <c r="B1528" s="1" t="s">
        <v>73</v>
      </c>
      <c r="C1528" s="1">
        <v>4902.6099999999997</v>
      </c>
      <c r="D1528" s="1">
        <v>946.53</v>
      </c>
    </row>
    <row r="1529" spans="1:4" x14ac:dyDescent="0.25">
      <c r="A1529" s="7">
        <v>44535.75</v>
      </c>
      <c r="B1529" s="1" t="s">
        <v>77</v>
      </c>
      <c r="C1529" s="1">
        <v>10546.96</v>
      </c>
      <c r="D1529" s="1">
        <v>3119.83</v>
      </c>
    </row>
    <row r="1530" spans="1:4" x14ac:dyDescent="0.25">
      <c r="A1530" s="7">
        <v>44535.75</v>
      </c>
      <c r="B1530" s="1" t="s">
        <v>70</v>
      </c>
      <c r="C1530" s="1">
        <v>4207.88</v>
      </c>
      <c r="D1530" s="1">
        <v>2076.2399999999998</v>
      </c>
    </row>
    <row r="1531" spans="1:4" x14ac:dyDescent="0.25">
      <c r="A1531" s="7">
        <v>44535.791666666664</v>
      </c>
      <c r="B1531" s="1" t="s">
        <v>74</v>
      </c>
      <c r="C1531" s="1">
        <v>14185.21</v>
      </c>
      <c r="D1531" s="1">
        <v>3879.88</v>
      </c>
    </row>
    <row r="1532" spans="1:4" x14ac:dyDescent="0.25">
      <c r="A1532" s="7">
        <v>44535.791666666664</v>
      </c>
      <c r="B1532" s="1" t="s">
        <v>78</v>
      </c>
      <c r="C1532" s="1">
        <v>4569.7</v>
      </c>
      <c r="D1532" s="1">
        <v>2926.1</v>
      </c>
    </row>
    <row r="1533" spans="1:4" x14ac:dyDescent="0.25">
      <c r="A1533" s="7">
        <v>44535.791666666664</v>
      </c>
      <c r="B1533" s="1" t="s">
        <v>75</v>
      </c>
      <c r="C1533" s="1">
        <v>2081.04</v>
      </c>
      <c r="D1533" s="1">
        <v>1183.03</v>
      </c>
    </row>
    <row r="1534" spans="1:4" x14ac:dyDescent="0.25">
      <c r="A1534" s="7">
        <v>44535.791666666664</v>
      </c>
      <c r="B1534" s="1" t="s">
        <v>76</v>
      </c>
      <c r="C1534" s="1">
        <v>23003.391</v>
      </c>
      <c r="D1534" s="1">
        <v>6458.19</v>
      </c>
    </row>
    <row r="1535" spans="1:4" x14ac:dyDescent="0.25">
      <c r="A1535" s="7">
        <v>44535.791666666664</v>
      </c>
      <c r="B1535" s="1" t="s">
        <v>72</v>
      </c>
      <c r="C1535" s="1">
        <v>16012.18</v>
      </c>
      <c r="D1535" s="1">
        <v>10468.040000000001</v>
      </c>
    </row>
    <row r="1536" spans="1:4" x14ac:dyDescent="0.25">
      <c r="A1536" s="7">
        <v>44535.791666666664</v>
      </c>
      <c r="B1536" s="1" t="s">
        <v>68</v>
      </c>
      <c r="C1536" s="1">
        <v>14959.09</v>
      </c>
      <c r="D1536" s="1">
        <v>6554.03</v>
      </c>
    </row>
    <row r="1537" spans="1:4" x14ac:dyDescent="0.25">
      <c r="A1537" s="7">
        <v>44535.791666666664</v>
      </c>
      <c r="B1537" s="1" t="s">
        <v>69</v>
      </c>
      <c r="C1537" s="1">
        <v>9891.1200000000008</v>
      </c>
      <c r="D1537" s="1">
        <v>7521.8</v>
      </c>
    </row>
    <row r="1538" spans="1:4" x14ac:dyDescent="0.25">
      <c r="A1538" s="7">
        <v>44535.791666666664</v>
      </c>
      <c r="B1538" s="1" t="s">
        <v>70</v>
      </c>
      <c r="C1538" s="1">
        <v>12403.6</v>
      </c>
      <c r="D1538" s="1">
        <v>6036.92</v>
      </c>
    </row>
    <row r="1539" spans="1:4" x14ac:dyDescent="0.25">
      <c r="A1539" s="7">
        <v>44535.791666666664</v>
      </c>
      <c r="B1539" s="1" t="s">
        <v>73</v>
      </c>
      <c r="C1539" s="1">
        <v>12805.57</v>
      </c>
      <c r="D1539" s="1">
        <v>2272.41</v>
      </c>
    </row>
    <row r="1540" spans="1:4" x14ac:dyDescent="0.25">
      <c r="A1540" s="7">
        <v>44535.791666666664</v>
      </c>
      <c r="B1540" s="1" t="s">
        <v>77</v>
      </c>
      <c r="C1540" s="1">
        <v>25833.08</v>
      </c>
      <c r="D1540" s="1">
        <v>7464.07</v>
      </c>
    </row>
    <row r="1541" spans="1:4" x14ac:dyDescent="0.25">
      <c r="A1541" s="7">
        <v>44535.791666666664</v>
      </c>
      <c r="B1541" s="1" t="s">
        <v>71</v>
      </c>
      <c r="C1541" s="1">
        <v>16214.29</v>
      </c>
      <c r="D1541" s="1">
        <v>6639.35</v>
      </c>
    </row>
    <row r="1542" spans="1:4" x14ac:dyDescent="0.25">
      <c r="A1542" s="7">
        <v>44535.833333333336</v>
      </c>
      <c r="B1542" s="1" t="s">
        <v>74</v>
      </c>
      <c r="C1542" s="1">
        <v>12952.29</v>
      </c>
      <c r="D1542" s="1">
        <v>3578.73</v>
      </c>
    </row>
    <row r="1543" spans="1:4" x14ac:dyDescent="0.25">
      <c r="A1543" s="7">
        <v>44535.833333333336</v>
      </c>
      <c r="B1543" s="1" t="s">
        <v>78</v>
      </c>
      <c r="C1543" s="1">
        <v>3795.47</v>
      </c>
      <c r="D1543" s="1">
        <v>2535.39</v>
      </c>
    </row>
    <row r="1544" spans="1:4" x14ac:dyDescent="0.25">
      <c r="A1544" s="7">
        <v>44535.833333333336</v>
      </c>
      <c r="B1544" s="1" t="s">
        <v>75</v>
      </c>
      <c r="C1544" s="1">
        <v>1744.08</v>
      </c>
      <c r="D1544" s="1">
        <v>976.58</v>
      </c>
    </row>
    <row r="1545" spans="1:4" x14ac:dyDescent="0.25">
      <c r="A1545" s="7">
        <v>44535.833333333336</v>
      </c>
      <c r="B1545" s="1" t="s">
        <v>76</v>
      </c>
      <c r="C1545" s="1">
        <v>20752.141</v>
      </c>
      <c r="D1545" s="1">
        <v>5780.27</v>
      </c>
    </row>
    <row r="1546" spans="1:4" x14ac:dyDescent="0.25">
      <c r="A1546" s="7">
        <v>44535.833333333336</v>
      </c>
      <c r="B1546" s="1" t="s">
        <v>71</v>
      </c>
      <c r="C1546" s="1">
        <v>14721.45</v>
      </c>
      <c r="D1546" s="1">
        <v>6040.39</v>
      </c>
    </row>
    <row r="1547" spans="1:4" x14ac:dyDescent="0.25">
      <c r="A1547" s="7">
        <v>44535.833333333336</v>
      </c>
      <c r="B1547" s="1" t="s">
        <v>70</v>
      </c>
      <c r="C1547" s="1">
        <v>10463.44</v>
      </c>
      <c r="D1547" s="1">
        <v>5165.8</v>
      </c>
    </row>
    <row r="1548" spans="1:4" x14ac:dyDescent="0.25">
      <c r="A1548" s="7">
        <v>44535.833333333336</v>
      </c>
      <c r="B1548" s="1" t="s">
        <v>72</v>
      </c>
      <c r="C1548" s="1">
        <v>13563.28</v>
      </c>
      <c r="D1548" s="1">
        <v>9339.4</v>
      </c>
    </row>
    <row r="1549" spans="1:4" x14ac:dyDescent="0.25">
      <c r="A1549" s="7">
        <v>44535.833333333336</v>
      </c>
      <c r="B1549" s="1" t="s">
        <v>73</v>
      </c>
      <c r="C1549" s="1">
        <v>11261.65</v>
      </c>
      <c r="D1549" s="1">
        <v>2115.96</v>
      </c>
    </row>
    <row r="1550" spans="1:4" x14ac:dyDescent="0.25">
      <c r="A1550" s="7">
        <v>44535.833333333336</v>
      </c>
      <c r="B1550" s="1" t="s">
        <v>68</v>
      </c>
      <c r="C1550" s="1">
        <v>13529.42</v>
      </c>
      <c r="D1550" s="1">
        <v>6183.98</v>
      </c>
    </row>
    <row r="1551" spans="1:4" x14ac:dyDescent="0.25">
      <c r="A1551" s="7">
        <v>44535.833333333336</v>
      </c>
      <c r="B1551" s="1" t="s">
        <v>77</v>
      </c>
      <c r="C1551" s="1">
        <v>22363.83</v>
      </c>
      <c r="D1551" s="1">
        <v>6458.41</v>
      </c>
    </row>
    <row r="1552" spans="1:4" x14ac:dyDescent="0.25">
      <c r="A1552" s="7">
        <v>44535.833333333336</v>
      </c>
      <c r="B1552" s="1" t="s">
        <v>69</v>
      </c>
      <c r="C1552" s="1">
        <v>8616.48</v>
      </c>
      <c r="D1552" s="1">
        <v>7031.42</v>
      </c>
    </row>
    <row r="1553" spans="1:4" x14ac:dyDescent="0.25">
      <c r="A1553" s="7">
        <v>44535.875</v>
      </c>
      <c r="B1553" s="1" t="s">
        <v>75</v>
      </c>
      <c r="C1553" s="1">
        <v>1708.31</v>
      </c>
      <c r="D1553" s="1">
        <v>971.09</v>
      </c>
    </row>
    <row r="1554" spans="1:4" x14ac:dyDescent="0.25">
      <c r="A1554" s="7">
        <v>44535.875</v>
      </c>
      <c r="B1554" s="1" t="s">
        <v>74</v>
      </c>
      <c r="C1554" s="1">
        <v>10076.15</v>
      </c>
      <c r="D1554" s="1">
        <v>2869.73</v>
      </c>
    </row>
    <row r="1555" spans="1:4" x14ac:dyDescent="0.25">
      <c r="A1555" s="7">
        <v>44535.875</v>
      </c>
      <c r="B1555" s="1" t="s">
        <v>76</v>
      </c>
      <c r="C1555" s="1">
        <v>18300.77</v>
      </c>
      <c r="D1555" s="1">
        <v>5048.87</v>
      </c>
    </row>
    <row r="1556" spans="1:4" x14ac:dyDescent="0.25">
      <c r="A1556" s="7">
        <v>44535.875</v>
      </c>
      <c r="B1556" s="1" t="s">
        <v>73</v>
      </c>
      <c r="C1556" s="1">
        <v>9815.61</v>
      </c>
      <c r="D1556" s="1">
        <v>1773.83</v>
      </c>
    </row>
    <row r="1557" spans="1:4" x14ac:dyDescent="0.25">
      <c r="A1557" s="7">
        <v>44535.875</v>
      </c>
      <c r="B1557" s="1" t="s">
        <v>77</v>
      </c>
      <c r="C1557" s="1">
        <v>20227.330000000002</v>
      </c>
      <c r="D1557" s="1">
        <v>5782.88</v>
      </c>
    </row>
    <row r="1558" spans="1:4" x14ac:dyDescent="0.25">
      <c r="A1558" s="7">
        <v>44535.875</v>
      </c>
      <c r="B1558" s="1" t="s">
        <v>71</v>
      </c>
      <c r="C1558" s="1">
        <v>13321.07</v>
      </c>
      <c r="D1558" s="1">
        <v>5425.65</v>
      </c>
    </row>
    <row r="1559" spans="1:4" x14ac:dyDescent="0.25">
      <c r="A1559" s="7">
        <v>44535.875</v>
      </c>
      <c r="B1559" s="1" t="s">
        <v>70</v>
      </c>
      <c r="C1559" s="1">
        <v>9778.56</v>
      </c>
      <c r="D1559" s="1">
        <v>4827.7700000000004</v>
      </c>
    </row>
    <row r="1560" spans="1:4" x14ac:dyDescent="0.25">
      <c r="A1560" s="7">
        <v>44535.875</v>
      </c>
      <c r="B1560" s="1" t="s">
        <v>78</v>
      </c>
      <c r="C1560" s="1">
        <v>3721.71</v>
      </c>
      <c r="D1560" s="1">
        <v>2373.39</v>
      </c>
    </row>
    <row r="1561" spans="1:4" x14ac:dyDescent="0.25">
      <c r="A1561" s="7">
        <v>44535.875</v>
      </c>
      <c r="B1561" s="1" t="s">
        <v>72</v>
      </c>
      <c r="C1561" s="1">
        <v>12536.13</v>
      </c>
      <c r="D1561" s="1">
        <v>8363.58</v>
      </c>
    </row>
    <row r="1562" spans="1:4" x14ac:dyDescent="0.25">
      <c r="A1562" s="7">
        <v>44535.875</v>
      </c>
      <c r="B1562" s="1" t="s">
        <v>68</v>
      </c>
      <c r="C1562" s="1">
        <v>12625.79</v>
      </c>
      <c r="D1562" s="1">
        <v>5659.36</v>
      </c>
    </row>
    <row r="1563" spans="1:4" x14ac:dyDescent="0.25">
      <c r="A1563" s="7">
        <v>44535.875</v>
      </c>
      <c r="B1563" s="1" t="s">
        <v>69</v>
      </c>
      <c r="C1563" s="1">
        <v>7694.11</v>
      </c>
      <c r="D1563" s="1">
        <v>6226.06</v>
      </c>
    </row>
    <row r="1564" spans="1:4" x14ac:dyDescent="0.25">
      <c r="A1564" s="7">
        <v>44535.916666666664</v>
      </c>
      <c r="B1564" s="1" t="s">
        <v>75</v>
      </c>
      <c r="C1564" s="1">
        <v>1571.61</v>
      </c>
      <c r="D1564" s="1">
        <v>973.01</v>
      </c>
    </row>
    <row r="1565" spans="1:4" x14ac:dyDescent="0.25">
      <c r="A1565" s="7">
        <v>44535.916666666664</v>
      </c>
      <c r="B1565" s="1" t="s">
        <v>74</v>
      </c>
      <c r="C1565" s="1">
        <v>6485.05</v>
      </c>
      <c r="D1565" s="1">
        <v>2079.3000000000002</v>
      </c>
    </row>
    <row r="1566" spans="1:4" x14ac:dyDescent="0.25">
      <c r="A1566" s="7">
        <v>44535.916666666664</v>
      </c>
      <c r="B1566" s="1" t="s">
        <v>73</v>
      </c>
      <c r="C1566" s="1">
        <v>8454.31</v>
      </c>
      <c r="D1566" s="1">
        <v>1535.84</v>
      </c>
    </row>
    <row r="1567" spans="1:4" x14ac:dyDescent="0.25">
      <c r="A1567" s="7">
        <v>44535.916666666664</v>
      </c>
      <c r="B1567" s="1" t="s">
        <v>68</v>
      </c>
      <c r="C1567" s="1">
        <v>10000.469999999999</v>
      </c>
      <c r="D1567" s="1">
        <v>4640.42</v>
      </c>
    </row>
    <row r="1568" spans="1:4" x14ac:dyDescent="0.25">
      <c r="A1568" s="7">
        <v>44535.916666666664</v>
      </c>
      <c r="B1568" s="1" t="s">
        <v>77</v>
      </c>
      <c r="C1568" s="1">
        <v>15857.69</v>
      </c>
      <c r="D1568" s="1">
        <v>4683.42</v>
      </c>
    </row>
    <row r="1569" spans="1:4" x14ac:dyDescent="0.25">
      <c r="A1569" s="7">
        <v>44535.916666666664</v>
      </c>
      <c r="B1569" s="1" t="s">
        <v>71</v>
      </c>
      <c r="C1569" s="1">
        <v>9654.39</v>
      </c>
      <c r="D1569" s="1">
        <v>4230.0200000000004</v>
      </c>
    </row>
    <row r="1570" spans="1:4" x14ac:dyDescent="0.25">
      <c r="A1570" s="7">
        <v>44535.916666666664</v>
      </c>
      <c r="B1570" s="1" t="s">
        <v>69</v>
      </c>
      <c r="C1570" s="1">
        <v>7133.57</v>
      </c>
      <c r="D1570" s="1">
        <v>5868.29</v>
      </c>
    </row>
    <row r="1571" spans="1:4" x14ac:dyDescent="0.25">
      <c r="A1571" s="7">
        <v>44535.916666666664</v>
      </c>
      <c r="B1571" s="1" t="s">
        <v>70</v>
      </c>
      <c r="C1571" s="1">
        <v>8313.2800000000007</v>
      </c>
      <c r="D1571" s="1">
        <v>4162.67</v>
      </c>
    </row>
    <row r="1572" spans="1:4" x14ac:dyDescent="0.25">
      <c r="A1572" s="7">
        <v>44535.916666666664</v>
      </c>
      <c r="B1572" s="1" t="s">
        <v>78</v>
      </c>
      <c r="C1572" s="1">
        <v>3354.75</v>
      </c>
      <c r="D1572" s="1">
        <v>2134.17</v>
      </c>
    </row>
    <row r="1573" spans="1:4" x14ac:dyDescent="0.25">
      <c r="A1573" s="7">
        <v>44535.916666666664</v>
      </c>
      <c r="B1573" s="1" t="s">
        <v>76</v>
      </c>
      <c r="C1573" s="1">
        <v>13261.95</v>
      </c>
      <c r="D1573" s="1">
        <v>3740.89</v>
      </c>
    </row>
    <row r="1574" spans="1:4" x14ac:dyDescent="0.25">
      <c r="A1574" s="7">
        <v>44535.916666666664</v>
      </c>
      <c r="B1574" s="1" t="s">
        <v>72</v>
      </c>
      <c r="C1574" s="1">
        <v>11433.26</v>
      </c>
      <c r="D1574" s="1">
        <v>7737.76</v>
      </c>
    </row>
    <row r="1575" spans="1:4" x14ac:dyDescent="0.25">
      <c r="A1575" s="7">
        <v>44535.958333333336</v>
      </c>
      <c r="B1575" s="1" t="s">
        <v>75</v>
      </c>
      <c r="C1575" s="1">
        <v>1004.93</v>
      </c>
      <c r="D1575" s="1">
        <v>680.92</v>
      </c>
    </row>
    <row r="1576" spans="1:4" x14ac:dyDescent="0.25">
      <c r="A1576" s="7">
        <v>44535.958333333336</v>
      </c>
      <c r="B1576" s="1" t="s">
        <v>74</v>
      </c>
      <c r="C1576" s="1">
        <v>2850.7</v>
      </c>
      <c r="D1576" s="1">
        <v>1059.29</v>
      </c>
    </row>
    <row r="1577" spans="1:4" x14ac:dyDescent="0.25">
      <c r="A1577" s="7">
        <v>44535.958333333336</v>
      </c>
      <c r="B1577" s="1" t="s">
        <v>68</v>
      </c>
      <c r="C1577" s="1">
        <v>4739.1099999999997</v>
      </c>
      <c r="D1577" s="1">
        <v>2632.03</v>
      </c>
    </row>
    <row r="1578" spans="1:4" x14ac:dyDescent="0.25">
      <c r="A1578" s="7">
        <v>44535.958333333336</v>
      </c>
      <c r="B1578" s="1" t="s">
        <v>77</v>
      </c>
      <c r="C1578" s="1">
        <v>8310.74</v>
      </c>
      <c r="D1578" s="1">
        <v>2594.21</v>
      </c>
    </row>
    <row r="1579" spans="1:4" x14ac:dyDescent="0.25">
      <c r="A1579" s="7">
        <v>44535.958333333336</v>
      </c>
      <c r="B1579" s="1" t="s">
        <v>71</v>
      </c>
      <c r="C1579" s="1">
        <v>4173.47</v>
      </c>
      <c r="D1579" s="1">
        <v>2216.7199999999998</v>
      </c>
    </row>
    <row r="1580" spans="1:4" x14ac:dyDescent="0.25">
      <c r="A1580" s="7">
        <v>44535.958333333336</v>
      </c>
      <c r="B1580" s="1" t="s">
        <v>70</v>
      </c>
      <c r="C1580" s="1">
        <v>4398.7299999999996</v>
      </c>
      <c r="D1580" s="1">
        <v>2437.16</v>
      </c>
    </row>
    <row r="1581" spans="1:4" x14ac:dyDescent="0.25">
      <c r="A1581" s="7">
        <v>44535.958333333336</v>
      </c>
      <c r="B1581" s="1" t="s">
        <v>69</v>
      </c>
      <c r="C1581" s="1">
        <v>4404.93</v>
      </c>
      <c r="D1581" s="1">
        <v>3863.41</v>
      </c>
    </row>
    <row r="1582" spans="1:4" x14ac:dyDescent="0.25">
      <c r="A1582" s="7">
        <v>44535.958333333336</v>
      </c>
      <c r="B1582" s="1" t="s">
        <v>78</v>
      </c>
      <c r="C1582" s="1">
        <v>2054.4</v>
      </c>
      <c r="D1582" s="1">
        <v>1410.78</v>
      </c>
    </row>
    <row r="1583" spans="1:4" x14ac:dyDescent="0.25">
      <c r="A1583" s="7">
        <v>44535.958333333336</v>
      </c>
      <c r="B1583" s="1" t="s">
        <v>72</v>
      </c>
      <c r="C1583" s="1">
        <v>6941.27</v>
      </c>
      <c r="D1583" s="1">
        <v>5098.9399999999996</v>
      </c>
    </row>
    <row r="1584" spans="1:4" x14ac:dyDescent="0.25">
      <c r="A1584" s="7">
        <v>44535.958333333336</v>
      </c>
      <c r="B1584" s="1" t="s">
        <v>76</v>
      </c>
      <c r="C1584" s="1">
        <v>6436.62</v>
      </c>
      <c r="D1584" s="1">
        <v>1996.6</v>
      </c>
    </row>
    <row r="1585" spans="1:4" x14ac:dyDescent="0.25">
      <c r="A1585" s="7">
        <v>44535.958333333336</v>
      </c>
      <c r="B1585" s="1" t="s">
        <v>73</v>
      </c>
      <c r="C1585" s="1">
        <v>3955.29</v>
      </c>
      <c r="D1585" s="1">
        <v>880.57</v>
      </c>
    </row>
    <row r="1586" spans="1:4" x14ac:dyDescent="0.25">
      <c r="A1586" s="1" t="s">
        <v>128</v>
      </c>
      <c r="B1586" s="1" t="s">
        <v>74</v>
      </c>
      <c r="C1586" s="1">
        <v>1185.02</v>
      </c>
      <c r="D1586" s="1">
        <v>498.63</v>
      </c>
    </row>
    <row r="1587" spans="1:4" x14ac:dyDescent="0.25">
      <c r="A1587" s="1" t="s">
        <v>128</v>
      </c>
      <c r="B1587" s="1" t="s">
        <v>75</v>
      </c>
      <c r="C1587" s="1">
        <v>544.24</v>
      </c>
      <c r="D1587" s="1">
        <v>421.03</v>
      </c>
    </row>
    <row r="1588" spans="1:4" x14ac:dyDescent="0.25">
      <c r="A1588" s="1" t="s">
        <v>128</v>
      </c>
      <c r="B1588" s="1" t="s">
        <v>76</v>
      </c>
      <c r="C1588" s="1">
        <v>2660.15</v>
      </c>
      <c r="D1588" s="1">
        <v>917.78</v>
      </c>
    </row>
    <row r="1589" spans="1:4" x14ac:dyDescent="0.25">
      <c r="A1589" s="1" t="s">
        <v>128</v>
      </c>
      <c r="B1589" s="1" t="s">
        <v>68</v>
      </c>
      <c r="C1589" s="1">
        <v>1970.43</v>
      </c>
      <c r="D1589" s="1">
        <v>1289.1300000000001</v>
      </c>
    </row>
    <row r="1590" spans="1:4" x14ac:dyDescent="0.25">
      <c r="A1590" s="1" t="s">
        <v>128</v>
      </c>
      <c r="B1590" s="1" t="s">
        <v>69</v>
      </c>
      <c r="C1590" s="1">
        <v>2196.96</v>
      </c>
      <c r="D1590" s="1">
        <v>1978.89</v>
      </c>
    </row>
    <row r="1591" spans="1:4" x14ac:dyDescent="0.25">
      <c r="A1591" s="1" t="s">
        <v>128</v>
      </c>
      <c r="B1591" s="1" t="s">
        <v>78</v>
      </c>
      <c r="C1591" s="1">
        <v>1039.8499999999999</v>
      </c>
      <c r="D1591" s="1">
        <v>736.14</v>
      </c>
    </row>
    <row r="1592" spans="1:4" x14ac:dyDescent="0.25">
      <c r="A1592" s="1" t="s">
        <v>128</v>
      </c>
      <c r="B1592" s="1" t="s">
        <v>72</v>
      </c>
      <c r="C1592" s="1">
        <v>3500.33</v>
      </c>
      <c r="D1592" s="1">
        <v>2782.84</v>
      </c>
    </row>
    <row r="1593" spans="1:4" x14ac:dyDescent="0.25">
      <c r="A1593" s="1" t="s">
        <v>128</v>
      </c>
      <c r="B1593" s="1" t="s">
        <v>73</v>
      </c>
      <c r="C1593" s="1">
        <v>1472.02</v>
      </c>
      <c r="D1593" s="1">
        <v>400.02</v>
      </c>
    </row>
    <row r="1594" spans="1:4" x14ac:dyDescent="0.25">
      <c r="A1594" s="1" t="s">
        <v>128</v>
      </c>
      <c r="B1594" s="1" t="s">
        <v>77</v>
      </c>
      <c r="C1594" s="1">
        <v>3645.81</v>
      </c>
      <c r="D1594" s="1">
        <v>1226.44</v>
      </c>
    </row>
    <row r="1595" spans="1:4" x14ac:dyDescent="0.25">
      <c r="A1595" s="1" t="s">
        <v>128</v>
      </c>
      <c r="B1595" s="1" t="s">
        <v>71</v>
      </c>
      <c r="C1595" s="1">
        <v>1617.84</v>
      </c>
      <c r="D1595" s="1">
        <v>1028.5999999999999</v>
      </c>
    </row>
    <row r="1596" spans="1:4" x14ac:dyDescent="0.25">
      <c r="A1596" s="1" t="s">
        <v>128</v>
      </c>
      <c r="B1596" s="1" t="s">
        <v>70</v>
      </c>
      <c r="C1596" s="1">
        <v>1898.8</v>
      </c>
      <c r="D1596" s="1">
        <v>1202.92</v>
      </c>
    </row>
    <row r="1597" spans="1:4" x14ac:dyDescent="0.25">
      <c r="A1597" s="1" t="s">
        <v>129</v>
      </c>
      <c r="B1597" s="1" t="s">
        <v>74</v>
      </c>
      <c r="C1597" s="1">
        <v>580.73</v>
      </c>
      <c r="D1597" s="1">
        <v>258.75</v>
      </c>
    </row>
    <row r="1598" spans="1:4" x14ac:dyDescent="0.25">
      <c r="A1598" s="1" t="s">
        <v>129</v>
      </c>
      <c r="B1598" s="1" t="s">
        <v>78</v>
      </c>
      <c r="C1598" s="1">
        <v>554.28</v>
      </c>
      <c r="D1598" s="1">
        <v>412.54</v>
      </c>
    </row>
    <row r="1599" spans="1:4" x14ac:dyDescent="0.25">
      <c r="A1599" s="1" t="s">
        <v>129</v>
      </c>
      <c r="B1599" s="1" t="s">
        <v>75</v>
      </c>
      <c r="C1599" s="1">
        <v>315.66000000000003</v>
      </c>
      <c r="D1599" s="1">
        <v>257.24</v>
      </c>
    </row>
    <row r="1600" spans="1:4" x14ac:dyDescent="0.25">
      <c r="A1600" s="1" t="s">
        <v>129</v>
      </c>
      <c r="B1600" s="1" t="s">
        <v>76</v>
      </c>
      <c r="C1600" s="1">
        <v>1332.08</v>
      </c>
      <c r="D1600" s="1">
        <v>469.59</v>
      </c>
    </row>
    <row r="1601" spans="1:4" x14ac:dyDescent="0.25">
      <c r="A1601" s="1" t="s">
        <v>129</v>
      </c>
      <c r="B1601" s="1" t="s">
        <v>68</v>
      </c>
      <c r="C1601" s="1">
        <v>819.3</v>
      </c>
      <c r="D1601" s="1">
        <v>592.11</v>
      </c>
    </row>
    <row r="1602" spans="1:4" x14ac:dyDescent="0.25">
      <c r="A1602" s="1" t="s">
        <v>129</v>
      </c>
      <c r="B1602" s="1" t="s">
        <v>71</v>
      </c>
      <c r="C1602" s="1">
        <v>682.51</v>
      </c>
      <c r="D1602" s="1">
        <v>497.08</v>
      </c>
    </row>
    <row r="1603" spans="1:4" x14ac:dyDescent="0.25">
      <c r="A1603" s="1" t="s">
        <v>129</v>
      </c>
      <c r="B1603" s="1" t="s">
        <v>70</v>
      </c>
      <c r="C1603" s="1">
        <v>906.94</v>
      </c>
      <c r="D1603" s="1">
        <v>584.57000000000005</v>
      </c>
    </row>
    <row r="1604" spans="1:4" x14ac:dyDescent="0.25">
      <c r="A1604" s="1" t="s">
        <v>129</v>
      </c>
      <c r="B1604" s="1" t="s">
        <v>73</v>
      </c>
      <c r="C1604" s="1">
        <v>640.21</v>
      </c>
      <c r="D1604" s="1">
        <v>188.27</v>
      </c>
    </row>
    <row r="1605" spans="1:4" x14ac:dyDescent="0.25">
      <c r="A1605" s="1" t="s">
        <v>129</v>
      </c>
      <c r="B1605" s="1" t="s">
        <v>72</v>
      </c>
      <c r="C1605" s="1">
        <v>1690.23</v>
      </c>
      <c r="D1605" s="1">
        <v>1444.99</v>
      </c>
    </row>
    <row r="1606" spans="1:4" x14ac:dyDescent="0.25">
      <c r="A1606" s="1" t="s">
        <v>129</v>
      </c>
      <c r="B1606" s="1" t="s">
        <v>77</v>
      </c>
      <c r="C1606" s="1">
        <v>1698.89</v>
      </c>
      <c r="D1606" s="1">
        <v>603.72</v>
      </c>
    </row>
    <row r="1607" spans="1:4" x14ac:dyDescent="0.25">
      <c r="A1607" s="1" t="s">
        <v>129</v>
      </c>
      <c r="B1607" s="1" t="s">
        <v>69</v>
      </c>
      <c r="C1607" s="1">
        <v>1070.6400000000001</v>
      </c>
      <c r="D1607" s="1">
        <v>1003.18</v>
      </c>
    </row>
    <row r="1608" spans="1:4" x14ac:dyDescent="0.25">
      <c r="A1608" s="1" t="s">
        <v>130</v>
      </c>
      <c r="B1608" s="1" t="s">
        <v>75</v>
      </c>
      <c r="C1608" s="1">
        <v>271.06</v>
      </c>
      <c r="D1608" s="1">
        <v>196.48</v>
      </c>
    </row>
    <row r="1609" spans="1:4" x14ac:dyDescent="0.25">
      <c r="A1609" s="1" t="s">
        <v>130</v>
      </c>
      <c r="B1609" s="1" t="s">
        <v>74</v>
      </c>
      <c r="C1609" s="1">
        <v>614.33000000000004</v>
      </c>
      <c r="D1609" s="1">
        <v>198.21</v>
      </c>
    </row>
    <row r="1610" spans="1:4" x14ac:dyDescent="0.25">
      <c r="A1610" s="1" t="s">
        <v>130</v>
      </c>
      <c r="B1610" s="1" t="s">
        <v>78</v>
      </c>
      <c r="C1610" s="1">
        <v>404.47</v>
      </c>
      <c r="D1610" s="1">
        <v>273.7</v>
      </c>
    </row>
    <row r="1611" spans="1:4" x14ac:dyDescent="0.25">
      <c r="A1611" s="1" t="s">
        <v>130</v>
      </c>
      <c r="B1611" s="1" t="s">
        <v>76</v>
      </c>
      <c r="C1611" s="1">
        <v>1535.8</v>
      </c>
      <c r="D1611" s="1">
        <v>411.26</v>
      </c>
    </row>
    <row r="1612" spans="1:4" x14ac:dyDescent="0.25">
      <c r="A1612" s="1" t="s">
        <v>130</v>
      </c>
      <c r="B1612" s="1" t="s">
        <v>73</v>
      </c>
      <c r="C1612" s="1">
        <v>430.42</v>
      </c>
      <c r="D1612" s="1">
        <v>109.39</v>
      </c>
    </row>
    <row r="1613" spans="1:4" x14ac:dyDescent="0.25">
      <c r="A1613" s="1" t="s">
        <v>130</v>
      </c>
      <c r="B1613" s="1" t="s">
        <v>77</v>
      </c>
      <c r="C1613" s="1">
        <v>1359.56</v>
      </c>
      <c r="D1613" s="1">
        <v>389.22</v>
      </c>
    </row>
    <row r="1614" spans="1:4" x14ac:dyDescent="0.25">
      <c r="A1614" s="1" t="s">
        <v>130</v>
      </c>
      <c r="B1614" s="1" t="s">
        <v>71</v>
      </c>
      <c r="C1614" s="1">
        <v>477.04</v>
      </c>
      <c r="D1614" s="1">
        <v>277.41000000000003</v>
      </c>
    </row>
    <row r="1615" spans="1:4" x14ac:dyDescent="0.25">
      <c r="A1615" s="1" t="s">
        <v>130</v>
      </c>
      <c r="B1615" s="1" t="s">
        <v>70</v>
      </c>
      <c r="C1615" s="1">
        <v>681.38</v>
      </c>
      <c r="D1615" s="1">
        <v>381.78</v>
      </c>
    </row>
    <row r="1616" spans="1:4" x14ac:dyDescent="0.25">
      <c r="A1616" s="1" t="s">
        <v>130</v>
      </c>
      <c r="B1616" s="1" t="s">
        <v>72</v>
      </c>
      <c r="C1616" s="1">
        <v>1050.6500000000001</v>
      </c>
      <c r="D1616" s="1">
        <v>894.97</v>
      </c>
    </row>
    <row r="1617" spans="1:4" x14ac:dyDescent="0.25">
      <c r="A1617" s="1" t="s">
        <v>130</v>
      </c>
      <c r="B1617" s="1" t="s">
        <v>68</v>
      </c>
      <c r="C1617" s="1">
        <v>431.14</v>
      </c>
      <c r="D1617" s="1">
        <v>291.52</v>
      </c>
    </row>
    <row r="1618" spans="1:4" x14ac:dyDescent="0.25">
      <c r="A1618" s="1" t="s">
        <v>130</v>
      </c>
      <c r="B1618" s="1" t="s">
        <v>69</v>
      </c>
      <c r="C1618" s="1">
        <v>661.9</v>
      </c>
      <c r="D1618" s="1">
        <v>595.34</v>
      </c>
    </row>
    <row r="1619" spans="1:4" x14ac:dyDescent="0.25">
      <c r="A1619" s="1" t="s">
        <v>131</v>
      </c>
      <c r="B1619" s="1" t="s">
        <v>75</v>
      </c>
      <c r="C1619" s="1">
        <v>521.72</v>
      </c>
      <c r="D1619" s="1">
        <v>324.27999999999997</v>
      </c>
    </row>
    <row r="1620" spans="1:4" x14ac:dyDescent="0.25">
      <c r="A1620" s="1" t="s">
        <v>131</v>
      </c>
      <c r="B1620" s="1" t="s">
        <v>74</v>
      </c>
      <c r="C1620" s="1">
        <v>1777.33</v>
      </c>
      <c r="D1620" s="1">
        <v>442.37</v>
      </c>
    </row>
    <row r="1621" spans="1:4" x14ac:dyDescent="0.25">
      <c r="A1621" s="1" t="s">
        <v>131</v>
      </c>
      <c r="B1621" s="1" t="s">
        <v>72</v>
      </c>
      <c r="C1621" s="1">
        <v>2157.13</v>
      </c>
      <c r="D1621" s="1">
        <v>1371.9</v>
      </c>
    </row>
    <row r="1622" spans="1:4" x14ac:dyDescent="0.25">
      <c r="A1622" s="1" t="s">
        <v>131</v>
      </c>
      <c r="B1622" s="1" t="s">
        <v>77</v>
      </c>
      <c r="C1622" s="1">
        <v>3397.12</v>
      </c>
      <c r="D1622" s="1">
        <v>846.88</v>
      </c>
    </row>
    <row r="1623" spans="1:4" x14ac:dyDescent="0.25">
      <c r="A1623" s="1" t="s">
        <v>131</v>
      </c>
      <c r="B1623" s="1" t="s">
        <v>71</v>
      </c>
      <c r="C1623" s="1">
        <v>1584.22</v>
      </c>
      <c r="D1623" s="1">
        <v>534.19000000000005</v>
      </c>
    </row>
    <row r="1624" spans="1:4" x14ac:dyDescent="0.25">
      <c r="A1624" s="1" t="s">
        <v>131</v>
      </c>
      <c r="B1624" s="1" t="s">
        <v>70</v>
      </c>
      <c r="C1624" s="1">
        <v>1838.84</v>
      </c>
      <c r="D1624" s="1">
        <v>821.5</v>
      </c>
    </row>
    <row r="1625" spans="1:4" x14ac:dyDescent="0.25">
      <c r="A1625" s="1" t="s">
        <v>131</v>
      </c>
      <c r="B1625" s="1" t="s">
        <v>78</v>
      </c>
      <c r="C1625" s="1">
        <v>784.97</v>
      </c>
      <c r="D1625" s="1">
        <v>457.75</v>
      </c>
    </row>
    <row r="1626" spans="1:4" x14ac:dyDescent="0.25">
      <c r="A1626" s="1" t="s">
        <v>131</v>
      </c>
      <c r="B1626" s="1" t="s">
        <v>76</v>
      </c>
      <c r="C1626" s="1">
        <v>4072.61</v>
      </c>
      <c r="D1626" s="1">
        <v>884.52</v>
      </c>
    </row>
    <row r="1627" spans="1:4" x14ac:dyDescent="0.25">
      <c r="A1627" s="1" t="s">
        <v>131</v>
      </c>
      <c r="B1627" s="1" t="s">
        <v>73</v>
      </c>
      <c r="C1627" s="1">
        <v>1318.01</v>
      </c>
      <c r="D1627" s="1">
        <v>187.65</v>
      </c>
    </row>
    <row r="1628" spans="1:4" x14ac:dyDescent="0.25">
      <c r="A1628" s="1" t="s">
        <v>131</v>
      </c>
      <c r="B1628" s="1" t="s">
        <v>68</v>
      </c>
      <c r="C1628" s="1">
        <v>1220.96</v>
      </c>
      <c r="D1628" s="1">
        <v>439.18</v>
      </c>
    </row>
    <row r="1629" spans="1:4" x14ac:dyDescent="0.25">
      <c r="A1629" s="1" t="s">
        <v>131</v>
      </c>
      <c r="B1629" s="1" t="s">
        <v>69</v>
      </c>
      <c r="C1629" s="1">
        <v>1431.49</v>
      </c>
      <c r="D1629" s="1">
        <v>1026.93</v>
      </c>
    </row>
    <row r="1630" spans="1:4" x14ac:dyDescent="0.25">
      <c r="A1630" s="1" t="s">
        <v>132</v>
      </c>
      <c r="B1630" s="1" t="s">
        <v>75</v>
      </c>
      <c r="C1630" s="1">
        <v>223.77</v>
      </c>
      <c r="D1630" s="1">
        <v>183.3</v>
      </c>
    </row>
    <row r="1631" spans="1:4" x14ac:dyDescent="0.25">
      <c r="A1631" s="1" t="s">
        <v>132</v>
      </c>
      <c r="B1631" s="1" t="s">
        <v>74</v>
      </c>
      <c r="C1631" s="1">
        <v>1125.81</v>
      </c>
      <c r="D1631" s="1">
        <v>374.61</v>
      </c>
    </row>
    <row r="1632" spans="1:4" x14ac:dyDescent="0.25">
      <c r="A1632" s="1" t="s">
        <v>132</v>
      </c>
      <c r="B1632" s="1" t="s">
        <v>72</v>
      </c>
      <c r="C1632" s="1">
        <v>1413.41</v>
      </c>
      <c r="D1632" s="1">
        <v>1022.76</v>
      </c>
    </row>
    <row r="1633" spans="1:4" x14ac:dyDescent="0.25">
      <c r="A1633" s="1" t="s">
        <v>132</v>
      </c>
      <c r="B1633" s="1" t="s">
        <v>68</v>
      </c>
      <c r="C1633" s="1">
        <v>1011.08</v>
      </c>
      <c r="D1633" s="1">
        <v>474.35</v>
      </c>
    </row>
    <row r="1634" spans="1:4" x14ac:dyDescent="0.25">
      <c r="A1634" s="1" t="s">
        <v>132</v>
      </c>
      <c r="B1634" s="1" t="s">
        <v>77</v>
      </c>
      <c r="C1634" s="1">
        <v>2047.91</v>
      </c>
      <c r="D1634" s="1">
        <v>586.80999999999995</v>
      </c>
    </row>
    <row r="1635" spans="1:4" x14ac:dyDescent="0.25">
      <c r="A1635" s="1" t="s">
        <v>132</v>
      </c>
      <c r="B1635" s="1" t="s">
        <v>69</v>
      </c>
      <c r="C1635" s="1">
        <v>932.17</v>
      </c>
      <c r="D1635" s="1">
        <v>786.58</v>
      </c>
    </row>
    <row r="1636" spans="1:4" x14ac:dyDescent="0.25">
      <c r="A1636" s="1" t="s">
        <v>132</v>
      </c>
      <c r="B1636" s="1" t="s">
        <v>70</v>
      </c>
      <c r="C1636" s="1">
        <v>1261.47</v>
      </c>
      <c r="D1636" s="1">
        <v>687.03</v>
      </c>
    </row>
    <row r="1637" spans="1:4" x14ac:dyDescent="0.25">
      <c r="A1637" s="1" t="s">
        <v>132</v>
      </c>
      <c r="B1637" s="1" t="s">
        <v>78</v>
      </c>
      <c r="C1637" s="1">
        <v>549.04</v>
      </c>
      <c r="D1637" s="1">
        <v>405.61</v>
      </c>
    </row>
    <row r="1638" spans="1:4" x14ac:dyDescent="0.25">
      <c r="A1638" s="1" t="s">
        <v>132</v>
      </c>
      <c r="B1638" s="1" t="s">
        <v>76</v>
      </c>
      <c r="C1638" s="1">
        <v>1724.31</v>
      </c>
      <c r="D1638" s="1">
        <v>533.32000000000005</v>
      </c>
    </row>
    <row r="1639" spans="1:4" x14ac:dyDescent="0.25">
      <c r="A1639" s="1" t="s">
        <v>132</v>
      </c>
      <c r="B1639" s="1" t="s">
        <v>73</v>
      </c>
      <c r="C1639" s="1">
        <v>901</v>
      </c>
      <c r="D1639" s="1">
        <v>158.28</v>
      </c>
    </row>
    <row r="1640" spans="1:4" x14ac:dyDescent="0.25">
      <c r="A1640" s="1" t="s">
        <v>132</v>
      </c>
      <c r="B1640" s="1" t="s">
        <v>71</v>
      </c>
      <c r="C1640" s="1">
        <v>1342.84</v>
      </c>
      <c r="D1640" s="1">
        <v>509.6</v>
      </c>
    </row>
    <row r="1641" spans="1:4" x14ac:dyDescent="0.25">
      <c r="A1641" s="1" t="s">
        <v>133</v>
      </c>
      <c r="B1641" s="1" t="s">
        <v>75</v>
      </c>
      <c r="C1641" s="1">
        <v>87.55</v>
      </c>
      <c r="D1641" s="1">
        <v>62.57</v>
      </c>
    </row>
    <row r="1642" spans="1:4" x14ac:dyDescent="0.25">
      <c r="A1642" s="1" t="s">
        <v>133</v>
      </c>
      <c r="B1642" s="1" t="s">
        <v>74</v>
      </c>
      <c r="C1642" s="1">
        <v>764.72</v>
      </c>
      <c r="D1642" s="1">
        <v>204.58</v>
      </c>
    </row>
    <row r="1643" spans="1:4" x14ac:dyDescent="0.25">
      <c r="A1643" s="1" t="s">
        <v>133</v>
      </c>
      <c r="B1643" s="1" t="s">
        <v>73</v>
      </c>
      <c r="C1643" s="1">
        <v>674.57</v>
      </c>
      <c r="D1643" s="1">
        <v>86.47</v>
      </c>
    </row>
    <row r="1644" spans="1:4" x14ac:dyDescent="0.25">
      <c r="A1644" s="1" t="s">
        <v>133</v>
      </c>
      <c r="B1644" s="1" t="s">
        <v>68</v>
      </c>
      <c r="C1644" s="1">
        <v>876.25</v>
      </c>
      <c r="D1644" s="1">
        <v>302.37</v>
      </c>
    </row>
    <row r="1645" spans="1:4" x14ac:dyDescent="0.25">
      <c r="A1645" s="1" t="s">
        <v>133</v>
      </c>
      <c r="B1645" s="1" t="s">
        <v>77</v>
      </c>
      <c r="C1645" s="1">
        <v>1165.8699999999999</v>
      </c>
      <c r="D1645" s="1">
        <v>260.99</v>
      </c>
    </row>
    <row r="1646" spans="1:4" x14ac:dyDescent="0.25">
      <c r="A1646" s="1" t="s">
        <v>133</v>
      </c>
      <c r="B1646" s="1" t="s">
        <v>71</v>
      </c>
      <c r="C1646" s="1">
        <v>1253.1099999999999</v>
      </c>
      <c r="D1646" s="1">
        <v>340.87</v>
      </c>
    </row>
    <row r="1647" spans="1:4" x14ac:dyDescent="0.25">
      <c r="A1647" s="1" t="s">
        <v>133</v>
      </c>
      <c r="B1647" s="1" t="s">
        <v>78</v>
      </c>
      <c r="C1647" s="1">
        <v>189.75</v>
      </c>
      <c r="D1647" s="1">
        <v>131.26</v>
      </c>
    </row>
    <row r="1648" spans="1:4" x14ac:dyDescent="0.25">
      <c r="A1648" s="1" t="s">
        <v>133</v>
      </c>
      <c r="B1648" s="1" t="s">
        <v>76</v>
      </c>
      <c r="C1648" s="1">
        <v>946.65</v>
      </c>
      <c r="D1648" s="1">
        <v>245.09</v>
      </c>
    </row>
    <row r="1649" spans="1:4" x14ac:dyDescent="0.25">
      <c r="A1649" s="1" t="s">
        <v>133</v>
      </c>
      <c r="B1649" s="1" t="s">
        <v>72</v>
      </c>
      <c r="C1649" s="1">
        <v>641.76</v>
      </c>
      <c r="D1649" s="1">
        <v>390.3</v>
      </c>
    </row>
    <row r="1650" spans="1:4" x14ac:dyDescent="0.25">
      <c r="A1650" s="1" t="s">
        <v>133</v>
      </c>
      <c r="B1650" s="1" t="s">
        <v>69</v>
      </c>
      <c r="C1650" s="1">
        <v>389.45</v>
      </c>
      <c r="D1650" s="1">
        <v>273.74</v>
      </c>
    </row>
    <row r="1651" spans="1:4" x14ac:dyDescent="0.25">
      <c r="A1651" s="1" t="s">
        <v>133</v>
      </c>
      <c r="B1651" s="1" t="s">
        <v>70</v>
      </c>
      <c r="C1651" s="1">
        <v>598.91999999999996</v>
      </c>
      <c r="D1651" s="1">
        <v>298.70999999999998</v>
      </c>
    </row>
    <row r="1652" spans="1:4" x14ac:dyDescent="0.25">
      <c r="A1652" s="1" t="s">
        <v>134</v>
      </c>
      <c r="B1652" s="1" t="s">
        <v>75</v>
      </c>
      <c r="C1652" s="1">
        <v>121.38</v>
      </c>
      <c r="D1652" s="1">
        <v>48.27</v>
      </c>
    </row>
    <row r="1653" spans="1:4" x14ac:dyDescent="0.25">
      <c r="A1653" s="1" t="s">
        <v>134</v>
      </c>
      <c r="B1653" s="1" t="s">
        <v>74</v>
      </c>
      <c r="C1653" s="1">
        <v>2406.89</v>
      </c>
      <c r="D1653" s="1">
        <v>443.56</v>
      </c>
    </row>
    <row r="1654" spans="1:4" x14ac:dyDescent="0.25">
      <c r="A1654" s="1" t="s">
        <v>134</v>
      </c>
      <c r="B1654" s="1" t="s">
        <v>78</v>
      </c>
      <c r="C1654" s="1">
        <v>291.92</v>
      </c>
      <c r="D1654" s="1">
        <v>134.36000000000001</v>
      </c>
    </row>
    <row r="1655" spans="1:4" x14ac:dyDescent="0.25">
      <c r="A1655" s="1" t="s">
        <v>134</v>
      </c>
      <c r="B1655" s="1" t="s">
        <v>76</v>
      </c>
      <c r="C1655" s="1">
        <v>2979.86</v>
      </c>
      <c r="D1655" s="1">
        <v>570.59</v>
      </c>
    </row>
    <row r="1656" spans="1:4" x14ac:dyDescent="0.25">
      <c r="A1656" s="1" t="s">
        <v>134</v>
      </c>
      <c r="B1656" s="1" t="s">
        <v>73</v>
      </c>
      <c r="C1656" s="1">
        <v>1841.62</v>
      </c>
      <c r="D1656" s="1">
        <v>192.52</v>
      </c>
    </row>
    <row r="1657" spans="1:4" x14ac:dyDescent="0.25">
      <c r="A1657" s="1" t="s">
        <v>134</v>
      </c>
      <c r="B1657" s="1" t="s">
        <v>68</v>
      </c>
      <c r="C1657" s="1">
        <v>2576.9</v>
      </c>
      <c r="D1657" s="1">
        <v>730.85</v>
      </c>
    </row>
    <row r="1658" spans="1:4" x14ac:dyDescent="0.25">
      <c r="A1658" s="1" t="s">
        <v>134</v>
      </c>
      <c r="B1658" s="1" t="s">
        <v>71</v>
      </c>
      <c r="C1658" s="1">
        <v>3504</v>
      </c>
      <c r="D1658" s="1">
        <v>905.88</v>
      </c>
    </row>
    <row r="1659" spans="1:4" x14ac:dyDescent="0.25">
      <c r="A1659" s="1" t="s">
        <v>134</v>
      </c>
      <c r="B1659" s="1" t="s">
        <v>70</v>
      </c>
      <c r="C1659" s="1">
        <v>1285.83</v>
      </c>
      <c r="D1659" s="1">
        <v>478.62</v>
      </c>
    </row>
    <row r="1660" spans="1:4" x14ac:dyDescent="0.25">
      <c r="A1660" s="1" t="s">
        <v>134</v>
      </c>
      <c r="B1660" s="1" t="s">
        <v>72</v>
      </c>
      <c r="C1660" s="1">
        <v>1195.7</v>
      </c>
      <c r="D1660" s="1">
        <v>567.11</v>
      </c>
    </row>
    <row r="1661" spans="1:4" x14ac:dyDescent="0.25">
      <c r="A1661" s="1" t="s">
        <v>134</v>
      </c>
      <c r="B1661" s="1" t="s">
        <v>77</v>
      </c>
      <c r="C1661" s="1">
        <v>2827.55</v>
      </c>
      <c r="D1661" s="1">
        <v>565.66999999999996</v>
      </c>
    </row>
    <row r="1662" spans="1:4" x14ac:dyDescent="0.25">
      <c r="A1662" s="1" t="s">
        <v>134</v>
      </c>
      <c r="B1662" s="1" t="s">
        <v>69</v>
      </c>
      <c r="C1662" s="1">
        <v>691.18</v>
      </c>
      <c r="D1662" s="1">
        <v>320.64999999999998</v>
      </c>
    </row>
    <row r="1663" spans="1:4" x14ac:dyDescent="0.25">
      <c r="A1663" s="1" t="s">
        <v>135</v>
      </c>
      <c r="B1663" s="1" t="s">
        <v>75</v>
      </c>
      <c r="C1663" s="1">
        <v>251.97</v>
      </c>
      <c r="D1663" s="1">
        <v>82.61</v>
      </c>
    </row>
    <row r="1664" spans="1:4" x14ac:dyDescent="0.25">
      <c r="A1664" s="1" t="s">
        <v>135</v>
      </c>
      <c r="B1664" s="1" t="s">
        <v>74</v>
      </c>
      <c r="C1664" s="1">
        <v>4850.22</v>
      </c>
      <c r="D1664" s="1">
        <v>984.98</v>
      </c>
    </row>
    <row r="1665" spans="1:4" x14ac:dyDescent="0.25">
      <c r="A1665" s="1" t="s">
        <v>135</v>
      </c>
      <c r="B1665" s="1" t="s">
        <v>78</v>
      </c>
      <c r="C1665" s="1">
        <v>624.87</v>
      </c>
      <c r="D1665" s="1">
        <v>246.29</v>
      </c>
    </row>
    <row r="1666" spans="1:4" x14ac:dyDescent="0.25">
      <c r="A1666" s="1" t="s">
        <v>135</v>
      </c>
      <c r="B1666" s="1" t="s">
        <v>76</v>
      </c>
      <c r="C1666" s="1">
        <v>6568.05</v>
      </c>
      <c r="D1666" s="1">
        <v>1297.3599999999999</v>
      </c>
    </row>
    <row r="1667" spans="1:4" x14ac:dyDescent="0.25">
      <c r="A1667" s="1" t="s">
        <v>135</v>
      </c>
      <c r="B1667" s="1" t="s">
        <v>71</v>
      </c>
      <c r="C1667" s="1">
        <v>6276.31</v>
      </c>
      <c r="D1667" s="1">
        <v>1865.92</v>
      </c>
    </row>
    <row r="1668" spans="1:4" x14ac:dyDescent="0.25">
      <c r="A1668" s="1" t="s">
        <v>135</v>
      </c>
      <c r="B1668" s="1" t="s">
        <v>69</v>
      </c>
      <c r="C1668" s="1">
        <v>1518.85</v>
      </c>
      <c r="D1668" s="1">
        <v>675.31</v>
      </c>
    </row>
    <row r="1669" spans="1:4" x14ac:dyDescent="0.25">
      <c r="A1669" s="1" t="s">
        <v>135</v>
      </c>
      <c r="B1669" s="1" t="s">
        <v>70</v>
      </c>
      <c r="C1669" s="1">
        <v>2662.65</v>
      </c>
      <c r="D1669" s="1">
        <v>1055.44</v>
      </c>
    </row>
    <row r="1670" spans="1:4" x14ac:dyDescent="0.25">
      <c r="A1670" s="1" t="s">
        <v>135</v>
      </c>
      <c r="B1670" s="1" t="s">
        <v>73</v>
      </c>
      <c r="C1670" s="1">
        <v>3591.27</v>
      </c>
      <c r="D1670" s="1">
        <v>435.29</v>
      </c>
    </row>
    <row r="1671" spans="1:4" x14ac:dyDescent="0.25">
      <c r="A1671" s="1" t="s">
        <v>135</v>
      </c>
      <c r="B1671" s="1" t="s">
        <v>72</v>
      </c>
      <c r="C1671" s="1">
        <v>2543.8000000000002</v>
      </c>
      <c r="D1671" s="1">
        <v>1140.25</v>
      </c>
    </row>
    <row r="1672" spans="1:4" x14ac:dyDescent="0.25">
      <c r="A1672" s="1" t="s">
        <v>135</v>
      </c>
      <c r="B1672" s="1" t="s">
        <v>68</v>
      </c>
      <c r="C1672" s="1">
        <v>5007.51</v>
      </c>
      <c r="D1672" s="1">
        <v>1569.81</v>
      </c>
    </row>
    <row r="1673" spans="1:4" x14ac:dyDescent="0.25">
      <c r="A1673" s="1" t="s">
        <v>135</v>
      </c>
      <c r="B1673" s="1" t="s">
        <v>77</v>
      </c>
      <c r="C1673" s="1">
        <v>6135.72</v>
      </c>
      <c r="D1673" s="1">
        <v>1330.07</v>
      </c>
    </row>
    <row r="1674" spans="1:4" x14ac:dyDescent="0.25">
      <c r="A1674" s="1" t="s">
        <v>136</v>
      </c>
      <c r="B1674" s="1" t="s">
        <v>75</v>
      </c>
      <c r="C1674" s="1">
        <v>470.75</v>
      </c>
      <c r="D1674" s="1">
        <v>163.16999999999999</v>
      </c>
    </row>
    <row r="1675" spans="1:4" x14ac:dyDescent="0.25">
      <c r="A1675" s="1" t="s">
        <v>136</v>
      </c>
      <c r="B1675" s="1" t="s">
        <v>74</v>
      </c>
      <c r="C1675" s="1">
        <v>6924.19</v>
      </c>
      <c r="D1675" s="1">
        <v>1629.15</v>
      </c>
    </row>
    <row r="1676" spans="1:4" x14ac:dyDescent="0.25">
      <c r="A1676" s="1" t="s">
        <v>136</v>
      </c>
      <c r="B1676" s="1" t="s">
        <v>72</v>
      </c>
      <c r="C1676" s="1">
        <v>4657.55</v>
      </c>
      <c r="D1676" s="1">
        <v>2396.09</v>
      </c>
    </row>
    <row r="1677" spans="1:4" x14ac:dyDescent="0.25">
      <c r="A1677" s="1" t="s">
        <v>136</v>
      </c>
      <c r="B1677" s="1" t="s">
        <v>76</v>
      </c>
      <c r="C1677" s="1">
        <v>10303.4</v>
      </c>
      <c r="D1677" s="1">
        <v>2270.42</v>
      </c>
    </row>
    <row r="1678" spans="1:4" x14ac:dyDescent="0.25">
      <c r="A1678" s="1" t="s">
        <v>136</v>
      </c>
      <c r="B1678" s="1" t="s">
        <v>77</v>
      </c>
      <c r="C1678" s="1">
        <v>10547.59</v>
      </c>
      <c r="D1678" s="1">
        <v>2538.7800000000002</v>
      </c>
    </row>
    <row r="1679" spans="1:4" x14ac:dyDescent="0.25">
      <c r="A1679" s="1" t="s">
        <v>136</v>
      </c>
      <c r="B1679" s="1" t="s">
        <v>69</v>
      </c>
      <c r="C1679" s="1">
        <v>2967.73</v>
      </c>
      <c r="D1679" s="1">
        <v>1541.07</v>
      </c>
    </row>
    <row r="1680" spans="1:4" x14ac:dyDescent="0.25">
      <c r="A1680" s="1" t="s">
        <v>136</v>
      </c>
      <c r="B1680" s="1" t="s">
        <v>70</v>
      </c>
      <c r="C1680" s="1">
        <v>4497.76</v>
      </c>
      <c r="D1680" s="1">
        <v>1896.01</v>
      </c>
    </row>
    <row r="1681" spans="1:4" x14ac:dyDescent="0.25">
      <c r="A1681" s="1" t="s">
        <v>136</v>
      </c>
      <c r="B1681" s="1" t="s">
        <v>78</v>
      </c>
      <c r="C1681" s="1">
        <v>1208.4000000000001</v>
      </c>
      <c r="D1681" s="1">
        <v>529.32000000000005</v>
      </c>
    </row>
    <row r="1682" spans="1:4" x14ac:dyDescent="0.25">
      <c r="A1682" s="1" t="s">
        <v>136</v>
      </c>
      <c r="B1682" s="1" t="s">
        <v>73</v>
      </c>
      <c r="C1682" s="1">
        <v>5767.59</v>
      </c>
      <c r="D1682" s="1">
        <v>855.15</v>
      </c>
    </row>
    <row r="1683" spans="1:4" x14ac:dyDescent="0.25">
      <c r="A1683" s="1" t="s">
        <v>136</v>
      </c>
      <c r="B1683" s="1" t="s">
        <v>68</v>
      </c>
      <c r="C1683" s="1">
        <v>7357.18</v>
      </c>
      <c r="D1683" s="1">
        <v>2590.4899999999998</v>
      </c>
    </row>
    <row r="1684" spans="1:4" x14ac:dyDescent="0.25">
      <c r="A1684" s="1" t="s">
        <v>136</v>
      </c>
      <c r="B1684" s="1" t="s">
        <v>71</v>
      </c>
      <c r="C1684" s="1">
        <v>8315.5499999999993</v>
      </c>
      <c r="D1684" s="1">
        <v>2899.97</v>
      </c>
    </row>
    <row r="1685" spans="1:4" x14ac:dyDescent="0.25">
      <c r="A1685" s="1" t="s">
        <v>137</v>
      </c>
      <c r="B1685" s="1" t="s">
        <v>74</v>
      </c>
      <c r="C1685" s="1">
        <v>8314.56</v>
      </c>
      <c r="D1685" s="1">
        <v>2232.1999999999998</v>
      </c>
    </row>
    <row r="1686" spans="1:4" x14ac:dyDescent="0.25">
      <c r="A1686" s="1" t="s">
        <v>137</v>
      </c>
      <c r="B1686" s="1" t="s">
        <v>75</v>
      </c>
      <c r="C1686" s="1">
        <v>696.87</v>
      </c>
      <c r="D1686" s="1">
        <v>301.73</v>
      </c>
    </row>
    <row r="1687" spans="1:4" x14ac:dyDescent="0.25">
      <c r="A1687" s="1" t="s">
        <v>137</v>
      </c>
      <c r="B1687" s="1" t="s">
        <v>68</v>
      </c>
      <c r="C1687" s="1">
        <v>8811.68</v>
      </c>
      <c r="D1687" s="1">
        <v>3646.9</v>
      </c>
    </row>
    <row r="1688" spans="1:4" x14ac:dyDescent="0.25">
      <c r="A1688" s="1" t="s">
        <v>137</v>
      </c>
      <c r="B1688" s="1" t="s">
        <v>77</v>
      </c>
      <c r="C1688" s="1">
        <v>14371.65</v>
      </c>
      <c r="D1688" s="1">
        <v>3801.26</v>
      </c>
    </row>
    <row r="1689" spans="1:4" x14ac:dyDescent="0.25">
      <c r="A1689" s="1" t="s">
        <v>137</v>
      </c>
      <c r="B1689" s="1" t="s">
        <v>71</v>
      </c>
      <c r="C1689" s="1">
        <v>9650.0400000000009</v>
      </c>
      <c r="D1689" s="1">
        <v>3827.01</v>
      </c>
    </row>
    <row r="1690" spans="1:4" x14ac:dyDescent="0.25">
      <c r="A1690" s="1" t="s">
        <v>137</v>
      </c>
      <c r="B1690" s="1" t="s">
        <v>70</v>
      </c>
      <c r="C1690" s="1">
        <v>6157.54</v>
      </c>
      <c r="D1690" s="1">
        <v>2825.52</v>
      </c>
    </row>
    <row r="1691" spans="1:4" x14ac:dyDescent="0.25">
      <c r="A1691" s="1" t="s">
        <v>137</v>
      </c>
      <c r="B1691" s="1" t="s">
        <v>78</v>
      </c>
      <c r="C1691" s="1">
        <v>1923.67</v>
      </c>
      <c r="D1691" s="1">
        <v>932.03</v>
      </c>
    </row>
    <row r="1692" spans="1:4" x14ac:dyDescent="0.25">
      <c r="A1692" s="1" t="s">
        <v>137</v>
      </c>
      <c r="B1692" s="1" t="s">
        <v>76</v>
      </c>
      <c r="C1692" s="1">
        <v>13036.84</v>
      </c>
      <c r="D1692" s="1">
        <v>3247.85</v>
      </c>
    </row>
    <row r="1693" spans="1:4" x14ac:dyDescent="0.25">
      <c r="A1693" s="1" t="s">
        <v>137</v>
      </c>
      <c r="B1693" s="1" t="s">
        <v>72</v>
      </c>
      <c r="C1693" s="1">
        <v>7227.7</v>
      </c>
      <c r="D1693" s="1">
        <v>4305.6000000000004</v>
      </c>
    </row>
    <row r="1694" spans="1:4" x14ac:dyDescent="0.25">
      <c r="A1694" s="1" t="s">
        <v>137</v>
      </c>
      <c r="B1694" s="1" t="s">
        <v>73</v>
      </c>
      <c r="C1694" s="1">
        <v>7439.11</v>
      </c>
      <c r="D1694" s="1">
        <v>1281.4000000000001</v>
      </c>
    </row>
    <row r="1695" spans="1:4" x14ac:dyDescent="0.25">
      <c r="A1695" s="1" t="s">
        <v>137</v>
      </c>
      <c r="B1695" s="1" t="s">
        <v>69</v>
      </c>
      <c r="C1695" s="1">
        <v>4720.18</v>
      </c>
      <c r="D1695" s="1">
        <v>2977.63</v>
      </c>
    </row>
    <row r="1696" spans="1:4" x14ac:dyDescent="0.25">
      <c r="A1696" s="1" t="s">
        <v>138</v>
      </c>
      <c r="B1696" s="1" t="s">
        <v>75</v>
      </c>
      <c r="C1696" s="1">
        <v>881.63</v>
      </c>
      <c r="D1696" s="1">
        <v>444.49</v>
      </c>
    </row>
    <row r="1697" spans="1:4" x14ac:dyDescent="0.25">
      <c r="A1697" s="1" t="s">
        <v>138</v>
      </c>
      <c r="B1697" s="1" t="s">
        <v>74</v>
      </c>
      <c r="C1697" s="1">
        <v>8875.27</v>
      </c>
      <c r="D1697" s="1">
        <v>2577.73</v>
      </c>
    </row>
    <row r="1698" spans="1:4" x14ac:dyDescent="0.25">
      <c r="A1698" s="1" t="s">
        <v>138</v>
      </c>
      <c r="B1698" s="1" t="s">
        <v>73</v>
      </c>
      <c r="C1698" s="1">
        <v>7998.51</v>
      </c>
      <c r="D1698" s="1">
        <v>1502.01</v>
      </c>
    </row>
    <row r="1699" spans="1:4" x14ac:dyDescent="0.25">
      <c r="A1699" s="1" t="s">
        <v>138</v>
      </c>
      <c r="B1699" s="1" t="s">
        <v>68</v>
      </c>
      <c r="C1699" s="1">
        <v>9151.52</v>
      </c>
      <c r="D1699" s="1">
        <v>4164.21</v>
      </c>
    </row>
    <row r="1700" spans="1:4" x14ac:dyDescent="0.25">
      <c r="A1700" s="1" t="s">
        <v>138</v>
      </c>
      <c r="B1700" s="1" t="s">
        <v>77</v>
      </c>
      <c r="C1700" s="1">
        <v>16182.4</v>
      </c>
      <c r="D1700" s="1">
        <v>4511.5200000000004</v>
      </c>
    </row>
    <row r="1701" spans="1:4" x14ac:dyDescent="0.25">
      <c r="A1701" s="1" t="s">
        <v>138</v>
      </c>
      <c r="B1701" s="1" t="s">
        <v>71</v>
      </c>
      <c r="C1701" s="1">
        <v>9925.84</v>
      </c>
      <c r="D1701" s="1">
        <v>4223.42</v>
      </c>
    </row>
    <row r="1702" spans="1:4" x14ac:dyDescent="0.25">
      <c r="A1702" s="1" t="s">
        <v>138</v>
      </c>
      <c r="B1702" s="1" t="s">
        <v>70</v>
      </c>
      <c r="C1702" s="1">
        <v>7091.69</v>
      </c>
      <c r="D1702" s="1">
        <v>3467.29</v>
      </c>
    </row>
    <row r="1703" spans="1:4" x14ac:dyDescent="0.25">
      <c r="A1703" s="1" t="s">
        <v>138</v>
      </c>
      <c r="B1703" s="1" t="s">
        <v>78</v>
      </c>
      <c r="C1703" s="1">
        <v>2534.13</v>
      </c>
      <c r="D1703" s="1">
        <v>1367.59</v>
      </c>
    </row>
    <row r="1704" spans="1:4" x14ac:dyDescent="0.25">
      <c r="A1704" s="1" t="s">
        <v>138</v>
      </c>
      <c r="B1704" s="1" t="s">
        <v>76</v>
      </c>
      <c r="C1704" s="1">
        <v>14072.05</v>
      </c>
      <c r="D1704" s="1">
        <v>3768.77</v>
      </c>
    </row>
    <row r="1705" spans="1:4" x14ac:dyDescent="0.25">
      <c r="A1705" s="1" t="s">
        <v>138</v>
      </c>
      <c r="B1705" s="1" t="s">
        <v>72</v>
      </c>
      <c r="C1705" s="1">
        <v>9174.8799999999992</v>
      </c>
      <c r="D1705" s="1">
        <v>6168.53</v>
      </c>
    </row>
    <row r="1706" spans="1:4" x14ac:dyDescent="0.25">
      <c r="A1706" s="1" t="s">
        <v>138</v>
      </c>
      <c r="B1706" s="1" t="s">
        <v>69</v>
      </c>
      <c r="C1706" s="1">
        <v>6027.55</v>
      </c>
      <c r="D1706" s="1">
        <v>4495.46</v>
      </c>
    </row>
    <row r="1707" spans="1:4" x14ac:dyDescent="0.25">
      <c r="A1707" s="1" t="s">
        <v>139</v>
      </c>
      <c r="B1707" s="1" t="s">
        <v>75</v>
      </c>
      <c r="C1707" s="1">
        <v>1000.13</v>
      </c>
      <c r="D1707" s="1">
        <v>542.63</v>
      </c>
    </row>
    <row r="1708" spans="1:4" x14ac:dyDescent="0.25">
      <c r="A1708" s="1" t="s">
        <v>139</v>
      </c>
      <c r="B1708" s="1" t="s">
        <v>74</v>
      </c>
      <c r="C1708" s="1">
        <v>8621.83</v>
      </c>
      <c r="D1708" s="1">
        <v>2652.85</v>
      </c>
    </row>
    <row r="1709" spans="1:4" x14ac:dyDescent="0.25">
      <c r="A1709" s="1" t="s">
        <v>139</v>
      </c>
      <c r="B1709" s="1" t="s">
        <v>76</v>
      </c>
      <c r="C1709" s="1">
        <v>13929.93</v>
      </c>
      <c r="D1709" s="1">
        <v>3892.91</v>
      </c>
    </row>
    <row r="1710" spans="1:4" x14ac:dyDescent="0.25">
      <c r="A1710" s="1" t="s">
        <v>139</v>
      </c>
      <c r="B1710" s="1" t="s">
        <v>73</v>
      </c>
      <c r="C1710" s="1">
        <v>7706.38</v>
      </c>
      <c r="D1710" s="1">
        <v>1525.76</v>
      </c>
    </row>
    <row r="1711" spans="1:4" x14ac:dyDescent="0.25">
      <c r="A1711" s="1" t="s">
        <v>139</v>
      </c>
      <c r="B1711" s="1" t="s">
        <v>68</v>
      </c>
      <c r="C1711" s="1">
        <v>8491.75</v>
      </c>
      <c r="D1711" s="1">
        <v>4163.43</v>
      </c>
    </row>
    <row r="1712" spans="1:4" x14ac:dyDescent="0.25">
      <c r="A1712" s="1" t="s">
        <v>139</v>
      </c>
      <c r="B1712" s="1" t="s">
        <v>71</v>
      </c>
      <c r="C1712" s="1">
        <v>9335.75</v>
      </c>
      <c r="D1712" s="1">
        <v>4159.1000000000004</v>
      </c>
    </row>
    <row r="1713" spans="1:4" x14ac:dyDescent="0.25">
      <c r="A1713" s="1" t="s">
        <v>139</v>
      </c>
      <c r="B1713" s="1" t="s">
        <v>69</v>
      </c>
      <c r="C1713" s="1">
        <v>6398.8</v>
      </c>
      <c r="D1713" s="1">
        <v>5385.76</v>
      </c>
    </row>
    <row r="1714" spans="1:4" x14ac:dyDescent="0.25">
      <c r="A1714" s="1" t="s">
        <v>139</v>
      </c>
      <c r="B1714" s="1" t="s">
        <v>78</v>
      </c>
      <c r="C1714" s="1">
        <v>2829.57</v>
      </c>
      <c r="D1714" s="1">
        <v>1645.55</v>
      </c>
    </row>
    <row r="1715" spans="1:4" x14ac:dyDescent="0.25">
      <c r="A1715" s="1" t="s">
        <v>139</v>
      </c>
      <c r="B1715" s="1" t="s">
        <v>72</v>
      </c>
      <c r="C1715" s="1">
        <v>9808.15</v>
      </c>
      <c r="D1715" s="1">
        <v>7069.91</v>
      </c>
    </row>
    <row r="1716" spans="1:4" x14ac:dyDescent="0.25">
      <c r="A1716" s="1" t="s">
        <v>139</v>
      </c>
      <c r="B1716" s="1" t="s">
        <v>77</v>
      </c>
      <c r="C1716" s="1">
        <v>16173.96</v>
      </c>
      <c r="D1716" s="1">
        <v>4553.9799999999996</v>
      </c>
    </row>
    <row r="1717" spans="1:4" x14ac:dyDescent="0.25">
      <c r="A1717" s="1" t="s">
        <v>139</v>
      </c>
      <c r="B1717" s="1" t="s">
        <v>70</v>
      </c>
      <c r="C1717" s="1">
        <v>7407.9</v>
      </c>
      <c r="D1717" s="1">
        <v>3697.1</v>
      </c>
    </row>
    <row r="1718" spans="1:4" x14ac:dyDescent="0.25">
      <c r="A1718" s="1" t="s">
        <v>140</v>
      </c>
      <c r="B1718" s="1" t="s">
        <v>75</v>
      </c>
      <c r="C1718" s="1">
        <v>1066.03</v>
      </c>
      <c r="D1718" s="1">
        <v>601.53</v>
      </c>
    </row>
    <row r="1719" spans="1:4" x14ac:dyDescent="0.25">
      <c r="A1719" s="1" t="s">
        <v>140</v>
      </c>
      <c r="B1719" s="1" t="s">
        <v>74</v>
      </c>
      <c r="C1719" s="1">
        <v>7796.72</v>
      </c>
      <c r="D1719" s="1">
        <v>2474.8200000000002</v>
      </c>
    </row>
    <row r="1720" spans="1:4" x14ac:dyDescent="0.25">
      <c r="A1720" s="1" t="s">
        <v>140</v>
      </c>
      <c r="B1720" s="1" t="s">
        <v>78</v>
      </c>
      <c r="C1720" s="1">
        <v>2845.65</v>
      </c>
      <c r="D1720" s="1">
        <v>1686.42</v>
      </c>
    </row>
    <row r="1721" spans="1:4" x14ac:dyDescent="0.25">
      <c r="A1721" s="1" t="s">
        <v>140</v>
      </c>
      <c r="B1721" s="1" t="s">
        <v>76</v>
      </c>
      <c r="C1721" s="1">
        <v>12840.17</v>
      </c>
      <c r="D1721" s="1">
        <v>3684.23</v>
      </c>
    </row>
    <row r="1722" spans="1:4" x14ac:dyDescent="0.25">
      <c r="A1722" s="1" t="s">
        <v>140</v>
      </c>
      <c r="B1722" s="1" t="s">
        <v>68</v>
      </c>
      <c r="C1722" s="1">
        <v>7523.32</v>
      </c>
      <c r="D1722" s="1">
        <v>3706.92</v>
      </c>
    </row>
    <row r="1723" spans="1:4" x14ac:dyDescent="0.25">
      <c r="A1723" s="1" t="s">
        <v>140</v>
      </c>
      <c r="B1723" s="1" t="s">
        <v>71</v>
      </c>
      <c r="C1723" s="1">
        <v>8209.18</v>
      </c>
      <c r="D1723" s="1">
        <v>3678.23</v>
      </c>
    </row>
    <row r="1724" spans="1:4" x14ac:dyDescent="0.25">
      <c r="A1724" s="1" t="s">
        <v>140</v>
      </c>
      <c r="B1724" s="1" t="s">
        <v>69</v>
      </c>
      <c r="C1724" s="1">
        <v>6091.33</v>
      </c>
      <c r="D1724" s="1">
        <v>5307.47</v>
      </c>
    </row>
    <row r="1725" spans="1:4" x14ac:dyDescent="0.25">
      <c r="A1725" s="1" t="s">
        <v>140</v>
      </c>
      <c r="B1725" s="1" t="s">
        <v>70</v>
      </c>
      <c r="C1725" s="1">
        <v>6684.45</v>
      </c>
      <c r="D1725" s="1">
        <v>3494.47</v>
      </c>
    </row>
    <row r="1726" spans="1:4" x14ac:dyDescent="0.25">
      <c r="A1726" s="1" t="s">
        <v>140</v>
      </c>
      <c r="B1726" s="1" t="s">
        <v>72</v>
      </c>
      <c r="C1726" s="1">
        <v>9246.6299999999992</v>
      </c>
      <c r="D1726" s="1">
        <v>6922.7</v>
      </c>
    </row>
    <row r="1727" spans="1:4" x14ac:dyDescent="0.25">
      <c r="A1727" s="1" t="s">
        <v>140</v>
      </c>
      <c r="B1727" s="1" t="s">
        <v>73</v>
      </c>
      <c r="C1727" s="1">
        <v>6718.55</v>
      </c>
      <c r="D1727" s="1">
        <v>1349.57</v>
      </c>
    </row>
    <row r="1728" spans="1:4" x14ac:dyDescent="0.25">
      <c r="A1728" s="1" t="s">
        <v>140</v>
      </c>
      <c r="B1728" s="1" t="s">
        <v>77</v>
      </c>
      <c r="C1728" s="1">
        <v>14513.82</v>
      </c>
      <c r="D1728" s="1">
        <v>4171.68</v>
      </c>
    </row>
    <row r="1729" spans="1:4" x14ac:dyDescent="0.25">
      <c r="A1729" s="1" t="s">
        <v>141</v>
      </c>
      <c r="B1729" s="1" t="s">
        <v>74</v>
      </c>
      <c r="C1729" s="1">
        <v>6614.77</v>
      </c>
      <c r="D1729" s="1">
        <v>2009.2</v>
      </c>
    </row>
    <row r="1730" spans="1:4" x14ac:dyDescent="0.25">
      <c r="A1730" s="1" t="s">
        <v>141</v>
      </c>
      <c r="B1730" s="1" t="s">
        <v>78</v>
      </c>
      <c r="C1730" s="1">
        <v>2378.88</v>
      </c>
      <c r="D1730" s="1">
        <v>1378.72</v>
      </c>
    </row>
    <row r="1731" spans="1:4" x14ac:dyDescent="0.25">
      <c r="A1731" s="1" t="s">
        <v>141</v>
      </c>
      <c r="B1731" s="1" t="s">
        <v>75</v>
      </c>
      <c r="C1731" s="1">
        <v>936.98</v>
      </c>
      <c r="D1731" s="1">
        <v>528.42999999999995</v>
      </c>
    </row>
    <row r="1732" spans="1:4" x14ac:dyDescent="0.25">
      <c r="A1732" s="1" t="s">
        <v>141</v>
      </c>
      <c r="B1732" s="1" t="s">
        <v>76</v>
      </c>
      <c r="C1732" s="1">
        <v>10917.36</v>
      </c>
      <c r="D1732" s="1">
        <v>3145.91</v>
      </c>
    </row>
    <row r="1733" spans="1:4" x14ac:dyDescent="0.25">
      <c r="A1733" s="1" t="s">
        <v>141</v>
      </c>
      <c r="B1733" s="1" t="s">
        <v>72</v>
      </c>
      <c r="C1733" s="1">
        <v>7435.21</v>
      </c>
      <c r="D1733" s="1">
        <v>5620.77</v>
      </c>
    </row>
    <row r="1734" spans="1:4" x14ac:dyDescent="0.25">
      <c r="A1734" s="1" t="s">
        <v>141</v>
      </c>
      <c r="B1734" s="1" t="s">
        <v>77</v>
      </c>
      <c r="C1734" s="1">
        <v>12040.98</v>
      </c>
      <c r="D1734" s="1">
        <v>3378.34</v>
      </c>
    </row>
    <row r="1735" spans="1:4" x14ac:dyDescent="0.25">
      <c r="A1735" s="1" t="s">
        <v>141</v>
      </c>
      <c r="B1735" s="1" t="s">
        <v>71</v>
      </c>
      <c r="C1735" s="1">
        <v>6796.47</v>
      </c>
      <c r="D1735" s="1">
        <v>2850.2</v>
      </c>
    </row>
    <row r="1736" spans="1:4" x14ac:dyDescent="0.25">
      <c r="A1736" s="1" t="s">
        <v>141</v>
      </c>
      <c r="B1736" s="1" t="s">
        <v>69</v>
      </c>
      <c r="C1736" s="1">
        <v>4953.24</v>
      </c>
      <c r="D1736" s="1">
        <v>4359.54</v>
      </c>
    </row>
    <row r="1737" spans="1:4" x14ac:dyDescent="0.25">
      <c r="A1737" s="1" t="s">
        <v>141</v>
      </c>
      <c r="B1737" s="1" t="s">
        <v>70</v>
      </c>
      <c r="C1737" s="1">
        <v>5258.46</v>
      </c>
      <c r="D1737" s="1">
        <v>2743.76</v>
      </c>
    </row>
    <row r="1738" spans="1:4" x14ac:dyDescent="0.25">
      <c r="A1738" s="1" t="s">
        <v>141</v>
      </c>
      <c r="B1738" s="1" t="s">
        <v>73</v>
      </c>
      <c r="C1738" s="1">
        <v>4938.83</v>
      </c>
      <c r="D1738" s="1">
        <v>976.05</v>
      </c>
    </row>
    <row r="1739" spans="1:4" x14ac:dyDescent="0.25">
      <c r="A1739" s="1" t="s">
        <v>141</v>
      </c>
      <c r="B1739" s="1" t="s">
        <v>68</v>
      </c>
      <c r="C1739" s="1">
        <v>6109.03</v>
      </c>
      <c r="D1739" s="1">
        <v>2875.84</v>
      </c>
    </row>
    <row r="1740" spans="1:4" x14ac:dyDescent="0.25">
      <c r="A1740" s="1" t="s">
        <v>142</v>
      </c>
      <c r="B1740" s="1" t="s">
        <v>74</v>
      </c>
      <c r="C1740" s="1">
        <v>7512.57</v>
      </c>
      <c r="D1740" s="1">
        <v>2223.96</v>
      </c>
    </row>
    <row r="1741" spans="1:4" x14ac:dyDescent="0.25">
      <c r="A1741" s="1" t="s">
        <v>142</v>
      </c>
      <c r="B1741" s="1" t="s">
        <v>75</v>
      </c>
      <c r="C1741" s="1">
        <v>1026.6500000000001</v>
      </c>
      <c r="D1741" s="1">
        <v>599.66</v>
      </c>
    </row>
    <row r="1742" spans="1:4" x14ac:dyDescent="0.25">
      <c r="A1742" s="1" t="s">
        <v>142</v>
      </c>
      <c r="B1742" s="1" t="s">
        <v>76</v>
      </c>
      <c r="C1742" s="1">
        <v>11245.73</v>
      </c>
      <c r="D1742" s="1">
        <v>3174.02</v>
      </c>
    </row>
    <row r="1743" spans="1:4" x14ac:dyDescent="0.25">
      <c r="A1743" s="1" t="s">
        <v>142</v>
      </c>
      <c r="B1743" s="1" t="s">
        <v>77</v>
      </c>
      <c r="C1743" s="1">
        <v>12865.38</v>
      </c>
      <c r="D1743" s="1">
        <v>3620.53</v>
      </c>
    </row>
    <row r="1744" spans="1:4" x14ac:dyDescent="0.25">
      <c r="A1744" s="1" t="s">
        <v>142</v>
      </c>
      <c r="B1744" s="1" t="s">
        <v>71</v>
      </c>
      <c r="C1744" s="1">
        <v>7548.58</v>
      </c>
      <c r="D1744" s="1">
        <v>3061.63</v>
      </c>
    </row>
    <row r="1745" spans="1:4" x14ac:dyDescent="0.25">
      <c r="A1745" s="1" t="s">
        <v>142</v>
      </c>
      <c r="B1745" s="1" t="s">
        <v>70</v>
      </c>
      <c r="C1745" s="1">
        <v>5984.03</v>
      </c>
      <c r="D1745" s="1">
        <v>3056.49</v>
      </c>
    </row>
    <row r="1746" spans="1:4" x14ac:dyDescent="0.25">
      <c r="A1746" s="1" t="s">
        <v>142</v>
      </c>
      <c r="B1746" s="1" t="s">
        <v>78</v>
      </c>
      <c r="C1746" s="1">
        <v>2658.08</v>
      </c>
      <c r="D1746" s="1">
        <v>1510.69</v>
      </c>
    </row>
    <row r="1747" spans="1:4" x14ac:dyDescent="0.25">
      <c r="A1747" s="1" t="s">
        <v>142</v>
      </c>
      <c r="B1747" s="1" t="s">
        <v>72</v>
      </c>
      <c r="C1747" s="1">
        <v>8386.77</v>
      </c>
      <c r="D1747" s="1">
        <v>6157.87</v>
      </c>
    </row>
    <row r="1748" spans="1:4" x14ac:dyDescent="0.25">
      <c r="A1748" s="1" t="s">
        <v>142</v>
      </c>
      <c r="B1748" s="1" t="s">
        <v>73</v>
      </c>
      <c r="C1748" s="1">
        <v>5813.91</v>
      </c>
      <c r="D1748" s="1">
        <v>1043.6199999999999</v>
      </c>
    </row>
    <row r="1749" spans="1:4" x14ac:dyDescent="0.25">
      <c r="A1749" s="1" t="s">
        <v>142</v>
      </c>
      <c r="B1749" s="1" t="s">
        <v>68</v>
      </c>
      <c r="C1749" s="1">
        <v>7033.34</v>
      </c>
      <c r="D1749" s="1">
        <v>3129.07</v>
      </c>
    </row>
    <row r="1750" spans="1:4" x14ac:dyDescent="0.25">
      <c r="A1750" s="1" t="s">
        <v>142</v>
      </c>
      <c r="B1750" s="1" t="s">
        <v>69</v>
      </c>
      <c r="C1750" s="1">
        <v>5453.25</v>
      </c>
      <c r="D1750" s="1">
        <v>4634.3599999999997</v>
      </c>
    </row>
    <row r="1751" spans="1:4" x14ac:dyDescent="0.25">
      <c r="A1751" s="1" t="s">
        <v>143</v>
      </c>
      <c r="B1751" s="1" t="s">
        <v>75</v>
      </c>
      <c r="C1751" s="1">
        <v>1060.1199999999999</v>
      </c>
      <c r="D1751" s="1">
        <v>592.17999999999995</v>
      </c>
    </row>
    <row r="1752" spans="1:4" x14ac:dyDescent="0.25">
      <c r="A1752" s="1" t="s">
        <v>143</v>
      </c>
      <c r="B1752" s="1" t="s">
        <v>74</v>
      </c>
      <c r="C1752" s="1">
        <v>7920.55</v>
      </c>
      <c r="D1752" s="1">
        <v>2384.1999999999998</v>
      </c>
    </row>
    <row r="1753" spans="1:4" x14ac:dyDescent="0.25">
      <c r="A1753" s="1" t="s">
        <v>143</v>
      </c>
      <c r="B1753" s="1" t="s">
        <v>73</v>
      </c>
      <c r="C1753" s="1">
        <v>6776.26</v>
      </c>
      <c r="D1753" s="1">
        <v>1205.45</v>
      </c>
    </row>
    <row r="1754" spans="1:4" x14ac:dyDescent="0.25">
      <c r="A1754" s="1" t="s">
        <v>143</v>
      </c>
      <c r="B1754" s="1" t="s">
        <v>68</v>
      </c>
      <c r="C1754" s="1">
        <v>7806.88</v>
      </c>
      <c r="D1754" s="1">
        <v>3489.32</v>
      </c>
    </row>
    <row r="1755" spans="1:4" x14ac:dyDescent="0.25">
      <c r="A1755" s="1" t="s">
        <v>143</v>
      </c>
      <c r="B1755" s="1" t="s">
        <v>77</v>
      </c>
      <c r="C1755" s="1">
        <v>14082.91</v>
      </c>
      <c r="D1755" s="1">
        <v>3805.05</v>
      </c>
    </row>
    <row r="1756" spans="1:4" x14ac:dyDescent="0.25">
      <c r="A1756" s="1" t="s">
        <v>143</v>
      </c>
      <c r="B1756" s="1" t="s">
        <v>71</v>
      </c>
      <c r="C1756" s="1">
        <v>8214.18</v>
      </c>
      <c r="D1756" s="1">
        <v>3471.33</v>
      </c>
    </row>
    <row r="1757" spans="1:4" x14ac:dyDescent="0.25">
      <c r="A1757" s="1" t="s">
        <v>143</v>
      </c>
      <c r="B1757" s="1" t="s">
        <v>69</v>
      </c>
      <c r="C1757" s="1">
        <v>5690.49</v>
      </c>
      <c r="D1757" s="1">
        <v>4700.99</v>
      </c>
    </row>
    <row r="1758" spans="1:4" x14ac:dyDescent="0.25">
      <c r="A1758" s="1" t="s">
        <v>143</v>
      </c>
      <c r="B1758" s="1" t="s">
        <v>70</v>
      </c>
      <c r="C1758" s="1">
        <v>6658.67</v>
      </c>
      <c r="D1758" s="1">
        <v>3302.36</v>
      </c>
    </row>
    <row r="1759" spans="1:4" x14ac:dyDescent="0.25">
      <c r="A1759" s="1" t="s">
        <v>143</v>
      </c>
      <c r="B1759" s="1" t="s">
        <v>78</v>
      </c>
      <c r="C1759" s="1">
        <v>2678.14</v>
      </c>
      <c r="D1759" s="1">
        <v>1525.61</v>
      </c>
    </row>
    <row r="1760" spans="1:4" x14ac:dyDescent="0.25">
      <c r="A1760" s="1" t="s">
        <v>143</v>
      </c>
      <c r="B1760" s="1" t="s">
        <v>72</v>
      </c>
      <c r="C1760" s="1">
        <v>9080.9699999999993</v>
      </c>
      <c r="D1760" s="1">
        <v>6527.02</v>
      </c>
    </row>
    <row r="1761" spans="1:4" x14ac:dyDescent="0.25">
      <c r="A1761" s="1" t="s">
        <v>143</v>
      </c>
      <c r="B1761" s="1" t="s">
        <v>76</v>
      </c>
      <c r="C1761" s="1">
        <v>12363</v>
      </c>
      <c r="D1761" s="1">
        <v>3427.06</v>
      </c>
    </row>
    <row r="1762" spans="1:4" x14ac:dyDescent="0.25">
      <c r="A1762" s="1" t="s">
        <v>144</v>
      </c>
      <c r="B1762" s="1" t="s">
        <v>75</v>
      </c>
      <c r="C1762" s="1">
        <v>1055.2</v>
      </c>
      <c r="D1762" s="1">
        <v>586.39</v>
      </c>
    </row>
    <row r="1763" spans="1:4" x14ac:dyDescent="0.25">
      <c r="A1763" s="1" t="s">
        <v>144</v>
      </c>
      <c r="B1763" s="1" t="s">
        <v>74</v>
      </c>
      <c r="C1763" s="1">
        <v>7967.25</v>
      </c>
      <c r="D1763" s="1">
        <v>2525.65</v>
      </c>
    </row>
    <row r="1764" spans="1:4" x14ac:dyDescent="0.25">
      <c r="A1764" s="1" t="s">
        <v>144</v>
      </c>
      <c r="B1764" s="1" t="s">
        <v>71</v>
      </c>
      <c r="C1764" s="1">
        <v>8194.4</v>
      </c>
      <c r="D1764" s="1">
        <v>3693.47</v>
      </c>
    </row>
    <row r="1765" spans="1:4" x14ac:dyDescent="0.25">
      <c r="A1765" s="1" t="s">
        <v>144</v>
      </c>
      <c r="B1765" s="1" t="s">
        <v>68</v>
      </c>
      <c r="C1765" s="1">
        <v>7809.93</v>
      </c>
      <c r="D1765" s="1">
        <v>3713.59</v>
      </c>
    </row>
    <row r="1766" spans="1:4" x14ac:dyDescent="0.25">
      <c r="A1766" s="1" t="s">
        <v>144</v>
      </c>
      <c r="B1766" s="1" t="s">
        <v>77</v>
      </c>
      <c r="C1766" s="1">
        <v>13560.85</v>
      </c>
      <c r="D1766" s="1">
        <v>3809.45</v>
      </c>
    </row>
    <row r="1767" spans="1:4" x14ac:dyDescent="0.25">
      <c r="A1767" s="1" t="s">
        <v>144</v>
      </c>
      <c r="B1767" s="1" t="s">
        <v>69</v>
      </c>
      <c r="C1767" s="1">
        <v>5404.85</v>
      </c>
      <c r="D1767" s="1">
        <v>4547.8</v>
      </c>
    </row>
    <row r="1768" spans="1:4" x14ac:dyDescent="0.25">
      <c r="A1768" s="1" t="s">
        <v>144</v>
      </c>
      <c r="B1768" s="1" t="s">
        <v>70</v>
      </c>
      <c r="C1768" s="1">
        <v>6823.88</v>
      </c>
      <c r="D1768" s="1">
        <v>3402.17</v>
      </c>
    </row>
    <row r="1769" spans="1:4" x14ac:dyDescent="0.25">
      <c r="A1769" s="1" t="s">
        <v>144</v>
      </c>
      <c r="B1769" s="1" t="s">
        <v>78</v>
      </c>
      <c r="C1769" s="1">
        <v>2510.48</v>
      </c>
      <c r="D1769" s="1">
        <v>1446.49</v>
      </c>
    </row>
    <row r="1770" spans="1:4" x14ac:dyDescent="0.25">
      <c r="A1770" s="1" t="s">
        <v>144</v>
      </c>
      <c r="B1770" s="1" t="s">
        <v>76</v>
      </c>
      <c r="C1770" s="1">
        <v>12573.66</v>
      </c>
      <c r="D1770" s="1">
        <v>3624.16</v>
      </c>
    </row>
    <row r="1771" spans="1:4" x14ac:dyDescent="0.25">
      <c r="A1771" s="1" t="s">
        <v>144</v>
      </c>
      <c r="B1771" s="1" t="s">
        <v>72</v>
      </c>
      <c r="C1771" s="1">
        <v>8445.41</v>
      </c>
      <c r="D1771" s="1">
        <v>6185.69</v>
      </c>
    </row>
    <row r="1772" spans="1:4" x14ac:dyDescent="0.25">
      <c r="A1772" s="1" t="s">
        <v>144</v>
      </c>
      <c r="B1772" s="1" t="s">
        <v>73</v>
      </c>
      <c r="C1772" s="1">
        <v>6878.22</v>
      </c>
      <c r="D1772" s="1">
        <v>1365.75</v>
      </c>
    </row>
    <row r="1773" spans="1:4" x14ac:dyDescent="0.25">
      <c r="A1773" s="1" t="s">
        <v>145</v>
      </c>
      <c r="B1773" s="1" t="s">
        <v>74</v>
      </c>
      <c r="C1773" s="1">
        <v>8387.84</v>
      </c>
      <c r="D1773" s="1">
        <v>2647.25</v>
      </c>
    </row>
    <row r="1774" spans="1:4" x14ac:dyDescent="0.25">
      <c r="A1774" s="1" t="s">
        <v>145</v>
      </c>
      <c r="B1774" s="1" t="s">
        <v>78</v>
      </c>
      <c r="C1774" s="1">
        <v>2490.79</v>
      </c>
      <c r="D1774" s="1">
        <v>1459.42</v>
      </c>
    </row>
    <row r="1775" spans="1:4" x14ac:dyDescent="0.25">
      <c r="A1775" s="1" t="s">
        <v>145</v>
      </c>
      <c r="B1775" s="1" t="s">
        <v>75</v>
      </c>
      <c r="C1775" s="1">
        <v>1031.08</v>
      </c>
      <c r="D1775" s="1">
        <v>557.87</v>
      </c>
    </row>
    <row r="1776" spans="1:4" x14ac:dyDescent="0.25">
      <c r="A1776" s="1" t="s">
        <v>145</v>
      </c>
      <c r="B1776" s="1" t="s">
        <v>72</v>
      </c>
      <c r="C1776" s="1">
        <v>8047.9</v>
      </c>
      <c r="D1776" s="1">
        <v>6085.5</v>
      </c>
    </row>
    <row r="1777" spans="1:4" x14ac:dyDescent="0.25">
      <c r="A1777" s="1" t="s">
        <v>145</v>
      </c>
      <c r="B1777" s="1" t="s">
        <v>68</v>
      </c>
      <c r="C1777" s="1">
        <v>7836.92</v>
      </c>
      <c r="D1777" s="1">
        <v>3867.53</v>
      </c>
    </row>
    <row r="1778" spans="1:4" x14ac:dyDescent="0.25">
      <c r="A1778" s="1" t="s">
        <v>145</v>
      </c>
      <c r="B1778" s="1" t="s">
        <v>69</v>
      </c>
      <c r="C1778" s="1">
        <v>5208.8999999999996</v>
      </c>
      <c r="D1778" s="1">
        <v>4230.78</v>
      </c>
    </row>
    <row r="1779" spans="1:4" x14ac:dyDescent="0.25">
      <c r="A1779" s="1" t="s">
        <v>145</v>
      </c>
      <c r="B1779" s="1" t="s">
        <v>70</v>
      </c>
      <c r="C1779" s="1">
        <v>6745.09</v>
      </c>
      <c r="D1779" s="1">
        <v>3391.77</v>
      </c>
    </row>
    <row r="1780" spans="1:4" x14ac:dyDescent="0.25">
      <c r="A1780" s="1" t="s">
        <v>145</v>
      </c>
      <c r="B1780" s="1" t="s">
        <v>76</v>
      </c>
      <c r="C1780" s="1">
        <v>13063.28</v>
      </c>
      <c r="D1780" s="1">
        <v>3781.43</v>
      </c>
    </row>
    <row r="1781" spans="1:4" x14ac:dyDescent="0.25">
      <c r="A1781" s="1" t="s">
        <v>145</v>
      </c>
      <c r="B1781" s="1" t="s">
        <v>73</v>
      </c>
      <c r="C1781" s="1">
        <v>7153.07</v>
      </c>
      <c r="D1781" s="1">
        <v>1489.29</v>
      </c>
    </row>
    <row r="1782" spans="1:4" x14ac:dyDescent="0.25">
      <c r="A1782" s="1" t="s">
        <v>145</v>
      </c>
      <c r="B1782" s="1" t="s">
        <v>77</v>
      </c>
      <c r="C1782" s="1">
        <v>13797.47</v>
      </c>
      <c r="D1782" s="1">
        <v>3887.37</v>
      </c>
    </row>
    <row r="1783" spans="1:4" x14ac:dyDescent="0.25">
      <c r="A1783" s="1" t="s">
        <v>145</v>
      </c>
      <c r="B1783" s="1" t="s">
        <v>71</v>
      </c>
      <c r="C1783" s="1">
        <v>8153.36</v>
      </c>
      <c r="D1783" s="1">
        <v>3953.2</v>
      </c>
    </row>
    <row r="1784" spans="1:4" x14ac:dyDescent="0.25">
      <c r="A1784" s="1" t="s">
        <v>146</v>
      </c>
      <c r="B1784" s="1" t="s">
        <v>74</v>
      </c>
      <c r="C1784" s="1">
        <v>7018.39</v>
      </c>
      <c r="D1784" s="1">
        <v>2017.7</v>
      </c>
    </row>
    <row r="1785" spans="1:4" x14ac:dyDescent="0.25">
      <c r="A1785" s="1" t="s">
        <v>146</v>
      </c>
      <c r="B1785" s="1" t="s">
        <v>78</v>
      </c>
      <c r="C1785" s="1">
        <v>1811.66</v>
      </c>
      <c r="D1785" s="1">
        <v>932.85</v>
      </c>
    </row>
    <row r="1786" spans="1:4" x14ac:dyDescent="0.25">
      <c r="A1786" s="1" t="s">
        <v>146</v>
      </c>
      <c r="B1786" s="1" t="s">
        <v>75</v>
      </c>
      <c r="C1786" s="1">
        <v>749.51</v>
      </c>
      <c r="D1786" s="1">
        <v>344.27</v>
      </c>
    </row>
    <row r="1787" spans="1:4" x14ac:dyDescent="0.25">
      <c r="A1787" s="1" t="s">
        <v>146</v>
      </c>
      <c r="B1787" s="1" t="s">
        <v>76</v>
      </c>
      <c r="C1787" s="1">
        <v>9998.17</v>
      </c>
      <c r="D1787" s="1">
        <v>2756.89</v>
      </c>
    </row>
    <row r="1788" spans="1:4" x14ac:dyDescent="0.25">
      <c r="A1788" s="1" t="s">
        <v>146</v>
      </c>
      <c r="B1788" s="1" t="s">
        <v>68</v>
      </c>
      <c r="C1788" s="1">
        <v>6516.65</v>
      </c>
      <c r="D1788" s="1">
        <v>3202.44</v>
      </c>
    </row>
    <row r="1789" spans="1:4" x14ac:dyDescent="0.25">
      <c r="A1789" s="1" t="s">
        <v>146</v>
      </c>
      <c r="B1789" s="1" t="s">
        <v>71</v>
      </c>
      <c r="C1789" s="1">
        <v>6437.08</v>
      </c>
      <c r="D1789" s="1">
        <v>3069.5</v>
      </c>
    </row>
    <row r="1790" spans="1:4" x14ac:dyDescent="0.25">
      <c r="A1790" s="1" t="s">
        <v>146</v>
      </c>
      <c r="B1790" s="1" t="s">
        <v>70</v>
      </c>
      <c r="C1790" s="1">
        <v>4846.2700000000004</v>
      </c>
      <c r="D1790" s="1">
        <v>2330.7199999999998</v>
      </c>
    </row>
    <row r="1791" spans="1:4" x14ac:dyDescent="0.25">
      <c r="A1791" s="1" t="s">
        <v>146</v>
      </c>
      <c r="B1791" s="1" t="s">
        <v>72</v>
      </c>
      <c r="C1791" s="1">
        <v>5850.6</v>
      </c>
      <c r="D1791" s="1">
        <v>4009.79</v>
      </c>
    </row>
    <row r="1792" spans="1:4" x14ac:dyDescent="0.25">
      <c r="A1792" s="1" t="s">
        <v>146</v>
      </c>
      <c r="B1792" s="1" t="s">
        <v>73</v>
      </c>
      <c r="C1792" s="1">
        <v>5623.04</v>
      </c>
      <c r="D1792" s="1">
        <v>1086.42</v>
      </c>
    </row>
    <row r="1793" spans="1:4" x14ac:dyDescent="0.25">
      <c r="A1793" s="1" t="s">
        <v>146</v>
      </c>
      <c r="B1793" s="1" t="s">
        <v>77</v>
      </c>
      <c r="C1793" s="1">
        <v>10696.42</v>
      </c>
      <c r="D1793" s="1">
        <v>2885.2</v>
      </c>
    </row>
    <row r="1794" spans="1:4" x14ac:dyDescent="0.25">
      <c r="A1794" s="1" t="s">
        <v>146</v>
      </c>
      <c r="B1794" s="1" t="s">
        <v>69</v>
      </c>
      <c r="C1794" s="1">
        <v>3612.08</v>
      </c>
      <c r="D1794" s="1">
        <v>2641.74</v>
      </c>
    </row>
    <row r="1795" spans="1:4" x14ac:dyDescent="0.25">
      <c r="A1795" s="1" t="s">
        <v>147</v>
      </c>
      <c r="B1795" s="1" t="s">
        <v>75</v>
      </c>
      <c r="C1795" s="1">
        <v>2376.75</v>
      </c>
      <c r="D1795" s="1">
        <v>1282.5999999999999</v>
      </c>
    </row>
    <row r="1796" spans="1:4" x14ac:dyDescent="0.25">
      <c r="A1796" s="1" t="s">
        <v>147</v>
      </c>
      <c r="B1796" s="1" t="s">
        <v>74</v>
      </c>
      <c r="C1796" s="1">
        <v>15127.59</v>
      </c>
      <c r="D1796" s="1">
        <v>4274.1400000000003</v>
      </c>
    </row>
    <row r="1797" spans="1:4" x14ac:dyDescent="0.25">
      <c r="A1797" s="1" t="s">
        <v>147</v>
      </c>
      <c r="B1797" s="1" t="s">
        <v>78</v>
      </c>
      <c r="C1797" s="1">
        <v>5010.3599999999997</v>
      </c>
      <c r="D1797" s="1">
        <v>3037.45</v>
      </c>
    </row>
    <row r="1798" spans="1:4" x14ac:dyDescent="0.25">
      <c r="A1798" s="1" t="s">
        <v>147</v>
      </c>
      <c r="B1798" s="1" t="s">
        <v>76</v>
      </c>
      <c r="C1798" s="1">
        <v>25151.32</v>
      </c>
      <c r="D1798" s="1">
        <v>6725.64</v>
      </c>
    </row>
    <row r="1799" spans="1:4" x14ac:dyDescent="0.25">
      <c r="A1799" s="1" t="s">
        <v>147</v>
      </c>
      <c r="B1799" s="1" t="s">
        <v>73</v>
      </c>
      <c r="C1799" s="1">
        <v>14565.56</v>
      </c>
      <c r="D1799" s="1">
        <v>2618.86</v>
      </c>
    </row>
    <row r="1800" spans="1:4" x14ac:dyDescent="0.25">
      <c r="A1800" s="1" t="s">
        <v>147</v>
      </c>
      <c r="B1800" s="1" t="s">
        <v>71</v>
      </c>
      <c r="C1800" s="1">
        <v>17716.84</v>
      </c>
      <c r="D1800" s="1">
        <v>7388.36</v>
      </c>
    </row>
    <row r="1801" spans="1:4" x14ac:dyDescent="0.25">
      <c r="A1801" s="1" t="s">
        <v>147</v>
      </c>
      <c r="B1801" s="1" t="s">
        <v>70</v>
      </c>
      <c r="C1801" s="1">
        <v>14056.51</v>
      </c>
      <c r="D1801" s="1">
        <v>6506.7</v>
      </c>
    </row>
    <row r="1802" spans="1:4" x14ac:dyDescent="0.25">
      <c r="A1802" s="1" t="s">
        <v>147</v>
      </c>
      <c r="B1802" s="1" t="s">
        <v>72</v>
      </c>
      <c r="C1802" s="1">
        <v>16308.88</v>
      </c>
      <c r="D1802" s="1">
        <v>11389.37</v>
      </c>
    </row>
    <row r="1803" spans="1:4" x14ac:dyDescent="0.25">
      <c r="A1803" s="1" t="s">
        <v>147</v>
      </c>
      <c r="B1803" s="1" t="s">
        <v>68</v>
      </c>
      <c r="C1803" s="1">
        <v>17392.471000000001</v>
      </c>
      <c r="D1803" s="1">
        <v>7592.72</v>
      </c>
    </row>
    <row r="1804" spans="1:4" x14ac:dyDescent="0.25">
      <c r="A1804" s="1" t="s">
        <v>147</v>
      </c>
      <c r="B1804" s="1" t="s">
        <v>77</v>
      </c>
      <c r="C1804" s="1">
        <v>27973.51</v>
      </c>
      <c r="D1804" s="1">
        <v>7587.62</v>
      </c>
    </row>
    <row r="1805" spans="1:4" x14ac:dyDescent="0.25">
      <c r="A1805" s="1" t="s">
        <v>147</v>
      </c>
      <c r="B1805" s="1" t="s">
        <v>69</v>
      </c>
      <c r="C1805" s="1">
        <v>10453.17</v>
      </c>
      <c r="D1805" s="1">
        <v>8333.2199999999993</v>
      </c>
    </row>
    <row r="1806" spans="1:4" x14ac:dyDescent="0.25">
      <c r="A1806" s="1" t="s">
        <v>148</v>
      </c>
      <c r="B1806" s="1" t="s">
        <v>75</v>
      </c>
      <c r="C1806" s="1">
        <v>2021.99</v>
      </c>
      <c r="D1806" s="1">
        <v>1144.6099999999999</v>
      </c>
    </row>
    <row r="1807" spans="1:4" x14ac:dyDescent="0.25">
      <c r="A1807" s="1" t="s">
        <v>148</v>
      </c>
      <c r="B1807" s="1" t="s">
        <v>74</v>
      </c>
      <c r="C1807" s="1">
        <v>16285.54</v>
      </c>
      <c r="D1807" s="1">
        <v>4649.87</v>
      </c>
    </row>
    <row r="1808" spans="1:4" x14ac:dyDescent="0.25">
      <c r="A1808" s="1" t="s">
        <v>148</v>
      </c>
      <c r="B1808" s="1" t="s">
        <v>73</v>
      </c>
      <c r="C1808" s="1">
        <v>14560.65</v>
      </c>
      <c r="D1808" s="1">
        <v>2672.95</v>
      </c>
    </row>
    <row r="1809" spans="1:4" x14ac:dyDescent="0.25">
      <c r="A1809" s="1" t="s">
        <v>148</v>
      </c>
      <c r="B1809" s="1" t="s">
        <v>77</v>
      </c>
      <c r="C1809" s="1">
        <v>26169.800999999999</v>
      </c>
      <c r="D1809" s="1">
        <v>7107.13</v>
      </c>
    </row>
    <row r="1810" spans="1:4" x14ac:dyDescent="0.25">
      <c r="A1810" s="1" t="s">
        <v>148</v>
      </c>
      <c r="B1810" s="1" t="s">
        <v>71</v>
      </c>
      <c r="C1810" s="1">
        <v>18317.449000000001</v>
      </c>
      <c r="D1810" s="1">
        <v>7622.28</v>
      </c>
    </row>
    <row r="1811" spans="1:4" x14ac:dyDescent="0.25">
      <c r="A1811" s="1" t="s">
        <v>148</v>
      </c>
      <c r="B1811" s="1" t="s">
        <v>69</v>
      </c>
      <c r="C1811" s="1">
        <v>9746.9599999999991</v>
      </c>
      <c r="D1811" s="1">
        <v>8189.47</v>
      </c>
    </row>
    <row r="1812" spans="1:4" x14ac:dyDescent="0.25">
      <c r="A1812" s="1" t="s">
        <v>148</v>
      </c>
      <c r="B1812" s="1" t="s">
        <v>70</v>
      </c>
      <c r="C1812" s="1">
        <v>13297.07</v>
      </c>
      <c r="D1812" s="1">
        <v>6367.26</v>
      </c>
    </row>
    <row r="1813" spans="1:4" x14ac:dyDescent="0.25">
      <c r="A1813" s="1" t="s">
        <v>148</v>
      </c>
      <c r="B1813" s="1" t="s">
        <v>78</v>
      </c>
      <c r="C1813" s="1">
        <v>4561.97</v>
      </c>
      <c r="D1813" s="1">
        <v>2827.05</v>
      </c>
    </row>
    <row r="1814" spans="1:4" x14ac:dyDescent="0.25">
      <c r="A1814" s="1" t="s">
        <v>148</v>
      </c>
      <c r="B1814" s="1" t="s">
        <v>72</v>
      </c>
      <c r="C1814" s="1">
        <v>14895.18</v>
      </c>
      <c r="D1814" s="1">
        <v>10896.19</v>
      </c>
    </row>
    <row r="1815" spans="1:4" x14ac:dyDescent="0.25">
      <c r="A1815" s="1" t="s">
        <v>148</v>
      </c>
      <c r="B1815" s="1" t="s">
        <v>76</v>
      </c>
      <c r="C1815" s="1">
        <v>24594.949000000001</v>
      </c>
      <c r="D1815" s="1">
        <v>6599.42</v>
      </c>
    </row>
    <row r="1816" spans="1:4" x14ac:dyDescent="0.25">
      <c r="A1816" s="1" t="s">
        <v>148</v>
      </c>
      <c r="B1816" s="1" t="s">
        <v>68</v>
      </c>
      <c r="C1816" s="1">
        <v>17106.688999999998</v>
      </c>
      <c r="D1816" s="1">
        <v>7687.41</v>
      </c>
    </row>
    <row r="1817" spans="1:4" x14ac:dyDescent="0.25">
      <c r="A1817" s="1" t="s">
        <v>149</v>
      </c>
      <c r="B1817" s="1" t="s">
        <v>75</v>
      </c>
      <c r="C1817" s="1">
        <v>2021.41</v>
      </c>
      <c r="D1817" s="1">
        <v>1109.48</v>
      </c>
    </row>
    <row r="1818" spans="1:4" x14ac:dyDescent="0.25">
      <c r="A1818" s="1" t="s">
        <v>149</v>
      </c>
      <c r="B1818" s="1" t="s">
        <v>74</v>
      </c>
      <c r="C1818" s="1">
        <v>15891.84</v>
      </c>
      <c r="D1818" s="1">
        <v>4449.0200000000004</v>
      </c>
    </row>
    <row r="1819" spans="1:4" x14ac:dyDescent="0.25">
      <c r="A1819" s="1" t="s">
        <v>149</v>
      </c>
      <c r="B1819" s="1" t="s">
        <v>71</v>
      </c>
      <c r="C1819" s="1">
        <v>18567.419999999998</v>
      </c>
      <c r="D1819" s="1">
        <v>7444.95</v>
      </c>
    </row>
    <row r="1820" spans="1:4" x14ac:dyDescent="0.25">
      <c r="A1820" s="1" t="s">
        <v>149</v>
      </c>
      <c r="B1820" s="1" t="s">
        <v>68</v>
      </c>
      <c r="C1820" s="1">
        <v>16672.169999999998</v>
      </c>
      <c r="D1820" s="1">
        <v>7287.92</v>
      </c>
    </row>
    <row r="1821" spans="1:4" x14ac:dyDescent="0.25">
      <c r="A1821" s="1" t="s">
        <v>149</v>
      </c>
      <c r="B1821" s="1" t="s">
        <v>77</v>
      </c>
      <c r="C1821" s="1">
        <v>24786.118999999999</v>
      </c>
      <c r="D1821" s="1">
        <v>6673.02</v>
      </c>
    </row>
    <row r="1822" spans="1:4" x14ac:dyDescent="0.25">
      <c r="A1822" s="1" t="s">
        <v>149</v>
      </c>
      <c r="B1822" s="1" t="s">
        <v>69</v>
      </c>
      <c r="C1822" s="1">
        <v>9526.4500000000007</v>
      </c>
      <c r="D1822" s="1">
        <v>7722.24</v>
      </c>
    </row>
    <row r="1823" spans="1:4" x14ac:dyDescent="0.25">
      <c r="A1823" s="1" t="s">
        <v>149</v>
      </c>
      <c r="B1823" s="1" t="s">
        <v>70</v>
      </c>
      <c r="C1823" s="1">
        <v>12916.29</v>
      </c>
      <c r="D1823" s="1">
        <v>6029.67</v>
      </c>
    </row>
    <row r="1824" spans="1:4" x14ac:dyDescent="0.25">
      <c r="A1824" s="1" t="s">
        <v>149</v>
      </c>
      <c r="B1824" s="1" t="s">
        <v>78</v>
      </c>
      <c r="C1824" s="1">
        <v>4493.08</v>
      </c>
      <c r="D1824" s="1">
        <v>2763.21</v>
      </c>
    </row>
    <row r="1825" spans="1:4" x14ac:dyDescent="0.25">
      <c r="A1825" s="1" t="s">
        <v>149</v>
      </c>
      <c r="B1825" s="1" t="s">
        <v>72</v>
      </c>
      <c r="C1825" s="1">
        <v>14726.47</v>
      </c>
      <c r="D1825" s="1">
        <v>10383.280000000001</v>
      </c>
    </row>
    <row r="1826" spans="1:4" x14ac:dyDescent="0.25">
      <c r="A1826" s="1" t="s">
        <v>149</v>
      </c>
      <c r="B1826" s="1" t="s">
        <v>76</v>
      </c>
      <c r="C1826" s="1">
        <v>22949.49</v>
      </c>
      <c r="D1826" s="1">
        <v>6155.58</v>
      </c>
    </row>
    <row r="1827" spans="1:4" x14ac:dyDescent="0.25">
      <c r="A1827" s="1" t="s">
        <v>149</v>
      </c>
      <c r="B1827" s="1" t="s">
        <v>73</v>
      </c>
      <c r="C1827" s="1">
        <v>14478.07</v>
      </c>
      <c r="D1827" s="1">
        <v>2537.29</v>
      </c>
    </row>
    <row r="1828" spans="1:4" x14ac:dyDescent="0.25">
      <c r="A1828" s="1" t="s">
        <v>150</v>
      </c>
      <c r="B1828" s="1" t="s">
        <v>75</v>
      </c>
      <c r="C1828" s="1">
        <v>1617.28</v>
      </c>
      <c r="D1828" s="1">
        <v>978.88</v>
      </c>
    </row>
    <row r="1829" spans="1:4" x14ac:dyDescent="0.25">
      <c r="A1829" s="1" t="s">
        <v>150</v>
      </c>
      <c r="B1829" s="1" t="s">
        <v>74</v>
      </c>
      <c r="C1829" s="1">
        <v>11236.01</v>
      </c>
      <c r="D1829" s="1">
        <v>3493.08</v>
      </c>
    </row>
    <row r="1830" spans="1:4" x14ac:dyDescent="0.25">
      <c r="A1830" s="1" t="s">
        <v>150</v>
      </c>
      <c r="B1830" s="1" t="s">
        <v>68</v>
      </c>
      <c r="C1830" s="1">
        <v>12811.59</v>
      </c>
      <c r="D1830" s="1">
        <v>6039.54</v>
      </c>
    </row>
    <row r="1831" spans="1:4" x14ac:dyDescent="0.25">
      <c r="A1831" s="1" t="s">
        <v>150</v>
      </c>
      <c r="B1831" s="1" t="s">
        <v>77</v>
      </c>
      <c r="C1831" s="1">
        <v>18211.990000000002</v>
      </c>
      <c r="D1831" s="1">
        <v>5098.71</v>
      </c>
    </row>
    <row r="1832" spans="1:4" x14ac:dyDescent="0.25">
      <c r="A1832" s="1" t="s">
        <v>150</v>
      </c>
      <c r="B1832" s="1" t="s">
        <v>71</v>
      </c>
      <c r="C1832" s="1">
        <v>14214.59</v>
      </c>
      <c r="D1832" s="1">
        <v>6044.04</v>
      </c>
    </row>
    <row r="1833" spans="1:4" x14ac:dyDescent="0.25">
      <c r="A1833" s="1" t="s">
        <v>150</v>
      </c>
      <c r="B1833" s="1" t="s">
        <v>69</v>
      </c>
      <c r="C1833" s="1">
        <v>7969.39</v>
      </c>
      <c r="D1833" s="1">
        <v>6494.95</v>
      </c>
    </row>
    <row r="1834" spans="1:4" x14ac:dyDescent="0.25">
      <c r="A1834" s="1" t="s">
        <v>150</v>
      </c>
      <c r="B1834" s="1" t="s">
        <v>78</v>
      </c>
      <c r="C1834" s="1">
        <v>3673.62</v>
      </c>
      <c r="D1834" s="1">
        <v>2283.4899999999998</v>
      </c>
    </row>
    <row r="1835" spans="1:4" x14ac:dyDescent="0.25">
      <c r="A1835" s="1" t="s">
        <v>150</v>
      </c>
      <c r="B1835" s="1" t="s">
        <v>76</v>
      </c>
      <c r="C1835" s="1">
        <v>16435.93</v>
      </c>
      <c r="D1835" s="1">
        <v>4778.12</v>
      </c>
    </row>
    <row r="1836" spans="1:4" x14ac:dyDescent="0.25">
      <c r="A1836" s="1" t="s">
        <v>150</v>
      </c>
      <c r="B1836" s="1" t="s">
        <v>73</v>
      </c>
      <c r="C1836" s="1">
        <v>10615.13</v>
      </c>
      <c r="D1836" s="1">
        <v>1997.52</v>
      </c>
    </row>
    <row r="1837" spans="1:4" x14ac:dyDescent="0.25">
      <c r="A1837" s="1" t="s">
        <v>150</v>
      </c>
      <c r="B1837" s="1" t="s">
        <v>72</v>
      </c>
      <c r="C1837" s="1">
        <v>11965.79</v>
      </c>
      <c r="D1837" s="1">
        <v>8624.36</v>
      </c>
    </row>
    <row r="1838" spans="1:4" x14ac:dyDescent="0.25">
      <c r="A1838" s="1" t="s">
        <v>150</v>
      </c>
      <c r="B1838" s="1" t="s">
        <v>70</v>
      </c>
      <c r="C1838" s="1">
        <v>9777.2800000000007</v>
      </c>
      <c r="D1838" s="1">
        <v>4870.8900000000003</v>
      </c>
    </row>
    <row r="1839" spans="1:4" x14ac:dyDescent="0.25">
      <c r="A1839" s="1" t="s">
        <v>152</v>
      </c>
      <c r="B1839" s="1" t="s">
        <v>74</v>
      </c>
      <c r="C1839" s="1">
        <v>5964.94</v>
      </c>
      <c r="D1839" s="1">
        <v>2129.34</v>
      </c>
    </row>
    <row r="1840" spans="1:4" x14ac:dyDescent="0.25">
      <c r="A1840" s="1" t="s">
        <v>152</v>
      </c>
      <c r="B1840" s="1" t="s">
        <v>78</v>
      </c>
      <c r="C1840" s="1">
        <v>2411.25</v>
      </c>
      <c r="D1840" s="1">
        <v>1607.97</v>
      </c>
    </row>
    <row r="1841" spans="1:4" x14ac:dyDescent="0.25">
      <c r="A1841" s="1" t="s">
        <v>152</v>
      </c>
      <c r="B1841" s="1" t="s">
        <v>75</v>
      </c>
      <c r="C1841" s="1">
        <v>1056.77</v>
      </c>
      <c r="D1841" s="1">
        <v>718.7</v>
      </c>
    </row>
    <row r="1842" spans="1:4" x14ac:dyDescent="0.25">
      <c r="A1842" s="1" t="s">
        <v>152</v>
      </c>
      <c r="B1842" s="1" t="s">
        <v>76</v>
      </c>
      <c r="C1842" s="1">
        <v>9182.06</v>
      </c>
      <c r="D1842" s="1">
        <v>2913.93</v>
      </c>
    </row>
    <row r="1843" spans="1:4" x14ac:dyDescent="0.25">
      <c r="A1843" s="1" t="s">
        <v>152</v>
      </c>
      <c r="B1843" s="1" t="s">
        <v>73</v>
      </c>
      <c r="C1843" s="1">
        <v>5919.53</v>
      </c>
      <c r="D1843" s="1">
        <v>1289.6500000000001</v>
      </c>
    </row>
    <row r="1844" spans="1:4" x14ac:dyDescent="0.25">
      <c r="A1844" s="1" t="s">
        <v>152</v>
      </c>
      <c r="B1844" s="1" t="s">
        <v>68</v>
      </c>
      <c r="C1844" s="1">
        <v>7061.05</v>
      </c>
      <c r="D1844" s="1">
        <v>3874.53</v>
      </c>
    </row>
    <row r="1845" spans="1:4" x14ac:dyDescent="0.25">
      <c r="A1845" s="1" t="s">
        <v>152</v>
      </c>
      <c r="B1845" s="1" t="s">
        <v>71</v>
      </c>
      <c r="C1845" s="1">
        <v>7444.56</v>
      </c>
      <c r="D1845" s="1">
        <v>3734.84</v>
      </c>
    </row>
    <row r="1846" spans="1:4" x14ac:dyDescent="0.25">
      <c r="A1846" s="1" t="s">
        <v>152</v>
      </c>
      <c r="B1846" s="1" t="s">
        <v>70</v>
      </c>
      <c r="C1846" s="1">
        <v>5595.83</v>
      </c>
      <c r="D1846" s="1">
        <v>3121.34</v>
      </c>
    </row>
    <row r="1847" spans="1:4" x14ac:dyDescent="0.25">
      <c r="A1847" s="1" t="s">
        <v>152</v>
      </c>
      <c r="B1847" s="1" t="s">
        <v>72</v>
      </c>
      <c r="C1847" s="1">
        <v>7766.26</v>
      </c>
      <c r="D1847" s="1">
        <v>6010.11</v>
      </c>
    </row>
    <row r="1848" spans="1:4" x14ac:dyDescent="0.25">
      <c r="A1848" s="1" t="s">
        <v>152</v>
      </c>
      <c r="B1848" s="1" t="s">
        <v>77</v>
      </c>
      <c r="C1848" s="1">
        <v>10218.77</v>
      </c>
      <c r="D1848" s="1">
        <v>3034.51</v>
      </c>
    </row>
    <row r="1849" spans="1:4" x14ac:dyDescent="0.25">
      <c r="A1849" s="1" t="s">
        <v>152</v>
      </c>
      <c r="B1849" s="1" t="s">
        <v>69</v>
      </c>
      <c r="C1849" s="1">
        <v>5229.24</v>
      </c>
      <c r="D1849" s="1">
        <v>4470.1000000000004</v>
      </c>
    </row>
    <row r="1850" spans="1:4" x14ac:dyDescent="0.25">
      <c r="A1850" s="1" t="s">
        <v>153</v>
      </c>
      <c r="B1850" s="1" t="s">
        <v>75</v>
      </c>
      <c r="C1850" s="1">
        <v>625.17999999999995</v>
      </c>
      <c r="D1850" s="1">
        <v>419.73</v>
      </c>
    </row>
    <row r="1851" spans="1:4" x14ac:dyDescent="0.25">
      <c r="A1851" s="1" t="s">
        <v>153</v>
      </c>
      <c r="B1851" s="1" t="s">
        <v>74</v>
      </c>
      <c r="C1851" s="1">
        <v>2950.11</v>
      </c>
      <c r="D1851" s="1">
        <v>1187.0999999999999</v>
      </c>
    </row>
    <row r="1852" spans="1:4" x14ac:dyDescent="0.25">
      <c r="A1852" s="1" t="s">
        <v>153</v>
      </c>
      <c r="B1852" s="1" t="s">
        <v>78</v>
      </c>
      <c r="C1852" s="1">
        <v>1384.43</v>
      </c>
      <c r="D1852" s="1">
        <v>971.13</v>
      </c>
    </row>
    <row r="1853" spans="1:4" x14ac:dyDescent="0.25">
      <c r="A1853" s="1" t="s">
        <v>153</v>
      </c>
      <c r="B1853" s="1" t="s">
        <v>76</v>
      </c>
      <c r="C1853" s="1">
        <v>4572.6099999999997</v>
      </c>
      <c r="D1853" s="1">
        <v>1576.42</v>
      </c>
    </row>
    <row r="1854" spans="1:4" x14ac:dyDescent="0.25">
      <c r="A1854" s="1" t="s">
        <v>153</v>
      </c>
      <c r="B1854" s="1" t="s">
        <v>73</v>
      </c>
      <c r="C1854" s="1">
        <v>2756.58</v>
      </c>
      <c r="D1854" s="1">
        <v>728.67</v>
      </c>
    </row>
    <row r="1855" spans="1:4" x14ac:dyDescent="0.25">
      <c r="A1855" s="1" t="s">
        <v>153</v>
      </c>
      <c r="B1855" s="1" t="s">
        <v>71</v>
      </c>
      <c r="C1855" s="1">
        <v>3542.33</v>
      </c>
      <c r="D1855" s="1">
        <v>2098.5</v>
      </c>
    </row>
    <row r="1856" spans="1:4" x14ac:dyDescent="0.25">
      <c r="A1856" s="1" t="s">
        <v>153</v>
      </c>
      <c r="B1856" s="1" t="s">
        <v>69</v>
      </c>
      <c r="C1856" s="1">
        <v>3002.35</v>
      </c>
      <c r="D1856" s="1">
        <v>2709.37</v>
      </c>
    </row>
    <row r="1857" spans="1:4" x14ac:dyDescent="0.25">
      <c r="A1857" s="1" t="s">
        <v>153</v>
      </c>
      <c r="B1857" s="1" t="s">
        <v>70</v>
      </c>
      <c r="C1857" s="1">
        <v>2857.9</v>
      </c>
      <c r="D1857" s="1">
        <v>1730.2</v>
      </c>
    </row>
    <row r="1858" spans="1:4" x14ac:dyDescent="0.25">
      <c r="A1858" s="1" t="s">
        <v>153</v>
      </c>
      <c r="B1858" s="1" t="s">
        <v>72</v>
      </c>
      <c r="C1858" s="1">
        <v>4482.12</v>
      </c>
      <c r="D1858" s="1">
        <v>3847.24</v>
      </c>
    </row>
    <row r="1859" spans="1:4" x14ac:dyDescent="0.25">
      <c r="A1859" s="1" t="s">
        <v>153</v>
      </c>
      <c r="B1859" s="1" t="s">
        <v>68</v>
      </c>
      <c r="C1859" s="1">
        <v>3370.3</v>
      </c>
      <c r="D1859" s="1">
        <v>2334.2600000000002</v>
      </c>
    </row>
    <row r="1860" spans="1:4" x14ac:dyDescent="0.25">
      <c r="A1860" s="1" t="s">
        <v>153</v>
      </c>
      <c r="B1860" s="1" t="s">
        <v>77</v>
      </c>
      <c r="C1860" s="1">
        <v>5154.54</v>
      </c>
      <c r="D1860" s="1">
        <v>1655.38</v>
      </c>
    </row>
    <row r="1861" spans="1:4" x14ac:dyDescent="0.25">
      <c r="A1861" s="1" t="s">
        <v>156</v>
      </c>
      <c r="B1861" s="1" t="s">
        <v>75</v>
      </c>
      <c r="C1861" s="1">
        <v>341.87</v>
      </c>
      <c r="D1861" s="1">
        <v>248.66</v>
      </c>
    </row>
    <row r="1862" spans="1:4" x14ac:dyDescent="0.25">
      <c r="A1862" s="1" t="s">
        <v>156</v>
      </c>
      <c r="B1862" s="1" t="s">
        <v>74</v>
      </c>
      <c r="C1862" s="1">
        <v>1461.55</v>
      </c>
      <c r="D1862" s="1">
        <v>611.80999999999995</v>
      </c>
    </row>
    <row r="1863" spans="1:4" x14ac:dyDescent="0.25">
      <c r="A1863" s="1" t="s">
        <v>156</v>
      </c>
      <c r="B1863" s="1" t="s">
        <v>76</v>
      </c>
      <c r="C1863" s="1">
        <v>2298.5700000000002</v>
      </c>
      <c r="D1863" s="1">
        <v>812.15</v>
      </c>
    </row>
    <row r="1864" spans="1:4" x14ac:dyDescent="0.25">
      <c r="A1864" s="1" t="s">
        <v>156</v>
      </c>
      <c r="B1864" s="1" t="s">
        <v>72</v>
      </c>
      <c r="C1864" s="1">
        <v>2432.9299999999998</v>
      </c>
      <c r="D1864" s="1">
        <v>2195.23</v>
      </c>
    </row>
    <row r="1865" spans="1:4" x14ac:dyDescent="0.25">
      <c r="A1865" s="1" t="s">
        <v>156</v>
      </c>
      <c r="B1865" s="1" t="s">
        <v>77</v>
      </c>
      <c r="C1865" s="1">
        <v>2474.7600000000002</v>
      </c>
      <c r="D1865" s="1">
        <v>852.15</v>
      </c>
    </row>
    <row r="1866" spans="1:4" x14ac:dyDescent="0.25">
      <c r="A1866" s="1" t="s">
        <v>156</v>
      </c>
      <c r="B1866" s="1" t="s">
        <v>71</v>
      </c>
      <c r="C1866" s="1">
        <v>1634.02</v>
      </c>
      <c r="D1866" s="1">
        <v>1045.1600000000001</v>
      </c>
    </row>
    <row r="1867" spans="1:4" x14ac:dyDescent="0.25">
      <c r="A1867" s="1" t="s">
        <v>156</v>
      </c>
      <c r="B1867" s="1" t="s">
        <v>70</v>
      </c>
      <c r="C1867" s="1">
        <v>1412.84</v>
      </c>
      <c r="D1867" s="1">
        <v>882.61</v>
      </c>
    </row>
    <row r="1868" spans="1:4" x14ac:dyDescent="0.25">
      <c r="A1868" s="1" t="s">
        <v>156</v>
      </c>
      <c r="B1868" s="1" t="s">
        <v>69</v>
      </c>
      <c r="C1868" s="1">
        <v>1574</v>
      </c>
      <c r="D1868" s="1">
        <v>1450.13</v>
      </c>
    </row>
    <row r="1869" spans="1:4" x14ac:dyDescent="0.25">
      <c r="A1869" s="1" t="s">
        <v>156</v>
      </c>
      <c r="B1869" s="1" t="s">
        <v>78</v>
      </c>
      <c r="C1869" s="1">
        <v>741.46</v>
      </c>
      <c r="D1869" s="1">
        <v>563.16999999999996</v>
      </c>
    </row>
    <row r="1870" spans="1:4" x14ac:dyDescent="0.25">
      <c r="A1870" s="1" t="s">
        <v>156</v>
      </c>
      <c r="B1870" s="1" t="s">
        <v>73</v>
      </c>
      <c r="C1870" s="1">
        <v>1205.23</v>
      </c>
      <c r="D1870" s="1">
        <v>348.89</v>
      </c>
    </row>
    <row r="1871" spans="1:4" x14ac:dyDescent="0.25">
      <c r="A1871" s="1" t="s">
        <v>156</v>
      </c>
      <c r="B1871" s="1" t="s">
        <v>68</v>
      </c>
      <c r="C1871" s="1">
        <v>1648.72</v>
      </c>
      <c r="D1871" s="1">
        <v>1227.0899999999999</v>
      </c>
    </row>
    <row r="1872" spans="1:4" x14ac:dyDescent="0.25">
      <c r="A1872" s="1" t="s">
        <v>157</v>
      </c>
      <c r="B1872" s="1" t="s">
        <v>74</v>
      </c>
      <c r="C1872" s="1">
        <v>758.35</v>
      </c>
      <c r="D1872" s="1">
        <v>345.32</v>
      </c>
    </row>
    <row r="1873" spans="1:4" x14ac:dyDescent="0.25">
      <c r="A1873" s="1" t="s">
        <v>157</v>
      </c>
      <c r="B1873" s="1" t="s">
        <v>75</v>
      </c>
      <c r="C1873" s="1">
        <v>193.74</v>
      </c>
      <c r="D1873" s="1">
        <v>142.35</v>
      </c>
    </row>
    <row r="1874" spans="1:4" x14ac:dyDescent="0.25">
      <c r="A1874" s="1" t="s">
        <v>157</v>
      </c>
      <c r="B1874" s="1" t="s">
        <v>72</v>
      </c>
      <c r="C1874" s="1">
        <v>1307.83</v>
      </c>
      <c r="D1874" s="1">
        <v>1230.04</v>
      </c>
    </row>
    <row r="1875" spans="1:4" x14ac:dyDescent="0.25">
      <c r="A1875" s="1" t="s">
        <v>157</v>
      </c>
      <c r="B1875" s="1" t="s">
        <v>77</v>
      </c>
      <c r="C1875" s="1">
        <v>1261.5999999999999</v>
      </c>
      <c r="D1875" s="1">
        <v>414.12</v>
      </c>
    </row>
    <row r="1876" spans="1:4" x14ac:dyDescent="0.25">
      <c r="A1876" s="1" t="s">
        <v>157</v>
      </c>
      <c r="B1876" s="1" t="s">
        <v>69</v>
      </c>
      <c r="C1876" s="1">
        <v>818.31</v>
      </c>
      <c r="D1876" s="1">
        <v>768.5</v>
      </c>
    </row>
    <row r="1877" spans="1:4" x14ac:dyDescent="0.25">
      <c r="A1877" s="1" t="s">
        <v>157</v>
      </c>
      <c r="B1877" s="1" t="s">
        <v>70</v>
      </c>
      <c r="C1877" s="1">
        <v>754.09</v>
      </c>
      <c r="D1877" s="1">
        <v>467.94</v>
      </c>
    </row>
    <row r="1878" spans="1:4" x14ac:dyDescent="0.25">
      <c r="A1878" s="1" t="s">
        <v>157</v>
      </c>
      <c r="B1878" s="1" t="s">
        <v>78</v>
      </c>
      <c r="C1878" s="1">
        <v>412.09</v>
      </c>
      <c r="D1878" s="1">
        <v>308.02999999999997</v>
      </c>
    </row>
    <row r="1879" spans="1:4" x14ac:dyDescent="0.25">
      <c r="A1879" s="1" t="s">
        <v>157</v>
      </c>
      <c r="B1879" s="1" t="s">
        <v>76</v>
      </c>
      <c r="C1879" s="1">
        <v>1222.76</v>
      </c>
      <c r="D1879" s="1">
        <v>456.11</v>
      </c>
    </row>
    <row r="1880" spans="1:4" x14ac:dyDescent="0.25">
      <c r="A1880" s="1" t="s">
        <v>157</v>
      </c>
      <c r="B1880" s="1" t="s">
        <v>73</v>
      </c>
      <c r="C1880" s="1">
        <v>567.33000000000004</v>
      </c>
      <c r="D1880" s="1">
        <v>154.47999999999999</v>
      </c>
    </row>
    <row r="1881" spans="1:4" x14ac:dyDescent="0.25">
      <c r="A1881" s="1" t="s">
        <v>157</v>
      </c>
      <c r="B1881" s="1" t="s">
        <v>68</v>
      </c>
      <c r="C1881" s="1">
        <v>843.1</v>
      </c>
      <c r="D1881" s="1">
        <v>664.83</v>
      </c>
    </row>
    <row r="1882" spans="1:4" x14ac:dyDescent="0.25">
      <c r="A1882" s="1" t="s">
        <v>157</v>
      </c>
      <c r="B1882" s="1" t="s">
        <v>71</v>
      </c>
      <c r="C1882" s="1">
        <v>854.14</v>
      </c>
      <c r="D1882" s="1">
        <v>530.21</v>
      </c>
    </row>
    <row r="1883" spans="1:4" x14ac:dyDescent="0.25">
      <c r="A1883" s="1" t="s">
        <v>158</v>
      </c>
      <c r="B1883" s="1" t="s">
        <v>75</v>
      </c>
      <c r="C1883" s="1">
        <v>120.02</v>
      </c>
      <c r="D1883" s="1">
        <v>87.74</v>
      </c>
    </row>
    <row r="1884" spans="1:4" x14ac:dyDescent="0.25">
      <c r="A1884" s="1" t="s">
        <v>158</v>
      </c>
      <c r="B1884" s="1" t="s">
        <v>74</v>
      </c>
      <c r="C1884" s="1">
        <v>449.59</v>
      </c>
      <c r="D1884" s="1">
        <v>196.34</v>
      </c>
    </row>
    <row r="1885" spans="1:4" x14ac:dyDescent="0.25">
      <c r="A1885" s="1" t="s">
        <v>158</v>
      </c>
      <c r="B1885" s="1" t="s">
        <v>72</v>
      </c>
      <c r="C1885" s="1">
        <v>744.17</v>
      </c>
      <c r="D1885" s="1">
        <v>685.85</v>
      </c>
    </row>
    <row r="1886" spans="1:4" x14ac:dyDescent="0.25">
      <c r="A1886" s="1" t="s">
        <v>158</v>
      </c>
      <c r="B1886" s="1" t="s">
        <v>68</v>
      </c>
      <c r="C1886" s="1">
        <v>520.25</v>
      </c>
      <c r="D1886" s="1">
        <v>351.08</v>
      </c>
    </row>
    <row r="1887" spans="1:4" x14ac:dyDescent="0.25">
      <c r="A1887" s="1" t="s">
        <v>158</v>
      </c>
      <c r="B1887" s="1" t="s">
        <v>77</v>
      </c>
      <c r="C1887" s="1">
        <v>754.21</v>
      </c>
      <c r="D1887" s="1">
        <v>213.74</v>
      </c>
    </row>
    <row r="1888" spans="1:4" x14ac:dyDescent="0.25">
      <c r="A1888" s="1" t="s">
        <v>158</v>
      </c>
      <c r="B1888" s="1" t="s">
        <v>71</v>
      </c>
      <c r="C1888" s="1">
        <v>522.02</v>
      </c>
      <c r="D1888" s="1">
        <v>274.93</v>
      </c>
    </row>
    <row r="1889" spans="1:4" x14ac:dyDescent="0.25">
      <c r="A1889" s="1" t="s">
        <v>158</v>
      </c>
      <c r="B1889" s="1" t="s">
        <v>70</v>
      </c>
      <c r="C1889" s="1">
        <v>456.63</v>
      </c>
      <c r="D1889" s="1">
        <v>268.72000000000003</v>
      </c>
    </row>
    <row r="1890" spans="1:4" x14ac:dyDescent="0.25">
      <c r="A1890" s="1" t="s">
        <v>158</v>
      </c>
      <c r="B1890" s="1" t="s">
        <v>78</v>
      </c>
      <c r="C1890" s="1">
        <v>246.97</v>
      </c>
      <c r="D1890" s="1">
        <v>169.38</v>
      </c>
    </row>
    <row r="1891" spans="1:4" x14ac:dyDescent="0.25">
      <c r="A1891" s="1" t="s">
        <v>158</v>
      </c>
      <c r="B1891" s="1" t="s">
        <v>76</v>
      </c>
      <c r="C1891" s="1">
        <v>727.92</v>
      </c>
      <c r="D1891" s="1">
        <v>270.32</v>
      </c>
    </row>
    <row r="1892" spans="1:4" x14ac:dyDescent="0.25">
      <c r="A1892" s="1" t="s">
        <v>158</v>
      </c>
      <c r="B1892" s="1" t="s">
        <v>73</v>
      </c>
      <c r="C1892" s="1">
        <v>300.55</v>
      </c>
      <c r="D1892" s="1">
        <v>71.94</v>
      </c>
    </row>
    <row r="1893" spans="1:4" x14ac:dyDescent="0.25">
      <c r="A1893" s="1" t="s">
        <v>158</v>
      </c>
      <c r="B1893" s="1" t="s">
        <v>69</v>
      </c>
      <c r="C1893" s="1">
        <v>467.85</v>
      </c>
      <c r="D1893" s="1">
        <v>446.63</v>
      </c>
    </row>
    <row r="1894" spans="1:4" x14ac:dyDescent="0.25">
      <c r="A1894" s="1" t="s">
        <v>159</v>
      </c>
      <c r="B1894" s="1" t="s">
        <v>75</v>
      </c>
      <c r="C1894" s="1">
        <v>90.79</v>
      </c>
      <c r="D1894" s="1">
        <v>60.46</v>
      </c>
    </row>
    <row r="1895" spans="1:4" x14ac:dyDescent="0.25">
      <c r="A1895" s="1" t="s">
        <v>159</v>
      </c>
      <c r="B1895" s="1" t="s">
        <v>74</v>
      </c>
      <c r="C1895" s="1">
        <v>502.67</v>
      </c>
      <c r="D1895" s="1">
        <v>157.74</v>
      </c>
    </row>
    <row r="1896" spans="1:4" x14ac:dyDescent="0.25">
      <c r="A1896" s="1" t="s">
        <v>159</v>
      </c>
      <c r="B1896" s="1" t="s">
        <v>76</v>
      </c>
      <c r="C1896" s="1">
        <v>633.78</v>
      </c>
      <c r="D1896" s="1">
        <v>204.41</v>
      </c>
    </row>
    <row r="1897" spans="1:4" x14ac:dyDescent="0.25">
      <c r="A1897" s="1" t="s">
        <v>159</v>
      </c>
      <c r="B1897" s="1" t="s">
        <v>73</v>
      </c>
      <c r="C1897" s="1">
        <v>408.55</v>
      </c>
      <c r="D1897" s="1">
        <v>70.95</v>
      </c>
    </row>
    <row r="1898" spans="1:4" x14ac:dyDescent="0.25">
      <c r="A1898" s="1" t="s">
        <v>159</v>
      </c>
      <c r="B1898" s="1" t="s">
        <v>68</v>
      </c>
      <c r="C1898" s="1">
        <v>584.91999999999996</v>
      </c>
      <c r="D1898" s="1">
        <v>278.43</v>
      </c>
    </row>
    <row r="1899" spans="1:4" x14ac:dyDescent="0.25">
      <c r="A1899" s="1" t="s">
        <v>159</v>
      </c>
      <c r="B1899" s="1" t="s">
        <v>77</v>
      </c>
      <c r="C1899" s="1">
        <v>720.76</v>
      </c>
      <c r="D1899" s="1">
        <v>189.69</v>
      </c>
    </row>
    <row r="1900" spans="1:4" x14ac:dyDescent="0.25">
      <c r="A1900" s="1" t="s">
        <v>159</v>
      </c>
      <c r="B1900" s="1" t="s">
        <v>71</v>
      </c>
      <c r="C1900" s="1">
        <v>668.39</v>
      </c>
      <c r="D1900" s="1">
        <v>246.58</v>
      </c>
    </row>
    <row r="1901" spans="1:4" x14ac:dyDescent="0.25">
      <c r="A1901" s="1" t="s">
        <v>159</v>
      </c>
      <c r="B1901" s="1" t="s">
        <v>78</v>
      </c>
      <c r="C1901" s="1">
        <v>195.19</v>
      </c>
      <c r="D1901" s="1">
        <v>124.77</v>
      </c>
    </row>
    <row r="1902" spans="1:4" x14ac:dyDescent="0.25">
      <c r="A1902" s="1" t="s">
        <v>159</v>
      </c>
      <c r="B1902" s="1" t="s">
        <v>72</v>
      </c>
      <c r="C1902" s="1">
        <v>594.66999999999996</v>
      </c>
      <c r="D1902" s="1">
        <v>465.8</v>
      </c>
    </row>
    <row r="1903" spans="1:4" x14ac:dyDescent="0.25">
      <c r="A1903" s="1" t="s">
        <v>159</v>
      </c>
      <c r="B1903" s="1" t="s">
        <v>70</v>
      </c>
      <c r="C1903" s="1">
        <v>455.75</v>
      </c>
      <c r="D1903" s="1">
        <v>228.83</v>
      </c>
    </row>
    <row r="1904" spans="1:4" x14ac:dyDescent="0.25">
      <c r="A1904" s="1" t="s">
        <v>159</v>
      </c>
      <c r="B1904" s="1" t="s">
        <v>69</v>
      </c>
      <c r="C1904" s="1">
        <v>358.82</v>
      </c>
      <c r="D1904" s="1">
        <v>299.97000000000003</v>
      </c>
    </row>
    <row r="1905" spans="1:4" x14ac:dyDescent="0.25">
      <c r="A1905" s="1" t="s">
        <v>160</v>
      </c>
      <c r="B1905" s="1" t="s">
        <v>75</v>
      </c>
      <c r="C1905" s="1">
        <v>281.23</v>
      </c>
      <c r="D1905" s="1">
        <v>131.71</v>
      </c>
    </row>
    <row r="1906" spans="1:4" x14ac:dyDescent="0.25">
      <c r="A1906" s="1" t="s">
        <v>160</v>
      </c>
      <c r="B1906" s="1" t="s">
        <v>74</v>
      </c>
      <c r="C1906" s="1">
        <v>3476.59</v>
      </c>
      <c r="D1906" s="1">
        <v>796.83</v>
      </c>
    </row>
    <row r="1907" spans="1:4" x14ac:dyDescent="0.25">
      <c r="A1907" s="1" t="s">
        <v>160</v>
      </c>
      <c r="B1907" s="1" t="s">
        <v>78</v>
      </c>
      <c r="C1907" s="1">
        <v>726.91</v>
      </c>
      <c r="D1907" s="1">
        <v>368.18</v>
      </c>
    </row>
    <row r="1908" spans="1:4" x14ac:dyDescent="0.25">
      <c r="A1908" s="1" t="s">
        <v>160</v>
      </c>
      <c r="B1908" s="1" t="s">
        <v>73</v>
      </c>
      <c r="C1908" s="1">
        <v>3450.08</v>
      </c>
      <c r="D1908" s="1">
        <v>483.24</v>
      </c>
    </row>
    <row r="1909" spans="1:4" x14ac:dyDescent="0.25">
      <c r="A1909" s="1" t="s">
        <v>160</v>
      </c>
      <c r="B1909" s="1" t="s">
        <v>68</v>
      </c>
      <c r="C1909" s="1">
        <v>4034.66</v>
      </c>
      <c r="D1909" s="1">
        <v>1360.63</v>
      </c>
    </row>
    <row r="1910" spans="1:4" x14ac:dyDescent="0.25">
      <c r="A1910" s="1" t="s">
        <v>160</v>
      </c>
      <c r="B1910" s="1" t="s">
        <v>71</v>
      </c>
      <c r="C1910" s="1">
        <v>4810.82</v>
      </c>
      <c r="D1910" s="1">
        <v>1465.54</v>
      </c>
    </row>
    <row r="1911" spans="1:4" x14ac:dyDescent="0.25">
      <c r="A1911" s="1" t="s">
        <v>160</v>
      </c>
      <c r="B1911" s="1" t="s">
        <v>69</v>
      </c>
      <c r="C1911" s="1">
        <v>1668.08</v>
      </c>
      <c r="D1911" s="1">
        <v>949.42</v>
      </c>
    </row>
    <row r="1912" spans="1:4" x14ac:dyDescent="0.25">
      <c r="A1912" s="1" t="s">
        <v>160</v>
      </c>
      <c r="B1912" s="1" t="s">
        <v>70</v>
      </c>
      <c r="C1912" s="1">
        <v>2812.71</v>
      </c>
      <c r="D1912" s="1">
        <v>1158.6400000000001</v>
      </c>
    </row>
    <row r="1913" spans="1:4" x14ac:dyDescent="0.25">
      <c r="A1913" s="1" t="s">
        <v>160</v>
      </c>
      <c r="B1913" s="1" t="s">
        <v>72</v>
      </c>
      <c r="C1913" s="1">
        <v>2659.46</v>
      </c>
      <c r="D1913" s="1">
        <v>1444.18</v>
      </c>
    </row>
    <row r="1914" spans="1:4" x14ac:dyDescent="0.25">
      <c r="A1914" s="1" t="s">
        <v>160</v>
      </c>
      <c r="B1914" s="1" t="s">
        <v>76</v>
      </c>
      <c r="C1914" s="1">
        <v>4196.18</v>
      </c>
      <c r="D1914" s="1">
        <v>978</v>
      </c>
    </row>
    <row r="1915" spans="1:4" x14ac:dyDescent="0.25">
      <c r="A1915" s="1" t="s">
        <v>160</v>
      </c>
      <c r="B1915" s="1" t="s">
        <v>77</v>
      </c>
      <c r="C1915" s="1">
        <v>5135.4399999999996</v>
      </c>
      <c r="D1915" s="1">
        <v>1299.27</v>
      </c>
    </row>
    <row r="1916" spans="1:4" x14ac:dyDescent="0.25">
      <c r="A1916" s="1" t="s">
        <v>161</v>
      </c>
      <c r="B1916" s="1" t="s">
        <v>75</v>
      </c>
      <c r="C1916" s="1">
        <v>717.69</v>
      </c>
      <c r="D1916" s="1">
        <v>329.23</v>
      </c>
    </row>
    <row r="1917" spans="1:4" x14ac:dyDescent="0.25">
      <c r="A1917" s="1" t="s">
        <v>161</v>
      </c>
      <c r="B1917" s="1" t="s">
        <v>74</v>
      </c>
      <c r="C1917" s="1">
        <v>9086.5</v>
      </c>
      <c r="D1917" s="1">
        <v>1999.13</v>
      </c>
    </row>
    <row r="1918" spans="1:4" x14ac:dyDescent="0.25">
      <c r="A1918" s="1" t="s">
        <v>161</v>
      </c>
      <c r="B1918" s="1" t="s">
        <v>76</v>
      </c>
      <c r="C1918" s="1">
        <v>12231.74</v>
      </c>
      <c r="D1918" s="1">
        <v>2765.71</v>
      </c>
    </row>
    <row r="1919" spans="1:4" x14ac:dyDescent="0.25">
      <c r="A1919" s="1" t="s">
        <v>161</v>
      </c>
      <c r="B1919" s="1" t="s">
        <v>72</v>
      </c>
      <c r="C1919" s="1">
        <v>6342.37</v>
      </c>
      <c r="D1919" s="1">
        <v>3481.07</v>
      </c>
    </row>
    <row r="1920" spans="1:4" x14ac:dyDescent="0.25">
      <c r="A1920" s="1" t="s">
        <v>161</v>
      </c>
      <c r="B1920" s="1" t="s">
        <v>71</v>
      </c>
      <c r="C1920" s="1">
        <v>9435.93</v>
      </c>
      <c r="D1920" s="1">
        <v>3199.25</v>
      </c>
    </row>
    <row r="1921" spans="1:4" x14ac:dyDescent="0.25">
      <c r="A1921" s="1" t="s">
        <v>161</v>
      </c>
      <c r="B1921" s="1" t="s">
        <v>69</v>
      </c>
      <c r="C1921" s="1">
        <v>4304.21</v>
      </c>
      <c r="D1921" s="1">
        <v>2464.56</v>
      </c>
    </row>
    <row r="1922" spans="1:4" x14ac:dyDescent="0.25">
      <c r="A1922" s="1" t="s">
        <v>161</v>
      </c>
      <c r="B1922" s="1" t="s">
        <v>70</v>
      </c>
      <c r="C1922" s="1">
        <v>6599.74</v>
      </c>
      <c r="D1922" s="1">
        <v>2766.1</v>
      </c>
    </row>
    <row r="1923" spans="1:4" x14ac:dyDescent="0.25">
      <c r="A1923" s="1" t="s">
        <v>161</v>
      </c>
      <c r="B1923" s="1" t="s">
        <v>78</v>
      </c>
      <c r="C1923" s="1">
        <v>1725.2</v>
      </c>
      <c r="D1923" s="1">
        <v>853.56</v>
      </c>
    </row>
    <row r="1924" spans="1:4" x14ac:dyDescent="0.25">
      <c r="A1924" s="1" t="s">
        <v>161</v>
      </c>
      <c r="B1924" s="1" t="s">
        <v>73</v>
      </c>
      <c r="C1924" s="1">
        <v>8728.69</v>
      </c>
      <c r="D1924" s="1">
        <v>1373.04</v>
      </c>
    </row>
    <row r="1925" spans="1:4" x14ac:dyDescent="0.25">
      <c r="A1925" s="1" t="s">
        <v>161</v>
      </c>
      <c r="B1925" s="1" t="s">
        <v>77</v>
      </c>
      <c r="C1925" s="1">
        <v>13987.35</v>
      </c>
      <c r="D1925" s="1">
        <v>3710.9</v>
      </c>
    </row>
    <row r="1926" spans="1:4" x14ac:dyDescent="0.25">
      <c r="A1926" s="1" t="s">
        <v>161</v>
      </c>
      <c r="B1926" s="1" t="s">
        <v>68</v>
      </c>
      <c r="C1926" s="1">
        <v>8301.73</v>
      </c>
      <c r="D1926" s="1">
        <v>2861.5</v>
      </c>
    </row>
    <row r="1927" spans="1:4" x14ac:dyDescent="0.25">
      <c r="A1927" s="1" t="s">
        <v>162</v>
      </c>
      <c r="B1927" s="1" t="s">
        <v>74</v>
      </c>
      <c r="C1927" s="1">
        <v>10400.08</v>
      </c>
      <c r="D1927" s="1">
        <v>2375.12</v>
      </c>
    </row>
    <row r="1928" spans="1:4" x14ac:dyDescent="0.25">
      <c r="A1928" s="1" t="s">
        <v>162</v>
      </c>
      <c r="B1928" s="1" t="s">
        <v>75</v>
      </c>
      <c r="C1928" s="1">
        <v>914.54</v>
      </c>
      <c r="D1928" s="1">
        <v>455.21</v>
      </c>
    </row>
    <row r="1929" spans="1:4" x14ac:dyDescent="0.25">
      <c r="A1929" s="1" t="s">
        <v>162</v>
      </c>
      <c r="B1929" s="1" t="s">
        <v>76</v>
      </c>
      <c r="C1929" s="1">
        <v>17932.400000000001</v>
      </c>
      <c r="D1929" s="1">
        <v>4031.57</v>
      </c>
    </row>
    <row r="1930" spans="1:4" x14ac:dyDescent="0.25">
      <c r="A1930" s="1" t="s">
        <v>162</v>
      </c>
      <c r="B1930" s="1" t="s">
        <v>77</v>
      </c>
      <c r="C1930" s="1">
        <v>16986.359</v>
      </c>
      <c r="D1930" s="1">
        <v>4423.3900000000003</v>
      </c>
    </row>
    <row r="1931" spans="1:4" x14ac:dyDescent="0.25">
      <c r="A1931" s="1" t="s">
        <v>162</v>
      </c>
      <c r="B1931" s="1" t="s">
        <v>71</v>
      </c>
      <c r="C1931" s="1">
        <v>8484.7099999999991</v>
      </c>
      <c r="D1931" s="1">
        <v>3081.79</v>
      </c>
    </row>
    <row r="1932" spans="1:4" x14ac:dyDescent="0.25">
      <c r="A1932" s="1" t="s">
        <v>162</v>
      </c>
      <c r="B1932" s="1" t="s">
        <v>70</v>
      </c>
      <c r="C1932" s="1">
        <v>7451.1</v>
      </c>
      <c r="D1932" s="1">
        <v>3259.54</v>
      </c>
    </row>
    <row r="1933" spans="1:4" x14ac:dyDescent="0.25">
      <c r="A1933" s="1" t="s">
        <v>162</v>
      </c>
      <c r="B1933" s="1" t="s">
        <v>78</v>
      </c>
      <c r="C1933" s="1">
        <v>1983.86</v>
      </c>
      <c r="D1933" s="1">
        <v>1065.94</v>
      </c>
    </row>
    <row r="1934" spans="1:4" x14ac:dyDescent="0.25">
      <c r="A1934" s="1" t="s">
        <v>162</v>
      </c>
      <c r="B1934" s="1" t="s">
        <v>73</v>
      </c>
      <c r="C1934" s="1">
        <v>9420.1</v>
      </c>
      <c r="D1934" s="1">
        <v>1573.32</v>
      </c>
    </row>
    <row r="1935" spans="1:4" x14ac:dyDescent="0.25">
      <c r="A1935" s="1" t="s">
        <v>162</v>
      </c>
      <c r="B1935" s="1" t="s">
        <v>72</v>
      </c>
      <c r="C1935" s="1">
        <v>7226.5</v>
      </c>
      <c r="D1935" s="1">
        <v>4322.87</v>
      </c>
    </row>
    <row r="1936" spans="1:4" x14ac:dyDescent="0.25">
      <c r="A1936" s="1" t="s">
        <v>162</v>
      </c>
      <c r="B1936" s="1" t="s">
        <v>68</v>
      </c>
      <c r="C1936" s="1">
        <v>7919</v>
      </c>
      <c r="D1936" s="1">
        <v>2842.73</v>
      </c>
    </row>
    <row r="1937" spans="1:4" x14ac:dyDescent="0.25">
      <c r="A1937" s="1" t="s">
        <v>162</v>
      </c>
      <c r="B1937" s="1" t="s">
        <v>69</v>
      </c>
      <c r="C1937" s="1">
        <v>5002.3100000000004</v>
      </c>
      <c r="D1937" s="1">
        <v>3235.23</v>
      </c>
    </row>
    <row r="1938" spans="1:4" x14ac:dyDescent="0.25">
      <c r="A1938" s="1" t="s">
        <v>163</v>
      </c>
      <c r="B1938" s="1" t="s">
        <v>74</v>
      </c>
      <c r="C1938" s="1">
        <v>6901.82</v>
      </c>
      <c r="D1938" s="1">
        <v>1718.52</v>
      </c>
    </row>
    <row r="1939" spans="1:4" x14ac:dyDescent="0.25">
      <c r="A1939" s="1" t="s">
        <v>163</v>
      </c>
      <c r="B1939" s="1" t="s">
        <v>75</v>
      </c>
      <c r="C1939" s="1">
        <v>827.02</v>
      </c>
      <c r="D1939" s="1">
        <v>454.94</v>
      </c>
    </row>
    <row r="1940" spans="1:4" x14ac:dyDescent="0.25">
      <c r="A1940" s="1" t="s">
        <v>163</v>
      </c>
      <c r="B1940" s="1" t="s">
        <v>73</v>
      </c>
      <c r="C1940" s="1">
        <v>7952.63</v>
      </c>
      <c r="D1940" s="1">
        <v>1390.85</v>
      </c>
    </row>
    <row r="1941" spans="1:4" x14ac:dyDescent="0.25">
      <c r="A1941" s="1" t="s">
        <v>163</v>
      </c>
      <c r="B1941" s="1" t="s">
        <v>68</v>
      </c>
      <c r="C1941" s="1">
        <v>9001.2999999999993</v>
      </c>
      <c r="D1941" s="1">
        <v>3447.86</v>
      </c>
    </row>
    <row r="1942" spans="1:4" x14ac:dyDescent="0.25">
      <c r="A1942" s="1" t="s">
        <v>163</v>
      </c>
      <c r="B1942" s="1" t="s">
        <v>77</v>
      </c>
      <c r="C1942" s="1">
        <v>15225.35</v>
      </c>
      <c r="D1942" s="1">
        <v>3939.92</v>
      </c>
    </row>
    <row r="1943" spans="1:4" x14ac:dyDescent="0.25">
      <c r="A1943" s="1" t="s">
        <v>163</v>
      </c>
      <c r="B1943" s="1" t="s">
        <v>71</v>
      </c>
      <c r="C1943" s="1">
        <v>8471.74</v>
      </c>
      <c r="D1943" s="1">
        <v>3078.35</v>
      </c>
    </row>
    <row r="1944" spans="1:4" x14ac:dyDescent="0.25">
      <c r="A1944" s="1" t="s">
        <v>163</v>
      </c>
      <c r="B1944" s="1" t="s">
        <v>70</v>
      </c>
      <c r="C1944" s="1">
        <v>5714.06</v>
      </c>
      <c r="D1944" s="1">
        <v>2620.79</v>
      </c>
    </row>
    <row r="1945" spans="1:4" x14ac:dyDescent="0.25">
      <c r="A1945" s="1" t="s">
        <v>163</v>
      </c>
      <c r="B1945" s="1" t="s">
        <v>78</v>
      </c>
      <c r="C1945" s="1">
        <v>2191.9299999999998</v>
      </c>
      <c r="D1945" s="1">
        <v>1200.31</v>
      </c>
    </row>
    <row r="1946" spans="1:4" x14ac:dyDescent="0.25">
      <c r="A1946" s="1" t="s">
        <v>163</v>
      </c>
      <c r="B1946" s="1" t="s">
        <v>72</v>
      </c>
      <c r="C1946" s="1">
        <v>8868.81</v>
      </c>
      <c r="D1946" s="1">
        <v>5558.1</v>
      </c>
    </row>
    <row r="1947" spans="1:4" x14ac:dyDescent="0.25">
      <c r="A1947" s="1" t="s">
        <v>163</v>
      </c>
      <c r="B1947" s="1" t="s">
        <v>76</v>
      </c>
      <c r="C1947" s="1">
        <v>15496.62</v>
      </c>
      <c r="D1947" s="1">
        <v>3496.02</v>
      </c>
    </row>
    <row r="1948" spans="1:4" x14ac:dyDescent="0.25">
      <c r="A1948" s="1" t="s">
        <v>163</v>
      </c>
      <c r="B1948" s="1" t="s">
        <v>69</v>
      </c>
      <c r="C1948" s="1">
        <v>6775.79</v>
      </c>
      <c r="D1948" s="1">
        <v>4756.1000000000004</v>
      </c>
    </row>
    <row r="1949" spans="1:4" x14ac:dyDescent="0.25">
      <c r="A1949" s="1" t="s">
        <v>164</v>
      </c>
      <c r="B1949" s="1" t="s">
        <v>75</v>
      </c>
      <c r="C1949" s="1">
        <v>2044.49</v>
      </c>
      <c r="D1949" s="1">
        <v>1122.55</v>
      </c>
    </row>
    <row r="1950" spans="1:4" x14ac:dyDescent="0.25">
      <c r="A1950" s="1" t="s">
        <v>164</v>
      </c>
      <c r="B1950" s="1" t="s">
        <v>74</v>
      </c>
      <c r="C1950" s="1">
        <v>11131.51</v>
      </c>
      <c r="D1950" s="1">
        <v>3051.64</v>
      </c>
    </row>
    <row r="1951" spans="1:4" x14ac:dyDescent="0.25">
      <c r="A1951" s="1" t="s">
        <v>164</v>
      </c>
      <c r="B1951" s="1" t="s">
        <v>73</v>
      </c>
      <c r="C1951" s="1">
        <v>14304.8</v>
      </c>
      <c r="D1951" s="1">
        <v>2683.44</v>
      </c>
    </row>
    <row r="1952" spans="1:4" x14ac:dyDescent="0.25">
      <c r="A1952" s="1" t="s">
        <v>164</v>
      </c>
      <c r="B1952" s="1" t="s">
        <v>68</v>
      </c>
      <c r="C1952" s="1">
        <v>16600.891</v>
      </c>
      <c r="D1952" s="1">
        <v>6964.7</v>
      </c>
    </row>
    <row r="1953" spans="1:4" x14ac:dyDescent="0.25">
      <c r="A1953" s="1" t="s">
        <v>164</v>
      </c>
      <c r="B1953" s="1" t="s">
        <v>77</v>
      </c>
      <c r="C1953" s="1">
        <v>26558.17</v>
      </c>
      <c r="D1953" s="1">
        <v>7690.73</v>
      </c>
    </row>
    <row r="1954" spans="1:4" x14ac:dyDescent="0.25">
      <c r="A1954" s="1" t="s">
        <v>164</v>
      </c>
      <c r="B1954" s="1" t="s">
        <v>71</v>
      </c>
      <c r="C1954" s="1">
        <v>18012.278999999999</v>
      </c>
      <c r="D1954" s="1">
        <v>6409.65</v>
      </c>
    </row>
    <row r="1955" spans="1:4" x14ac:dyDescent="0.25">
      <c r="A1955" s="1" t="s">
        <v>164</v>
      </c>
      <c r="B1955" s="1" t="s">
        <v>69</v>
      </c>
      <c r="C1955" s="1">
        <v>11914.52</v>
      </c>
      <c r="D1955" s="1">
        <v>8959.33</v>
      </c>
    </row>
    <row r="1956" spans="1:4" x14ac:dyDescent="0.25">
      <c r="A1956" s="1" t="s">
        <v>164</v>
      </c>
      <c r="B1956" s="1" t="s">
        <v>70</v>
      </c>
      <c r="C1956" s="1">
        <v>10865.95</v>
      </c>
      <c r="D1956" s="1">
        <v>4920.8900000000003</v>
      </c>
    </row>
    <row r="1957" spans="1:4" x14ac:dyDescent="0.25">
      <c r="A1957" s="1" t="s">
        <v>164</v>
      </c>
      <c r="B1957" s="1" t="s">
        <v>78</v>
      </c>
      <c r="C1957" s="1">
        <v>5193.43</v>
      </c>
      <c r="D1957" s="1">
        <v>2966.55</v>
      </c>
    </row>
    <row r="1958" spans="1:4" x14ac:dyDescent="0.25">
      <c r="A1958" s="1" t="s">
        <v>164</v>
      </c>
      <c r="B1958" s="1" t="s">
        <v>72</v>
      </c>
      <c r="C1958" s="1">
        <v>17008.77</v>
      </c>
      <c r="D1958" s="1">
        <v>11240.56</v>
      </c>
    </row>
    <row r="1959" spans="1:4" x14ac:dyDescent="0.25">
      <c r="A1959" s="1" t="s">
        <v>164</v>
      </c>
      <c r="B1959" s="1" t="s">
        <v>76</v>
      </c>
      <c r="C1959" s="1">
        <v>14206.22</v>
      </c>
      <c r="D1959" s="1">
        <v>3668.27</v>
      </c>
    </row>
    <row r="1960" spans="1:4" x14ac:dyDescent="0.25">
      <c r="A1960" s="1" t="s">
        <v>165</v>
      </c>
      <c r="B1960" s="1" t="s">
        <v>75</v>
      </c>
      <c r="C1960" s="1">
        <v>2624.63</v>
      </c>
      <c r="D1960" s="1">
        <v>1413.39</v>
      </c>
    </row>
    <row r="1961" spans="1:4" x14ac:dyDescent="0.25">
      <c r="A1961" s="1" t="s">
        <v>165</v>
      </c>
      <c r="B1961" s="1" t="s">
        <v>74</v>
      </c>
      <c r="C1961" s="1">
        <v>17295.868999999999</v>
      </c>
      <c r="D1961" s="1">
        <v>4547.7299999999996</v>
      </c>
    </row>
    <row r="1962" spans="1:4" x14ac:dyDescent="0.25">
      <c r="A1962" s="1" t="s">
        <v>165</v>
      </c>
      <c r="B1962" s="1" t="s">
        <v>78</v>
      </c>
      <c r="C1962" s="1">
        <v>6187.54</v>
      </c>
      <c r="D1962" s="1">
        <v>3596.18</v>
      </c>
    </row>
    <row r="1963" spans="1:4" x14ac:dyDescent="0.25">
      <c r="A1963" s="1" t="s">
        <v>165</v>
      </c>
      <c r="B1963" s="1" t="s">
        <v>68</v>
      </c>
      <c r="C1963" s="1">
        <v>16192.25</v>
      </c>
      <c r="D1963" s="1">
        <v>6996.68</v>
      </c>
    </row>
    <row r="1964" spans="1:4" x14ac:dyDescent="0.25">
      <c r="A1964" s="1" t="s">
        <v>165</v>
      </c>
      <c r="B1964" s="1" t="s">
        <v>71</v>
      </c>
      <c r="C1964" s="1">
        <v>19370.009999999998</v>
      </c>
      <c r="D1964" s="1">
        <v>7247.89</v>
      </c>
    </row>
    <row r="1965" spans="1:4" x14ac:dyDescent="0.25">
      <c r="A1965" s="1" t="s">
        <v>165</v>
      </c>
      <c r="B1965" s="1" t="s">
        <v>69</v>
      </c>
      <c r="C1965" s="1">
        <v>12021.42</v>
      </c>
      <c r="D1965" s="1">
        <v>9454.65</v>
      </c>
    </row>
    <row r="1966" spans="1:4" x14ac:dyDescent="0.25">
      <c r="A1966" s="1" t="s">
        <v>165</v>
      </c>
      <c r="B1966" s="1" t="s">
        <v>76</v>
      </c>
      <c r="C1966" s="1">
        <v>23783.49</v>
      </c>
      <c r="D1966" s="1">
        <v>6209</v>
      </c>
    </row>
    <row r="1967" spans="1:4" x14ac:dyDescent="0.25">
      <c r="A1967" s="1" t="s">
        <v>165</v>
      </c>
      <c r="B1967" s="1" t="s">
        <v>73</v>
      </c>
      <c r="C1967" s="1">
        <v>14971.2</v>
      </c>
      <c r="D1967" s="1">
        <v>2775.12</v>
      </c>
    </row>
    <row r="1968" spans="1:4" x14ac:dyDescent="0.25">
      <c r="A1968" s="1" t="s">
        <v>165</v>
      </c>
      <c r="B1968" s="1" t="s">
        <v>72</v>
      </c>
      <c r="C1968" s="1">
        <v>17730.009999999998</v>
      </c>
      <c r="D1968" s="1">
        <v>11972.74</v>
      </c>
    </row>
    <row r="1969" spans="1:4" x14ac:dyDescent="0.25">
      <c r="A1969" s="1" t="s">
        <v>165</v>
      </c>
      <c r="B1969" s="1" t="s">
        <v>77</v>
      </c>
      <c r="C1969" s="1">
        <v>31590.85</v>
      </c>
      <c r="D1969" s="1">
        <v>8386.2199999999993</v>
      </c>
    </row>
    <row r="1970" spans="1:4" x14ac:dyDescent="0.25">
      <c r="A1970" s="1" t="s">
        <v>165</v>
      </c>
      <c r="B1970" s="1" t="s">
        <v>70</v>
      </c>
      <c r="C1970" s="1">
        <v>15160.18</v>
      </c>
      <c r="D1970" s="1">
        <v>6717.23</v>
      </c>
    </row>
    <row r="1971" spans="1:4" x14ac:dyDescent="0.25">
      <c r="A1971" s="1" t="s">
        <v>166</v>
      </c>
      <c r="B1971" s="1" t="s">
        <v>74</v>
      </c>
      <c r="C1971" s="1">
        <v>15471.22</v>
      </c>
      <c r="D1971" s="1">
        <v>4155.84</v>
      </c>
    </row>
    <row r="1972" spans="1:4" x14ac:dyDescent="0.25">
      <c r="A1972" s="1" t="s">
        <v>166</v>
      </c>
      <c r="B1972" s="1" t="s">
        <v>78</v>
      </c>
      <c r="C1972" s="1">
        <v>5309.04</v>
      </c>
      <c r="D1972" s="1">
        <v>3057.36</v>
      </c>
    </row>
    <row r="1973" spans="1:4" x14ac:dyDescent="0.25">
      <c r="A1973" s="1" t="s">
        <v>166</v>
      </c>
      <c r="B1973" s="1" t="s">
        <v>75</v>
      </c>
      <c r="C1973" s="1">
        <v>2201.7800000000002</v>
      </c>
      <c r="D1973" s="1">
        <v>1169.47</v>
      </c>
    </row>
    <row r="1974" spans="1:4" x14ac:dyDescent="0.25">
      <c r="A1974" s="1" t="s">
        <v>166</v>
      </c>
      <c r="B1974" s="1" t="s">
        <v>72</v>
      </c>
      <c r="C1974" s="1">
        <v>14806.01</v>
      </c>
      <c r="D1974" s="1">
        <v>10125.700000000001</v>
      </c>
    </row>
    <row r="1975" spans="1:4" x14ac:dyDescent="0.25">
      <c r="A1975" s="1" t="s">
        <v>166</v>
      </c>
      <c r="B1975" s="1" t="s">
        <v>76</v>
      </c>
      <c r="C1975" s="1">
        <v>26325.59</v>
      </c>
      <c r="D1975" s="1">
        <v>6419.8</v>
      </c>
    </row>
    <row r="1976" spans="1:4" x14ac:dyDescent="0.25">
      <c r="A1976" s="1" t="s">
        <v>166</v>
      </c>
      <c r="B1976" s="1" t="s">
        <v>68</v>
      </c>
      <c r="C1976" s="1">
        <v>13475.16</v>
      </c>
      <c r="D1976" s="1">
        <v>5876.77</v>
      </c>
    </row>
    <row r="1977" spans="1:4" x14ac:dyDescent="0.25">
      <c r="A1977" s="1" t="s">
        <v>166</v>
      </c>
      <c r="B1977" s="1" t="s">
        <v>69</v>
      </c>
      <c r="C1977" s="1">
        <v>10066.620000000001</v>
      </c>
      <c r="D1977" s="1">
        <v>7985.07</v>
      </c>
    </row>
    <row r="1978" spans="1:4" x14ac:dyDescent="0.25">
      <c r="A1978" s="1" t="s">
        <v>166</v>
      </c>
      <c r="B1978" s="1" t="s">
        <v>70</v>
      </c>
      <c r="C1978" s="1">
        <v>13131.44</v>
      </c>
      <c r="D1978" s="1">
        <v>5985.54</v>
      </c>
    </row>
    <row r="1979" spans="1:4" x14ac:dyDescent="0.25">
      <c r="A1979" s="1" t="s">
        <v>166</v>
      </c>
      <c r="B1979" s="1" t="s">
        <v>73</v>
      </c>
      <c r="C1979" s="1">
        <v>12385.49</v>
      </c>
      <c r="D1979" s="1">
        <v>2269.91</v>
      </c>
    </row>
    <row r="1980" spans="1:4" x14ac:dyDescent="0.25">
      <c r="A1980" s="1" t="s">
        <v>166</v>
      </c>
      <c r="B1980" s="1" t="s">
        <v>77</v>
      </c>
      <c r="C1980" s="1">
        <v>26810.368999999999</v>
      </c>
      <c r="D1980" s="1">
        <v>6824.83</v>
      </c>
    </row>
    <row r="1981" spans="1:4" x14ac:dyDescent="0.25">
      <c r="A1981" s="1" t="s">
        <v>166</v>
      </c>
      <c r="B1981" s="1" t="s">
        <v>71</v>
      </c>
      <c r="C1981" s="1">
        <v>15970.17</v>
      </c>
      <c r="D1981" s="1">
        <v>6086.95</v>
      </c>
    </row>
    <row r="1982" spans="1:4" x14ac:dyDescent="0.25">
      <c r="A1982" s="1" t="s">
        <v>167</v>
      </c>
      <c r="B1982" s="1" t="s">
        <v>74</v>
      </c>
      <c r="C1982" s="1">
        <v>11562.68</v>
      </c>
      <c r="D1982" s="1">
        <v>3153.44</v>
      </c>
    </row>
    <row r="1983" spans="1:4" x14ac:dyDescent="0.25">
      <c r="A1983" s="1" t="s">
        <v>167</v>
      </c>
      <c r="B1983" s="1" t="s">
        <v>78</v>
      </c>
      <c r="C1983" s="1">
        <v>3958.48</v>
      </c>
      <c r="D1983" s="1">
        <v>2261</v>
      </c>
    </row>
    <row r="1984" spans="1:4" x14ac:dyDescent="0.25">
      <c r="A1984" s="1" t="s">
        <v>167</v>
      </c>
      <c r="B1984" s="1" t="s">
        <v>75</v>
      </c>
      <c r="C1984" s="1">
        <v>1632.11</v>
      </c>
      <c r="D1984" s="1">
        <v>845.95</v>
      </c>
    </row>
    <row r="1985" spans="1:4" x14ac:dyDescent="0.25">
      <c r="A1985" s="1" t="s">
        <v>167</v>
      </c>
      <c r="B1985" s="1" t="s">
        <v>76</v>
      </c>
      <c r="C1985" s="1">
        <v>20607.131000000001</v>
      </c>
      <c r="D1985" s="1">
        <v>5139.97</v>
      </c>
    </row>
    <row r="1986" spans="1:4" x14ac:dyDescent="0.25">
      <c r="A1986" s="1" t="s">
        <v>167</v>
      </c>
      <c r="B1986" s="1" t="s">
        <v>73</v>
      </c>
      <c r="C1986" s="1">
        <v>9417.41</v>
      </c>
      <c r="D1986" s="1">
        <v>1729.36</v>
      </c>
    </row>
    <row r="1987" spans="1:4" x14ac:dyDescent="0.25">
      <c r="A1987" s="1" t="s">
        <v>167</v>
      </c>
      <c r="B1987" s="1" t="s">
        <v>77</v>
      </c>
      <c r="C1987" s="1">
        <v>19810.150000000001</v>
      </c>
      <c r="D1987" s="1">
        <v>5027.13</v>
      </c>
    </row>
    <row r="1988" spans="1:4" x14ac:dyDescent="0.25">
      <c r="A1988" s="1" t="s">
        <v>167</v>
      </c>
      <c r="B1988" s="1" t="s">
        <v>71</v>
      </c>
      <c r="C1988" s="1">
        <v>12727.38</v>
      </c>
      <c r="D1988" s="1">
        <v>4843.03</v>
      </c>
    </row>
    <row r="1989" spans="1:4" x14ac:dyDescent="0.25">
      <c r="A1989" s="1" t="s">
        <v>167</v>
      </c>
      <c r="B1989" s="1" t="s">
        <v>70</v>
      </c>
      <c r="C1989" s="1">
        <v>9809.4599999999991</v>
      </c>
      <c r="D1989" s="1">
        <v>4538.1400000000003</v>
      </c>
    </row>
    <row r="1990" spans="1:4" x14ac:dyDescent="0.25">
      <c r="A1990" s="1" t="s">
        <v>167</v>
      </c>
      <c r="B1990" s="1" t="s">
        <v>72</v>
      </c>
      <c r="C1990" s="1">
        <v>10700.66</v>
      </c>
      <c r="D1990" s="1">
        <v>7439.11</v>
      </c>
    </row>
    <row r="1991" spans="1:4" x14ac:dyDescent="0.25">
      <c r="A1991" s="1" t="s">
        <v>167</v>
      </c>
      <c r="B1991" s="1" t="s">
        <v>68</v>
      </c>
      <c r="C1991" s="1">
        <v>10541.93</v>
      </c>
      <c r="D1991" s="1">
        <v>4645.2299999999996</v>
      </c>
    </row>
    <row r="1992" spans="1:4" x14ac:dyDescent="0.25">
      <c r="A1992" s="1" t="s">
        <v>167</v>
      </c>
      <c r="B1992" s="1" t="s">
        <v>69</v>
      </c>
      <c r="C1992" s="1">
        <v>7383.5</v>
      </c>
      <c r="D1992" s="1">
        <v>5945.65</v>
      </c>
    </row>
  </sheetData>
  <pageMargins left="0.7" right="0.7" top="0.75" bottom="0.75" header="0.3" footer="0.3"/>
  <pageSetup orientation="portrait" horizontalDpi="300" verticalDpi="3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1992"/>
  <sheetViews>
    <sheetView workbookViewId="0">
      <selection activeCell="A1586" sqref="A1586:D1992"/>
    </sheetView>
  </sheetViews>
  <sheetFormatPr defaultRowHeight="15" x14ac:dyDescent="0.25"/>
  <cols>
    <col min="1" max="1" width="18.42578125" customWidth="1"/>
    <col min="2" max="2" width="23.5703125" customWidth="1"/>
  </cols>
  <sheetData>
    <row r="1" spans="1:12" x14ac:dyDescent="0.25">
      <c r="A1" s="28" t="s">
        <v>0</v>
      </c>
      <c r="B1" s="1" t="s">
        <v>1</v>
      </c>
      <c r="C1" s="1" t="s">
        <v>3</v>
      </c>
      <c r="D1" s="1" t="s">
        <v>4</v>
      </c>
      <c r="I1" s="1" t="s">
        <v>0</v>
      </c>
      <c r="J1" s="1" t="s">
        <v>1</v>
      </c>
      <c r="K1" s="1" t="s">
        <v>3</v>
      </c>
      <c r="L1" s="1" t="s">
        <v>4</v>
      </c>
    </row>
    <row r="2" spans="1:12" x14ac:dyDescent="0.25">
      <c r="A2" s="7">
        <v>44382</v>
      </c>
      <c r="B2" s="1" t="s">
        <v>75</v>
      </c>
      <c r="C2" s="1">
        <v>563.59</v>
      </c>
      <c r="D2" s="1">
        <v>287.99</v>
      </c>
    </row>
    <row r="3" spans="1:12" x14ac:dyDescent="0.25">
      <c r="A3" s="7">
        <v>44382</v>
      </c>
      <c r="B3" s="1" t="s">
        <v>74</v>
      </c>
      <c r="C3" s="1">
        <v>1492.5</v>
      </c>
      <c r="D3" s="1">
        <v>432.09</v>
      </c>
    </row>
    <row r="4" spans="1:12" x14ac:dyDescent="0.25">
      <c r="A4" s="7">
        <v>44382</v>
      </c>
      <c r="B4" s="1" t="s">
        <v>73</v>
      </c>
      <c r="C4" s="1">
        <v>1535.87</v>
      </c>
      <c r="D4" s="1">
        <v>298.35000000000002</v>
      </c>
    </row>
    <row r="5" spans="1:12" x14ac:dyDescent="0.25">
      <c r="A5" s="7">
        <v>44382</v>
      </c>
      <c r="B5" s="1" t="s">
        <v>77</v>
      </c>
      <c r="C5" s="1">
        <v>3768.22</v>
      </c>
      <c r="D5" s="1">
        <v>1113.68</v>
      </c>
    </row>
    <row r="6" spans="1:12" x14ac:dyDescent="0.25">
      <c r="A6" s="7">
        <v>44382</v>
      </c>
      <c r="B6" s="1" t="s">
        <v>71</v>
      </c>
      <c r="C6" s="1">
        <v>1440.97</v>
      </c>
      <c r="D6" s="1">
        <v>560.13</v>
      </c>
    </row>
    <row r="7" spans="1:12" x14ac:dyDescent="0.25">
      <c r="A7" s="7">
        <v>44382</v>
      </c>
      <c r="B7" s="1" t="s">
        <v>70</v>
      </c>
      <c r="C7" s="1">
        <v>1715.21</v>
      </c>
      <c r="D7" s="1">
        <v>847.29</v>
      </c>
    </row>
    <row r="8" spans="1:12" x14ac:dyDescent="0.25">
      <c r="A8" s="7">
        <v>44382</v>
      </c>
      <c r="B8" s="1" t="s">
        <v>78</v>
      </c>
      <c r="C8" s="1">
        <v>925.94</v>
      </c>
      <c r="D8" s="1">
        <v>505.32</v>
      </c>
    </row>
    <row r="9" spans="1:12" x14ac:dyDescent="0.25">
      <c r="A9" s="7">
        <v>44382</v>
      </c>
      <c r="B9" s="1" t="s">
        <v>72</v>
      </c>
      <c r="C9" s="1">
        <v>3517.25</v>
      </c>
      <c r="D9" s="1">
        <v>2364.86</v>
      </c>
    </row>
    <row r="10" spans="1:12" x14ac:dyDescent="0.25">
      <c r="A10" s="7">
        <v>44382</v>
      </c>
      <c r="B10" s="1" t="s">
        <v>76</v>
      </c>
      <c r="C10" s="1">
        <v>2898.31</v>
      </c>
      <c r="D10" s="1">
        <v>784.02</v>
      </c>
    </row>
    <row r="11" spans="1:12" x14ac:dyDescent="0.25">
      <c r="A11" s="7">
        <v>44382</v>
      </c>
      <c r="B11" s="1" t="s">
        <v>68</v>
      </c>
      <c r="C11" s="1">
        <v>1748.88</v>
      </c>
      <c r="D11" s="1">
        <v>769.3</v>
      </c>
    </row>
    <row r="12" spans="1:12" x14ac:dyDescent="0.25">
      <c r="A12" s="7">
        <v>44382</v>
      </c>
      <c r="B12" s="1" t="s">
        <v>69</v>
      </c>
      <c r="C12" s="1">
        <v>2065.85</v>
      </c>
      <c r="D12" s="1">
        <v>1747.52</v>
      </c>
    </row>
    <row r="13" spans="1:12" x14ac:dyDescent="0.25">
      <c r="A13" s="7">
        <v>44382.041666666664</v>
      </c>
      <c r="B13" s="1" t="s">
        <v>75</v>
      </c>
      <c r="C13" s="1">
        <v>316.14</v>
      </c>
      <c r="D13" s="1">
        <v>150.88999999999999</v>
      </c>
    </row>
    <row r="14" spans="1:12" x14ac:dyDescent="0.25">
      <c r="A14" s="7">
        <v>44382.041666666664</v>
      </c>
      <c r="B14" s="1" t="s">
        <v>74</v>
      </c>
      <c r="C14" s="1">
        <v>685.56</v>
      </c>
      <c r="D14" s="1">
        <v>211.54</v>
      </c>
    </row>
    <row r="15" spans="1:12" x14ac:dyDescent="0.25">
      <c r="A15" s="7">
        <v>44382.041666666664</v>
      </c>
      <c r="B15" s="1" t="s">
        <v>68</v>
      </c>
      <c r="C15" s="1">
        <v>729.87</v>
      </c>
      <c r="D15" s="1">
        <v>309.58999999999997</v>
      </c>
    </row>
    <row r="16" spans="1:12" x14ac:dyDescent="0.25">
      <c r="A16" s="7">
        <v>44382.041666666664</v>
      </c>
      <c r="B16" s="1" t="s">
        <v>77</v>
      </c>
      <c r="C16" s="1">
        <v>1627.62</v>
      </c>
      <c r="D16" s="1">
        <v>467.4</v>
      </c>
    </row>
    <row r="17" spans="1:4" x14ac:dyDescent="0.25">
      <c r="A17" s="7">
        <v>44382.041666666664</v>
      </c>
      <c r="B17" s="1" t="s">
        <v>71</v>
      </c>
      <c r="C17" s="1">
        <v>626.57000000000005</v>
      </c>
      <c r="D17" s="1">
        <v>232.91</v>
      </c>
    </row>
    <row r="18" spans="1:4" x14ac:dyDescent="0.25">
      <c r="A18" s="7">
        <v>44382.041666666664</v>
      </c>
      <c r="B18" s="1" t="s">
        <v>69</v>
      </c>
      <c r="C18" s="1">
        <v>952.75</v>
      </c>
      <c r="D18" s="1">
        <v>812.85</v>
      </c>
    </row>
    <row r="19" spans="1:4" x14ac:dyDescent="0.25">
      <c r="A19" s="7">
        <v>44382.041666666664</v>
      </c>
      <c r="B19" s="1" t="s">
        <v>70</v>
      </c>
      <c r="C19" s="1">
        <v>812.4</v>
      </c>
      <c r="D19" s="1">
        <v>396.76</v>
      </c>
    </row>
    <row r="20" spans="1:4" x14ac:dyDescent="0.25">
      <c r="A20" s="7">
        <v>44382.041666666664</v>
      </c>
      <c r="B20" s="1" t="s">
        <v>78</v>
      </c>
      <c r="C20" s="1">
        <v>442.82</v>
      </c>
      <c r="D20" s="1">
        <v>254.22</v>
      </c>
    </row>
    <row r="21" spans="1:4" x14ac:dyDescent="0.25">
      <c r="A21" s="7">
        <v>44382.041666666664</v>
      </c>
      <c r="B21" s="1" t="s">
        <v>76</v>
      </c>
      <c r="C21" s="1">
        <v>1300.98</v>
      </c>
      <c r="D21" s="1">
        <v>361.19</v>
      </c>
    </row>
    <row r="22" spans="1:4" x14ac:dyDescent="0.25">
      <c r="A22" s="7">
        <v>44382.041666666664</v>
      </c>
      <c r="B22" s="1" t="s">
        <v>72</v>
      </c>
      <c r="C22" s="1">
        <v>1660.03</v>
      </c>
      <c r="D22" s="1">
        <v>1140.8800000000001</v>
      </c>
    </row>
    <row r="23" spans="1:4" x14ac:dyDescent="0.25">
      <c r="A23" s="7">
        <v>44382.041666666664</v>
      </c>
      <c r="B23" s="1" t="s">
        <v>73</v>
      </c>
      <c r="C23" s="1">
        <v>675.85</v>
      </c>
      <c r="D23" s="1">
        <v>131.12</v>
      </c>
    </row>
    <row r="24" spans="1:4" x14ac:dyDescent="0.25">
      <c r="A24" s="7">
        <v>44382.083333333336</v>
      </c>
      <c r="B24" s="1" t="s">
        <v>75</v>
      </c>
      <c r="C24" s="1">
        <v>266.22000000000003</v>
      </c>
      <c r="D24" s="1">
        <v>123.3</v>
      </c>
    </row>
    <row r="25" spans="1:4" x14ac:dyDescent="0.25">
      <c r="A25" s="7">
        <v>44382.083333333336</v>
      </c>
      <c r="B25" s="1" t="s">
        <v>74</v>
      </c>
      <c r="C25" s="1">
        <v>610.09</v>
      </c>
      <c r="D25" s="1">
        <v>126.36</v>
      </c>
    </row>
    <row r="26" spans="1:4" x14ac:dyDescent="0.25">
      <c r="A26" s="7">
        <v>44382.083333333336</v>
      </c>
      <c r="B26" s="1" t="s">
        <v>78</v>
      </c>
      <c r="C26" s="1">
        <v>288.54000000000002</v>
      </c>
      <c r="D26" s="1">
        <v>157.01</v>
      </c>
    </row>
    <row r="27" spans="1:4" x14ac:dyDescent="0.25">
      <c r="A27" s="7">
        <v>44382.083333333336</v>
      </c>
      <c r="B27" s="1" t="s">
        <v>76</v>
      </c>
      <c r="C27" s="1">
        <v>1415.31</v>
      </c>
      <c r="D27" s="1">
        <v>272.27</v>
      </c>
    </row>
    <row r="28" spans="1:4" x14ac:dyDescent="0.25">
      <c r="A28" s="7">
        <v>44382.083333333336</v>
      </c>
      <c r="B28" s="1" t="s">
        <v>72</v>
      </c>
      <c r="C28" s="1">
        <v>931.83</v>
      </c>
      <c r="D28" s="1">
        <v>638.63</v>
      </c>
    </row>
    <row r="29" spans="1:4" x14ac:dyDescent="0.25">
      <c r="A29" s="7">
        <v>44382.083333333336</v>
      </c>
      <c r="B29" s="1" t="s">
        <v>68</v>
      </c>
      <c r="C29" s="1">
        <v>412.04</v>
      </c>
      <c r="D29" s="1">
        <v>164.04</v>
      </c>
    </row>
    <row r="30" spans="1:4" x14ac:dyDescent="0.25">
      <c r="A30" s="7">
        <v>44382.083333333336</v>
      </c>
      <c r="B30" s="1" t="s">
        <v>69</v>
      </c>
      <c r="C30" s="1">
        <v>549.08000000000004</v>
      </c>
      <c r="D30" s="1">
        <v>429.57</v>
      </c>
    </row>
    <row r="31" spans="1:4" x14ac:dyDescent="0.25">
      <c r="A31" s="7">
        <v>44382.083333333336</v>
      </c>
      <c r="B31" s="1" t="s">
        <v>73</v>
      </c>
      <c r="C31" s="1">
        <v>390.8</v>
      </c>
      <c r="D31" s="1">
        <v>65.569999999999993</v>
      </c>
    </row>
    <row r="32" spans="1:4" x14ac:dyDescent="0.25">
      <c r="A32" s="7">
        <v>44382.083333333336</v>
      </c>
      <c r="B32" s="1" t="s">
        <v>77</v>
      </c>
      <c r="C32" s="1">
        <v>1085.74</v>
      </c>
      <c r="D32" s="1">
        <v>278.95999999999998</v>
      </c>
    </row>
    <row r="33" spans="1:4" x14ac:dyDescent="0.25">
      <c r="A33" s="7">
        <v>44382.083333333336</v>
      </c>
      <c r="B33" s="1" t="s">
        <v>71</v>
      </c>
      <c r="C33" s="1">
        <v>444.38</v>
      </c>
      <c r="D33" s="1">
        <v>134.46</v>
      </c>
    </row>
    <row r="34" spans="1:4" x14ac:dyDescent="0.25">
      <c r="A34" s="7">
        <v>44382.083333333336</v>
      </c>
      <c r="B34" s="1" t="s">
        <v>70</v>
      </c>
      <c r="C34" s="1">
        <v>627.1</v>
      </c>
      <c r="D34" s="1">
        <v>257.29000000000002</v>
      </c>
    </row>
    <row r="35" spans="1:4" x14ac:dyDescent="0.25">
      <c r="A35" s="7">
        <v>44382.125</v>
      </c>
      <c r="B35" s="1" t="s">
        <v>74</v>
      </c>
      <c r="C35" s="1">
        <v>1836.78</v>
      </c>
      <c r="D35" s="1">
        <v>272.13</v>
      </c>
    </row>
    <row r="36" spans="1:4" x14ac:dyDescent="0.25">
      <c r="A36" s="7">
        <v>44382.125</v>
      </c>
      <c r="B36" s="1" t="s">
        <v>78</v>
      </c>
      <c r="C36" s="1">
        <v>512.74</v>
      </c>
      <c r="D36" s="1">
        <v>255.81</v>
      </c>
    </row>
    <row r="37" spans="1:4" x14ac:dyDescent="0.25">
      <c r="A37" s="7">
        <v>44382.125</v>
      </c>
      <c r="B37" s="1" t="s">
        <v>75</v>
      </c>
      <c r="C37" s="1">
        <v>472.12</v>
      </c>
      <c r="D37" s="1">
        <v>187.86</v>
      </c>
    </row>
    <row r="38" spans="1:4" x14ac:dyDescent="0.25">
      <c r="A38" s="7">
        <v>44382.125</v>
      </c>
      <c r="B38" s="1" t="s">
        <v>76</v>
      </c>
      <c r="C38" s="1">
        <v>4628.57</v>
      </c>
      <c r="D38" s="1">
        <v>712.52</v>
      </c>
    </row>
    <row r="39" spans="1:4" x14ac:dyDescent="0.25">
      <c r="A39" s="7">
        <v>44382.125</v>
      </c>
      <c r="B39" s="1" t="s">
        <v>68</v>
      </c>
      <c r="C39" s="1">
        <v>1183.06</v>
      </c>
      <c r="D39" s="1">
        <v>311.95999999999998</v>
      </c>
    </row>
    <row r="40" spans="1:4" x14ac:dyDescent="0.25">
      <c r="A40" s="7">
        <v>44382.125</v>
      </c>
      <c r="B40" s="1" t="s">
        <v>71</v>
      </c>
      <c r="C40" s="1">
        <v>1506.71</v>
      </c>
      <c r="D40" s="1">
        <v>349.89</v>
      </c>
    </row>
    <row r="41" spans="1:4" x14ac:dyDescent="0.25">
      <c r="A41" s="7">
        <v>44382.125</v>
      </c>
      <c r="B41" s="1" t="s">
        <v>70</v>
      </c>
      <c r="C41" s="1">
        <v>1868.05</v>
      </c>
      <c r="D41" s="1">
        <v>659.1</v>
      </c>
    </row>
    <row r="42" spans="1:4" x14ac:dyDescent="0.25">
      <c r="A42" s="7">
        <v>44382.125</v>
      </c>
      <c r="B42" s="1" t="s">
        <v>69</v>
      </c>
      <c r="C42" s="1">
        <v>884.38</v>
      </c>
      <c r="D42" s="1">
        <v>670.17</v>
      </c>
    </row>
    <row r="43" spans="1:4" x14ac:dyDescent="0.25">
      <c r="A43" s="7">
        <v>44382.125</v>
      </c>
      <c r="B43" s="1" t="s">
        <v>72</v>
      </c>
      <c r="C43" s="1">
        <v>1756.47</v>
      </c>
      <c r="D43" s="1">
        <v>1012.92</v>
      </c>
    </row>
    <row r="44" spans="1:4" x14ac:dyDescent="0.25">
      <c r="A44" s="7">
        <v>44382.125</v>
      </c>
      <c r="B44" s="1" t="s">
        <v>73</v>
      </c>
      <c r="C44" s="1">
        <v>1366.49</v>
      </c>
      <c r="D44" s="1">
        <v>155.09</v>
      </c>
    </row>
    <row r="45" spans="1:4" x14ac:dyDescent="0.25">
      <c r="A45" s="7">
        <v>44382.125</v>
      </c>
      <c r="B45" s="1" t="s">
        <v>77</v>
      </c>
      <c r="C45" s="1">
        <v>2627.99</v>
      </c>
      <c r="D45" s="1">
        <v>672.34</v>
      </c>
    </row>
    <row r="46" spans="1:4" x14ac:dyDescent="0.25">
      <c r="A46" s="7">
        <v>44382.166666666664</v>
      </c>
      <c r="B46" s="1" t="s">
        <v>74</v>
      </c>
      <c r="C46" s="1">
        <v>1319.11</v>
      </c>
      <c r="D46" s="1">
        <v>249.14</v>
      </c>
    </row>
    <row r="47" spans="1:4" x14ac:dyDescent="0.25">
      <c r="A47" s="7">
        <v>44382.166666666664</v>
      </c>
      <c r="B47" s="1" t="s">
        <v>75</v>
      </c>
      <c r="C47" s="1">
        <v>258.52999999999997</v>
      </c>
      <c r="D47" s="1">
        <v>107.99</v>
      </c>
    </row>
    <row r="48" spans="1:4" x14ac:dyDescent="0.25">
      <c r="A48" s="7">
        <v>44382.166666666664</v>
      </c>
      <c r="B48" s="1" t="s">
        <v>76</v>
      </c>
      <c r="C48" s="1">
        <v>2564.79</v>
      </c>
      <c r="D48" s="1">
        <v>476.18</v>
      </c>
    </row>
    <row r="49" spans="1:4" x14ac:dyDescent="0.25">
      <c r="A49" s="7">
        <v>44382.166666666664</v>
      </c>
      <c r="B49" s="1" t="s">
        <v>73</v>
      </c>
      <c r="C49" s="1">
        <v>1025.08</v>
      </c>
      <c r="D49" s="1">
        <v>140.76</v>
      </c>
    </row>
    <row r="50" spans="1:4" x14ac:dyDescent="0.25">
      <c r="A50" s="7">
        <v>44382.166666666664</v>
      </c>
      <c r="B50" s="1" t="s">
        <v>71</v>
      </c>
      <c r="C50" s="1">
        <v>1475.69</v>
      </c>
      <c r="D50" s="1">
        <v>341.49</v>
      </c>
    </row>
    <row r="51" spans="1:4" x14ac:dyDescent="0.25">
      <c r="A51" s="7">
        <v>44382.166666666664</v>
      </c>
      <c r="B51" s="1" t="s">
        <v>70</v>
      </c>
      <c r="C51" s="1">
        <v>1513.38</v>
      </c>
      <c r="D51" s="1">
        <v>560.54999999999995</v>
      </c>
    </row>
    <row r="52" spans="1:4" x14ac:dyDescent="0.25">
      <c r="A52" s="7">
        <v>44382.166666666664</v>
      </c>
      <c r="B52" s="1" t="s">
        <v>78</v>
      </c>
      <c r="C52" s="1">
        <v>468.37</v>
      </c>
      <c r="D52" s="1">
        <v>244.55</v>
      </c>
    </row>
    <row r="53" spans="1:4" x14ac:dyDescent="0.25">
      <c r="A53" s="7">
        <v>44382.166666666664</v>
      </c>
      <c r="B53" s="1" t="s">
        <v>72</v>
      </c>
      <c r="C53" s="1">
        <v>1411.67</v>
      </c>
      <c r="D53" s="1">
        <v>817.85</v>
      </c>
    </row>
    <row r="54" spans="1:4" x14ac:dyDescent="0.25">
      <c r="A54" s="7">
        <v>44382.166666666664</v>
      </c>
      <c r="B54" s="1" t="s">
        <v>68</v>
      </c>
      <c r="C54" s="1">
        <v>1155.2</v>
      </c>
      <c r="D54" s="1">
        <v>328.6</v>
      </c>
    </row>
    <row r="55" spans="1:4" x14ac:dyDescent="0.25">
      <c r="A55" s="7">
        <v>44382.166666666664</v>
      </c>
      <c r="B55" s="1" t="s">
        <v>77</v>
      </c>
      <c r="C55" s="1">
        <v>1919.51</v>
      </c>
      <c r="D55" s="1">
        <v>503.66</v>
      </c>
    </row>
    <row r="56" spans="1:4" x14ac:dyDescent="0.25">
      <c r="A56" s="7">
        <v>44382.166666666664</v>
      </c>
      <c r="B56" s="1" t="s">
        <v>69</v>
      </c>
      <c r="C56" s="1">
        <v>751.59</v>
      </c>
      <c r="D56" s="1">
        <v>566.45000000000005</v>
      </c>
    </row>
    <row r="57" spans="1:4" x14ac:dyDescent="0.25">
      <c r="A57" s="7">
        <v>44382.208333333336</v>
      </c>
      <c r="B57" s="1" t="s">
        <v>75</v>
      </c>
      <c r="C57" s="1">
        <v>98.89</v>
      </c>
      <c r="D57" s="1">
        <v>34.65</v>
      </c>
    </row>
    <row r="58" spans="1:4" x14ac:dyDescent="0.25">
      <c r="A58" s="7">
        <v>44382.208333333336</v>
      </c>
      <c r="B58" s="1" t="s">
        <v>74</v>
      </c>
      <c r="C58" s="1">
        <v>646.13</v>
      </c>
      <c r="D58" s="1">
        <v>99.83</v>
      </c>
    </row>
    <row r="59" spans="1:4" x14ac:dyDescent="0.25">
      <c r="A59" s="7">
        <v>44382.208333333336</v>
      </c>
      <c r="B59" s="1" t="s">
        <v>77</v>
      </c>
      <c r="C59" s="1">
        <v>1046.57</v>
      </c>
      <c r="D59" s="1">
        <v>241.44</v>
      </c>
    </row>
    <row r="60" spans="1:4" x14ac:dyDescent="0.25">
      <c r="A60" s="7">
        <v>44382.208333333336</v>
      </c>
      <c r="B60" s="1" t="s">
        <v>71</v>
      </c>
      <c r="C60" s="1">
        <v>1193.8900000000001</v>
      </c>
      <c r="D60" s="1">
        <v>224.51</v>
      </c>
    </row>
    <row r="61" spans="1:4" x14ac:dyDescent="0.25">
      <c r="A61" s="7">
        <v>44382.208333333336</v>
      </c>
      <c r="B61" s="1" t="s">
        <v>69</v>
      </c>
      <c r="C61" s="1">
        <v>327.5</v>
      </c>
      <c r="D61" s="1">
        <v>211.27</v>
      </c>
    </row>
    <row r="62" spans="1:4" x14ac:dyDescent="0.25">
      <c r="A62" s="7">
        <v>44382.208333333336</v>
      </c>
      <c r="B62" s="1" t="s">
        <v>70</v>
      </c>
      <c r="C62" s="1">
        <v>644.21</v>
      </c>
      <c r="D62" s="1">
        <v>219.81</v>
      </c>
    </row>
    <row r="63" spans="1:4" x14ac:dyDescent="0.25">
      <c r="A63" s="7">
        <v>44382.208333333336</v>
      </c>
      <c r="B63" s="1" t="s">
        <v>78</v>
      </c>
      <c r="C63" s="1">
        <v>182.73</v>
      </c>
      <c r="D63" s="1">
        <v>98.16</v>
      </c>
    </row>
    <row r="64" spans="1:4" x14ac:dyDescent="0.25">
      <c r="A64" s="7">
        <v>44382.208333333336</v>
      </c>
      <c r="B64" s="1" t="s">
        <v>76</v>
      </c>
      <c r="C64" s="1">
        <v>838.48</v>
      </c>
      <c r="D64" s="1">
        <v>176.73</v>
      </c>
    </row>
    <row r="65" spans="1:4" x14ac:dyDescent="0.25">
      <c r="A65" s="7">
        <v>44382.208333333336</v>
      </c>
      <c r="B65" s="1" t="s">
        <v>73</v>
      </c>
      <c r="C65" s="1">
        <v>623.82000000000005</v>
      </c>
      <c r="D65" s="1">
        <v>67.62</v>
      </c>
    </row>
    <row r="66" spans="1:4" x14ac:dyDescent="0.25">
      <c r="A66" s="7">
        <v>44382.208333333336</v>
      </c>
      <c r="B66" s="1" t="s">
        <v>72</v>
      </c>
      <c r="C66" s="1">
        <v>654.38</v>
      </c>
      <c r="D66" s="1">
        <v>319.42</v>
      </c>
    </row>
    <row r="67" spans="1:4" x14ac:dyDescent="0.25">
      <c r="A67" s="7">
        <v>44382.208333333336</v>
      </c>
      <c r="B67" s="1" t="s">
        <v>68</v>
      </c>
      <c r="C67" s="1">
        <v>921.99</v>
      </c>
      <c r="D67" s="1">
        <v>218.15</v>
      </c>
    </row>
    <row r="68" spans="1:4" x14ac:dyDescent="0.25">
      <c r="A68" s="7">
        <v>44382.25</v>
      </c>
      <c r="B68" s="1" t="s">
        <v>75</v>
      </c>
      <c r="C68" s="1">
        <v>134.68</v>
      </c>
      <c r="D68" s="1">
        <v>35.36</v>
      </c>
    </row>
    <row r="69" spans="1:4" x14ac:dyDescent="0.25">
      <c r="A69" s="7">
        <v>44382.25</v>
      </c>
      <c r="B69" s="1" t="s">
        <v>74</v>
      </c>
      <c r="C69" s="1">
        <v>1725.12</v>
      </c>
      <c r="D69" s="1">
        <v>221.91</v>
      </c>
    </row>
    <row r="70" spans="1:4" x14ac:dyDescent="0.25">
      <c r="A70" s="7">
        <v>44382.25</v>
      </c>
      <c r="B70" s="1" t="s">
        <v>72</v>
      </c>
      <c r="C70" s="1">
        <v>1063.8399999999999</v>
      </c>
      <c r="D70" s="1">
        <v>434</v>
      </c>
    </row>
    <row r="71" spans="1:4" x14ac:dyDescent="0.25">
      <c r="A71" s="7">
        <v>44382.25</v>
      </c>
      <c r="B71" s="1" t="s">
        <v>68</v>
      </c>
      <c r="C71" s="1">
        <v>2612.0700000000002</v>
      </c>
      <c r="D71" s="1">
        <v>532.13</v>
      </c>
    </row>
    <row r="72" spans="1:4" x14ac:dyDescent="0.25">
      <c r="A72" s="7">
        <v>44382.25</v>
      </c>
      <c r="B72" s="1" t="s">
        <v>77</v>
      </c>
      <c r="C72" s="1">
        <v>2257.1</v>
      </c>
      <c r="D72" s="1">
        <v>500.04</v>
      </c>
    </row>
    <row r="73" spans="1:4" x14ac:dyDescent="0.25">
      <c r="A73" s="7">
        <v>44382.25</v>
      </c>
      <c r="B73" s="1" t="s">
        <v>70</v>
      </c>
      <c r="C73" s="1">
        <v>1168.58</v>
      </c>
      <c r="D73" s="1">
        <v>365.68</v>
      </c>
    </row>
    <row r="74" spans="1:4" x14ac:dyDescent="0.25">
      <c r="A74" s="7">
        <v>44382.25</v>
      </c>
      <c r="B74" s="1" t="s">
        <v>69</v>
      </c>
      <c r="C74" s="1">
        <v>505.62</v>
      </c>
      <c r="D74" s="1">
        <v>280.52</v>
      </c>
    </row>
    <row r="75" spans="1:4" x14ac:dyDescent="0.25">
      <c r="A75" s="7">
        <v>44382.25</v>
      </c>
      <c r="B75" s="1" t="s">
        <v>78</v>
      </c>
      <c r="C75" s="1">
        <v>240.81</v>
      </c>
      <c r="D75" s="1">
        <v>94.72</v>
      </c>
    </row>
    <row r="76" spans="1:4" x14ac:dyDescent="0.25">
      <c r="A76" s="7">
        <v>44382.25</v>
      </c>
      <c r="B76" s="1" t="s">
        <v>76</v>
      </c>
      <c r="C76" s="1">
        <v>2332.17</v>
      </c>
      <c r="D76" s="1">
        <v>373.57</v>
      </c>
    </row>
    <row r="77" spans="1:4" x14ac:dyDescent="0.25">
      <c r="A77" s="7">
        <v>44382.25</v>
      </c>
      <c r="B77" s="1" t="s">
        <v>73</v>
      </c>
      <c r="C77" s="1">
        <v>1805.27</v>
      </c>
      <c r="D77" s="1">
        <v>158.68</v>
      </c>
    </row>
    <row r="78" spans="1:4" x14ac:dyDescent="0.25">
      <c r="A78" s="7">
        <v>44382.25</v>
      </c>
      <c r="B78" s="1" t="s">
        <v>71</v>
      </c>
      <c r="C78" s="1">
        <v>3337.27</v>
      </c>
      <c r="D78" s="1">
        <v>577.38</v>
      </c>
    </row>
    <row r="79" spans="1:4" x14ac:dyDescent="0.25">
      <c r="A79" s="7">
        <v>44382.291666666664</v>
      </c>
      <c r="B79" s="1" t="s">
        <v>74</v>
      </c>
      <c r="C79" s="1">
        <v>3727.7</v>
      </c>
      <c r="D79" s="1">
        <v>514.87</v>
      </c>
    </row>
    <row r="80" spans="1:4" x14ac:dyDescent="0.25">
      <c r="A80" s="7">
        <v>44382.291666666664</v>
      </c>
      <c r="B80" s="1" t="s">
        <v>78</v>
      </c>
      <c r="C80" s="1">
        <v>441.35</v>
      </c>
      <c r="D80" s="1">
        <v>157.38999999999999</v>
      </c>
    </row>
    <row r="81" spans="1:4" x14ac:dyDescent="0.25">
      <c r="A81" s="7">
        <v>44382.291666666664</v>
      </c>
      <c r="B81" s="1" t="s">
        <v>75</v>
      </c>
      <c r="C81" s="1">
        <v>260.33999999999997</v>
      </c>
      <c r="D81" s="1">
        <v>61.05</v>
      </c>
    </row>
    <row r="82" spans="1:4" x14ac:dyDescent="0.25">
      <c r="A82" s="7">
        <v>44382.291666666664</v>
      </c>
      <c r="B82" s="1" t="s">
        <v>76</v>
      </c>
      <c r="C82" s="1">
        <v>5121.55</v>
      </c>
      <c r="D82" s="1">
        <v>811.07</v>
      </c>
    </row>
    <row r="83" spans="1:4" x14ac:dyDescent="0.25">
      <c r="A83" s="7">
        <v>44382.291666666664</v>
      </c>
      <c r="B83" s="1" t="s">
        <v>72</v>
      </c>
      <c r="C83" s="1">
        <v>2294.79</v>
      </c>
      <c r="D83" s="1">
        <v>942.87</v>
      </c>
    </row>
    <row r="84" spans="1:4" x14ac:dyDescent="0.25">
      <c r="A84" s="7">
        <v>44382.291666666664</v>
      </c>
      <c r="B84" s="1" t="s">
        <v>73</v>
      </c>
      <c r="C84" s="1">
        <v>3757.37</v>
      </c>
      <c r="D84" s="1">
        <v>373.28</v>
      </c>
    </row>
    <row r="85" spans="1:4" x14ac:dyDescent="0.25">
      <c r="A85" s="7">
        <v>44382.291666666664</v>
      </c>
      <c r="B85" s="1" t="s">
        <v>68</v>
      </c>
      <c r="C85" s="1">
        <v>4899.6099999999997</v>
      </c>
      <c r="D85" s="1">
        <v>1108.83</v>
      </c>
    </row>
    <row r="86" spans="1:4" x14ac:dyDescent="0.25">
      <c r="A86" s="7">
        <v>44382.291666666664</v>
      </c>
      <c r="B86" s="1" t="s">
        <v>77</v>
      </c>
      <c r="C86" s="1">
        <v>4144.04</v>
      </c>
      <c r="D86" s="1">
        <v>950.59</v>
      </c>
    </row>
    <row r="87" spans="1:4" x14ac:dyDescent="0.25">
      <c r="A87" s="7">
        <v>44382.291666666664</v>
      </c>
      <c r="B87" s="1" t="s">
        <v>71</v>
      </c>
      <c r="C87" s="1">
        <v>5863.02</v>
      </c>
      <c r="D87" s="1">
        <v>1182.8800000000001</v>
      </c>
    </row>
    <row r="88" spans="1:4" x14ac:dyDescent="0.25">
      <c r="A88" s="7">
        <v>44382.291666666664</v>
      </c>
      <c r="B88" s="1" t="s">
        <v>69</v>
      </c>
      <c r="C88" s="1">
        <v>995.73</v>
      </c>
      <c r="D88" s="1">
        <v>537.21</v>
      </c>
    </row>
    <row r="89" spans="1:4" x14ac:dyDescent="0.25">
      <c r="A89" s="7">
        <v>44382.291666666664</v>
      </c>
      <c r="B89" s="1" t="s">
        <v>70</v>
      </c>
      <c r="C89" s="1">
        <v>2424.86</v>
      </c>
      <c r="D89" s="1">
        <v>797.79</v>
      </c>
    </row>
    <row r="90" spans="1:4" x14ac:dyDescent="0.25">
      <c r="A90" s="7">
        <v>44382.333333333336</v>
      </c>
      <c r="B90" s="1" t="s">
        <v>74</v>
      </c>
      <c r="C90" s="1">
        <v>5952.2</v>
      </c>
      <c r="D90" s="1">
        <v>916</v>
      </c>
    </row>
    <row r="91" spans="1:4" x14ac:dyDescent="0.25">
      <c r="A91" s="7">
        <v>44382.333333333336</v>
      </c>
      <c r="B91" s="1" t="s">
        <v>78</v>
      </c>
      <c r="C91" s="1">
        <v>782.87</v>
      </c>
      <c r="D91" s="1">
        <v>321</v>
      </c>
    </row>
    <row r="92" spans="1:4" x14ac:dyDescent="0.25">
      <c r="A92" s="7">
        <v>44382.333333333336</v>
      </c>
      <c r="B92" s="1" t="s">
        <v>75</v>
      </c>
      <c r="C92" s="1">
        <v>436.25</v>
      </c>
      <c r="D92" s="1">
        <v>115.07</v>
      </c>
    </row>
    <row r="93" spans="1:4" x14ac:dyDescent="0.25">
      <c r="A93" s="7">
        <v>44382.333333333336</v>
      </c>
      <c r="B93" s="1" t="s">
        <v>76</v>
      </c>
      <c r="C93" s="1">
        <v>8470.57</v>
      </c>
      <c r="D93" s="1">
        <v>1465.55</v>
      </c>
    </row>
    <row r="94" spans="1:4" x14ac:dyDescent="0.25">
      <c r="A94" s="7">
        <v>44382.333333333336</v>
      </c>
      <c r="B94" s="1" t="s">
        <v>73</v>
      </c>
      <c r="C94" s="1">
        <v>5730.99</v>
      </c>
      <c r="D94" s="1">
        <v>674.73</v>
      </c>
    </row>
    <row r="95" spans="1:4" x14ac:dyDescent="0.25">
      <c r="A95" s="7">
        <v>44382.333333333336</v>
      </c>
      <c r="B95" s="1" t="s">
        <v>68</v>
      </c>
      <c r="C95" s="1">
        <v>7223.74</v>
      </c>
      <c r="D95" s="1">
        <v>1861.91</v>
      </c>
    </row>
    <row r="96" spans="1:4" x14ac:dyDescent="0.25">
      <c r="A96" s="7">
        <v>44382.333333333336</v>
      </c>
      <c r="B96" s="1" t="s">
        <v>71</v>
      </c>
      <c r="C96" s="1">
        <v>8174.36</v>
      </c>
      <c r="D96" s="1">
        <v>1879.41</v>
      </c>
    </row>
    <row r="97" spans="1:4" x14ac:dyDescent="0.25">
      <c r="A97" s="7">
        <v>44382.333333333336</v>
      </c>
      <c r="B97" s="1" t="s">
        <v>72</v>
      </c>
      <c r="C97" s="1">
        <v>4224.6499999999996</v>
      </c>
      <c r="D97" s="1">
        <v>1939.07</v>
      </c>
    </row>
    <row r="98" spans="1:4" x14ac:dyDescent="0.25">
      <c r="A98" s="7">
        <v>44382.333333333336</v>
      </c>
      <c r="B98" s="1" t="s">
        <v>77</v>
      </c>
      <c r="C98" s="1">
        <v>6832.23</v>
      </c>
      <c r="D98" s="1">
        <v>1667.47</v>
      </c>
    </row>
    <row r="99" spans="1:4" x14ac:dyDescent="0.25">
      <c r="A99" s="7">
        <v>44382.333333333336</v>
      </c>
      <c r="B99" s="1" t="s">
        <v>69</v>
      </c>
      <c r="C99" s="1">
        <v>1851.24</v>
      </c>
      <c r="D99" s="1">
        <v>1125.8599999999999</v>
      </c>
    </row>
    <row r="100" spans="1:4" x14ac:dyDescent="0.25">
      <c r="A100" s="7">
        <v>44382.333333333336</v>
      </c>
      <c r="B100" s="1" t="s">
        <v>70</v>
      </c>
      <c r="C100" s="1">
        <v>4068.6</v>
      </c>
      <c r="D100" s="1">
        <v>1461.25</v>
      </c>
    </row>
    <row r="101" spans="1:4" x14ac:dyDescent="0.25">
      <c r="A101" s="7">
        <v>44382.375</v>
      </c>
      <c r="B101" s="1" t="s">
        <v>75</v>
      </c>
      <c r="C101" s="1">
        <v>659.98</v>
      </c>
      <c r="D101" s="1">
        <v>203.14</v>
      </c>
    </row>
    <row r="102" spans="1:4" x14ac:dyDescent="0.25">
      <c r="A102" s="7">
        <v>44382.375</v>
      </c>
      <c r="B102" s="1" t="s">
        <v>74</v>
      </c>
      <c r="C102" s="1">
        <v>7583.21</v>
      </c>
      <c r="D102" s="1">
        <v>1353.73</v>
      </c>
    </row>
    <row r="103" spans="1:4" x14ac:dyDescent="0.25">
      <c r="A103" s="7">
        <v>44382.375</v>
      </c>
      <c r="B103" s="1" t="s">
        <v>78</v>
      </c>
      <c r="C103" s="1">
        <v>1258.32</v>
      </c>
      <c r="D103" s="1">
        <v>607.96</v>
      </c>
    </row>
    <row r="104" spans="1:4" x14ac:dyDescent="0.25">
      <c r="A104" s="7">
        <v>44382.375</v>
      </c>
      <c r="B104" s="1" t="s">
        <v>76</v>
      </c>
      <c r="C104" s="1">
        <v>11522.56</v>
      </c>
      <c r="D104" s="1">
        <v>2273.0300000000002</v>
      </c>
    </row>
    <row r="105" spans="1:4" x14ac:dyDescent="0.25">
      <c r="A105" s="7">
        <v>44382.375</v>
      </c>
      <c r="B105" s="1" t="s">
        <v>73</v>
      </c>
      <c r="C105" s="1">
        <v>7316.54</v>
      </c>
      <c r="D105" s="1">
        <v>976.11</v>
      </c>
    </row>
    <row r="106" spans="1:4" x14ac:dyDescent="0.25">
      <c r="A106" s="7">
        <v>44382.375</v>
      </c>
      <c r="B106" s="1" t="s">
        <v>68</v>
      </c>
      <c r="C106" s="1">
        <v>9001.9500000000007</v>
      </c>
      <c r="D106" s="1">
        <v>2619.1799999999998</v>
      </c>
    </row>
    <row r="107" spans="1:4" x14ac:dyDescent="0.25">
      <c r="A107" s="7">
        <v>44382.375</v>
      </c>
      <c r="B107" s="1" t="s">
        <v>71</v>
      </c>
      <c r="C107" s="1">
        <v>9828.18</v>
      </c>
      <c r="D107" s="1">
        <v>2574.9299999999998</v>
      </c>
    </row>
    <row r="108" spans="1:4" x14ac:dyDescent="0.25">
      <c r="A108" s="7">
        <v>44382.375</v>
      </c>
      <c r="B108" s="1" t="s">
        <v>70</v>
      </c>
      <c r="C108" s="1">
        <v>5730.75</v>
      </c>
      <c r="D108" s="1">
        <v>2270.91</v>
      </c>
    </row>
    <row r="109" spans="1:4" x14ac:dyDescent="0.25">
      <c r="A109" s="7">
        <v>44382.375</v>
      </c>
      <c r="B109" s="1" t="s">
        <v>72</v>
      </c>
      <c r="C109" s="1">
        <v>6705.64</v>
      </c>
      <c r="D109" s="1">
        <v>3550.22</v>
      </c>
    </row>
    <row r="110" spans="1:4" x14ac:dyDescent="0.25">
      <c r="A110" s="7">
        <v>44382.375</v>
      </c>
      <c r="B110" s="1" t="s">
        <v>77</v>
      </c>
      <c r="C110" s="1">
        <v>9729.23</v>
      </c>
      <c r="D110" s="1">
        <v>2687.35</v>
      </c>
    </row>
    <row r="111" spans="1:4" x14ac:dyDescent="0.25">
      <c r="A111" s="7">
        <v>44382.375</v>
      </c>
      <c r="B111" s="1" t="s">
        <v>69</v>
      </c>
      <c r="C111" s="1">
        <v>3117.02</v>
      </c>
      <c r="D111" s="1">
        <v>2272.88</v>
      </c>
    </row>
    <row r="112" spans="1:4" x14ac:dyDescent="0.25">
      <c r="A112" s="7">
        <v>44382.416666666664</v>
      </c>
      <c r="B112" s="1" t="s">
        <v>75</v>
      </c>
      <c r="C112" s="1">
        <v>861.66</v>
      </c>
      <c r="D112" s="1">
        <v>310.10000000000002</v>
      </c>
    </row>
    <row r="113" spans="1:4" x14ac:dyDescent="0.25">
      <c r="A113" s="7">
        <v>44382.416666666664</v>
      </c>
      <c r="B113" s="1" t="s">
        <v>74</v>
      </c>
      <c r="C113" s="1">
        <v>8415.49</v>
      </c>
      <c r="D113" s="1">
        <v>1679.03</v>
      </c>
    </row>
    <row r="114" spans="1:4" x14ac:dyDescent="0.25">
      <c r="A114" s="7">
        <v>44382.416666666664</v>
      </c>
      <c r="B114" s="1" t="s">
        <v>76</v>
      </c>
      <c r="C114" s="1">
        <v>13459.83</v>
      </c>
      <c r="D114" s="1">
        <v>2897.57</v>
      </c>
    </row>
    <row r="115" spans="1:4" x14ac:dyDescent="0.25">
      <c r="A115" s="7">
        <v>44382.416666666664</v>
      </c>
      <c r="B115" s="1" t="s">
        <v>71</v>
      </c>
      <c r="C115" s="1">
        <v>10517.76</v>
      </c>
      <c r="D115" s="1">
        <v>2900.4</v>
      </c>
    </row>
    <row r="116" spans="1:4" x14ac:dyDescent="0.25">
      <c r="A116" s="7">
        <v>44382.416666666664</v>
      </c>
      <c r="B116" s="1" t="s">
        <v>77</v>
      </c>
      <c r="C116" s="1">
        <v>11529.21</v>
      </c>
      <c r="D116" s="1">
        <v>3398.73</v>
      </c>
    </row>
    <row r="117" spans="1:4" x14ac:dyDescent="0.25">
      <c r="A117" s="7">
        <v>44382.416666666664</v>
      </c>
      <c r="B117" s="1" t="s">
        <v>69</v>
      </c>
      <c r="C117" s="1">
        <v>4325.2700000000004</v>
      </c>
      <c r="D117" s="1">
        <v>3624.15</v>
      </c>
    </row>
    <row r="118" spans="1:4" x14ac:dyDescent="0.25">
      <c r="A118" s="7">
        <v>44382.416666666664</v>
      </c>
      <c r="B118" s="1" t="s">
        <v>70</v>
      </c>
      <c r="C118" s="1">
        <v>6796.19</v>
      </c>
      <c r="D118" s="1">
        <v>2865.17</v>
      </c>
    </row>
    <row r="119" spans="1:4" x14ac:dyDescent="0.25">
      <c r="A119" s="7">
        <v>44382.416666666664</v>
      </c>
      <c r="B119" s="1" t="s">
        <v>78</v>
      </c>
      <c r="C119" s="1">
        <v>1729.81</v>
      </c>
      <c r="D119" s="1">
        <v>922.77</v>
      </c>
    </row>
    <row r="120" spans="1:4" x14ac:dyDescent="0.25">
      <c r="A120" s="7">
        <v>44382.416666666664</v>
      </c>
      <c r="B120" s="1" t="s">
        <v>72</v>
      </c>
      <c r="C120" s="1">
        <v>8698.4699999999993</v>
      </c>
      <c r="D120" s="1">
        <v>5233.7</v>
      </c>
    </row>
    <row r="121" spans="1:4" x14ac:dyDescent="0.25">
      <c r="A121" s="7">
        <v>44382.416666666664</v>
      </c>
      <c r="B121" s="1" t="s">
        <v>73</v>
      </c>
      <c r="C121" s="1">
        <v>8179.09</v>
      </c>
      <c r="D121" s="1">
        <v>1196.47</v>
      </c>
    </row>
    <row r="122" spans="1:4" x14ac:dyDescent="0.25">
      <c r="A122" s="7">
        <v>44382.416666666664</v>
      </c>
      <c r="B122" s="1" t="s">
        <v>68</v>
      </c>
      <c r="C122" s="1">
        <v>9676.41</v>
      </c>
      <c r="D122" s="1">
        <v>3054.41</v>
      </c>
    </row>
    <row r="123" spans="1:4" x14ac:dyDescent="0.25">
      <c r="A123" s="7">
        <v>44382.458333333336</v>
      </c>
      <c r="B123" s="1" t="s">
        <v>75</v>
      </c>
      <c r="C123" s="1">
        <v>939.95</v>
      </c>
      <c r="D123" s="1">
        <v>377.15</v>
      </c>
    </row>
    <row r="124" spans="1:4" x14ac:dyDescent="0.25">
      <c r="A124" s="7">
        <v>44382.458333333336</v>
      </c>
      <c r="B124" s="1" t="s">
        <v>74</v>
      </c>
      <c r="C124" s="1">
        <v>8164.47</v>
      </c>
      <c r="D124" s="1">
        <v>1686.94</v>
      </c>
    </row>
    <row r="125" spans="1:4" x14ac:dyDescent="0.25">
      <c r="A125" s="7">
        <v>44382.458333333336</v>
      </c>
      <c r="B125" s="1" t="s">
        <v>72</v>
      </c>
      <c r="C125" s="1">
        <v>9214.82</v>
      </c>
      <c r="D125" s="1">
        <v>6017.62</v>
      </c>
    </row>
    <row r="126" spans="1:4" x14ac:dyDescent="0.25">
      <c r="A126" s="7">
        <v>44382.458333333336</v>
      </c>
      <c r="B126" s="1" t="s">
        <v>77</v>
      </c>
      <c r="C126" s="1">
        <v>11651.22</v>
      </c>
      <c r="D126" s="1">
        <v>3511.12</v>
      </c>
    </row>
    <row r="127" spans="1:4" x14ac:dyDescent="0.25">
      <c r="A127" s="7">
        <v>44382.458333333336</v>
      </c>
      <c r="B127" s="1" t="s">
        <v>69</v>
      </c>
      <c r="C127" s="1">
        <v>4769.4799999999996</v>
      </c>
      <c r="D127" s="1">
        <v>4383.83</v>
      </c>
    </row>
    <row r="128" spans="1:4" x14ac:dyDescent="0.25">
      <c r="A128" s="7">
        <v>44382.458333333336</v>
      </c>
      <c r="B128" s="1" t="s">
        <v>70</v>
      </c>
      <c r="C128" s="1">
        <v>6777.09</v>
      </c>
      <c r="D128" s="1">
        <v>2950.66</v>
      </c>
    </row>
    <row r="129" spans="1:4" x14ac:dyDescent="0.25">
      <c r="A129" s="7">
        <v>44382.458333333336</v>
      </c>
      <c r="B129" s="1" t="s">
        <v>78</v>
      </c>
      <c r="C129" s="1">
        <v>1920.16</v>
      </c>
      <c r="D129" s="1">
        <v>1089.2</v>
      </c>
    </row>
    <row r="130" spans="1:4" x14ac:dyDescent="0.25">
      <c r="A130" s="7">
        <v>44382.458333333336</v>
      </c>
      <c r="B130" s="1" t="s">
        <v>76</v>
      </c>
      <c r="C130" s="1">
        <v>13318.47</v>
      </c>
      <c r="D130" s="1">
        <v>2989.86</v>
      </c>
    </row>
    <row r="131" spans="1:4" x14ac:dyDescent="0.25">
      <c r="A131" s="7">
        <v>44382.458333333336</v>
      </c>
      <c r="B131" s="1" t="s">
        <v>73</v>
      </c>
      <c r="C131" s="1">
        <v>7782.23</v>
      </c>
      <c r="D131" s="1">
        <v>1163</v>
      </c>
    </row>
    <row r="132" spans="1:4" x14ac:dyDescent="0.25">
      <c r="A132" s="7">
        <v>44382.458333333336</v>
      </c>
      <c r="B132" s="1" t="s">
        <v>68</v>
      </c>
      <c r="C132" s="1">
        <v>9072.06</v>
      </c>
      <c r="D132" s="1">
        <v>3062.09</v>
      </c>
    </row>
    <row r="133" spans="1:4" x14ac:dyDescent="0.25">
      <c r="A133" s="7">
        <v>44382.458333333336</v>
      </c>
      <c r="B133" s="1" t="s">
        <v>71</v>
      </c>
      <c r="C133" s="1">
        <v>10065.58</v>
      </c>
      <c r="D133" s="1">
        <v>2841.71</v>
      </c>
    </row>
    <row r="134" spans="1:4" x14ac:dyDescent="0.25">
      <c r="A134" s="7">
        <v>44382.5</v>
      </c>
      <c r="B134" s="1" t="s">
        <v>75</v>
      </c>
      <c r="C134" s="1">
        <v>756.4</v>
      </c>
      <c r="D134" s="1">
        <v>303.43</v>
      </c>
    </row>
    <row r="135" spans="1:4" x14ac:dyDescent="0.25">
      <c r="A135" s="7">
        <v>44382.5</v>
      </c>
      <c r="B135" s="1" t="s">
        <v>74</v>
      </c>
      <c r="C135" s="1">
        <v>6298.23</v>
      </c>
      <c r="D135" s="1">
        <v>1312.66</v>
      </c>
    </row>
    <row r="136" spans="1:4" x14ac:dyDescent="0.25">
      <c r="A136" s="7">
        <v>44382.5</v>
      </c>
      <c r="B136" s="1" t="s">
        <v>73</v>
      </c>
      <c r="C136" s="1">
        <v>5851.01</v>
      </c>
      <c r="D136" s="1">
        <v>870.99</v>
      </c>
    </row>
    <row r="137" spans="1:4" x14ac:dyDescent="0.25">
      <c r="A137" s="7">
        <v>44382.5</v>
      </c>
      <c r="B137" s="1" t="s">
        <v>68</v>
      </c>
      <c r="C137" s="1">
        <v>6824.59</v>
      </c>
      <c r="D137" s="1">
        <v>2336.7399999999998</v>
      </c>
    </row>
    <row r="138" spans="1:4" x14ac:dyDescent="0.25">
      <c r="A138" s="7">
        <v>44382.5</v>
      </c>
      <c r="B138" s="1" t="s">
        <v>77</v>
      </c>
      <c r="C138" s="1">
        <v>9020.1200000000008</v>
      </c>
      <c r="D138" s="1">
        <v>2694.84</v>
      </c>
    </row>
    <row r="139" spans="1:4" x14ac:dyDescent="0.25">
      <c r="A139" s="7">
        <v>44382.5</v>
      </c>
      <c r="B139" s="1" t="s">
        <v>71</v>
      </c>
      <c r="C139" s="1">
        <v>7731.72</v>
      </c>
      <c r="D139" s="1">
        <v>2198.79</v>
      </c>
    </row>
    <row r="140" spans="1:4" x14ac:dyDescent="0.25">
      <c r="A140" s="7">
        <v>44382.5</v>
      </c>
      <c r="B140" s="1" t="s">
        <v>69</v>
      </c>
      <c r="C140" s="1">
        <v>3676.02</v>
      </c>
      <c r="D140" s="1">
        <v>3540.09</v>
      </c>
    </row>
    <row r="141" spans="1:4" x14ac:dyDescent="0.25">
      <c r="A141" s="7">
        <v>44382.5</v>
      </c>
      <c r="B141" s="1" t="s">
        <v>70</v>
      </c>
      <c r="C141" s="1">
        <v>5125.6899999999996</v>
      </c>
      <c r="D141" s="1">
        <v>2265.21</v>
      </c>
    </row>
    <row r="142" spans="1:4" x14ac:dyDescent="0.25">
      <c r="A142" s="7">
        <v>44382.5</v>
      </c>
      <c r="B142" s="1" t="s">
        <v>78</v>
      </c>
      <c r="C142" s="1">
        <v>1478.94</v>
      </c>
      <c r="D142" s="1">
        <v>859.09</v>
      </c>
    </row>
    <row r="143" spans="1:4" x14ac:dyDescent="0.25">
      <c r="A143" s="7">
        <v>44382.5</v>
      </c>
      <c r="B143" s="1" t="s">
        <v>72</v>
      </c>
      <c r="C143" s="1">
        <v>6915.29</v>
      </c>
      <c r="D143" s="1">
        <v>4672.6099999999997</v>
      </c>
    </row>
    <row r="144" spans="1:4" x14ac:dyDescent="0.25">
      <c r="A144" s="7">
        <v>44382.5</v>
      </c>
      <c r="B144" s="1" t="s">
        <v>76</v>
      </c>
      <c r="C144" s="1">
        <v>10287.68</v>
      </c>
      <c r="D144" s="1">
        <v>2326.23</v>
      </c>
    </row>
    <row r="145" spans="1:4" x14ac:dyDescent="0.25">
      <c r="A145" s="7">
        <v>44382.541666666664</v>
      </c>
      <c r="B145" s="1" t="s">
        <v>75</v>
      </c>
      <c r="C145" s="1">
        <v>542.22</v>
      </c>
      <c r="D145" s="1">
        <v>206.54</v>
      </c>
    </row>
    <row r="146" spans="1:4" x14ac:dyDescent="0.25">
      <c r="A146" s="7">
        <v>44382.541666666664</v>
      </c>
      <c r="B146" s="1" t="s">
        <v>74</v>
      </c>
      <c r="C146" s="1">
        <v>4762.09</v>
      </c>
      <c r="D146" s="1">
        <v>819.95</v>
      </c>
    </row>
    <row r="147" spans="1:4" x14ac:dyDescent="0.25">
      <c r="A147" s="7">
        <v>44382.541666666664</v>
      </c>
      <c r="B147" s="1" t="s">
        <v>76</v>
      </c>
      <c r="C147" s="1">
        <v>7572.88</v>
      </c>
      <c r="D147" s="1">
        <v>1498.41</v>
      </c>
    </row>
    <row r="148" spans="1:4" x14ac:dyDescent="0.25">
      <c r="A148" s="7">
        <v>44382.541666666664</v>
      </c>
      <c r="B148" s="1" t="s">
        <v>73</v>
      </c>
      <c r="C148" s="1">
        <v>3897.92</v>
      </c>
      <c r="D148" s="1">
        <v>500.38</v>
      </c>
    </row>
    <row r="149" spans="1:4" x14ac:dyDescent="0.25">
      <c r="A149" s="7">
        <v>44382.541666666664</v>
      </c>
      <c r="B149" s="1" t="s">
        <v>68</v>
      </c>
      <c r="C149" s="1">
        <v>4702.8100000000004</v>
      </c>
      <c r="D149" s="1">
        <v>1457.03</v>
      </c>
    </row>
    <row r="150" spans="1:4" x14ac:dyDescent="0.25">
      <c r="A150" s="7">
        <v>44382.541666666664</v>
      </c>
      <c r="B150" s="1" t="s">
        <v>71</v>
      </c>
      <c r="C150" s="1">
        <v>5318.77</v>
      </c>
      <c r="D150" s="1">
        <v>1339.7</v>
      </c>
    </row>
    <row r="151" spans="1:4" x14ac:dyDescent="0.25">
      <c r="A151" s="7">
        <v>44382.541666666664</v>
      </c>
      <c r="B151" s="1" t="s">
        <v>70</v>
      </c>
      <c r="C151" s="1">
        <v>3239.55</v>
      </c>
      <c r="D151" s="1">
        <v>1313.91</v>
      </c>
    </row>
    <row r="152" spans="1:4" x14ac:dyDescent="0.25">
      <c r="A152" s="7">
        <v>44382.541666666664</v>
      </c>
      <c r="B152" s="1" t="s">
        <v>78</v>
      </c>
      <c r="C152" s="1">
        <v>1074.6300000000001</v>
      </c>
      <c r="D152" s="1">
        <v>578.47</v>
      </c>
    </row>
    <row r="153" spans="1:4" x14ac:dyDescent="0.25">
      <c r="A153" s="7">
        <v>44382.541666666664</v>
      </c>
      <c r="B153" s="1" t="s">
        <v>72</v>
      </c>
      <c r="C153" s="1">
        <v>4531.0600000000004</v>
      </c>
      <c r="D153" s="1">
        <v>2773.68</v>
      </c>
    </row>
    <row r="154" spans="1:4" x14ac:dyDescent="0.25">
      <c r="A154" s="7">
        <v>44382.541666666664</v>
      </c>
      <c r="B154" s="1" t="s">
        <v>77</v>
      </c>
      <c r="C154" s="1">
        <v>7050.94</v>
      </c>
      <c r="D154" s="1">
        <v>1911.99</v>
      </c>
    </row>
    <row r="155" spans="1:4" x14ac:dyDescent="0.25">
      <c r="A155" s="7">
        <v>44382.541666666664</v>
      </c>
      <c r="B155" s="1" t="s">
        <v>69</v>
      </c>
      <c r="C155" s="1">
        <v>2461.2600000000002</v>
      </c>
      <c r="D155" s="1">
        <v>2080.08</v>
      </c>
    </row>
    <row r="156" spans="1:4" x14ac:dyDescent="0.25">
      <c r="A156" s="7">
        <v>44382.583333333336</v>
      </c>
      <c r="B156" s="1" t="s">
        <v>75</v>
      </c>
      <c r="C156" s="1">
        <v>1026.23</v>
      </c>
      <c r="D156" s="1">
        <v>448.69</v>
      </c>
    </row>
    <row r="157" spans="1:4" x14ac:dyDescent="0.25">
      <c r="A157" s="7">
        <v>44382.583333333336</v>
      </c>
      <c r="B157" s="1" t="s">
        <v>74</v>
      </c>
      <c r="C157" s="1">
        <v>7925.13</v>
      </c>
      <c r="D157" s="1">
        <v>1582.55</v>
      </c>
    </row>
    <row r="158" spans="1:4" x14ac:dyDescent="0.25">
      <c r="A158" s="7">
        <v>44382.583333333336</v>
      </c>
      <c r="B158" s="1" t="s">
        <v>78</v>
      </c>
      <c r="C158" s="1">
        <v>1939.07</v>
      </c>
      <c r="D158" s="1">
        <v>1150.08</v>
      </c>
    </row>
    <row r="159" spans="1:4" x14ac:dyDescent="0.25">
      <c r="A159" s="7">
        <v>44382.583333333336</v>
      </c>
      <c r="B159" s="1" t="s">
        <v>76</v>
      </c>
      <c r="C159" s="1">
        <v>12102.49</v>
      </c>
      <c r="D159" s="1">
        <v>2777.35</v>
      </c>
    </row>
    <row r="160" spans="1:4" x14ac:dyDescent="0.25">
      <c r="A160" s="7">
        <v>44382.583333333336</v>
      </c>
      <c r="B160" s="1" t="s">
        <v>68</v>
      </c>
      <c r="C160" s="1">
        <v>8172.57</v>
      </c>
      <c r="D160" s="1">
        <v>2553.0300000000002</v>
      </c>
    </row>
    <row r="161" spans="1:4" x14ac:dyDescent="0.25">
      <c r="A161" s="7">
        <v>44382.583333333336</v>
      </c>
      <c r="B161" s="1" t="s">
        <v>71</v>
      </c>
      <c r="C161" s="1">
        <v>8907.4599999999991</v>
      </c>
      <c r="D161" s="1">
        <v>2369.75</v>
      </c>
    </row>
    <row r="162" spans="1:4" x14ac:dyDescent="0.25">
      <c r="A162" s="7">
        <v>44382.583333333336</v>
      </c>
      <c r="B162" s="1" t="s">
        <v>69</v>
      </c>
      <c r="C162" s="1">
        <v>4487.55</v>
      </c>
      <c r="D162" s="1">
        <v>4213.1400000000003</v>
      </c>
    </row>
    <row r="163" spans="1:4" x14ac:dyDescent="0.25">
      <c r="A163" s="7">
        <v>44382.583333333336</v>
      </c>
      <c r="B163" s="1" t="s">
        <v>73</v>
      </c>
      <c r="C163" s="1">
        <v>7028.24</v>
      </c>
      <c r="D163" s="1">
        <v>977.78</v>
      </c>
    </row>
    <row r="164" spans="1:4" x14ac:dyDescent="0.25">
      <c r="A164" s="7">
        <v>44382.583333333336</v>
      </c>
      <c r="B164" s="1" t="s">
        <v>72</v>
      </c>
      <c r="C164" s="1">
        <v>8600.2999999999993</v>
      </c>
      <c r="D164" s="1">
        <v>5835.65</v>
      </c>
    </row>
    <row r="165" spans="1:4" x14ac:dyDescent="0.25">
      <c r="A165" s="7">
        <v>44382.583333333336</v>
      </c>
      <c r="B165" s="1" t="s">
        <v>77</v>
      </c>
      <c r="C165" s="1">
        <v>10869.68</v>
      </c>
      <c r="D165" s="1">
        <v>3303.66</v>
      </c>
    </row>
    <row r="166" spans="1:4" x14ac:dyDescent="0.25">
      <c r="A166" s="7">
        <v>44382.583333333336</v>
      </c>
      <c r="B166" s="1" t="s">
        <v>70</v>
      </c>
      <c r="C166" s="1">
        <v>6188.01</v>
      </c>
      <c r="D166" s="1">
        <v>2692.62</v>
      </c>
    </row>
    <row r="167" spans="1:4" x14ac:dyDescent="0.25">
      <c r="A167" s="7">
        <v>44382.625</v>
      </c>
      <c r="B167" s="1" t="s">
        <v>75</v>
      </c>
      <c r="C167" s="1">
        <v>1014.3</v>
      </c>
      <c r="D167" s="1">
        <v>455.13</v>
      </c>
    </row>
    <row r="168" spans="1:4" x14ac:dyDescent="0.25">
      <c r="A168" s="7">
        <v>44382.625</v>
      </c>
      <c r="B168" s="1" t="s">
        <v>74</v>
      </c>
      <c r="C168" s="1">
        <v>7402.49</v>
      </c>
      <c r="D168" s="1">
        <v>1535.07</v>
      </c>
    </row>
    <row r="169" spans="1:4" x14ac:dyDescent="0.25">
      <c r="A169" s="7">
        <v>44382.625</v>
      </c>
      <c r="B169" s="1" t="s">
        <v>72</v>
      </c>
      <c r="C169" s="1">
        <v>8749.07</v>
      </c>
      <c r="D169" s="1">
        <v>5919.61</v>
      </c>
    </row>
    <row r="170" spans="1:4" x14ac:dyDescent="0.25">
      <c r="A170" s="7">
        <v>44382.625</v>
      </c>
      <c r="B170" s="1" t="s">
        <v>76</v>
      </c>
      <c r="C170" s="1">
        <v>11824.86</v>
      </c>
      <c r="D170" s="1">
        <v>2795.46</v>
      </c>
    </row>
    <row r="171" spans="1:4" x14ac:dyDescent="0.25">
      <c r="A171" s="7">
        <v>44382.625</v>
      </c>
      <c r="B171" s="1" t="s">
        <v>69</v>
      </c>
      <c r="C171" s="1">
        <v>4493.8100000000004</v>
      </c>
      <c r="D171" s="1">
        <v>4271.7700000000004</v>
      </c>
    </row>
    <row r="172" spans="1:4" x14ac:dyDescent="0.25">
      <c r="A172" s="7">
        <v>44382.625</v>
      </c>
      <c r="B172" s="1" t="s">
        <v>70</v>
      </c>
      <c r="C172" s="1">
        <v>6604.8</v>
      </c>
      <c r="D172" s="1">
        <v>2847.93</v>
      </c>
    </row>
    <row r="173" spans="1:4" x14ac:dyDescent="0.25">
      <c r="A173" s="7">
        <v>44382.625</v>
      </c>
      <c r="B173" s="1" t="s">
        <v>78</v>
      </c>
      <c r="C173" s="1">
        <v>1979.64</v>
      </c>
      <c r="D173" s="1">
        <v>1142.21</v>
      </c>
    </row>
    <row r="174" spans="1:4" x14ac:dyDescent="0.25">
      <c r="A174" s="7">
        <v>44382.625</v>
      </c>
      <c r="B174" s="1" t="s">
        <v>73</v>
      </c>
      <c r="C174" s="1">
        <v>7325.78</v>
      </c>
      <c r="D174" s="1">
        <v>1052.76</v>
      </c>
    </row>
    <row r="175" spans="1:4" x14ac:dyDescent="0.25">
      <c r="A175" s="7">
        <v>44382.625</v>
      </c>
      <c r="B175" s="1" t="s">
        <v>68</v>
      </c>
      <c r="C175" s="1">
        <v>8713.84</v>
      </c>
      <c r="D175" s="1">
        <v>2673.37</v>
      </c>
    </row>
    <row r="176" spans="1:4" x14ac:dyDescent="0.25">
      <c r="A176" s="7">
        <v>44382.625</v>
      </c>
      <c r="B176" s="1" t="s">
        <v>77</v>
      </c>
      <c r="C176" s="1">
        <v>10711.11</v>
      </c>
      <c r="D176" s="1">
        <v>3256.74</v>
      </c>
    </row>
    <row r="177" spans="1:4" x14ac:dyDescent="0.25">
      <c r="A177" s="7">
        <v>44382.625</v>
      </c>
      <c r="B177" s="1" t="s">
        <v>71</v>
      </c>
      <c r="C177" s="1">
        <v>9039.9500000000007</v>
      </c>
      <c r="D177" s="1">
        <v>2438.12</v>
      </c>
    </row>
    <row r="178" spans="1:4" x14ac:dyDescent="0.25">
      <c r="A178" s="7">
        <v>44382.666666666664</v>
      </c>
      <c r="B178" s="1" t="s">
        <v>74</v>
      </c>
      <c r="C178" s="1">
        <v>6682.11</v>
      </c>
      <c r="D178" s="1">
        <v>1456.64</v>
      </c>
    </row>
    <row r="179" spans="1:4" x14ac:dyDescent="0.25">
      <c r="A179" s="7">
        <v>44382.666666666664</v>
      </c>
      <c r="B179" s="1" t="s">
        <v>75</v>
      </c>
      <c r="C179" s="1">
        <v>912.99</v>
      </c>
      <c r="D179" s="1">
        <v>401.8</v>
      </c>
    </row>
    <row r="180" spans="1:4" x14ac:dyDescent="0.25">
      <c r="A180" s="7">
        <v>44382.666666666664</v>
      </c>
      <c r="B180" s="1" t="s">
        <v>72</v>
      </c>
      <c r="C180" s="1">
        <v>8011.31</v>
      </c>
      <c r="D180" s="1">
        <v>5463.34</v>
      </c>
    </row>
    <row r="181" spans="1:4" x14ac:dyDescent="0.25">
      <c r="A181" s="7">
        <v>44382.666666666664</v>
      </c>
      <c r="B181" s="1" t="s">
        <v>71</v>
      </c>
      <c r="C181" s="1">
        <v>8119.85</v>
      </c>
      <c r="D181" s="1">
        <v>2339.5100000000002</v>
      </c>
    </row>
    <row r="182" spans="1:4" x14ac:dyDescent="0.25">
      <c r="A182" s="7">
        <v>44382.666666666664</v>
      </c>
      <c r="B182" s="1" t="s">
        <v>77</v>
      </c>
      <c r="C182" s="1">
        <v>10216.94</v>
      </c>
      <c r="D182" s="1">
        <v>3157.3</v>
      </c>
    </row>
    <row r="183" spans="1:4" x14ac:dyDescent="0.25">
      <c r="A183" s="7">
        <v>44382.666666666664</v>
      </c>
      <c r="B183" s="1" t="s">
        <v>69</v>
      </c>
      <c r="C183" s="1">
        <v>4154.57</v>
      </c>
      <c r="D183" s="1">
        <v>3865.72</v>
      </c>
    </row>
    <row r="184" spans="1:4" x14ac:dyDescent="0.25">
      <c r="A184" s="7">
        <v>44382.666666666664</v>
      </c>
      <c r="B184" s="1" t="s">
        <v>70</v>
      </c>
      <c r="C184" s="1">
        <v>6036.6</v>
      </c>
      <c r="D184" s="1">
        <v>2695.7</v>
      </c>
    </row>
    <row r="185" spans="1:4" x14ac:dyDescent="0.25">
      <c r="A185" s="7">
        <v>44382.666666666664</v>
      </c>
      <c r="B185" s="1" t="s">
        <v>78</v>
      </c>
      <c r="C185" s="1">
        <v>1731.99</v>
      </c>
      <c r="D185" s="1">
        <v>1023.79</v>
      </c>
    </row>
    <row r="186" spans="1:4" x14ac:dyDescent="0.25">
      <c r="A186" s="7">
        <v>44382.666666666664</v>
      </c>
      <c r="B186" s="1" t="s">
        <v>76</v>
      </c>
      <c r="C186" s="1">
        <v>10700.82</v>
      </c>
      <c r="D186" s="1">
        <v>2660.21</v>
      </c>
    </row>
    <row r="187" spans="1:4" x14ac:dyDescent="0.25">
      <c r="A187" s="7">
        <v>44382.666666666664</v>
      </c>
      <c r="B187" s="1" t="s">
        <v>73</v>
      </c>
      <c r="C187" s="1">
        <v>6747.06</v>
      </c>
      <c r="D187" s="1">
        <v>1009.61</v>
      </c>
    </row>
    <row r="188" spans="1:4" x14ac:dyDescent="0.25">
      <c r="A188" s="7">
        <v>44382.666666666664</v>
      </c>
      <c r="B188" s="1" t="s">
        <v>68</v>
      </c>
      <c r="C188" s="1">
        <v>7941</v>
      </c>
      <c r="D188" s="1">
        <v>2557.64</v>
      </c>
    </row>
    <row r="189" spans="1:4" x14ac:dyDescent="0.25">
      <c r="A189" s="7">
        <v>44382.708333333336</v>
      </c>
      <c r="B189" s="1" t="s">
        <v>74</v>
      </c>
      <c r="C189" s="1">
        <v>7025.47</v>
      </c>
      <c r="D189" s="1">
        <v>1492.21</v>
      </c>
    </row>
    <row r="190" spans="1:4" x14ac:dyDescent="0.25">
      <c r="A190" s="7">
        <v>44382.708333333336</v>
      </c>
      <c r="B190" s="1" t="s">
        <v>75</v>
      </c>
      <c r="C190" s="1">
        <v>876.33</v>
      </c>
      <c r="D190" s="1">
        <v>388.47</v>
      </c>
    </row>
    <row r="191" spans="1:4" x14ac:dyDescent="0.25">
      <c r="A191" s="7">
        <v>44382.708333333336</v>
      </c>
      <c r="B191" s="1" t="s">
        <v>73</v>
      </c>
      <c r="C191" s="1">
        <v>6618.11</v>
      </c>
      <c r="D191" s="1">
        <v>1035.04</v>
      </c>
    </row>
    <row r="192" spans="1:4" x14ac:dyDescent="0.25">
      <c r="A192" s="7">
        <v>44382.708333333336</v>
      </c>
      <c r="B192" s="1" t="s">
        <v>68</v>
      </c>
      <c r="C192" s="1">
        <v>7890.1</v>
      </c>
      <c r="D192" s="1">
        <v>2689.17</v>
      </c>
    </row>
    <row r="193" spans="1:4" x14ac:dyDescent="0.25">
      <c r="A193" s="7">
        <v>44382.708333333336</v>
      </c>
      <c r="B193" s="1" t="s">
        <v>77</v>
      </c>
      <c r="C193" s="1">
        <v>10596.47</v>
      </c>
      <c r="D193" s="1">
        <v>3332.76</v>
      </c>
    </row>
    <row r="194" spans="1:4" x14ac:dyDescent="0.25">
      <c r="A194" s="7">
        <v>44382.708333333336</v>
      </c>
      <c r="B194" s="1" t="s">
        <v>71</v>
      </c>
      <c r="C194" s="1">
        <v>7829.42</v>
      </c>
      <c r="D194" s="1">
        <v>2410.67</v>
      </c>
    </row>
    <row r="195" spans="1:4" x14ac:dyDescent="0.25">
      <c r="A195" s="7">
        <v>44382.708333333336</v>
      </c>
      <c r="B195" s="1" t="s">
        <v>70</v>
      </c>
      <c r="C195" s="1">
        <v>5825.06</v>
      </c>
      <c r="D195" s="1">
        <v>2615.17</v>
      </c>
    </row>
    <row r="196" spans="1:4" x14ac:dyDescent="0.25">
      <c r="A196" s="7">
        <v>44382.708333333336</v>
      </c>
      <c r="B196" s="1" t="s">
        <v>78</v>
      </c>
      <c r="C196" s="1">
        <v>1784.7</v>
      </c>
      <c r="D196" s="1">
        <v>1047.23</v>
      </c>
    </row>
    <row r="197" spans="1:4" x14ac:dyDescent="0.25">
      <c r="A197" s="7">
        <v>44382.708333333336</v>
      </c>
      <c r="B197" s="1" t="s">
        <v>76</v>
      </c>
      <c r="C197" s="1">
        <v>10274.81</v>
      </c>
      <c r="D197" s="1">
        <v>2619.3000000000002</v>
      </c>
    </row>
    <row r="198" spans="1:4" x14ac:dyDescent="0.25">
      <c r="A198" s="7">
        <v>44382.708333333336</v>
      </c>
      <c r="B198" s="1" t="s">
        <v>72</v>
      </c>
      <c r="C198" s="1">
        <v>7856.18</v>
      </c>
      <c r="D198" s="1">
        <v>5397.41</v>
      </c>
    </row>
    <row r="199" spans="1:4" x14ac:dyDescent="0.25">
      <c r="A199" s="7">
        <v>44382.708333333336</v>
      </c>
      <c r="B199" s="1" t="s">
        <v>69</v>
      </c>
      <c r="C199" s="1">
        <v>4095.85</v>
      </c>
      <c r="D199" s="1">
        <v>3726.81</v>
      </c>
    </row>
    <row r="200" spans="1:4" x14ac:dyDescent="0.25">
      <c r="A200" s="7">
        <v>44382.75</v>
      </c>
      <c r="B200" s="1" t="s">
        <v>75</v>
      </c>
      <c r="C200" s="1">
        <v>620.54</v>
      </c>
      <c r="D200" s="1">
        <v>241.17</v>
      </c>
    </row>
    <row r="201" spans="1:4" x14ac:dyDescent="0.25">
      <c r="A201" s="7">
        <v>44382.75</v>
      </c>
      <c r="B201" s="1" t="s">
        <v>74</v>
      </c>
      <c r="C201" s="1">
        <v>6078.47</v>
      </c>
      <c r="D201" s="1">
        <v>1098.6400000000001</v>
      </c>
    </row>
    <row r="202" spans="1:4" x14ac:dyDescent="0.25">
      <c r="A202" s="7">
        <v>44382.75</v>
      </c>
      <c r="B202" s="1" t="s">
        <v>71</v>
      </c>
      <c r="C202" s="1">
        <v>5810.24</v>
      </c>
      <c r="D202" s="1">
        <v>1746.78</v>
      </c>
    </row>
    <row r="203" spans="1:4" x14ac:dyDescent="0.25">
      <c r="A203" s="7">
        <v>44382.75</v>
      </c>
      <c r="B203" s="1" t="s">
        <v>68</v>
      </c>
      <c r="C203" s="1">
        <v>6296.01</v>
      </c>
      <c r="D203" s="1">
        <v>2062.12</v>
      </c>
    </row>
    <row r="204" spans="1:4" x14ac:dyDescent="0.25">
      <c r="A204" s="7">
        <v>44382.75</v>
      </c>
      <c r="B204" s="1" t="s">
        <v>77</v>
      </c>
      <c r="C204" s="1">
        <v>7922.34</v>
      </c>
      <c r="D204" s="1">
        <v>2261.25</v>
      </c>
    </row>
    <row r="205" spans="1:4" x14ac:dyDescent="0.25">
      <c r="A205" s="7">
        <v>44382.75</v>
      </c>
      <c r="B205" s="1" t="s">
        <v>70</v>
      </c>
      <c r="C205" s="1">
        <v>4068</v>
      </c>
      <c r="D205" s="1">
        <v>1731.22</v>
      </c>
    </row>
    <row r="206" spans="1:4" x14ac:dyDescent="0.25">
      <c r="A206" s="7">
        <v>44382.75</v>
      </c>
      <c r="B206" s="1" t="s">
        <v>78</v>
      </c>
      <c r="C206" s="1">
        <v>1226.42</v>
      </c>
      <c r="D206" s="1">
        <v>641.61</v>
      </c>
    </row>
    <row r="207" spans="1:4" x14ac:dyDescent="0.25">
      <c r="A207" s="7">
        <v>44382.75</v>
      </c>
      <c r="B207" s="1" t="s">
        <v>72</v>
      </c>
      <c r="C207" s="1">
        <v>5221.5200000000004</v>
      </c>
      <c r="D207" s="1">
        <v>3174.02</v>
      </c>
    </row>
    <row r="208" spans="1:4" x14ac:dyDescent="0.25">
      <c r="A208" s="7">
        <v>44382.75</v>
      </c>
      <c r="B208" s="1" t="s">
        <v>76</v>
      </c>
      <c r="C208" s="1">
        <v>7544.27</v>
      </c>
      <c r="D208" s="1">
        <v>1753.59</v>
      </c>
    </row>
    <row r="209" spans="1:4" x14ac:dyDescent="0.25">
      <c r="A209" s="7">
        <v>44382.75</v>
      </c>
      <c r="B209" s="1" t="s">
        <v>73</v>
      </c>
      <c r="C209" s="1">
        <v>4820.08</v>
      </c>
      <c r="D209" s="1">
        <v>700.16</v>
      </c>
    </row>
    <row r="210" spans="1:4" x14ac:dyDescent="0.25">
      <c r="A210" s="7">
        <v>44382.75</v>
      </c>
      <c r="B210" s="1" t="s">
        <v>69</v>
      </c>
      <c r="C210" s="1">
        <v>2669.29</v>
      </c>
      <c r="D210" s="1">
        <v>2109.9699999999998</v>
      </c>
    </row>
    <row r="211" spans="1:4" x14ac:dyDescent="0.25">
      <c r="A211" s="7">
        <v>44382.791666666664</v>
      </c>
      <c r="B211" s="1" t="s">
        <v>75</v>
      </c>
      <c r="C211" s="1">
        <v>2102.23</v>
      </c>
      <c r="D211" s="1">
        <v>801.67</v>
      </c>
    </row>
    <row r="212" spans="1:4" x14ac:dyDescent="0.25">
      <c r="A212" s="7">
        <v>44382.791666666664</v>
      </c>
      <c r="B212" s="1" t="s">
        <v>74</v>
      </c>
      <c r="C212" s="1">
        <v>16683.830000000002</v>
      </c>
      <c r="D212" s="1">
        <v>2874.2</v>
      </c>
    </row>
    <row r="213" spans="1:4" x14ac:dyDescent="0.25">
      <c r="A213" s="7">
        <v>44382.791666666664</v>
      </c>
      <c r="B213" s="1" t="s">
        <v>78</v>
      </c>
      <c r="C213" s="1">
        <v>3588.2</v>
      </c>
      <c r="D213" s="1">
        <v>1907.6</v>
      </c>
    </row>
    <row r="214" spans="1:4" x14ac:dyDescent="0.25">
      <c r="A214" s="7">
        <v>44382.791666666664</v>
      </c>
      <c r="B214" s="1" t="s">
        <v>76</v>
      </c>
      <c r="C214" s="1">
        <v>26071.27</v>
      </c>
      <c r="D214" s="1">
        <v>5323.45</v>
      </c>
    </row>
    <row r="215" spans="1:4" x14ac:dyDescent="0.25">
      <c r="A215" s="7">
        <v>44382.791666666664</v>
      </c>
      <c r="B215" s="1" t="s">
        <v>68</v>
      </c>
      <c r="C215" s="1">
        <v>18554.080000000002</v>
      </c>
      <c r="D215" s="1">
        <v>5219.67</v>
      </c>
    </row>
    <row r="216" spans="1:4" x14ac:dyDescent="0.25">
      <c r="A216" s="7">
        <v>44382.791666666664</v>
      </c>
      <c r="B216" s="1" t="s">
        <v>71</v>
      </c>
      <c r="C216" s="1">
        <v>19659.52</v>
      </c>
      <c r="D216" s="1">
        <v>4844.66</v>
      </c>
    </row>
    <row r="217" spans="1:4" x14ac:dyDescent="0.25">
      <c r="A217" s="7">
        <v>44382.791666666664</v>
      </c>
      <c r="B217" s="1" t="s">
        <v>69</v>
      </c>
      <c r="C217" s="1">
        <v>7369.35</v>
      </c>
      <c r="D217" s="1">
        <v>5976.92</v>
      </c>
    </row>
    <row r="218" spans="1:4" x14ac:dyDescent="0.25">
      <c r="A218" s="7">
        <v>44382.791666666664</v>
      </c>
      <c r="B218" s="1" t="s">
        <v>72</v>
      </c>
      <c r="C218" s="1">
        <v>14693.01</v>
      </c>
      <c r="D218" s="1">
        <v>8757.02</v>
      </c>
    </row>
    <row r="219" spans="1:4" x14ac:dyDescent="0.25">
      <c r="A219" s="7">
        <v>44382.791666666664</v>
      </c>
      <c r="B219" s="1" t="s">
        <v>73</v>
      </c>
      <c r="C219" s="1">
        <v>15472.36</v>
      </c>
      <c r="D219" s="1">
        <v>1978.88</v>
      </c>
    </row>
    <row r="220" spans="1:4" x14ac:dyDescent="0.25">
      <c r="A220" s="7">
        <v>44382.791666666664</v>
      </c>
      <c r="B220" s="1" t="s">
        <v>77</v>
      </c>
      <c r="C220" s="1">
        <v>21658.131000000001</v>
      </c>
      <c r="D220" s="1">
        <v>5826.48</v>
      </c>
    </row>
    <row r="221" spans="1:4" x14ac:dyDescent="0.25">
      <c r="A221" s="7">
        <v>44382.791666666664</v>
      </c>
      <c r="B221" s="1" t="s">
        <v>70</v>
      </c>
      <c r="C221" s="1">
        <v>13421.72</v>
      </c>
      <c r="D221" s="1">
        <v>5220.24</v>
      </c>
    </row>
    <row r="222" spans="1:4" x14ac:dyDescent="0.25">
      <c r="A222" s="7">
        <v>44382.833333333336</v>
      </c>
      <c r="B222" s="1" t="s">
        <v>74</v>
      </c>
      <c r="C222" s="1">
        <v>14731.93</v>
      </c>
      <c r="D222" s="1">
        <v>2552.54</v>
      </c>
    </row>
    <row r="223" spans="1:4" x14ac:dyDescent="0.25">
      <c r="A223" s="7">
        <v>44382.833333333336</v>
      </c>
      <c r="B223" s="1" t="s">
        <v>78</v>
      </c>
      <c r="C223" s="1">
        <v>3130.97</v>
      </c>
      <c r="D223" s="1">
        <v>1630.44</v>
      </c>
    </row>
    <row r="224" spans="1:4" x14ac:dyDescent="0.25">
      <c r="A224" s="7">
        <v>44382.833333333336</v>
      </c>
      <c r="B224" s="1" t="s">
        <v>75</v>
      </c>
      <c r="C224" s="1">
        <v>1783.16</v>
      </c>
      <c r="D224" s="1">
        <v>645.69000000000005</v>
      </c>
    </row>
    <row r="225" spans="1:4" x14ac:dyDescent="0.25">
      <c r="A225" s="7">
        <v>44382.833333333336</v>
      </c>
      <c r="B225" s="1" t="s">
        <v>76</v>
      </c>
      <c r="C225" s="1">
        <v>22880.868999999999</v>
      </c>
      <c r="D225" s="1">
        <v>4548.38</v>
      </c>
    </row>
    <row r="226" spans="1:4" x14ac:dyDescent="0.25">
      <c r="A226" s="7">
        <v>44382.833333333336</v>
      </c>
      <c r="B226" s="1" t="s">
        <v>72</v>
      </c>
      <c r="C226" s="1">
        <v>12577.18</v>
      </c>
      <c r="D226" s="1">
        <v>7691.39</v>
      </c>
    </row>
    <row r="227" spans="1:4" x14ac:dyDescent="0.25">
      <c r="A227" s="7">
        <v>44382.833333333336</v>
      </c>
      <c r="B227" s="1" t="s">
        <v>68</v>
      </c>
      <c r="C227" s="1">
        <v>16047.81</v>
      </c>
      <c r="D227" s="1">
        <v>4689.4799999999996</v>
      </c>
    </row>
    <row r="228" spans="1:4" x14ac:dyDescent="0.25">
      <c r="A228" s="7">
        <v>44382.833333333336</v>
      </c>
      <c r="B228" s="1" t="s">
        <v>69</v>
      </c>
      <c r="C228" s="1">
        <v>6736.27</v>
      </c>
      <c r="D228" s="1">
        <v>5535.01</v>
      </c>
    </row>
    <row r="229" spans="1:4" x14ac:dyDescent="0.25">
      <c r="A229" s="7">
        <v>44382.833333333336</v>
      </c>
      <c r="B229" s="1" t="s">
        <v>70</v>
      </c>
      <c r="C229" s="1">
        <v>10945.15</v>
      </c>
      <c r="D229" s="1">
        <v>4251.3599999999997</v>
      </c>
    </row>
    <row r="230" spans="1:4" x14ac:dyDescent="0.25">
      <c r="A230" s="7">
        <v>44382.833333333336</v>
      </c>
      <c r="B230" s="1" t="s">
        <v>73</v>
      </c>
      <c r="C230" s="1">
        <v>13210.69</v>
      </c>
      <c r="D230" s="1">
        <v>1723.9</v>
      </c>
    </row>
    <row r="231" spans="1:4" x14ac:dyDescent="0.25">
      <c r="A231" s="7">
        <v>44382.833333333336</v>
      </c>
      <c r="B231" s="1" t="s">
        <v>77</v>
      </c>
      <c r="C231" s="1">
        <v>19234.669999999998</v>
      </c>
      <c r="D231" s="1">
        <v>5179.1899999999996</v>
      </c>
    </row>
    <row r="232" spans="1:4" x14ac:dyDescent="0.25">
      <c r="A232" s="7">
        <v>44382.833333333336</v>
      </c>
      <c r="B232" s="1" t="s">
        <v>71</v>
      </c>
      <c r="C232" s="1">
        <v>17775.811000000002</v>
      </c>
      <c r="D232" s="1">
        <v>4333.26</v>
      </c>
    </row>
    <row r="233" spans="1:4" x14ac:dyDescent="0.25">
      <c r="A233" s="7">
        <v>44382.875</v>
      </c>
      <c r="B233" s="1" t="s">
        <v>74</v>
      </c>
      <c r="C233" s="1">
        <v>11609.65</v>
      </c>
      <c r="D233" s="1">
        <v>2104.36</v>
      </c>
    </row>
    <row r="234" spans="1:4" x14ac:dyDescent="0.25">
      <c r="A234" s="7">
        <v>44382.875</v>
      </c>
      <c r="B234" s="1" t="s">
        <v>75</v>
      </c>
      <c r="C234" s="1">
        <v>1645.96</v>
      </c>
      <c r="D234" s="1">
        <v>629.16</v>
      </c>
    </row>
    <row r="235" spans="1:4" x14ac:dyDescent="0.25">
      <c r="A235" s="7">
        <v>44382.875</v>
      </c>
      <c r="B235" s="1" t="s">
        <v>76</v>
      </c>
      <c r="C235" s="1">
        <v>18967.949000000001</v>
      </c>
      <c r="D235" s="1">
        <v>3655.7</v>
      </c>
    </row>
    <row r="236" spans="1:4" x14ac:dyDescent="0.25">
      <c r="A236" s="7">
        <v>44382.875</v>
      </c>
      <c r="B236" s="1" t="s">
        <v>73</v>
      </c>
      <c r="C236" s="1">
        <v>11469.52</v>
      </c>
      <c r="D236" s="1">
        <v>1507.17</v>
      </c>
    </row>
    <row r="237" spans="1:4" x14ac:dyDescent="0.25">
      <c r="A237" s="7">
        <v>44382.875</v>
      </c>
      <c r="B237" s="1" t="s">
        <v>77</v>
      </c>
      <c r="C237" s="1">
        <v>18096.618999999999</v>
      </c>
      <c r="D237" s="1">
        <v>5032.8999999999996</v>
      </c>
    </row>
    <row r="238" spans="1:4" x14ac:dyDescent="0.25">
      <c r="A238" s="7">
        <v>44382.875</v>
      </c>
      <c r="B238" s="1" t="s">
        <v>71</v>
      </c>
      <c r="C238" s="1">
        <v>15469.75</v>
      </c>
      <c r="D238" s="1">
        <v>3780.55</v>
      </c>
    </row>
    <row r="239" spans="1:4" x14ac:dyDescent="0.25">
      <c r="A239" s="7">
        <v>44382.875</v>
      </c>
      <c r="B239" s="1" t="s">
        <v>70</v>
      </c>
      <c r="C239" s="1">
        <v>9700.11</v>
      </c>
      <c r="D239" s="1">
        <v>3838.04</v>
      </c>
    </row>
    <row r="240" spans="1:4" x14ac:dyDescent="0.25">
      <c r="A240" s="7">
        <v>44382.875</v>
      </c>
      <c r="B240" s="1" t="s">
        <v>78</v>
      </c>
      <c r="C240" s="1">
        <v>3172.19</v>
      </c>
      <c r="D240" s="1">
        <v>1639.95</v>
      </c>
    </row>
    <row r="241" spans="1:4" x14ac:dyDescent="0.25">
      <c r="A241" s="7">
        <v>44382.875</v>
      </c>
      <c r="B241" s="1" t="s">
        <v>72</v>
      </c>
      <c r="C241" s="1">
        <v>11670.62</v>
      </c>
      <c r="D241" s="1">
        <v>7085.36</v>
      </c>
    </row>
    <row r="242" spans="1:4" x14ac:dyDescent="0.25">
      <c r="A242" s="7">
        <v>44382.875</v>
      </c>
      <c r="B242" s="1" t="s">
        <v>68</v>
      </c>
      <c r="C242" s="1">
        <v>14256.89</v>
      </c>
      <c r="D242" s="1">
        <v>4255.01</v>
      </c>
    </row>
    <row r="243" spans="1:4" x14ac:dyDescent="0.25">
      <c r="A243" s="7">
        <v>44382.875</v>
      </c>
      <c r="B243" s="1" t="s">
        <v>69</v>
      </c>
      <c r="C243" s="1">
        <v>6426.73</v>
      </c>
      <c r="D243" s="1">
        <v>5121.8599999999997</v>
      </c>
    </row>
    <row r="244" spans="1:4" x14ac:dyDescent="0.25">
      <c r="A244" s="7">
        <v>44382.916666666664</v>
      </c>
      <c r="B244" s="1" t="s">
        <v>75</v>
      </c>
      <c r="C244" s="1">
        <v>1477.76</v>
      </c>
      <c r="D244" s="1">
        <v>645.16</v>
      </c>
    </row>
    <row r="245" spans="1:4" x14ac:dyDescent="0.25">
      <c r="A245" s="7">
        <v>44382.916666666664</v>
      </c>
      <c r="B245" s="1" t="s">
        <v>74</v>
      </c>
      <c r="C245" s="1">
        <v>7260.32</v>
      </c>
      <c r="D245" s="1">
        <v>1550.59</v>
      </c>
    </row>
    <row r="246" spans="1:4" x14ac:dyDescent="0.25">
      <c r="A246" s="7">
        <v>44382.916666666664</v>
      </c>
      <c r="B246" s="1" t="s">
        <v>73</v>
      </c>
      <c r="C246" s="1">
        <v>8849.01</v>
      </c>
      <c r="D246" s="1">
        <v>1276.28</v>
      </c>
    </row>
    <row r="247" spans="1:4" x14ac:dyDescent="0.25">
      <c r="A247" s="7">
        <v>44382.916666666664</v>
      </c>
      <c r="B247" s="1" t="s">
        <v>77</v>
      </c>
      <c r="C247" s="1">
        <v>15098.26</v>
      </c>
      <c r="D247" s="1">
        <v>4319.9399999999996</v>
      </c>
    </row>
    <row r="248" spans="1:4" x14ac:dyDescent="0.25">
      <c r="A248" s="7">
        <v>44382.916666666664</v>
      </c>
      <c r="B248" s="1" t="s">
        <v>71</v>
      </c>
      <c r="C248" s="1">
        <v>10531.58</v>
      </c>
      <c r="D248" s="1">
        <v>2812.33</v>
      </c>
    </row>
    <row r="249" spans="1:4" x14ac:dyDescent="0.25">
      <c r="A249" s="7">
        <v>44382.916666666664</v>
      </c>
      <c r="B249" s="1" t="s">
        <v>70</v>
      </c>
      <c r="C249" s="1">
        <v>8201.64</v>
      </c>
      <c r="D249" s="1">
        <v>3322.1</v>
      </c>
    </row>
    <row r="250" spans="1:4" x14ac:dyDescent="0.25">
      <c r="A250" s="7">
        <v>44382.916666666664</v>
      </c>
      <c r="B250" s="1" t="s">
        <v>78</v>
      </c>
      <c r="C250" s="1">
        <v>2952.12</v>
      </c>
      <c r="D250" s="1">
        <v>1590.9</v>
      </c>
    </row>
    <row r="251" spans="1:4" x14ac:dyDescent="0.25">
      <c r="A251" s="7">
        <v>44382.916666666664</v>
      </c>
      <c r="B251" s="1" t="s">
        <v>72</v>
      </c>
      <c r="C251" s="1">
        <v>11239.08</v>
      </c>
      <c r="D251" s="1">
        <v>7114.42</v>
      </c>
    </row>
    <row r="252" spans="1:4" x14ac:dyDescent="0.25">
      <c r="A252" s="7">
        <v>44382.916666666664</v>
      </c>
      <c r="B252" s="1" t="s">
        <v>76</v>
      </c>
      <c r="C252" s="1">
        <v>12513.42</v>
      </c>
      <c r="D252" s="1">
        <v>2764.75</v>
      </c>
    </row>
    <row r="253" spans="1:4" x14ac:dyDescent="0.25">
      <c r="A253" s="7">
        <v>44382.916666666664</v>
      </c>
      <c r="B253" s="1" t="s">
        <v>68</v>
      </c>
      <c r="C253" s="1">
        <v>10324.89</v>
      </c>
      <c r="D253" s="1">
        <v>3404.95</v>
      </c>
    </row>
    <row r="254" spans="1:4" x14ac:dyDescent="0.25">
      <c r="A254" s="7">
        <v>44382.916666666664</v>
      </c>
      <c r="B254" s="1" t="s">
        <v>69</v>
      </c>
      <c r="C254" s="1">
        <v>6429.92</v>
      </c>
      <c r="D254" s="1">
        <v>5218.63</v>
      </c>
    </row>
    <row r="255" spans="1:4" x14ac:dyDescent="0.25">
      <c r="A255" s="7">
        <v>44382.958333333336</v>
      </c>
      <c r="B255" s="1" t="s">
        <v>75</v>
      </c>
      <c r="C255" s="1">
        <v>908.72</v>
      </c>
      <c r="D255" s="1">
        <v>456.86</v>
      </c>
    </row>
    <row r="256" spans="1:4" x14ac:dyDescent="0.25">
      <c r="A256" s="7">
        <v>44382.958333333336</v>
      </c>
      <c r="B256" s="1" t="s">
        <v>74</v>
      </c>
      <c r="C256" s="1">
        <v>2945.75</v>
      </c>
      <c r="D256" s="1">
        <v>771.47</v>
      </c>
    </row>
    <row r="257" spans="1:4" x14ac:dyDescent="0.25">
      <c r="A257" s="7">
        <v>44382.958333333336</v>
      </c>
      <c r="B257" s="1" t="s">
        <v>77</v>
      </c>
      <c r="C257" s="1">
        <v>7982.29</v>
      </c>
      <c r="D257" s="1">
        <v>2370.92</v>
      </c>
    </row>
    <row r="258" spans="1:4" x14ac:dyDescent="0.25">
      <c r="A258" s="7">
        <v>44382.958333333336</v>
      </c>
      <c r="B258" s="1" t="s">
        <v>71</v>
      </c>
      <c r="C258" s="1">
        <v>4112.5</v>
      </c>
      <c r="D258" s="1">
        <v>1311.49</v>
      </c>
    </row>
    <row r="259" spans="1:4" x14ac:dyDescent="0.25">
      <c r="A259" s="7">
        <v>44382.958333333336</v>
      </c>
      <c r="B259" s="1" t="s">
        <v>69</v>
      </c>
      <c r="C259" s="1">
        <v>4119.4399999999996</v>
      </c>
      <c r="D259" s="1">
        <v>3393.01</v>
      </c>
    </row>
    <row r="260" spans="1:4" x14ac:dyDescent="0.25">
      <c r="A260" s="7">
        <v>44382.958333333336</v>
      </c>
      <c r="B260" s="1" t="s">
        <v>70</v>
      </c>
      <c r="C260" s="1">
        <v>4044.3</v>
      </c>
      <c r="D260" s="1">
        <v>1827.07</v>
      </c>
    </row>
    <row r="261" spans="1:4" x14ac:dyDescent="0.25">
      <c r="A261" s="7">
        <v>44382.958333333336</v>
      </c>
      <c r="B261" s="1" t="s">
        <v>78</v>
      </c>
      <c r="C261" s="1">
        <v>1829.06</v>
      </c>
      <c r="D261" s="1">
        <v>1050.43</v>
      </c>
    </row>
    <row r="262" spans="1:4" x14ac:dyDescent="0.25">
      <c r="A262" s="7">
        <v>44382.958333333336</v>
      </c>
      <c r="B262" s="1" t="s">
        <v>76</v>
      </c>
      <c r="C262" s="1">
        <v>5192.12</v>
      </c>
      <c r="D262" s="1">
        <v>1388.14</v>
      </c>
    </row>
    <row r="263" spans="1:4" x14ac:dyDescent="0.25">
      <c r="A263" s="7">
        <v>44382.958333333336</v>
      </c>
      <c r="B263" s="1" t="s">
        <v>73</v>
      </c>
      <c r="C263" s="1">
        <v>3768.78</v>
      </c>
      <c r="D263" s="1">
        <v>653.35</v>
      </c>
    </row>
    <row r="264" spans="1:4" x14ac:dyDescent="0.25">
      <c r="A264" s="7">
        <v>44382.958333333336</v>
      </c>
      <c r="B264" s="1" t="s">
        <v>72</v>
      </c>
      <c r="C264" s="1">
        <v>6799.59</v>
      </c>
      <c r="D264" s="1">
        <v>4475.74</v>
      </c>
    </row>
    <row r="265" spans="1:4" x14ac:dyDescent="0.25">
      <c r="A265" s="7">
        <v>44382.958333333336</v>
      </c>
      <c r="B265" s="1" t="s">
        <v>68</v>
      </c>
      <c r="C265" s="1">
        <v>4440.99</v>
      </c>
      <c r="D265" s="1">
        <v>1768.42</v>
      </c>
    </row>
    <row r="266" spans="1:4" x14ac:dyDescent="0.25">
      <c r="A266" s="7">
        <v>44413</v>
      </c>
      <c r="B266" s="1" t="s">
        <v>75</v>
      </c>
      <c r="C266" s="1">
        <v>512.59</v>
      </c>
      <c r="D266" s="1">
        <v>249.2</v>
      </c>
    </row>
    <row r="267" spans="1:4" x14ac:dyDescent="0.25">
      <c r="A267" s="7">
        <v>44413</v>
      </c>
      <c r="B267" s="1" t="s">
        <v>78</v>
      </c>
      <c r="C267" s="1">
        <v>869.59</v>
      </c>
      <c r="D267" s="1">
        <v>551.22</v>
      </c>
    </row>
    <row r="268" spans="1:4" x14ac:dyDescent="0.25">
      <c r="A268" s="7">
        <v>44413</v>
      </c>
      <c r="B268" s="1" t="s">
        <v>74</v>
      </c>
      <c r="C268" s="1">
        <v>1145.75</v>
      </c>
      <c r="D268" s="1">
        <v>357.93</v>
      </c>
    </row>
    <row r="269" spans="1:4" x14ac:dyDescent="0.25">
      <c r="A269" s="7">
        <v>44413</v>
      </c>
      <c r="B269" s="1" t="s">
        <v>68</v>
      </c>
      <c r="C269" s="1">
        <v>1659.94</v>
      </c>
      <c r="D269" s="1">
        <v>770</v>
      </c>
    </row>
    <row r="270" spans="1:4" x14ac:dyDescent="0.25">
      <c r="A270" s="7">
        <v>44413</v>
      </c>
      <c r="B270" s="1" t="s">
        <v>77</v>
      </c>
      <c r="C270" s="1">
        <v>3317.56</v>
      </c>
      <c r="D270" s="1">
        <v>991.34</v>
      </c>
    </row>
    <row r="271" spans="1:4" x14ac:dyDescent="0.25">
      <c r="A271" s="7">
        <v>44413</v>
      </c>
      <c r="B271" s="1" t="s">
        <v>69</v>
      </c>
      <c r="C271" s="1">
        <v>2043.08</v>
      </c>
      <c r="D271" s="1">
        <v>1654.42</v>
      </c>
    </row>
    <row r="272" spans="1:4" x14ac:dyDescent="0.25">
      <c r="A272" s="7">
        <v>44413</v>
      </c>
      <c r="B272" s="1" t="s">
        <v>70</v>
      </c>
      <c r="C272" s="1">
        <v>1738.32</v>
      </c>
      <c r="D272" s="1">
        <v>825.33</v>
      </c>
    </row>
    <row r="273" spans="1:4" x14ac:dyDescent="0.25">
      <c r="A273" s="7">
        <v>44413</v>
      </c>
      <c r="B273" s="1" t="s">
        <v>76</v>
      </c>
      <c r="C273" s="1">
        <v>1971.49</v>
      </c>
      <c r="D273" s="1">
        <v>622.66</v>
      </c>
    </row>
    <row r="274" spans="1:4" x14ac:dyDescent="0.25">
      <c r="A274" s="7">
        <v>44413</v>
      </c>
      <c r="B274" s="1" t="s">
        <v>72</v>
      </c>
      <c r="C274" s="1">
        <v>3270.23</v>
      </c>
      <c r="D274" s="1">
        <v>2314.7600000000002</v>
      </c>
    </row>
    <row r="275" spans="1:4" x14ac:dyDescent="0.25">
      <c r="A275" s="7">
        <v>44413</v>
      </c>
      <c r="B275" s="1" t="s">
        <v>73</v>
      </c>
      <c r="C275" s="1">
        <v>1420.03</v>
      </c>
      <c r="D275" s="1">
        <v>298.17</v>
      </c>
    </row>
    <row r="276" spans="1:4" x14ac:dyDescent="0.25">
      <c r="A276" s="7">
        <v>44413</v>
      </c>
      <c r="B276" s="1" t="s">
        <v>71</v>
      </c>
      <c r="C276" s="1">
        <v>1472.66</v>
      </c>
      <c r="D276" s="1">
        <v>554.69000000000005</v>
      </c>
    </row>
    <row r="277" spans="1:4" x14ac:dyDescent="0.25">
      <c r="A277" s="7">
        <v>44413.041666666664</v>
      </c>
      <c r="B277" s="1" t="s">
        <v>74</v>
      </c>
      <c r="C277" s="1">
        <v>533.21</v>
      </c>
      <c r="D277" s="1">
        <v>156.05000000000001</v>
      </c>
    </row>
    <row r="278" spans="1:4" x14ac:dyDescent="0.25">
      <c r="A278" s="7">
        <v>44413.041666666664</v>
      </c>
      <c r="B278" s="1" t="s">
        <v>78</v>
      </c>
      <c r="C278" s="1">
        <v>415.38</v>
      </c>
      <c r="D278" s="1">
        <v>249.55</v>
      </c>
    </row>
    <row r="279" spans="1:4" x14ac:dyDescent="0.25">
      <c r="A279" s="7">
        <v>44413.041666666664</v>
      </c>
      <c r="B279" s="1" t="s">
        <v>75</v>
      </c>
      <c r="C279" s="1">
        <v>301.64</v>
      </c>
      <c r="D279" s="1">
        <v>158.79</v>
      </c>
    </row>
    <row r="280" spans="1:4" x14ac:dyDescent="0.25">
      <c r="A280" s="7">
        <v>44413.041666666664</v>
      </c>
      <c r="B280" s="1" t="s">
        <v>73</v>
      </c>
      <c r="C280" s="1">
        <v>605.13</v>
      </c>
      <c r="D280" s="1">
        <v>132.71</v>
      </c>
    </row>
    <row r="281" spans="1:4" x14ac:dyDescent="0.25">
      <c r="A281" s="7">
        <v>44413.041666666664</v>
      </c>
      <c r="B281" s="1" t="s">
        <v>68</v>
      </c>
      <c r="C281" s="1">
        <v>704.44</v>
      </c>
      <c r="D281" s="1">
        <v>304.06</v>
      </c>
    </row>
    <row r="282" spans="1:4" x14ac:dyDescent="0.25">
      <c r="A282" s="7">
        <v>44413.041666666664</v>
      </c>
      <c r="B282" s="1" t="s">
        <v>71</v>
      </c>
      <c r="C282" s="1">
        <v>639.35</v>
      </c>
      <c r="D282" s="1">
        <v>251.53</v>
      </c>
    </row>
    <row r="283" spans="1:4" x14ac:dyDescent="0.25">
      <c r="A283" s="7">
        <v>44413.041666666664</v>
      </c>
      <c r="B283" s="1" t="s">
        <v>69</v>
      </c>
      <c r="C283" s="1">
        <v>938.27</v>
      </c>
      <c r="D283" s="1">
        <v>781.44</v>
      </c>
    </row>
    <row r="284" spans="1:4" x14ac:dyDescent="0.25">
      <c r="A284" s="7">
        <v>44413.041666666664</v>
      </c>
      <c r="B284" s="1" t="s">
        <v>76</v>
      </c>
      <c r="C284" s="1">
        <v>911.22</v>
      </c>
      <c r="D284" s="1">
        <v>293.22000000000003</v>
      </c>
    </row>
    <row r="285" spans="1:4" x14ac:dyDescent="0.25">
      <c r="A285" s="7">
        <v>44413.041666666664</v>
      </c>
      <c r="B285" s="1" t="s">
        <v>72</v>
      </c>
      <c r="C285" s="1">
        <v>1540.49</v>
      </c>
      <c r="D285" s="1">
        <v>1095.3800000000001</v>
      </c>
    </row>
    <row r="286" spans="1:4" x14ac:dyDescent="0.25">
      <c r="A286" s="7">
        <v>44413.041666666664</v>
      </c>
      <c r="B286" s="1" t="s">
        <v>77</v>
      </c>
      <c r="C286" s="1">
        <v>1452.12</v>
      </c>
      <c r="D286" s="1">
        <v>399.67</v>
      </c>
    </row>
    <row r="287" spans="1:4" x14ac:dyDescent="0.25">
      <c r="A287" s="7">
        <v>44413.041666666664</v>
      </c>
      <c r="B287" s="1" t="s">
        <v>70</v>
      </c>
      <c r="C287" s="1">
        <v>807.39</v>
      </c>
      <c r="D287" s="1">
        <v>371.46</v>
      </c>
    </row>
    <row r="288" spans="1:4" x14ac:dyDescent="0.25">
      <c r="A288" s="7">
        <v>44413.083333333336</v>
      </c>
      <c r="B288" s="1" t="s">
        <v>74</v>
      </c>
      <c r="C288" s="1">
        <v>545.49</v>
      </c>
      <c r="D288" s="1">
        <v>112.35</v>
      </c>
    </row>
    <row r="289" spans="1:4" x14ac:dyDescent="0.25">
      <c r="A289" s="7">
        <v>44413.083333333336</v>
      </c>
      <c r="B289" s="1" t="s">
        <v>78</v>
      </c>
      <c r="C289" s="1">
        <v>290.26</v>
      </c>
      <c r="D289" s="1">
        <v>145.49</v>
      </c>
    </row>
    <row r="290" spans="1:4" x14ac:dyDescent="0.25">
      <c r="A290" s="7">
        <v>44413.083333333336</v>
      </c>
      <c r="B290" s="1" t="s">
        <v>75</v>
      </c>
      <c r="C290" s="1">
        <v>235.41</v>
      </c>
      <c r="D290" s="1">
        <v>108.25</v>
      </c>
    </row>
    <row r="291" spans="1:4" x14ac:dyDescent="0.25">
      <c r="A291" s="7">
        <v>44413.083333333336</v>
      </c>
      <c r="B291" s="1" t="s">
        <v>76</v>
      </c>
      <c r="C291" s="1">
        <v>1213.21</v>
      </c>
      <c r="D291" s="1">
        <v>231.69</v>
      </c>
    </row>
    <row r="292" spans="1:4" x14ac:dyDescent="0.25">
      <c r="A292" s="7">
        <v>44413.083333333336</v>
      </c>
      <c r="B292" s="1" t="s">
        <v>73</v>
      </c>
      <c r="C292" s="1">
        <v>406.19</v>
      </c>
      <c r="D292" s="1">
        <v>68.64</v>
      </c>
    </row>
    <row r="293" spans="1:4" x14ac:dyDescent="0.25">
      <c r="A293" s="7">
        <v>44413.083333333336</v>
      </c>
      <c r="B293" s="1" t="s">
        <v>68</v>
      </c>
      <c r="C293" s="1">
        <v>425.29</v>
      </c>
      <c r="D293" s="1">
        <v>165.4</v>
      </c>
    </row>
    <row r="294" spans="1:4" x14ac:dyDescent="0.25">
      <c r="A294" s="7">
        <v>44413.083333333336</v>
      </c>
      <c r="B294" s="1" t="s">
        <v>71</v>
      </c>
      <c r="C294" s="1">
        <v>459.68</v>
      </c>
      <c r="D294" s="1">
        <v>154.41</v>
      </c>
    </row>
    <row r="295" spans="1:4" x14ac:dyDescent="0.25">
      <c r="A295" s="7">
        <v>44413.083333333336</v>
      </c>
      <c r="B295" s="1" t="s">
        <v>70</v>
      </c>
      <c r="C295" s="1">
        <v>601.4</v>
      </c>
      <c r="D295" s="1">
        <v>256.43</v>
      </c>
    </row>
    <row r="296" spans="1:4" x14ac:dyDescent="0.25">
      <c r="A296" s="7">
        <v>44413.083333333336</v>
      </c>
      <c r="B296" s="1" t="s">
        <v>72</v>
      </c>
      <c r="C296" s="1">
        <v>867.38</v>
      </c>
      <c r="D296" s="1">
        <v>585.73</v>
      </c>
    </row>
    <row r="297" spans="1:4" x14ac:dyDescent="0.25">
      <c r="A297" s="7">
        <v>44413.083333333336</v>
      </c>
      <c r="B297" s="1" t="s">
        <v>77</v>
      </c>
      <c r="C297" s="1">
        <v>975.82</v>
      </c>
      <c r="D297" s="1">
        <v>238.01</v>
      </c>
    </row>
    <row r="298" spans="1:4" x14ac:dyDescent="0.25">
      <c r="A298" s="7">
        <v>44413.083333333336</v>
      </c>
      <c r="B298" s="1" t="s">
        <v>69</v>
      </c>
      <c r="C298" s="1">
        <v>502.99</v>
      </c>
      <c r="D298" s="1">
        <v>434.58</v>
      </c>
    </row>
    <row r="299" spans="1:4" x14ac:dyDescent="0.25">
      <c r="A299" s="7">
        <v>44413.125</v>
      </c>
      <c r="B299" s="1" t="s">
        <v>75</v>
      </c>
      <c r="C299" s="1">
        <v>425.94</v>
      </c>
      <c r="D299" s="1">
        <v>173.49</v>
      </c>
    </row>
    <row r="300" spans="1:4" x14ac:dyDescent="0.25">
      <c r="A300" s="7">
        <v>44413.125</v>
      </c>
      <c r="B300" s="1" t="s">
        <v>74</v>
      </c>
      <c r="C300" s="1">
        <v>1780.74</v>
      </c>
      <c r="D300" s="1">
        <v>276.02</v>
      </c>
    </row>
    <row r="301" spans="1:4" x14ac:dyDescent="0.25">
      <c r="A301" s="7">
        <v>44413.125</v>
      </c>
      <c r="B301" s="1" t="s">
        <v>76</v>
      </c>
      <c r="C301" s="1">
        <v>4253.75</v>
      </c>
      <c r="D301" s="1">
        <v>682.65</v>
      </c>
    </row>
    <row r="302" spans="1:4" x14ac:dyDescent="0.25">
      <c r="A302" s="7">
        <v>44413.125</v>
      </c>
      <c r="B302" s="1" t="s">
        <v>77</v>
      </c>
      <c r="C302" s="1">
        <v>2376.77</v>
      </c>
      <c r="D302" s="1">
        <v>597.27</v>
      </c>
    </row>
    <row r="303" spans="1:4" x14ac:dyDescent="0.25">
      <c r="A303" s="7">
        <v>44413.125</v>
      </c>
      <c r="B303" s="1" t="s">
        <v>71</v>
      </c>
      <c r="C303" s="1">
        <v>1544.58</v>
      </c>
      <c r="D303" s="1">
        <v>369.28</v>
      </c>
    </row>
    <row r="304" spans="1:4" x14ac:dyDescent="0.25">
      <c r="A304" s="7">
        <v>44413.125</v>
      </c>
      <c r="B304" s="1" t="s">
        <v>69</v>
      </c>
      <c r="C304" s="1">
        <v>836.31</v>
      </c>
      <c r="D304" s="1">
        <v>666.88</v>
      </c>
    </row>
    <row r="305" spans="1:4" x14ac:dyDescent="0.25">
      <c r="A305" s="7">
        <v>44413.125</v>
      </c>
      <c r="B305" s="1" t="s">
        <v>70</v>
      </c>
      <c r="C305" s="1">
        <v>1793.42</v>
      </c>
      <c r="D305" s="1">
        <v>646.29</v>
      </c>
    </row>
    <row r="306" spans="1:4" x14ac:dyDescent="0.25">
      <c r="A306" s="7">
        <v>44413.125</v>
      </c>
      <c r="B306" s="1" t="s">
        <v>78</v>
      </c>
      <c r="C306" s="1">
        <v>502.31</v>
      </c>
      <c r="D306" s="1">
        <v>233.92</v>
      </c>
    </row>
    <row r="307" spans="1:4" x14ac:dyDescent="0.25">
      <c r="A307" s="7">
        <v>44413.125</v>
      </c>
      <c r="B307" s="1" t="s">
        <v>72</v>
      </c>
      <c r="C307" s="1">
        <v>1620.58</v>
      </c>
      <c r="D307" s="1">
        <v>932.22</v>
      </c>
    </row>
    <row r="308" spans="1:4" x14ac:dyDescent="0.25">
      <c r="A308" s="7">
        <v>44413.125</v>
      </c>
      <c r="B308" s="1" t="s">
        <v>73</v>
      </c>
      <c r="C308" s="1">
        <v>1373.72</v>
      </c>
      <c r="D308" s="1">
        <v>150.74</v>
      </c>
    </row>
    <row r="309" spans="1:4" x14ac:dyDescent="0.25">
      <c r="A309" s="7">
        <v>44413.125</v>
      </c>
      <c r="B309" s="1" t="s">
        <v>68</v>
      </c>
      <c r="C309" s="1">
        <v>1258.21</v>
      </c>
      <c r="D309" s="1">
        <v>335.88</v>
      </c>
    </row>
    <row r="310" spans="1:4" x14ac:dyDescent="0.25">
      <c r="A310" s="7">
        <v>44413.166666666664</v>
      </c>
      <c r="B310" s="1" t="s">
        <v>75</v>
      </c>
      <c r="C310" s="1">
        <v>263.42</v>
      </c>
      <c r="D310" s="1">
        <v>119.34</v>
      </c>
    </row>
    <row r="311" spans="1:4" x14ac:dyDescent="0.25">
      <c r="A311" s="7">
        <v>44413.166666666664</v>
      </c>
      <c r="B311" s="1" t="s">
        <v>74</v>
      </c>
      <c r="C311" s="1">
        <v>1227.74</v>
      </c>
      <c r="D311" s="1">
        <v>253.02</v>
      </c>
    </row>
    <row r="312" spans="1:4" x14ac:dyDescent="0.25">
      <c r="A312" s="7">
        <v>44413.166666666664</v>
      </c>
      <c r="B312" s="1" t="s">
        <v>77</v>
      </c>
      <c r="C312" s="1">
        <v>1667.76</v>
      </c>
      <c r="D312" s="1">
        <v>437.84</v>
      </c>
    </row>
    <row r="313" spans="1:4" x14ac:dyDescent="0.25">
      <c r="A313" s="7">
        <v>44413.166666666664</v>
      </c>
      <c r="B313" s="1" t="s">
        <v>71</v>
      </c>
      <c r="C313" s="1">
        <v>1489.59</v>
      </c>
      <c r="D313" s="1">
        <v>355.71</v>
      </c>
    </row>
    <row r="314" spans="1:4" x14ac:dyDescent="0.25">
      <c r="A314" s="7">
        <v>44413.166666666664</v>
      </c>
      <c r="B314" s="1" t="s">
        <v>69</v>
      </c>
      <c r="C314" s="1">
        <v>674.64</v>
      </c>
      <c r="D314" s="1">
        <v>523.67999999999995</v>
      </c>
    </row>
    <row r="315" spans="1:4" x14ac:dyDescent="0.25">
      <c r="A315" s="7">
        <v>44413.166666666664</v>
      </c>
      <c r="B315" s="1" t="s">
        <v>70</v>
      </c>
      <c r="C315" s="1">
        <v>1380.47</v>
      </c>
      <c r="D315" s="1">
        <v>557.17999999999995</v>
      </c>
    </row>
    <row r="316" spans="1:4" x14ac:dyDescent="0.25">
      <c r="A316" s="7">
        <v>44413.166666666664</v>
      </c>
      <c r="B316" s="1" t="s">
        <v>78</v>
      </c>
      <c r="C316" s="1">
        <v>443.82</v>
      </c>
      <c r="D316" s="1">
        <v>222.36</v>
      </c>
    </row>
    <row r="317" spans="1:4" x14ac:dyDescent="0.25">
      <c r="A317" s="7">
        <v>44413.166666666664</v>
      </c>
      <c r="B317" s="1" t="s">
        <v>76</v>
      </c>
      <c r="C317" s="1">
        <v>2189.7199999999998</v>
      </c>
      <c r="D317" s="1">
        <v>407.05</v>
      </c>
    </row>
    <row r="318" spans="1:4" x14ac:dyDescent="0.25">
      <c r="A318" s="7">
        <v>44413.166666666664</v>
      </c>
      <c r="B318" s="1" t="s">
        <v>72</v>
      </c>
      <c r="C318" s="1">
        <v>1289.24</v>
      </c>
      <c r="D318" s="1">
        <v>737.53</v>
      </c>
    </row>
    <row r="319" spans="1:4" x14ac:dyDescent="0.25">
      <c r="A319" s="7">
        <v>44413.166666666664</v>
      </c>
      <c r="B319" s="1" t="s">
        <v>73</v>
      </c>
      <c r="C319" s="1">
        <v>1045.51</v>
      </c>
      <c r="D319" s="1">
        <v>128.32</v>
      </c>
    </row>
    <row r="320" spans="1:4" x14ac:dyDescent="0.25">
      <c r="A320" s="7">
        <v>44413.166666666664</v>
      </c>
      <c r="B320" s="1" t="s">
        <v>68</v>
      </c>
      <c r="C320" s="1">
        <v>1177.3399999999999</v>
      </c>
      <c r="D320" s="1">
        <v>340.62</v>
      </c>
    </row>
    <row r="321" spans="1:4" x14ac:dyDescent="0.25">
      <c r="A321" s="7">
        <v>44413.208333333336</v>
      </c>
      <c r="B321" s="1" t="s">
        <v>75</v>
      </c>
      <c r="C321" s="1">
        <v>113.77</v>
      </c>
      <c r="D321" s="1">
        <v>39.35</v>
      </c>
    </row>
    <row r="322" spans="1:4" x14ac:dyDescent="0.25">
      <c r="A322" s="7">
        <v>44413.208333333336</v>
      </c>
      <c r="B322" s="1" t="s">
        <v>74</v>
      </c>
      <c r="C322" s="1">
        <v>675.28</v>
      </c>
      <c r="D322" s="1">
        <v>109.74</v>
      </c>
    </row>
    <row r="323" spans="1:4" x14ac:dyDescent="0.25">
      <c r="A323" s="7">
        <v>44413.208333333336</v>
      </c>
      <c r="B323" s="1" t="s">
        <v>72</v>
      </c>
      <c r="C323" s="1">
        <v>597.42999999999995</v>
      </c>
      <c r="D323" s="1">
        <v>288.93</v>
      </c>
    </row>
    <row r="324" spans="1:4" x14ac:dyDescent="0.25">
      <c r="A324" s="7">
        <v>44413.208333333336</v>
      </c>
      <c r="B324" s="1" t="s">
        <v>71</v>
      </c>
      <c r="C324" s="1">
        <v>1246.57</v>
      </c>
      <c r="D324" s="1">
        <v>232.36</v>
      </c>
    </row>
    <row r="325" spans="1:4" x14ac:dyDescent="0.25">
      <c r="A325" s="7">
        <v>44413.208333333336</v>
      </c>
      <c r="B325" s="1" t="s">
        <v>68</v>
      </c>
      <c r="C325" s="1">
        <v>1058.29</v>
      </c>
      <c r="D325" s="1">
        <v>240.44</v>
      </c>
    </row>
    <row r="326" spans="1:4" x14ac:dyDescent="0.25">
      <c r="A326" s="7">
        <v>44413.208333333336</v>
      </c>
      <c r="B326" s="1" t="s">
        <v>77</v>
      </c>
      <c r="C326" s="1">
        <v>1027.5999999999999</v>
      </c>
      <c r="D326" s="1">
        <v>237.24</v>
      </c>
    </row>
    <row r="327" spans="1:4" x14ac:dyDescent="0.25">
      <c r="A327" s="7">
        <v>44413.208333333336</v>
      </c>
      <c r="B327" s="1" t="s">
        <v>70</v>
      </c>
      <c r="C327" s="1">
        <v>574.67999999999995</v>
      </c>
      <c r="D327" s="1">
        <v>203.55</v>
      </c>
    </row>
    <row r="328" spans="1:4" x14ac:dyDescent="0.25">
      <c r="A328" s="7">
        <v>44413.208333333336</v>
      </c>
      <c r="B328" s="1" t="s">
        <v>69</v>
      </c>
      <c r="C328" s="1">
        <v>334.2</v>
      </c>
      <c r="D328" s="1">
        <v>200.1</v>
      </c>
    </row>
    <row r="329" spans="1:4" x14ac:dyDescent="0.25">
      <c r="A329" s="7">
        <v>44413.208333333336</v>
      </c>
      <c r="B329" s="1" t="s">
        <v>78</v>
      </c>
      <c r="C329" s="1">
        <v>197.98</v>
      </c>
      <c r="D329" s="1">
        <v>91.71</v>
      </c>
    </row>
    <row r="330" spans="1:4" x14ac:dyDescent="0.25">
      <c r="A330" s="7">
        <v>44413.208333333336</v>
      </c>
      <c r="B330" s="1" t="s">
        <v>76</v>
      </c>
      <c r="C330" s="1">
        <v>787.38</v>
      </c>
      <c r="D330" s="1">
        <v>169.08</v>
      </c>
    </row>
    <row r="331" spans="1:4" x14ac:dyDescent="0.25">
      <c r="A331" s="7">
        <v>44413.208333333336</v>
      </c>
      <c r="B331" s="1" t="s">
        <v>73</v>
      </c>
      <c r="C331" s="1">
        <v>668.72</v>
      </c>
      <c r="D331" s="1">
        <v>66.010000000000005</v>
      </c>
    </row>
    <row r="332" spans="1:4" x14ac:dyDescent="0.25">
      <c r="A332" s="7">
        <v>44413.25</v>
      </c>
      <c r="B332" s="1" t="s">
        <v>74</v>
      </c>
      <c r="C332" s="1">
        <v>1805.34</v>
      </c>
      <c r="D332" s="1">
        <v>240.16</v>
      </c>
    </row>
    <row r="333" spans="1:4" x14ac:dyDescent="0.25">
      <c r="A333" s="7">
        <v>44413.25</v>
      </c>
      <c r="B333" s="1" t="s">
        <v>78</v>
      </c>
      <c r="C333" s="1">
        <v>300.27999999999997</v>
      </c>
      <c r="D333" s="1">
        <v>125.26</v>
      </c>
    </row>
    <row r="334" spans="1:4" x14ac:dyDescent="0.25">
      <c r="A334" s="7">
        <v>44413.25</v>
      </c>
      <c r="B334" s="1" t="s">
        <v>75</v>
      </c>
      <c r="C334" s="1">
        <v>121.44</v>
      </c>
      <c r="D334" s="1">
        <v>27.63</v>
      </c>
    </row>
    <row r="335" spans="1:4" x14ac:dyDescent="0.25">
      <c r="A335" s="7">
        <v>44413.25</v>
      </c>
      <c r="B335" s="1" t="s">
        <v>73</v>
      </c>
      <c r="C335" s="1">
        <v>1922.08</v>
      </c>
      <c r="D335" s="1">
        <v>171.52</v>
      </c>
    </row>
    <row r="336" spans="1:4" x14ac:dyDescent="0.25">
      <c r="A336" s="7">
        <v>44413.25</v>
      </c>
      <c r="B336" s="1" t="s">
        <v>68</v>
      </c>
      <c r="C336" s="1">
        <v>2901.6</v>
      </c>
      <c r="D336" s="1">
        <v>593.52</v>
      </c>
    </row>
    <row r="337" spans="1:4" x14ac:dyDescent="0.25">
      <c r="A337" s="7">
        <v>44413.25</v>
      </c>
      <c r="B337" s="1" t="s">
        <v>71</v>
      </c>
      <c r="C337" s="1">
        <v>3371.94</v>
      </c>
      <c r="D337" s="1">
        <v>611.11</v>
      </c>
    </row>
    <row r="338" spans="1:4" x14ac:dyDescent="0.25">
      <c r="A338" s="7">
        <v>44413.25</v>
      </c>
      <c r="B338" s="1" t="s">
        <v>70</v>
      </c>
      <c r="C338" s="1">
        <v>1154.33</v>
      </c>
      <c r="D338" s="1">
        <v>377.73</v>
      </c>
    </row>
    <row r="339" spans="1:4" x14ac:dyDescent="0.25">
      <c r="A339" s="7">
        <v>44413.25</v>
      </c>
      <c r="B339" s="1" t="s">
        <v>76</v>
      </c>
      <c r="C339" s="1">
        <v>2328.5100000000002</v>
      </c>
      <c r="D339" s="1">
        <v>381.8</v>
      </c>
    </row>
    <row r="340" spans="1:4" x14ac:dyDescent="0.25">
      <c r="A340" s="7">
        <v>44413.25</v>
      </c>
      <c r="B340" s="1" t="s">
        <v>72</v>
      </c>
      <c r="C340" s="1">
        <v>1049.32</v>
      </c>
      <c r="D340" s="1">
        <v>440.5</v>
      </c>
    </row>
    <row r="341" spans="1:4" x14ac:dyDescent="0.25">
      <c r="A341" s="7">
        <v>44413.25</v>
      </c>
      <c r="B341" s="1" t="s">
        <v>77</v>
      </c>
      <c r="C341" s="1">
        <v>2380.71</v>
      </c>
      <c r="D341" s="1">
        <v>553.79999999999995</v>
      </c>
    </row>
    <row r="342" spans="1:4" x14ac:dyDescent="0.25">
      <c r="A342" s="7">
        <v>44413.25</v>
      </c>
      <c r="B342" s="1" t="s">
        <v>69</v>
      </c>
      <c r="C342" s="1">
        <v>569.03</v>
      </c>
      <c r="D342" s="1">
        <v>299.47000000000003</v>
      </c>
    </row>
    <row r="343" spans="1:4" x14ac:dyDescent="0.25">
      <c r="A343" s="7">
        <v>44413.291666666664</v>
      </c>
      <c r="B343" s="1" t="s">
        <v>74</v>
      </c>
      <c r="C343" s="1">
        <v>3574.83</v>
      </c>
      <c r="D343" s="1">
        <v>465.2</v>
      </c>
    </row>
    <row r="344" spans="1:4" x14ac:dyDescent="0.25">
      <c r="A344" s="7">
        <v>44413.291666666664</v>
      </c>
      <c r="B344" s="1" t="s">
        <v>78</v>
      </c>
      <c r="C344" s="1">
        <v>439.78</v>
      </c>
      <c r="D344" s="1">
        <v>169.77</v>
      </c>
    </row>
    <row r="345" spans="1:4" x14ac:dyDescent="0.25">
      <c r="A345" s="7">
        <v>44413.291666666664</v>
      </c>
      <c r="B345" s="1" t="s">
        <v>75</v>
      </c>
      <c r="C345" s="1">
        <v>229.03</v>
      </c>
      <c r="D345" s="1">
        <v>49.85</v>
      </c>
    </row>
    <row r="346" spans="1:4" x14ac:dyDescent="0.25">
      <c r="A346" s="7">
        <v>44413.291666666664</v>
      </c>
      <c r="B346" s="1" t="s">
        <v>76</v>
      </c>
      <c r="C346" s="1">
        <v>4737.47</v>
      </c>
      <c r="D346" s="1">
        <v>770.15</v>
      </c>
    </row>
    <row r="347" spans="1:4" x14ac:dyDescent="0.25">
      <c r="A347" s="7">
        <v>44413.291666666664</v>
      </c>
      <c r="B347" s="1" t="s">
        <v>73</v>
      </c>
      <c r="C347" s="1">
        <v>3809.5</v>
      </c>
      <c r="D347" s="1">
        <v>392.89</v>
      </c>
    </row>
    <row r="348" spans="1:4" x14ac:dyDescent="0.25">
      <c r="A348" s="7">
        <v>44413.291666666664</v>
      </c>
      <c r="B348" s="1" t="s">
        <v>68</v>
      </c>
      <c r="C348" s="1">
        <v>5070.76</v>
      </c>
      <c r="D348" s="1">
        <v>1179.24</v>
      </c>
    </row>
    <row r="349" spans="1:4" x14ac:dyDescent="0.25">
      <c r="A349" s="7">
        <v>44413.291666666664</v>
      </c>
      <c r="B349" s="1" t="s">
        <v>71</v>
      </c>
      <c r="C349" s="1">
        <v>5761.56</v>
      </c>
      <c r="D349" s="1">
        <v>1217.28</v>
      </c>
    </row>
    <row r="350" spans="1:4" x14ac:dyDescent="0.25">
      <c r="A350" s="7">
        <v>44413.291666666664</v>
      </c>
      <c r="B350" s="1" t="s">
        <v>70</v>
      </c>
      <c r="C350" s="1">
        <v>2367.5500000000002</v>
      </c>
      <c r="D350" s="1">
        <v>796.85</v>
      </c>
    </row>
    <row r="351" spans="1:4" x14ac:dyDescent="0.25">
      <c r="A351" s="7">
        <v>44413.291666666664</v>
      </c>
      <c r="B351" s="1" t="s">
        <v>72</v>
      </c>
      <c r="C351" s="1">
        <v>2175.4499999999998</v>
      </c>
      <c r="D351" s="1">
        <v>935.55</v>
      </c>
    </row>
    <row r="352" spans="1:4" x14ac:dyDescent="0.25">
      <c r="A352" s="7">
        <v>44413.291666666664</v>
      </c>
      <c r="B352" s="1" t="s">
        <v>77</v>
      </c>
      <c r="C352" s="1">
        <v>3844.48</v>
      </c>
      <c r="D352" s="1">
        <v>868.4</v>
      </c>
    </row>
    <row r="353" spans="1:4" x14ac:dyDescent="0.25">
      <c r="A353" s="7">
        <v>44413.291666666664</v>
      </c>
      <c r="B353" s="1" t="s">
        <v>69</v>
      </c>
      <c r="C353" s="1">
        <v>981.8</v>
      </c>
      <c r="D353" s="1">
        <v>542.51</v>
      </c>
    </row>
    <row r="354" spans="1:4" x14ac:dyDescent="0.25">
      <c r="A354" s="7">
        <v>44413.333333333336</v>
      </c>
      <c r="B354" s="1" t="s">
        <v>75</v>
      </c>
      <c r="C354" s="1">
        <v>418.65</v>
      </c>
      <c r="D354" s="1">
        <v>117.67</v>
      </c>
    </row>
    <row r="355" spans="1:4" x14ac:dyDescent="0.25">
      <c r="A355" s="7">
        <v>44413.333333333336</v>
      </c>
      <c r="B355" s="1" t="s">
        <v>74</v>
      </c>
      <c r="C355" s="1">
        <v>5713.57</v>
      </c>
      <c r="D355" s="1">
        <v>785.42</v>
      </c>
    </row>
    <row r="356" spans="1:4" x14ac:dyDescent="0.25">
      <c r="A356" s="7">
        <v>44413.333333333336</v>
      </c>
      <c r="B356" s="1" t="s">
        <v>76</v>
      </c>
      <c r="C356" s="1">
        <v>7933.94</v>
      </c>
      <c r="D356" s="1">
        <v>1442</v>
      </c>
    </row>
    <row r="357" spans="1:4" x14ac:dyDescent="0.25">
      <c r="A357" s="7">
        <v>44413.333333333336</v>
      </c>
      <c r="B357" s="1" t="s">
        <v>77</v>
      </c>
      <c r="C357" s="1">
        <v>6235.03</v>
      </c>
      <c r="D357" s="1">
        <v>1572.31</v>
      </c>
    </row>
    <row r="358" spans="1:4" x14ac:dyDescent="0.25">
      <c r="A358" s="7">
        <v>44413.333333333336</v>
      </c>
      <c r="B358" s="1" t="s">
        <v>71</v>
      </c>
      <c r="C358" s="1">
        <v>7981.48</v>
      </c>
      <c r="D358" s="1">
        <v>1957.5</v>
      </c>
    </row>
    <row r="359" spans="1:4" x14ac:dyDescent="0.25">
      <c r="A359" s="7">
        <v>44413.333333333336</v>
      </c>
      <c r="B359" s="1" t="s">
        <v>70</v>
      </c>
      <c r="C359" s="1">
        <v>4076.67</v>
      </c>
      <c r="D359" s="1">
        <v>1531.65</v>
      </c>
    </row>
    <row r="360" spans="1:4" x14ac:dyDescent="0.25">
      <c r="A360" s="7">
        <v>44413.333333333336</v>
      </c>
      <c r="B360" s="1" t="s">
        <v>69</v>
      </c>
      <c r="C360" s="1">
        <v>1816.37</v>
      </c>
      <c r="D360" s="1">
        <v>1157.1099999999999</v>
      </c>
    </row>
    <row r="361" spans="1:4" x14ac:dyDescent="0.25">
      <c r="A361" s="7">
        <v>44413.333333333336</v>
      </c>
      <c r="B361" s="1" t="s">
        <v>78</v>
      </c>
      <c r="C361" s="1">
        <v>770.25</v>
      </c>
      <c r="D361" s="1">
        <v>334.14</v>
      </c>
    </row>
    <row r="362" spans="1:4" x14ac:dyDescent="0.25">
      <c r="A362" s="7">
        <v>44413.333333333336</v>
      </c>
      <c r="B362" s="1" t="s">
        <v>73</v>
      </c>
      <c r="C362" s="1">
        <v>5794.95</v>
      </c>
      <c r="D362" s="1">
        <v>703.67</v>
      </c>
    </row>
    <row r="363" spans="1:4" x14ac:dyDescent="0.25">
      <c r="A363" s="7">
        <v>44413.333333333336</v>
      </c>
      <c r="B363" s="1" t="s">
        <v>72</v>
      </c>
      <c r="C363" s="1">
        <v>4111.4399999999996</v>
      </c>
      <c r="D363" s="1">
        <v>1976.36</v>
      </c>
    </row>
    <row r="364" spans="1:4" x14ac:dyDescent="0.25">
      <c r="A364" s="7">
        <v>44413.333333333336</v>
      </c>
      <c r="B364" s="1" t="s">
        <v>68</v>
      </c>
      <c r="C364" s="1">
        <v>7346.31</v>
      </c>
      <c r="D364" s="1">
        <v>1935.92</v>
      </c>
    </row>
    <row r="365" spans="1:4" x14ac:dyDescent="0.25">
      <c r="A365" s="7">
        <v>44413.375</v>
      </c>
      <c r="B365" s="1" t="s">
        <v>75</v>
      </c>
      <c r="C365" s="1">
        <v>655.29</v>
      </c>
      <c r="D365" s="1">
        <v>212.15</v>
      </c>
    </row>
    <row r="366" spans="1:4" x14ac:dyDescent="0.25">
      <c r="A366" s="7">
        <v>44413.375</v>
      </c>
      <c r="B366" s="1" t="s">
        <v>74</v>
      </c>
      <c r="C366" s="1">
        <v>7378.68</v>
      </c>
      <c r="D366" s="1">
        <v>1174.1500000000001</v>
      </c>
    </row>
    <row r="367" spans="1:4" x14ac:dyDescent="0.25">
      <c r="A367" s="7">
        <v>44413.375</v>
      </c>
      <c r="B367" s="1" t="s">
        <v>72</v>
      </c>
      <c r="C367" s="1">
        <v>6530.32</v>
      </c>
      <c r="D367" s="1">
        <v>3746.67</v>
      </c>
    </row>
    <row r="368" spans="1:4" x14ac:dyDescent="0.25">
      <c r="A368" s="7">
        <v>44413.375</v>
      </c>
      <c r="B368" s="1" t="s">
        <v>77</v>
      </c>
      <c r="C368" s="1">
        <v>8758.2900000000009</v>
      </c>
      <c r="D368" s="1">
        <v>2485.46</v>
      </c>
    </row>
    <row r="369" spans="1:4" x14ac:dyDescent="0.25">
      <c r="A369" s="7">
        <v>44413.375</v>
      </c>
      <c r="B369" s="1" t="s">
        <v>69</v>
      </c>
      <c r="C369" s="1">
        <v>3115.74</v>
      </c>
      <c r="D369" s="1">
        <v>2456.31</v>
      </c>
    </row>
    <row r="370" spans="1:4" x14ac:dyDescent="0.25">
      <c r="A370" s="7">
        <v>44413.375</v>
      </c>
      <c r="B370" s="1" t="s">
        <v>70</v>
      </c>
      <c r="C370" s="1">
        <v>5711.47</v>
      </c>
      <c r="D370" s="1">
        <v>2335.25</v>
      </c>
    </row>
    <row r="371" spans="1:4" x14ac:dyDescent="0.25">
      <c r="A371" s="7">
        <v>44413.375</v>
      </c>
      <c r="B371" s="1" t="s">
        <v>78</v>
      </c>
      <c r="C371" s="1">
        <v>1264.83</v>
      </c>
      <c r="D371" s="1">
        <v>651.89</v>
      </c>
    </row>
    <row r="372" spans="1:4" x14ac:dyDescent="0.25">
      <c r="A372" s="7">
        <v>44413.375</v>
      </c>
      <c r="B372" s="1" t="s">
        <v>76</v>
      </c>
      <c r="C372" s="1">
        <v>10902.81</v>
      </c>
      <c r="D372" s="1">
        <v>2227.16</v>
      </c>
    </row>
    <row r="373" spans="1:4" x14ac:dyDescent="0.25">
      <c r="A373" s="7">
        <v>44413.375</v>
      </c>
      <c r="B373" s="1" t="s">
        <v>73</v>
      </c>
      <c r="C373" s="1">
        <v>7247.66</v>
      </c>
      <c r="D373" s="1">
        <v>1014.71</v>
      </c>
    </row>
    <row r="374" spans="1:4" x14ac:dyDescent="0.25">
      <c r="A374" s="7">
        <v>44413.375</v>
      </c>
      <c r="B374" s="1" t="s">
        <v>68</v>
      </c>
      <c r="C374" s="1">
        <v>9101.3799999999992</v>
      </c>
      <c r="D374" s="1">
        <v>2713.02</v>
      </c>
    </row>
    <row r="375" spans="1:4" x14ac:dyDescent="0.25">
      <c r="A375" s="7">
        <v>44413.375</v>
      </c>
      <c r="B375" s="1" t="s">
        <v>71</v>
      </c>
      <c r="C375" s="1">
        <v>9607.7999999999993</v>
      </c>
      <c r="D375" s="1">
        <v>2603.0100000000002</v>
      </c>
    </row>
    <row r="376" spans="1:4" x14ac:dyDescent="0.25">
      <c r="A376" s="7">
        <v>44413.416666666664</v>
      </c>
      <c r="B376" s="1" t="s">
        <v>74</v>
      </c>
      <c r="C376" s="1">
        <v>8225.16</v>
      </c>
      <c r="D376" s="1">
        <v>1700.4</v>
      </c>
    </row>
    <row r="377" spans="1:4" x14ac:dyDescent="0.25">
      <c r="A377" s="7">
        <v>44413.416666666664</v>
      </c>
      <c r="B377" s="1" t="s">
        <v>75</v>
      </c>
      <c r="C377" s="1">
        <v>871.17</v>
      </c>
      <c r="D377" s="1">
        <v>325.45</v>
      </c>
    </row>
    <row r="378" spans="1:4" x14ac:dyDescent="0.25">
      <c r="A378" s="7">
        <v>44413.416666666664</v>
      </c>
      <c r="B378" s="1" t="s">
        <v>73</v>
      </c>
      <c r="C378" s="1">
        <v>7985.61</v>
      </c>
      <c r="D378" s="1">
        <v>1214.0999999999999</v>
      </c>
    </row>
    <row r="379" spans="1:4" x14ac:dyDescent="0.25">
      <c r="A379" s="7">
        <v>44413.416666666664</v>
      </c>
      <c r="B379" s="1" t="s">
        <v>77</v>
      </c>
      <c r="C379" s="1">
        <v>10550.49</v>
      </c>
      <c r="D379" s="1">
        <v>3180.77</v>
      </c>
    </row>
    <row r="380" spans="1:4" x14ac:dyDescent="0.25">
      <c r="A380" s="7">
        <v>44413.416666666664</v>
      </c>
      <c r="B380" s="1" t="s">
        <v>71</v>
      </c>
      <c r="C380" s="1">
        <v>10569.62</v>
      </c>
      <c r="D380" s="1">
        <v>3013.18</v>
      </c>
    </row>
    <row r="381" spans="1:4" x14ac:dyDescent="0.25">
      <c r="A381" s="7">
        <v>44413.416666666664</v>
      </c>
      <c r="B381" s="1" t="s">
        <v>69</v>
      </c>
      <c r="C381" s="1">
        <v>4469.58</v>
      </c>
      <c r="D381" s="1">
        <v>4104.28</v>
      </c>
    </row>
    <row r="382" spans="1:4" x14ac:dyDescent="0.25">
      <c r="A382" s="7">
        <v>44413.416666666664</v>
      </c>
      <c r="B382" s="1" t="s">
        <v>70</v>
      </c>
      <c r="C382" s="1">
        <v>6853.63</v>
      </c>
      <c r="D382" s="1">
        <v>2958.45</v>
      </c>
    </row>
    <row r="383" spans="1:4" x14ac:dyDescent="0.25">
      <c r="A383" s="7">
        <v>44413.416666666664</v>
      </c>
      <c r="B383" s="1" t="s">
        <v>78</v>
      </c>
      <c r="C383" s="1">
        <v>1755.5</v>
      </c>
      <c r="D383" s="1">
        <v>1018.63</v>
      </c>
    </row>
    <row r="384" spans="1:4" x14ac:dyDescent="0.25">
      <c r="A384" s="7">
        <v>44413.416666666664</v>
      </c>
      <c r="B384" s="1" t="s">
        <v>76</v>
      </c>
      <c r="C384" s="1">
        <v>12467.89</v>
      </c>
      <c r="D384" s="1">
        <v>2856.52</v>
      </c>
    </row>
    <row r="385" spans="1:4" x14ac:dyDescent="0.25">
      <c r="A385" s="7">
        <v>44413.416666666664</v>
      </c>
      <c r="B385" s="1" t="s">
        <v>72</v>
      </c>
      <c r="C385" s="1">
        <v>8817.36</v>
      </c>
      <c r="D385" s="1">
        <v>5718.77</v>
      </c>
    </row>
    <row r="386" spans="1:4" x14ac:dyDescent="0.25">
      <c r="A386" s="7">
        <v>44413.416666666664</v>
      </c>
      <c r="B386" s="1" t="s">
        <v>68</v>
      </c>
      <c r="C386" s="1">
        <v>9741.39</v>
      </c>
      <c r="D386" s="1">
        <v>3282.87</v>
      </c>
    </row>
    <row r="387" spans="1:4" x14ac:dyDescent="0.25">
      <c r="A387" s="7">
        <v>44413.458333333336</v>
      </c>
      <c r="B387" s="1" t="s">
        <v>75</v>
      </c>
      <c r="C387" s="1">
        <v>1000.19</v>
      </c>
      <c r="D387" s="1">
        <v>417.77</v>
      </c>
    </row>
    <row r="388" spans="1:4" x14ac:dyDescent="0.25">
      <c r="A388" s="7">
        <v>44413.458333333336</v>
      </c>
      <c r="B388" s="1" t="s">
        <v>74</v>
      </c>
      <c r="C388" s="1">
        <v>8262.09</v>
      </c>
      <c r="D388" s="1">
        <v>1857.41</v>
      </c>
    </row>
    <row r="389" spans="1:4" x14ac:dyDescent="0.25">
      <c r="A389" s="7">
        <v>44413.458333333336</v>
      </c>
      <c r="B389" s="1" t="s">
        <v>73</v>
      </c>
      <c r="C389" s="1">
        <v>7770.9</v>
      </c>
      <c r="D389" s="1">
        <v>1218.1400000000001</v>
      </c>
    </row>
    <row r="390" spans="1:4" x14ac:dyDescent="0.25">
      <c r="A390" s="7">
        <v>44413.458333333336</v>
      </c>
      <c r="B390" s="1" t="s">
        <v>68</v>
      </c>
      <c r="C390" s="1">
        <v>9364.4699999999993</v>
      </c>
      <c r="D390" s="1">
        <v>3357.19</v>
      </c>
    </row>
    <row r="391" spans="1:4" x14ac:dyDescent="0.25">
      <c r="A391" s="7">
        <v>44413.458333333336</v>
      </c>
      <c r="B391" s="1" t="s">
        <v>71</v>
      </c>
      <c r="C391" s="1">
        <v>10271.17</v>
      </c>
      <c r="D391" s="1">
        <v>3012.56</v>
      </c>
    </row>
    <row r="392" spans="1:4" x14ac:dyDescent="0.25">
      <c r="A392" s="7">
        <v>44413.458333333336</v>
      </c>
      <c r="B392" s="1" t="s">
        <v>77</v>
      </c>
      <c r="C392" s="1">
        <v>10992.2</v>
      </c>
      <c r="D392" s="1">
        <v>3372.85</v>
      </c>
    </row>
    <row r="393" spans="1:4" x14ac:dyDescent="0.25">
      <c r="A393" s="7">
        <v>44413.458333333336</v>
      </c>
      <c r="B393" s="1" t="s">
        <v>70</v>
      </c>
      <c r="C393" s="1">
        <v>7039.27</v>
      </c>
      <c r="D393" s="1">
        <v>3187.66</v>
      </c>
    </row>
    <row r="394" spans="1:4" x14ac:dyDescent="0.25">
      <c r="A394" s="7">
        <v>44413.458333333336</v>
      </c>
      <c r="B394" s="1" t="s">
        <v>78</v>
      </c>
      <c r="C394" s="1">
        <v>1958.13</v>
      </c>
      <c r="D394" s="1">
        <v>1252.9000000000001</v>
      </c>
    </row>
    <row r="395" spans="1:4" x14ac:dyDescent="0.25">
      <c r="A395" s="7">
        <v>44413.458333333336</v>
      </c>
      <c r="B395" s="1" t="s">
        <v>76</v>
      </c>
      <c r="C395" s="1">
        <v>12737.86</v>
      </c>
      <c r="D395" s="1">
        <v>3060.26</v>
      </c>
    </row>
    <row r="396" spans="1:4" x14ac:dyDescent="0.25">
      <c r="A396" s="7">
        <v>44413.458333333336</v>
      </c>
      <c r="B396" s="1" t="s">
        <v>72</v>
      </c>
      <c r="C396" s="1">
        <v>9772.8799999999992</v>
      </c>
      <c r="D396" s="1">
        <v>6894.15</v>
      </c>
    </row>
    <row r="397" spans="1:4" x14ac:dyDescent="0.25">
      <c r="A397" s="7">
        <v>44413.458333333336</v>
      </c>
      <c r="B397" s="1" t="s">
        <v>69</v>
      </c>
      <c r="C397" s="1">
        <v>5140.3500000000004</v>
      </c>
      <c r="D397" s="1">
        <v>5104.67</v>
      </c>
    </row>
    <row r="398" spans="1:4" x14ac:dyDescent="0.25">
      <c r="A398" s="7">
        <v>44413.5</v>
      </c>
      <c r="B398" s="1" t="s">
        <v>75</v>
      </c>
      <c r="C398" s="1">
        <v>1009.4</v>
      </c>
      <c r="D398" s="1">
        <v>441.42</v>
      </c>
    </row>
    <row r="399" spans="1:4" x14ac:dyDescent="0.25">
      <c r="A399" s="7">
        <v>44413.5</v>
      </c>
      <c r="B399" s="1" t="s">
        <v>78</v>
      </c>
      <c r="C399" s="1">
        <v>1938.64</v>
      </c>
      <c r="D399" s="1">
        <v>1268.53</v>
      </c>
    </row>
    <row r="400" spans="1:4" x14ac:dyDescent="0.25">
      <c r="A400" s="7">
        <v>44413.5</v>
      </c>
      <c r="B400" s="1" t="s">
        <v>74</v>
      </c>
      <c r="C400" s="1">
        <v>7574.91</v>
      </c>
      <c r="D400" s="1">
        <v>1785.21</v>
      </c>
    </row>
    <row r="401" spans="1:4" x14ac:dyDescent="0.25">
      <c r="A401" s="7">
        <v>44413.5</v>
      </c>
      <c r="B401" s="1" t="s">
        <v>76</v>
      </c>
      <c r="C401" s="1">
        <v>11859.24</v>
      </c>
      <c r="D401" s="1">
        <v>2941.67</v>
      </c>
    </row>
    <row r="402" spans="1:4" x14ac:dyDescent="0.25">
      <c r="A402" s="7">
        <v>44413.5</v>
      </c>
      <c r="B402" s="1" t="s">
        <v>68</v>
      </c>
      <c r="C402" s="1">
        <v>8492.94</v>
      </c>
      <c r="D402" s="1">
        <v>3060.75</v>
      </c>
    </row>
    <row r="403" spans="1:4" x14ac:dyDescent="0.25">
      <c r="A403" s="7">
        <v>44413.5</v>
      </c>
      <c r="B403" s="1" t="s">
        <v>71</v>
      </c>
      <c r="C403" s="1">
        <v>9344.5400000000009</v>
      </c>
      <c r="D403" s="1">
        <v>2760.81</v>
      </c>
    </row>
    <row r="404" spans="1:4" x14ac:dyDescent="0.25">
      <c r="A404" s="7">
        <v>44413.5</v>
      </c>
      <c r="B404" s="1" t="s">
        <v>69</v>
      </c>
      <c r="C404" s="1">
        <v>4984.49</v>
      </c>
      <c r="D404" s="1">
        <v>5162.91</v>
      </c>
    </row>
    <row r="405" spans="1:4" x14ac:dyDescent="0.25">
      <c r="A405" s="7">
        <v>44413.5</v>
      </c>
      <c r="B405" s="1" t="s">
        <v>72</v>
      </c>
      <c r="C405" s="1">
        <v>9430.59</v>
      </c>
      <c r="D405" s="1">
        <v>6881.21</v>
      </c>
    </row>
    <row r="406" spans="1:4" x14ac:dyDescent="0.25">
      <c r="A406" s="7">
        <v>44413.5</v>
      </c>
      <c r="B406" s="1" t="s">
        <v>73</v>
      </c>
      <c r="C406" s="1">
        <v>7070.6</v>
      </c>
      <c r="D406" s="1">
        <v>1098.94</v>
      </c>
    </row>
    <row r="407" spans="1:4" x14ac:dyDescent="0.25">
      <c r="A407" s="7">
        <v>44413.5</v>
      </c>
      <c r="B407" s="1" t="s">
        <v>77</v>
      </c>
      <c r="C407" s="1">
        <v>10399.129999999999</v>
      </c>
      <c r="D407" s="1">
        <v>3210.82</v>
      </c>
    </row>
    <row r="408" spans="1:4" x14ac:dyDescent="0.25">
      <c r="A408" s="7">
        <v>44413.5</v>
      </c>
      <c r="B408" s="1" t="s">
        <v>70</v>
      </c>
      <c r="C408" s="1">
        <v>6518.27</v>
      </c>
      <c r="D408" s="1">
        <v>2984.52</v>
      </c>
    </row>
    <row r="409" spans="1:4" x14ac:dyDescent="0.25">
      <c r="A409" s="7">
        <v>44413.541666666664</v>
      </c>
      <c r="B409" s="1" t="s">
        <v>75</v>
      </c>
      <c r="C409" s="1">
        <v>893.81</v>
      </c>
      <c r="D409" s="1">
        <v>375.58</v>
      </c>
    </row>
    <row r="410" spans="1:4" x14ac:dyDescent="0.25">
      <c r="A410" s="7">
        <v>44413.541666666664</v>
      </c>
      <c r="B410" s="1" t="s">
        <v>74</v>
      </c>
      <c r="C410" s="1">
        <v>6912.27</v>
      </c>
      <c r="D410" s="1">
        <v>1532.47</v>
      </c>
    </row>
    <row r="411" spans="1:4" x14ac:dyDescent="0.25">
      <c r="A411" s="7">
        <v>44413.541666666664</v>
      </c>
      <c r="B411" s="1" t="s">
        <v>78</v>
      </c>
      <c r="C411" s="1">
        <v>1886.71</v>
      </c>
      <c r="D411" s="1">
        <v>1180.47</v>
      </c>
    </row>
    <row r="412" spans="1:4" x14ac:dyDescent="0.25">
      <c r="A412" s="7">
        <v>44413.541666666664</v>
      </c>
      <c r="B412" s="1" t="s">
        <v>76</v>
      </c>
      <c r="C412" s="1">
        <v>11039.75</v>
      </c>
      <c r="D412" s="1">
        <v>2667.27</v>
      </c>
    </row>
    <row r="413" spans="1:4" x14ac:dyDescent="0.25">
      <c r="A413" s="7">
        <v>44413.541666666664</v>
      </c>
      <c r="B413" s="1" t="s">
        <v>72</v>
      </c>
      <c r="C413" s="1">
        <v>7994.03</v>
      </c>
      <c r="D413" s="1">
        <v>5892.56</v>
      </c>
    </row>
    <row r="414" spans="1:4" x14ac:dyDescent="0.25">
      <c r="A414" s="7">
        <v>44413.541666666664</v>
      </c>
      <c r="B414" s="1" t="s">
        <v>68</v>
      </c>
      <c r="C414" s="1">
        <v>6924.48</v>
      </c>
      <c r="D414" s="1">
        <v>2473.75</v>
      </c>
    </row>
    <row r="415" spans="1:4" x14ac:dyDescent="0.25">
      <c r="A415" s="7">
        <v>44413.541666666664</v>
      </c>
      <c r="B415" s="1" t="s">
        <v>70</v>
      </c>
      <c r="C415" s="1">
        <v>5397.92</v>
      </c>
      <c r="D415" s="1">
        <v>2450.1799999999998</v>
      </c>
    </row>
    <row r="416" spans="1:4" x14ac:dyDescent="0.25">
      <c r="A416" s="7">
        <v>44413.541666666664</v>
      </c>
      <c r="B416" s="1" t="s">
        <v>69</v>
      </c>
      <c r="C416" s="1">
        <v>4484.3500000000004</v>
      </c>
      <c r="D416" s="1">
        <v>4477.4799999999996</v>
      </c>
    </row>
    <row r="417" spans="1:4" x14ac:dyDescent="0.25">
      <c r="A417" s="7">
        <v>44413.541666666664</v>
      </c>
      <c r="B417" s="1" t="s">
        <v>73</v>
      </c>
      <c r="C417" s="1">
        <v>5783.69</v>
      </c>
      <c r="D417" s="1">
        <v>847.78</v>
      </c>
    </row>
    <row r="418" spans="1:4" x14ac:dyDescent="0.25">
      <c r="A418" s="7">
        <v>44413.541666666664</v>
      </c>
      <c r="B418" s="1" t="s">
        <v>77</v>
      </c>
      <c r="C418" s="1">
        <v>10556.69</v>
      </c>
      <c r="D418" s="1">
        <v>3244.37</v>
      </c>
    </row>
    <row r="419" spans="1:4" x14ac:dyDescent="0.25">
      <c r="A419" s="7">
        <v>44413.541666666664</v>
      </c>
      <c r="B419" s="1" t="s">
        <v>71</v>
      </c>
      <c r="C419" s="1">
        <v>7574.21</v>
      </c>
      <c r="D419" s="1">
        <v>2191.14</v>
      </c>
    </row>
    <row r="420" spans="1:4" x14ac:dyDescent="0.25">
      <c r="A420" s="7">
        <v>44413.583333333336</v>
      </c>
      <c r="B420" s="1" t="s">
        <v>74</v>
      </c>
      <c r="C420" s="1">
        <v>7340.29</v>
      </c>
      <c r="D420" s="1">
        <v>1642.54</v>
      </c>
    </row>
    <row r="421" spans="1:4" x14ac:dyDescent="0.25">
      <c r="A421" s="7">
        <v>44413.583333333336</v>
      </c>
      <c r="B421" s="1" t="s">
        <v>75</v>
      </c>
      <c r="C421" s="1">
        <v>996.73</v>
      </c>
      <c r="D421" s="1">
        <v>442.87</v>
      </c>
    </row>
    <row r="422" spans="1:4" x14ac:dyDescent="0.25">
      <c r="A422" s="7">
        <v>44413.583333333336</v>
      </c>
      <c r="B422" s="1" t="s">
        <v>76</v>
      </c>
      <c r="C422" s="1">
        <v>10987.59</v>
      </c>
      <c r="D422" s="1">
        <v>2722.29</v>
      </c>
    </row>
    <row r="423" spans="1:4" x14ac:dyDescent="0.25">
      <c r="A423" s="7">
        <v>44413.583333333336</v>
      </c>
      <c r="B423" s="1" t="s">
        <v>73</v>
      </c>
      <c r="C423" s="1">
        <v>6464.74</v>
      </c>
      <c r="D423" s="1">
        <v>936.46</v>
      </c>
    </row>
    <row r="424" spans="1:4" x14ac:dyDescent="0.25">
      <c r="A424" s="7">
        <v>44413.583333333336</v>
      </c>
      <c r="B424" s="1" t="s">
        <v>72</v>
      </c>
      <c r="C424" s="1">
        <v>8616.18</v>
      </c>
      <c r="D424" s="1">
        <v>6279.51</v>
      </c>
    </row>
    <row r="425" spans="1:4" x14ac:dyDescent="0.25">
      <c r="A425" s="7">
        <v>44413.583333333336</v>
      </c>
      <c r="B425" s="1" t="s">
        <v>71</v>
      </c>
      <c r="C425" s="1">
        <v>8318.52</v>
      </c>
      <c r="D425" s="1">
        <v>2333.84</v>
      </c>
    </row>
    <row r="426" spans="1:4" x14ac:dyDescent="0.25">
      <c r="A426" s="7">
        <v>44413.583333333336</v>
      </c>
      <c r="B426" s="1" t="s">
        <v>77</v>
      </c>
      <c r="C426" s="1">
        <v>9668.7800000000007</v>
      </c>
      <c r="D426" s="1">
        <v>2972.37</v>
      </c>
    </row>
    <row r="427" spans="1:4" x14ac:dyDescent="0.25">
      <c r="A427" s="7">
        <v>44413.583333333336</v>
      </c>
      <c r="B427" s="1" t="s">
        <v>70</v>
      </c>
      <c r="C427" s="1">
        <v>5949.33</v>
      </c>
      <c r="D427" s="1">
        <v>2642.18</v>
      </c>
    </row>
    <row r="428" spans="1:4" x14ac:dyDescent="0.25">
      <c r="A428" s="7">
        <v>44413.583333333336</v>
      </c>
      <c r="B428" s="1" t="s">
        <v>69</v>
      </c>
      <c r="C428" s="1">
        <v>4576.1400000000003</v>
      </c>
      <c r="D428" s="1">
        <v>4638.66</v>
      </c>
    </row>
    <row r="429" spans="1:4" x14ac:dyDescent="0.25">
      <c r="A429" s="7">
        <v>44413.583333333336</v>
      </c>
      <c r="B429" s="1" t="s">
        <v>78</v>
      </c>
      <c r="C429" s="1">
        <v>1883.76</v>
      </c>
      <c r="D429" s="1">
        <v>1205.22</v>
      </c>
    </row>
    <row r="430" spans="1:4" x14ac:dyDescent="0.25">
      <c r="A430" s="7">
        <v>44413.583333333336</v>
      </c>
      <c r="B430" s="1" t="s">
        <v>68</v>
      </c>
      <c r="C430" s="1">
        <v>7873.96</v>
      </c>
      <c r="D430" s="1">
        <v>2675.99</v>
      </c>
    </row>
    <row r="431" spans="1:4" x14ac:dyDescent="0.25">
      <c r="A431" s="7">
        <v>44413.625</v>
      </c>
      <c r="B431" s="1" t="s">
        <v>74</v>
      </c>
      <c r="C431" s="1">
        <v>7179.52</v>
      </c>
      <c r="D431" s="1">
        <v>1612.42</v>
      </c>
    </row>
    <row r="432" spans="1:4" x14ac:dyDescent="0.25">
      <c r="A432" s="7">
        <v>44413.625</v>
      </c>
      <c r="B432" s="1" t="s">
        <v>75</v>
      </c>
      <c r="C432" s="1">
        <v>985.67</v>
      </c>
      <c r="D432" s="1">
        <v>450.63</v>
      </c>
    </row>
    <row r="433" spans="1:4" x14ac:dyDescent="0.25">
      <c r="A433" s="7">
        <v>44413.625</v>
      </c>
      <c r="B433" s="1" t="s">
        <v>73</v>
      </c>
      <c r="C433" s="1">
        <v>6602.33</v>
      </c>
      <c r="D433" s="1">
        <v>955.88</v>
      </c>
    </row>
    <row r="434" spans="1:4" x14ac:dyDescent="0.25">
      <c r="A434" s="7">
        <v>44413.625</v>
      </c>
      <c r="B434" s="1" t="s">
        <v>77</v>
      </c>
      <c r="C434" s="1">
        <v>9596.73</v>
      </c>
      <c r="D434" s="1">
        <v>2953.38</v>
      </c>
    </row>
    <row r="435" spans="1:4" x14ac:dyDescent="0.25">
      <c r="A435" s="7">
        <v>44413.625</v>
      </c>
      <c r="B435" s="1" t="s">
        <v>71</v>
      </c>
      <c r="C435" s="1">
        <v>8612.68</v>
      </c>
      <c r="D435" s="1">
        <v>2392.5100000000002</v>
      </c>
    </row>
    <row r="436" spans="1:4" x14ac:dyDescent="0.25">
      <c r="A436" s="7">
        <v>44413.625</v>
      </c>
      <c r="B436" s="1" t="s">
        <v>70</v>
      </c>
      <c r="C436" s="1">
        <v>5997.49</v>
      </c>
      <c r="D436" s="1">
        <v>2697.09</v>
      </c>
    </row>
    <row r="437" spans="1:4" x14ac:dyDescent="0.25">
      <c r="A437" s="7">
        <v>44413.625</v>
      </c>
      <c r="B437" s="1" t="s">
        <v>78</v>
      </c>
      <c r="C437" s="1">
        <v>1804.5</v>
      </c>
      <c r="D437" s="1">
        <v>1160.42</v>
      </c>
    </row>
    <row r="438" spans="1:4" x14ac:dyDescent="0.25">
      <c r="A438" s="7">
        <v>44413.625</v>
      </c>
      <c r="B438" s="1" t="s">
        <v>76</v>
      </c>
      <c r="C438" s="1">
        <v>11045.18</v>
      </c>
      <c r="D438" s="1">
        <v>2716.08</v>
      </c>
    </row>
    <row r="439" spans="1:4" x14ac:dyDescent="0.25">
      <c r="A439" s="7">
        <v>44413.625</v>
      </c>
      <c r="B439" s="1" t="s">
        <v>72</v>
      </c>
      <c r="C439" s="1">
        <v>8429.4699999999993</v>
      </c>
      <c r="D439" s="1">
        <v>6135.51</v>
      </c>
    </row>
    <row r="440" spans="1:4" x14ac:dyDescent="0.25">
      <c r="A440" s="7">
        <v>44413.625</v>
      </c>
      <c r="B440" s="1" t="s">
        <v>68</v>
      </c>
      <c r="C440" s="1">
        <v>8074.08</v>
      </c>
      <c r="D440" s="1">
        <v>2657.76</v>
      </c>
    </row>
    <row r="441" spans="1:4" x14ac:dyDescent="0.25">
      <c r="A441" s="7">
        <v>44413.625</v>
      </c>
      <c r="B441" s="1" t="s">
        <v>69</v>
      </c>
      <c r="C441" s="1">
        <v>4419.3599999999997</v>
      </c>
      <c r="D441" s="1">
        <v>4452.93</v>
      </c>
    </row>
    <row r="442" spans="1:4" x14ac:dyDescent="0.25">
      <c r="A442" s="7">
        <v>44413.666666666664</v>
      </c>
      <c r="B442" s="1" t="s">
        <v>75</v>
      </c>
      <c r="C442" s="1">
        <v>915.76</v>
      </c>
      <c r="D442" s="1">
        <v>417.61</v>
      </c>
    </row>
    <row r="443" spans="1:4" x14ac:dyDescent="0.25">
      <c r="A443" s="7">
        <v>44413.666666666664</v>
      </c>
      <c r="B443" s="1" t="s">
        <v>74</v>
      </c>
      <c r="C443" s="1">
        <v>6736.15</v>
      </c>
      <c r="D443" s="1">
        <v>1563.93</v>
      </c>
    </row>
    <row r="444" spans="1:4" x14ac:dyDescent="0.25">
      <c r="A444" s="7">
        <v>44413.666666666664</v>
      </c>
      <c r="B444" s="1" t="s">
        <v>73</v>
      </c>
      <c r="C444" s="1">
        <v>6321.12</v>
      </c>
      <c r="D444" s="1">
        <v>979.31</v>
      </c>
    </row>
    <row r="445" spans="1:4" x14ac:dyDescent="0.25">
      <c r="A445" s="7">
        <v>44413.666666666664</v>
      </c>
      <c r="B445" s="1" t="s">
        <v>77</v>
      </c>
      <c r="C445" s="1">
        <v>9339.6200000000008</v>
      </c>
      <c r="D445" s="1">
        <v>2896.13</v>
      </c>
    </row>
    <row r="446" spans="1:4" x14ac:dyDescent="0.25">
      <c r="A446" s="7">
        <v>44413.666666666664</v>
      </c>
      <c r="B446" s="1" t="s">
        <v>71</v>
      </c>
      <c r="C446" s="1">
        <v>7879.96</v>
      </c>
      <c r="D446" s="1">
        <v>2312.9</v>
      </c>
    </row>
    <row r="447" spans="1:4" x14ac:dyDescent="0.25">
      <c r="A447" s="7">
        <v>44413.666666666664</v>
      </c>
      <c r="B447" s="1" t="s">
        <v>69</v>
      </c>
      <c r="C447" s="1">
        <v>4103.29</v>
      </c>
      <c r="D447" s="1">
        <v>4117.46</v>
      </c>
    </row>
    <row r="448" spans="1:4" x14ac:dyDescent="0.25">
      <c r="A448" s="7">
        <v>44413.666666666664</v>
      </c>
      <c r="B448" s="1" t="s">
        <v>70</v>
      </c>
      <c r="C448" s="1">
        <v>5568.64</v>
      </c>
      <c r="D448" s="1">
        <v>2504.91</v>
      </c>
    </row>
    <row r="449" spans="1:4" x14ac:dyDescent="0.25">
      <c r="A449" s="7">
        <v>44413.666666666664</v>
      </c>
      <c r="B449" s="1" t="s">
        <v>78</v>
      </c>
      <c r="C449" s="1">
        <v>1691.75</v>
      </c>
      <c r="D449" s="1">
        <v>1069.6199999999999</v>
      </c>
    </row>
    <row r="450" spans="1:4" x14ac:dyDescent="0.25">
      <c r="A450" s="7">
        <v>44413.666666666664</v>
      </c>
      <c r="B450" s="1" t="s">
        <v>76</v>
      </c>
      <c r="C450" s="1">
        <v>10304.42</v>
      </c>
      <c r="D450" s="1">
        <v>2587.7199999999998</v>
      </c>
    </row>
    <row r="451" spans="1:4" x14ac:dyDescent="0.25">
      <c r="A451" s="7">
        <v>44413.666666666664</v>
      </c>
      <c r="B451" s="1" t="s">
        <v>72</v>
      </c>
      <c r="C451" s="1">
        <v>7887.59</v>
      </c>
      <c r="D451" s="1">
        <v>5703.67</v>
      </c>
    </row>
    <row r="452" spans="1:4" x14ac:dyDescent="0.25">
      <c r="A452" s="7">
        <v>44413.666666666664</v>
      </c>
      <c r="B452" s="1" t="s">
        <v>68</v>
      </c>
      <c r="C452" s="1">
        <v>7646.43</v>
      </c>
      <c r="D452" s="1">
        <v>2635.42</v>
      </c>
    </row>
    <row r="453" spans="1:4" x14ac:dyDescent="0.25">
      <c r="A453" s="7">
        <v>44413.708333333336</v>
      </c>
      <c r="B453" s="1" t="s">
        <v>75</v>
      </c>
      <c r="C453" s="1">
        <v>877.59</v>
      </c>
      <c r="D453" s="1">
        <v>393.64</v>
      </c>
    </row>
    <row r="454" spans="1:4" x14ac:dyDescent="0.25">
      <c r="A454" s="7">
        <v>44413.708333333336</v>
      </c>
      <c r="B454" s="1" t="s">
        <v>74</v>
      </c>
      <c r="C454" s="1">
        <v>7004.79</v>
      </c>
      <c r="D454" s="1">
        <v>1556.95</v>
      </c>
    </row>
    <row r="455" spans="1:4" x14ac:dyDescent="0.25">
      <c r="A455" s="7">
        <v>44413.708333333336</v>
      </c>
      <c r="B455" s="1" t="s">
        <v>68</v>
      </c>
      <c r="C455" s="1">
        <v>7632.4</v>
      </c>
      <c r="D455" s="1">
        <v>2708.79</v>
      </c>
    </row>
    <row r="456" spans="1:4" x14ac:dyDescent="0.25">
      <c r="A456" s="7">
        <v>44413.708333333336</v>
      </c>
      <c r="B456" s="1" t="s">
        <v>77</v>
      </c>
      <c r="C456" s="1">
        <v>9892.5300000000007</v>
      </c>
      <c r="D456" s="1">
        <v>3125.03</v>
      </c>
    </row>
    <row r="457" spans="1:4" x14ac:dyDescent="0.25">
      <c r="A457" s="7">
        <v>44413.708333333336</v>
      </c>
      <c r="B457" s="1" t="s">
        <v>71</v>
      </c>
      <c r="C457" s="1">
        <v>7706.8</v>
      </c>
      <c r="D457" s="1">
        <v>2422.9699999999998</v>
      </c>
    </row>
    <row r="458" spans="1:4" x14ac:dyDescent="0.25">
      <c r="A458" s="7">
        <v>44413.708333333336</v>
      </c>
      <c r="B458" s="1" t="s">
        <v>70</v>
      </c>
      <c r="C458" s="1">
        <v>5503.46</v>
      </c>
      <c r="D458" s="1">
        <v>2558.87</v>
      </c>
    </row>
    <row r="459" spans="1:4" x14ac:dyDescent="0.25">
      <c r="A459" s="7">
        <v>44413.708333333336</v>
      </c>
      <c r="B459" s="1" t="s">
        <v>69</v>
      </c>
      <c r="C459" s="1">
        <v>4066.65</v>
      </c>
      <c r="D459" s="1">
        <v>3947.09</v>
      </c>
    </row>
    <row r="460" spans="1:4" x14ac:dyDescent="0.25">
      <c r="A460" s="7">
        <v>44413.708333333336</v>
      </c>
      <c r="B460" s="1" t="s">
        <v>78</v>
      </c>
      <c r="C460" s="1">
        <v>1769.25</v>
      </c>
      <c r="D460" s="1">
        <v>1085.21</v>
      </c>
    </row>
    <row r="461" spans="1:4" x14ac:dyDescent="0.25">
      <c r="A461" s="7">
        <v>44413.708333333336</v>
      </c>
      <c r="B461" s="1" t="s">
        <v>76</v>
      </c>
      <c r="C461" s="1">
        <v>10153.74</v>
      </c>
      <c r="D461" s="1">
        <v>2626.92</v>
      </c>
    </row>
    <row r="462" spans="1:4" x14ac:dyDescent="0.25">
      <c r="A462" s="7">
        <v>44413.708333333336</v>
      </c>
      <c r="B462" s="1" t="s">
        <v>73</v>
      </c>
      <c r="C462" s="1">
        <v>6417.96</v>
      </c>
      <c r="D462" s="1">
        <v>1026.0999999999999</v>
      </c>
    </row>
    <row r="463" spans="1:4" x14ac:dyDescent="0.25">
      <c r="A463" s="7">
        <v>44413.708333333336</v>
      </c>
      <c r="B463" s="1" t="s">
        <v>72</v>
      </c>
      <c r="C463" s="1">
        <v>7759.7</v>
      </c>
      <c r="D463" s="1">
        <v>5591.54</v>
      </c>
    </row>
    <row r="464" spans="1:4" x14ac:dyDescent="0.25">
      <c r="A464" s="7">
        <v>44413.75</v>
      </c>
      <c r="B464" s="1" t="s">
        <v>74</v>
      </c>
      <c r="C464" s="1">
        <v>5874.41</v>
      </c>
      <c r="D464" s="1">
        <v>1164.97</v>
      </c>
    </row>
    <row r="465" spans="1:4" x14ac:dyDescent="0.25">
      <c r="A465" s="7">
        <v>44413.75</v>
      </c>
      <c r="B465" s="1" t="s">
        <v>78</v>
      </c>
      <c r="C465" s="1">
        <v>1272.5</v>
      </c>
      <c r="D465" s="1">
        <v>672.92</v>
      </c>
    </row>
    <row r="466" spans="1:4" x14ac:dyDescent="0.25">
      <c r="A466" s="7">
        <v>44413.75</v>
      </c>
      <c r="B466" s="1" t="s">
        <v>75</v>
      </c>
      <c r="C466" s="1">
        <v>642.52</v>
      </c>
      <c r="D466" s="1">
        <v>250.98</v>
      </c>
    </row>
    <row r="467" spans="1:4" x14ac:dyDescent="0.25">
      <c r="A467" s="7">
        <v>44413.75</v>
      </c>
      <c r="B467" s="1" t="s">
        <v>76</v>
      </c>
      <c r="C467" s="1">
        <v>8409.06</v>
      </c>
      <c r="D467" s="1">
        <v>1938.54</v>
      </c>
    </row>
    <row r="468" spans="1:4" x14ac:dyDescent="0.25">
      <c r="A468" s="7">
        <v>44413.75</v>
      </c>
      <c r="B468" s="1" t="s">
        <v>72</v>
      </c>
      <c r="C468" s="1">
        <v>5256.41</v>
      </c>
      <c r="D468" s="1">
        <v>3382.76</v>
      </c>
    </row>
    <row r="469" spans="1:4" x14ac:dyDescent="0.25">
      <c r="A469" s="7">
        <v>44413.75</v>
      </c>
      <c r="B469" s="1" t="s">
        <v>71</v>
      </c>
      <c r="C469" s="1">
        <v>5880.11</v>
      </c>
      <c r="D469" s="1">
        <v>1784.25</v>
      </c>
    </row>
    <row r="470" spans="1:4" x14ac:dyDescent="0.25">
      <c r="A470" s="7">
        <v>44413.75</v>
      </c>
      <c r="B470" s="1" t="s">
        <v>68</v>
      </c>
      <c r="C470" s="1">
        <v>6281.35</v>
      </c>
      <c r="D470" s="1">
        <v>2113.0100000000002</v>
      </c>
    </row>
    <row r="471" spans="1:4" x14ac:dyDescent="0.25">
      <c r="A471" s="7">
        <v>44413.75</v>
      </c>
      <c r="B471" s="1" t="s">
        <v>69</v>
      </c>
      <c r="C471" s="1">
        <v>2780.26</v>
      </c>
      <c r="D471" s="1">
        <v>2261.41</v>
      </c>
    </row>
    <row r="472" spans="1:4" x14ac:dyDescent="0.25">
      <c r="A472" s="7">
        <v>44413.75</v>
      </c>
      <c r="B472" s="1" t="s">
        <v>73</v>
      </c>
      <c r="C472" s="1">
        <v>4927.3100000000004</v>
      </c>
      <c r="D472" s="1">
        <v>729.94</v>
      </c>
    </row>
    <row r="473" spans="1:4" x14ac:dyDescent="0.25">
      <c r="A473" s="7">
        <v>44413.75</v>
      </c>
      <c r="B473" s="1" t="s">
        <v>77</v>
      </c>
      <c r="C473" s="1">
        <v>8277.89</v>
      </c>
      <c r="D473" s="1">
        <v>2329.89</v>
      </c>
    </row>
    <row r="474" spans="1:4" x14ac:dyDescent="0.25">
      <c r="A474" s="7">
        <v>44413.75</v>
      </c>
      <c r="B474" s="1" t="s">
        <v>70</v>
      </c>
      <c r="C474" s="1">
        <v>4044.93</v>
      </c>
      <c r="D474" s="1">
        <v>1727.2</v>
      </c>
    </row>
    <row r="475" spans="1:4" x14ac:dyDescent="0.25">
      <c r="A475" s="7">
        <v>44413.791666666664</v>
      </c>
      <c r="B475" s="1" t="s">
        <v>74</v>
      </c>
      <c r="C475" s="1">
        <v>15663.11</v>
      </c>
      <c r="D475" s="1">
        <v>2856.56</v>
      </c>
    </row>
    <row r="476" spans="1:4" x14ac:dyDescent="0.25">
      <c r="A476" s="7">
        <v>44413.791666666664</v>
      </c>
      <c r="B476" s="1" t="s">
        <v>78</v>
      </c>
      <c r="C476" s="1">
        <v>3465.08</v>
      </c>
      <c r="D476" s="1">
        <v>1922.23</v>
      </c>
    </row>
    <row r="477" spans="1:4" x14ac:dyDescent="0.25">
      <c r="A477" s="7">
        <v>44413.791666666664</v>
      </c>
      <c r="B477" s="1" t="s">
        <v>75</v>
      </c>
      <c r="C477" s="1">
        <v>2077.87</v>
      </c>
      <c r="D477" s="1">
        <v>813.25</v>
      </c>
    </row>
    <row r="478" spans="1:4" x14ac:dyDescent="0.25">
      <c r="A478" s="7">
        <v>44413.791666666664</v>
      </c>
      <c r="B478" s="1" t="s">
        <v>76</v>
      </c>
      <c r="C478" s="1">
        <v>26195.73</v>
      </c>
      <c r="D478" s="1">
        <v>5444.17</v>
      </c>
    </row>
    <row r="479" spans="1:4" x14ac:dyDescent="0.25">
      <c r="A479" s="7">
        <v>44413.791666666664</v>
      </c>
      <c r="B479" s="1" t="s">
        <v>73</v>
      </c>
      <c r="C479" s="1">
        <v>14983.5</v>
      </c>
      <c r="D479" s="1">
        <v>1929.93</v>
      </c>
    </row>
    <row r="480" spans="1:4" x14ac:dyDescent="0.25">
      <c r="A480" s="7">
        <v>44413.791666666664</v>
      </c>
      <c r="B480" s="1" t="s">
        <v>68</v>
      </c>
      <c r="C480" s="1">
        <v>18023.91</v>
      </c>
      <c r="D480" s="1">
        <v>5316.01</v>
      </c>
    </row>
    <row r="481" spans="1:4" x14ac:dyDescent="0.25">
      <c r="A481" s="7">
        <v>44413.791666666664</v>
      </c>
      <c r="B481" s="1" t="s">
        <v>71</v>
      </c>
      <c r="C481" s="1">
        <v>19588.891</v>
      </c>
      <c r="D481" s="1">
        <v>4840.3100000000004</v>
      </c>
    </row>
    <row r="482" spans="1:4" x14ac:dyDescent="0.25">
      <c r="A482" s="7">
        <v>44413.791666666664</v>
      </c>
      <c r="B482" s="1" t="s">
        <v>70</v>
      </c>
      <c r="C482" s="1">
        <v>13039.6</v>
      </c>
      <c r="D482" s="1">
        <v>5121.41</v>
      </c>
    </row>
    <row r="483" spans="1:4" x14ac:dyDescent="0.25">
      <c r="A483" s="7">
        <v>44413.791666666664</v>
      </c>
      <c r="B483" s="1" t="s">
        <v>72</v>
      </c>
      <c r="C483" s="1">
        <v>14271.15</v>
      </c>
      <c r="D483" s="1">
        <v>8941.9500000000007</v>
      </c>
    </row>
    <row r="484" spans="1:4" x14ac:dyDescent="0.25">
      <c r="A484" s="7">
        <v>44413.791666666664</v>
      </c>
      <c r="B484" s="1" t="s">
        <v>77</v>
      </c>
      <c r="C484" s="1">
        <v>21473.859</v>
      </c>
      <c r="D484" s="1">
        <v>5746.76</v>
      </c>
    </row>
    <row r="485" spans="1:4" x14ac:dyDescent="0.25">
      <c r="A485" s="7">
        <v>44413.791666666664</v>
      </c>
      <c r="B485" s="1" t="s">
        <v>69</v>
      </c>
      <c r="C485" s="1">
        <v>7403.54</v>
      </c>
      <c r="D485" s="1">
        <v>6110.46</v>
      </c>
    </row>
    <row r="486" spans="1:4" x14ac:dyDescent="0.25">
      <c r="A486" s="7">
        <v>44413.833333333336</v>
      </c>
      <c r="B486" s="1" t="s">
        <v>74</v>
      </c>
      <c r="C486" s="1">
        <v>14752.96</v>
      </c>
      <c r="D486" s="1">
        <v>2627.42</v>
      </c>
    </row>
    <row r="487" spans="1:4" x14ac:dyDescent="0.25">
      <c r="A487" s="7">
        <v>44413.833333333336</v>
      </c>
      <c r="B487" s="1" t="s">
        <v>75</v>
      </c>
      <c r="C487" s="1">
        <v>1756.07</v>
      </c>
      <c r="D487" s="1">
        <v>636</v>
      </c>
    </row>
    <row r="488" spans="1:4" x14ac:dyDescent="0.25">
      <c r="A488" s="7">
        <v>44413.833333333336</v>
      </c>
      <c r="B488" s="1" t="s">
        <v>76</v>
      </c>
      <c r="C488" s="1">
        <v>23187.49</v>
      </c>
      <c r="D488" s="1">
        <v>4716.18</v>
      </c>
    </row>
    <row r="489" spans="1:4" x14ac:dyDescent="0.25">
      <c r="A489" s="7">
        <v>44413.833333333336</v>
      </c>
      <c r="B489" s="1" t="s">
        <v>73</v>
      </c>
      <c r="C489" s="1">
        <v>13112.16</v>
      </c>
      <c r="D489" s="1">
        <v>1699.06</v>
      </c>
    </row>
    <row r="490" spans="1:4" x14ac:dyDescent="0.25">
      <c r="A490" s="7">
        <v>44413.833333333336</v>
      </c>
      <c r="B490" s="1" t="s">
        <v>71</v>
      </c>
      <c r="C490" s="1">
        <v>17735.91</v>
      </c>
      <c r="D490" s="1">
        <v>4403.9399999999996</v>
      </c>
    </row>
    <row r="491" spans="1:4" x14ac:dyDescent="0.25">
      <c r="A491" s="7">
        <v>44413.833333333336</v>
      </c>
      <c r="B491" s="1" t="s">
        <v>70</v>
      </c>
      <c r="C491" s="1">
        <v>10940.1</v>
      </c>
      <c r="D491" s="1">
        <v>4316.28</v>
      </c>
    </row>
    <row r="492" spans="1:4" x14ac:dyDescent="0.25">
      <c r="A492" s="7">
        <v>44413.833333333336</v>
      </c>
      <c r="B492" s="1" t="s">
        <v>78</v>
      </c>
      <c r="C492" s="1">
        <v>3080.59</v>
      </c>
      <c r="D492" s="1">
        <v>1691.83</v>
      </c>
    </row>
    <row r="493" spans="1:4" x14ac:dyDescent="0.25">
      <c r="A493" s="7">
        <v>44413.833333333336</v>
      </c>
      <c r="B493" s="1" t="s">
        <v>72</v>
      </c>
      <c r="C493" s="1">
        <v>12342.72</v>
      </c>
      <c r="D493" s="1">
        <v>7846.84</v>
      </c>
    </row>
    <row r="494" spans="1:4" x14ac:dyDescent="0.25">
      <c r="A494" s="7">
        <v>44413.833333333336</v>
      </c>
      <c r="B494" s="1" t="s">
        <v>68</v>
      </c>
      <c r="C494" s="1">
        <v>16500.509999999998</v>
      </c>
      <c r="D494" s="1">
        <v>4867.1499999999996</v>
      </c>
    </row>
    <row r="495" spans="1:4" x14ac:dyDescent="0.25">
      <c r="A495" s="7">
        <v>44413.833333333336</v>
      </c>
      <c r="B495" s="1" t="s">
        <v>77</v>
      </c>
      <c r="C495" s="1">
        <v>19143.118999999999</v>
      </c>
      <c r="D495" s="1">
        <v>5075.38</v>
      </c>
    </row>
    <row r="496" spans="1:4" x14ac:dyDescent="0.25">
      <c r="A496" s="7">
        <v>44413.833333333336</v>
      </c>
      <c r="B496" s="1" t="s">
        <v>69</v>
      </c>
      <c r="C496" s="1">
        <v>6777.18</v>
      </c>
      <c r="D496" s="1">
        <v>5664.92</v>
      </c>
    </row>
    <row r="497" spans="1:4" x14ac:dyDescent="0.25">
      <c r="A497" s="7">
        <v>44413.875</v>
      </c>
      <c r="B497" s="1" t="s">
        <v>75</v>
      </c>
      <c r="C497" s="1">
        <v>1707.26</v>
      </c>
      <c r="D497" s="1">
        <v>642.58000000000004</v>
      </c>
    </row>
    <row r="498" spans="1:4" x14ac:dyDescent="0.25">
      <c r="A498" s="7">
        <v>44413.875</v>
      </c>
      <c r="B498" s="1" t="s">
        <v>74</v>
      </c>
      <c r="C498" s="1">
        <v>13286.14</v>
      </c>
      <c r="D498" s="1">
        <v>2450.8200000000002</v>
      </c>
    </row>
    <row r="499" spans="1:4" x14ac:dyDescent="0.25">
      <c r="A499" s="7">
        <v>44413.875</v>
      </c>
      <c r="B499" s="1" t="s">
        <v>72</v>
      </c>
      <c r="C499" s="1">
        <v>11696.01</v>
      </c>
      <c r="D499" s="1">
        <v>7310.89</v>
      </c>
    </row>
    <row r="500" spans="1:4" x14ac:dyDescent="0.25">
      <c r="A500" s="7">
        <v>44413.875</v>
      </c>
      <c r="B500" s="1" t="s">
        <v>77</v>
      </c>
      <c r="C500" s="1">
        <v>18759.278999999999</v>
      </c>
      <c r="D500" s="1">
        <v>5050.59</v>
      </c>
    </row>
    <row r="501" spans="1:4" x14ac:dyDescent="0.25">
      <c r="A501" s="7">
        <v>44413.875</v>
      </c>
      <c r="B501" s="1" t="s">
        <v>71</v>
      </c>
      <c r="C501" s="1">
        <v>15981.36</v>
      </c>
      <c r="D501" s="1">
        <v>3983.51</v>
      </c>
    </row>
    <row r="502" spans="1:4" x14ac:dyDescent="0.25">
      <c r="A502" s="7">
        <v>44413.875</v>
      </c>
      <c r="B502" s="1" t="s">
        <v>69</v>
      </c>
      <c r="C502" s="1">
        <v>6550.11</v>
      </c>
      <c r="D502" s="1">
        <v>5304.42</v>
      </c>
    </row>
    <row r="503" spans="1:4" x14ac:dyDescent="0.25">
      <c r="A503" s="7">
        <v>44413.875</v>
      </c>
      <c r="B503" s="1" t="s">
        <v>70</v>
      </c>
      <c r="C503" s="1">
        <v>9855.31</v>
      </c>
      <c r="D503" s="1">
        <v>3995.46</v>
      </c>
    </row>
    <row r="504" spans="1:4" x14ac:dyDescent="0.25">
      <c r="A504" s="7">
        <v>44413.875</v>
      </c>
      <c r="B504" s="1" t="s">
        <v>78</v>
      </c>
      <c r="C504" s="1">
        <v>3203.24</v>
      </c>
      <c r="D504" s="1">
        <v>1672.68</v>
      </c>
    </row>
    <row r="505" spans="1:4" x14ac:dyDescent="0.25">
      <c r="A505" s="7">
        <v>44413.875</v>
      </c>
      <c r="B505" s="1" t="s">
        <v>76</v>
      </c>
      <c r="C505" s="1">
        <v>20836.688999999998</v>
      </c>
      <c r="D505" s="1">
        <v>4378.8599999999997</v>
      </c>
    </row>
    <row r="506" spans="1:4" x14ac:dyDescent="0.25">
      <c r="A506" s="7">
        <v>44413.875</v>
      </c>
      <c r="B506" s="1" t="s">
        <v>73</v>
      </c>
      <c r="C506" s="1">
        <v>11597.91</v>
      </c>
      <c r="D506" s="1">
        <v>1542.56</v>
      </c>
    </row>
    <row r="507" spans="1:4" x14ac:dyDescent="0.25">
      <c r="A507" s="7">
        <v>44413.875</v>
      </c>
      <c r="B507" s="1" t="s">
        <v>68</v>
      </c>
      <c r="C507" s="1">
        <v>15097.97</v>
      </c>
      <c r="D507" s="1">
        <v>4524.84</v>
      </c>
    </row>
    <row r="508" spans="1:4" x14ac:dyDescent="0.25">
      <c r="A508" s="7">
        <v>44413.916666666664</v>
      </c>
      <c r="B508" s="1" t="s">
        <v>75</v>
      </c>
      <c r="C508" s="1">
        <v>1577.6</v>
      </c>
      <c r="D508" s="1">
        <v>651.29</v>
      </c>
    </row>
    <row r="509" spans="1:4" x14ac:dyDescent="0.25">
      <c r="A509" s="7">
        <v>44413.916666666664</v>
      </c>
      <c r="B509" s="1" t="s">
        <v>74</v>
      </c>
      <c r="C509" s="1">
        <v>9282.49</v>
      </c>
      <c r="D509" s="1">
        <v>1899.21</v>
      </c>
    </row>
    <row r="510" spans="1:4" x14ac:dyDescent="0.25">
      <c r="A510" s="7">
        <v>44413.916666666664</v>
      </c>
      <c r="B510" s="1" t="s">
        <v>72</v>
      </c>
      <c r="C510" s="1">
        <v>11232.12</v>
      </c>
      <c r="D510" s="1">
        <v>7205.01</v>
      </c>
    </row>
    <row r="511" spans="1:4" x14ac:dyDescent="0.25">
      <c r="A511" s="7">
        <v>44413.916666666664</v>
      </c>
      <c r="B511" s="1" t="s">
        <v>68</v>
      </c>
      <c r="C511" s="1">
        <v>11251.38</v>
      </c>
      <c r="D511" s="1">
        <v>3616.78</v>
      </c>
    </row>
    <row r="512" spans="1:4" x14ac:dyDescent="0.25">
      <c r="A512" s="7">
        <v>44413.916666666664</v>
      </c>
      <c r="B512" s="1" t="s">
        <v>77</v>
      </c>
      <c r="C512" s="1">
        <v>16028.01</v>
      </c>
      <c r="D512" s="1">
        <v>4502.78</v>
      </c>
    </row>
    <row r="513" spans="1:4" x14ac:dyDescent="0.25">
      <c r="A513" s="7">
        <v>44413.916666666664</v>
      </c>
      <c r="B513" s="1" t="s">
        <v>70</v>
      </c>
      <c r="C513" s="1">
        <v>8335.31</v>
      </c>
      <c r="D513" s="1">
        <v>3471.87</v>
      </c>
    </row>
    <row r="514" spans="1:4" x14ac:dyDescent="0.25">
      <c r="A514" s="7">
        <v>44413.916666666664</v>
      </c>
      <c r="B514" s="1" t="s">
        <v>69</v>
      </c>
      <c r="C514" s="1">
        <v>6559.1</v>
      </c>
      <c r="D514" s="1">
        <v>5429.79</v>
      </c>
    </row>
    <row r="515" spans="1:4" x14ac:dyDescent="0.25">
      <c r="A515" s="7">
        <v>44413.916666666664</v>
      </c>
      <c r="B515" s="1" t="s">
        <v>78</v>
      </c>
      <c r="C515" s="1">
        <v>2991.43</v>
      </c>
      <c r="D515" s="1">
        <v>1611.52</v>
      </c>
    </row>
    <row r="516" spans="1:4" x14ac:dyDescent="0.25">
      <c r="A516" s="7">
        <v>44413.916666666664</v>
      </c>
      <c r="B516" s="1" t="s">
        <v>76</v>
      </c>
      <c r="C516" s="1">
        <v>15680.51</v>
      </c>
      <c r="D516" s="1">
        <v>3560.61</v>
      </c>
    </row>
    <row r="517" spans="1:4" x14ac:dyDescent="0.25">
      <c r="A517" s="7">
        <v>44413.916666666664</v>
      </c>
      <c r="B517" s="1" t="s">
        <v>73</v>
      </c>
      <c r="C517" s="1">
        <v>8851.5300000000007</v>
      </c>
      <c r="D517" s="1">
        <v>1307.81</v>
      </c>
    </row>
    <row r="518" spans="1:4" x14ac:dyDescent="0.25">
      <c r="A518" s="7">
        <v>44413.916666666664</v>
      </c>
      <c r="B518" s="1" t="s">
        <v>71</v>
      </c>
      <c r="C518" s="1">
        <v>11236.13</v>
      </c>
      <c r="D518" s="1">
        <v>3013.02</v>
      </c>
    </row>
    <row r="519" spans="1:4" x14ac:dyDescent="0.25">
      <c r="A519" s="7">
        <v>44413.958333333336</v>
      </c>
      <c r="B519" s="1" t="s">
        <v>74</v>
      </c>
      <c r="C519" s="1">
        <v>3953.54</v>
      </c>
      <c r="D519" s="1">
        <v>970.58</v>
      </c>
    </row>
    <row r="520" spans="1:4" x14ac:dyDescent="0.25">
      <c r="A520" s="7">
        <v>44413.958333333336</v>
      </c>
      <c r="B520" s="1" t="s">
        <v>75</v>
      </c>
      <c r="C520" s="1">
        <v>1010.18</v>
      </c>
      <c r="D520" s="1">
        <v>450.1</v>
      </c>
    </row>
    <row r="521" spans="1:4" x14ac:dyDescent="0.25">
      <c r="A521" s="7">
        <v>44413.958333333336</v>
      </c>
      <c r="B521" s="1" t="s">
        <v>68</v>
      </c>
      <c r="C521" s="1">
        <v>4833.47</v>
      </c>
      <c r="D521" s="1">
        <v>1899.82</v>
      </c>
    </row>
    <row r="522" spans="1:4" x14ac:dyDescent="0.25">
      <c r="A522" s="7">
        <v>44413.958333333336</v>
      </c>
      <c r="B522" s="1" t="s">
        <v>77</v>
      </c>
      <c r="C522" s="1">
        <v>8671.39</v>
      </c>
      <c r="D522" s="1">
        <v>2437.1799999999998</v>
      </c>
    </row>
    <row r="523" spans="1:4" x14ac:dyDescent="0.25">
      <c r="A523" s="7">
        <v>44413.958333333336</v>
      </c>
      <c r="B523" s="1" t="s">
        <v>71</v>
      </c>
      <c r="C523" s="1">
        <v>4558.6499999999996</v>
      </c>
      <c r="D523" s="1">
        <v>1442.22</v>
      </c>
    </row>
    <row r="524" spans="1:4" x14ac:dyDescent="0.25">
      <c r="A524" s="7">
        <v>44413.958333333336</v>
      </c>
      <c r="B524" s="1" t="s">
        <v>69</v>
      </c>
      <c r="C524" s="1">
        <v>4288.5200000000004</v>
      </c>
      <c r="D524" s="1">
        <v>3575.23</v>
      </c>
    </row>
    <row r="525" spans="1:4" x14ac:dyDescent="0.25">
      <c r="A525" s="7">
        <v>44413.958333333336</v>
      </c>
      <c r="B525" s="1" t="s">
        <v>78</v>
      </c>
      <c r="C525" s="1">
        <v>1864.37</v>
      </c>
      <c r="D525" s="1">
        <v>1072.98</v>
      </c>
    </row>
    <row r="526" spans="1:4" x14ac:dyDescent="0.25">
      <c r="A526" s="7">
        <v>44413.958333333336</v>
      </c>
      <c r="B526" s="1" t="s">
        <v>76</v>
      </c>
      <c r="C526" s="1">
        <v>7201.42</v>
      </c>
      <c r="D526" s="1">
        <v>1830.83</v>
      </c>
    </row>
    <row r="527" spans="1:4" x14ac:dyDescent="0.25">
      <c r="A527" s="7">
        <v>44413.958333333336</v>
      </c>
      <c r="B527" s="1" t="s">
        <v>73</v>
      </c>
      <c r="C527" s="1">
        <v>3837.55</v>
      </c>
      <c r="D527" s="1">
        <v>665.17</v>
      </c>
    </row>
    <row r="528" spans="1:4" x14ac:dyDescent="0.25">
      <c r="A528" s="7">
        <v>44413.958333333336</v>
      </c>
      <c r="B528" s="1" t="s">
        <v>72</v>
      </c>
      <c r="C528" s="1">
        <v>6907.67</v>
      </c>
      <c r="D528" s="1">
        <v>4677.7299999999996</v>
      </c>
    </row>
    <row r="529" spans="1:4" x14ac:dyDescent="0.25">
      <c r="A529" s="7">
        <v>44413.958333333336</v>
      </c>
      <c r="B529" s="1" t="s">
        <v>70</v>
      </c>
      <c r="C529" s="1">
        <v>4213.04</v>
      </c>
      <c r="D529" s="1">
        <v>1930.63</v>
      </c>
    </row>
    <row r="530" spans="1:4" x14ac:dyDescent="0.25">
      <c r="A530" s="7">
        <v>44444</v>
      </c>
      <c r="B530" s="1" t="s">
        <v>75</v>
      </c>
      <c r="C530" s="1">
        <v>573.94000000000005</v>
      </c>
      <c r="D530" s="1">
        <v>268.72000000000003</v>
      </c>
    </row>
    <row r="531" spans="1:4" x14ac:dyDescent="0.25">
      <c r="A531" s="7">
        <v>44444</v>
      </c>
      <c r="B531" s="1" t="s">
        <v>74</v>
      </c>
      <c r="C531" s="1">
        <v>1484.04</v>
      </c>
      <c r="D531" s="1">
        <v>430.27</v>
      </c>
    </row>
    <row r="532" spans="1:4" x14ac:dyDescent="0.25">
      <c r="A532" s="7">
        <v>44444</v>
      </c>
      <c r="B532" s="1" t="s">
        <v>76</v>
      </c>
      <c r="C532" s="1">
        <v>2842.23</v>
      </c>
      <c r="D532" s="1">
        <v>794.39</v>
      </c>
    </row>
    <row r="533" spans="1:4" x14ac:dyDescent="0.25">
      <c r="A533" s="7">
        <v>44444</v>
      </c>
      <c r="B533" s="1" t="s">
        <v>73</v>
      </c>
      <c r="C533" s="1">
        <v>1449.84</v>
      </c>
      <c r="D533" s="1">
        <v>301.19</v>
      </c>
    </row>
    <row r="534" spans="1:4" x14ac:dyDescent="0.25">
      <c r="A534" s="7">
        <v>44444</v>
      </c>
      <c r="B534" s="1" t="s">
        <v>68</v>
      </c>
      <c r="C534" s="1">
        <v>1840.2</v>
      </c>
      <c r="D534" s="1">
        <v>838.92</v>
      </c>
    </row>
    <row r="535" spans="1:4" x14ac:dyDescent="0.25">
      <c r="A535" s="7">
        <v>44444</v>
      </c>
      <c r="B535" s="1" t="s">
        <v>71</v>
      </c>
      <c r="C535" s="1">
        <v>1709.66</v>
      </c>
      <c r="D535" s="1">
        <v>616.13</v>
      </c>
    </row>
    <row r="536" spans="1:4" x14ac:dyDescent="0.25">
      <c r="A536" s="7">
        <v>44444</v>
      </c>
      <c r="B536" s="1" t="s">
        <v>70</v>
      </c>
      <c r="C536" s="1">
        <v>1834.55</v>
      </c>
      <c r="D536" s="1">
        <v>866.15</v>
      </c>
    </row>
    <row r="537" spans="1:4" x14ac:dyDescent="0.25">
      <c r="A537" s="7">
        <v>44444</v>
      </c>
      <c r="B537" s="1" t="s">
        <v>72</v>
      </c>
      <c r="C537" s="1">
        <v>3361.54</v>
      </c>
      <c r="D537" s="1">
        <v>2395.9499999999998</v>
      </c>
    </row>
    <row r="538" spans="1:4" x14ac:dyDescent="0.25">
      <c r="A538" s="7">
        <v>44444</v>
      </c>
      <c r="B538" s="1" t="s">
        <v>77</v>
      </c>
      <c r="C538" s="1">
        <v>3672.98</v>
      </c>
      <c r="D538" s="1">
        <v>1030.83</v>
      </c>
    </row>
    <row r="539" spans="1:4" x14ac:dyDescent="0.25">
      <c r="A539" s="7">
        <v>44444</v>
      </c>
      <c r="B539" s="1" t="s">
        <v>69</v>
      </c>
      <c r="C539" s="1">
        <v>2118.08</v>
      </c>
      <c r="D539" s="1">
        <v>1720.45</v>
      </c>
    </row>
    <row r="540" spans="1:4" x14ac:dyDescent="0.25">
      <c r="A540" s="7">
        <v>44444</v>
      </c>
      <c r="B540" s="1" t="s">
        <v>78</v>
      </c>
      <c r="C540" s="1">
        <v>882.45</v>
      </c>
      <c r="D540" s="1">
        <v>537.35</v>
      </c>
    </row>
    <row r="541" spans="1:4" x14ac:dyDescent="0.25">
      <c r="A541" s="7">
        <v>44444.041666666664</v>
      </c>
      <c r="B541" s="1" t="s">
        <v>75</v>
      </c>
      <c r="C541" s="1">
        <v>312.01</v>
      </c>
      <c r="D541" s="1">
        <v>145.59</v>
      </c>
    </row>
    <row r="542" spans="1:4" x14ac:dyDescent="0.25">
      <c r="A542" s="7">
        <v>44444.041666666664</v>
      </c>
      <c r="B542" s="1" t="s">
        <v>74</v>
      </c>
      <c r="C542" s="1">
        <v>621.39</v>
      </c>
      <c r="D542" s="1">
        <v>173.38</v>
      </c>
    </row>
    <row r="543" spans="1:4" x14ac:dyDescent="0.25">
      <c r="A543" s="7">
        <v>44444.041666666664</v>
      </c>
      <c r="B543" s="1" t="s">
        <v>78</v>
      </c>
      <c r="C543" s="1">
        <v>427.49</v>
      </c>
      <c r="D543" s="1">
        <v>245.12</v>
      </c>
    </row>
    <row r="544" spans="1:4" x14ac:dyDescent="0.25">
      <c r="A544" s="7">
        <v>44444.041666666664</v>
      </c>
      <c r="B544" s="1" t="s">
        <v>76</v>
      </c>
      <c r="C544" s="1">
        <v>1242.3800000000001</v>
      </c>
      <c r="D544" s="1">
        <v>339.15</v>
      </c>
    </row>
    <row r="545" spans="1:4" x14ac:dyDescent="0.25">
      <c r="A545" s="7">
        <v>44444.041666666664</v>
      </c>
      <c r="B545" s="1" t="s">
        <v>71</v>
      </c>
      <c r="C545" s="1">
        <v>725.7</v>
      </c>
      <c r="D545" s="1">
        <v>274.08</v>
      </c>
    </row>
    <row r="546" spans="1:4" x14ac:dyDescent="0.25">
      <c r="A546" s="7">
        <v>44444.041666666664</v>
      </c>
      <c r="B546" s="1" t="s">
        <v>69</v>
      </c>
      <c r="C546" s="1">
        <v>951.18</v>
      </c>
      <c r="D546" s="1">
        <v>778.38</v>
      </c>
    </row>
    <row r="547" spans="1:4" x14ac:dyDescent="0.25">
      <c r="A547" s="7">
        <v>44444.041666666664</v>
      </c>
      <c r="B547" s="1" t="s">
        <v>70</v>
      </c>
      <c r="C547" s="1">
        <v>834.48</v>
      </c>
      <c r="D547" s="1">
        <v>401.48</v>
      </c>
    </row>
    <row r="548" spans="1:4" x14ac:dyDescent="0.25">
      <c r="A548" s="7">
        <v>44444.041666666664</v>
      </c>
      <c r="B548" s="1" t="s">
        <v>72</v>
      </c>
      <c r="C548" s="1">
        <v>1552.74</v>
      </c>
      <c r="D548" s="1">
        <v>1149.1500000000001</v>
      </c>
    </row>
    <row r="549" spans="1:4" x14ac:dyDescent="0.25">
      <c r="A549" s="7">
        <v>44444.041666666664</v>
      </c>
      <c r="B549" s="1" t="s">
        <v>73</v>
      </c>
      <c r="C549" s="1">
        <v>576.88</v>
      </c>
      <c r="D549" s="1">
        <v>122.52</v>
      </c>
    </row>
    <row r="550" spans="1:4" x14ac:dyDescent="0.25">
      <c r="A550" s="7">
        <v>44444.041666666664</v>
      </c>
      <c r="B550" s="1" t="s">
        <v>68</v>
      </c>
      <c r="C550" s="1">
        <v>731.6</v>
      </c>
      <c r="D550" s="1">
        <v>362.01</v>
      </c>
    </row>
    <row r="551" spans="1:4" x14ac:dyDescent="0.25">
      <c r="A551" s="7">
        <v>44444.041666666664</v>
      </c>
      <c r="B551" s="1" t="s">
        <v>77</v>
      </c>
      <c r="C551" s="1">
        <v>1542.93</v>
      </c>
      <c r="D551" s="1">
        <v>450.42</v>
      </c>
    </row>
    <row r="552" spans="1:4" x14ac:dyDescent="0.25">
      <c r="A552" s="7">
        <v>44444.083333333336</v>
      </c>
      <c r="B552" s="1" t="s">
        <v>75</v>
      </c>
      <c r="C552" s="1">
        <v>254.3</v>
      </c>
      <c r="D552" s="1">
        <v>121.81</v>
      </c>
    </row>
    <row r="553" spans="1:4" x14ac:dyDescent="0.25">
      <c r="A553" s="7">
        <v>44444.083333333336</v>
      </c>
      <c r="B553" s="1" t="s">
        <v>74</v>
      </c>
      <c r="C553" s="1">
        <v>594.77</v>
      </c>
      <c r="D553" s="1">
        <v>124.26</v>
      </c>
    </row>
    <row r="554" spans="1:4" x14ac:dyDescent="0.25">
      <c r="A554" s="7">
        <v>44444.083333333336</v>
      </c>
      <c r="B554" s="1" t="s">
        <v>71</v>
      </c>
      <c r="C554" s="1">
        <v>509.12</v>
      </c>
      <c r="D554" s="1">
        <v>165.94</v>
      </c>
    </row>
    <row r="555" spans="1:4" x14ac:dyDescent="0.25">
      <c r="A555" s="7">
        <v>44444.083333333336</v>
      </c>
      <c r="B555" s="1" t="s">
        <v>69</v>
      </c>
      <c r="C555" s="1">
        <v>513.72</v>
      </c>
      <c r="D555" s="1">
        <v>415.17</v>
      </c>
    </row>
    <row r="556" spans="1:4" x14ac:dyDescent="0.25">
      <c r="A556" s="7">
        <v>44444.083333333336</v>
      </c>
      <c r="B556" s="1" t="s">
        <v>70</v>
      </c>
      <c r="C556" s="1">
        <v>626.70000000000005</v>
      </c>
      <c r="D556" s="1">
        <v>273.29000000000002</v>
      </c>
    </row>
    <row r="557" spans="1:4" x14ac:dyDescent="0.25">
      <c r="A557" s="7">
        <v>44444.083333333336</v>
      </c>
      <c r="B557" s="1" t="s">
        <v>78</v>
      </c>
      <c r="C557" s="1">
        <v>284.16000000000003</v>
      </c>
      <c r="D557" s="1">
        <v>159.9</v>
      </c>
    </row>
    <row r="558" spans="1:4" x14ac:dyDescent="0.25">
      <c r="A558" s="7">
        <v>44444.083333333336</v>
      </c>
      <c r="B558" s="1" t="s">
        <v>76</v>
      </c>
      <c r="C558" s="1">
        <v>1438.65</v>
      </c>
      <c r="D558" s="1">
        <v>269.52999999999997</v>
      </c>
    </row>
    <row r="559" spans="1:4" x14ac:dyDescent="0.25">
      <c r="A559" s="7">
        <v>44444.083333333336</v>
      </c>
      <c r="B559" s="1" t="s">
        <v>73</v>
      </c>
      <c r="C559" s="1">
        <v>388.41</v>
      </c>
      <c r="D559" s="1">
        <v>66.27</v>
      </c>
    </row>
    <row r="560" spans="1:4" x14ac:dyDescent="0.25">
      <c r="A560" s="7">
        <v>44444.083333333336</v>
      </c>
      <c r="B560" s="1" t="s">
        <v>72</v>
      </c>
      <c r="C560" s="1">
        <v>888.47</v>
      </c>
      <c r="D560" s="1">
        <v>613.65</v>
      </c>
    </row>
    <row r="561" spans="1:4" x14ac:dyDescent="0.25">
      <c r="A561" s="7">
        <v>44444.083333333336</v>
      </c>
      <c r="B561" s="1" t="s">
        <v>68</v>
      </c>
      <c r="C561" s="1">
        <v>447.18</v>
      </c>
      <c r="D561" s="1">
        <v>166.88</v>
      </c>
    </row>
    <row r="562" spans="1:4" x14ac:dyDescent="0.25">
      <c r="A562" s="7">
        <v>44444.083333333336</v>
      </c>
      <c r="B562" s="1" t="s">
        <v>77</v>
      </c>
      <c r="C562" s="1">
        <v>1044.73</v>
      </c>
      <c r="D562" s="1">
        <v>256.2</v>
      </c>
    </row>
    <row r="563" spans="1:4" x14ac:dyDescent="0.25">
      <c r="A563" s="7">
        <v>44444.125</v>
      </c>
      <c r="B563" s="1" t="s">
        <v>74</v>
      </c>
      <c r="C563" s="1">
        <v>1874.62</v>
      </c>
      <c r="D563" s="1">
        <v>299.86</v>
      </c>
    </row>
    <row r="564" spans="1:4" x14ac:dyDescent="0.25">
      <c r="A564" s="7">
        <v>44444.125</v>
      </c>
      <c r="B564" s="1" t="s">
        <v>75</v>
      </c>
      <c r="C564" s="1">
        <v>464.52</v>
      </c>
      <c r="D564" s="1">
        <v>191.32</v>
      </c>
    </row>
    <row r="565" spans="1:4" x14ac:dyDescent="0.25">
      <c r="A565" s="7">
        <v>44444.125</v>
      </c>
      <c r="B565" s="1" t="s">
        <v>72</v>
      </c>
      <c r="C565" s="1">
        <v>1662.89</v>
      </c>
      <c r="D565" s="1">
        <v>972.85</v>
      </c>
    </row>
    <row r="566" spans="1:4" x14ac:dyDescent="0.25">
      <c r="A566" s="7">
        <v>44444.125</v>
      </c>
      <c r="B566" s="1" t="s">
        <v>68</v>
      </c>
      <c r="C566" s="1">
        <v>1262.4000000000001</v>
      </c>
      <c r="D566" s="1">
        <v>339.31</v>
      </c>
    </row>
    <row r="567" spans="1:4" x14ac:dyDescent="0.25">
      <c r="A567" s="7">
        <v>44444.125</v>
      </c>
      <c r="B567" s="1" t="s">
        <v>77</v>
      </c>
      <c r="C567" s="1">
        <v>2610.0700000000002</v>
      </c>
      <c r="D567" s="1">
        <v>674.4</v>
      </c>
    </row>
    <row r="568" spans="1:4" x14ac:dyDescent="0.25">
      <c r="A568" s="7">
        <v>44444.125</v>
      </c>
      <c r="B568" s="1" t="s">
        <v>71</v>
      </c>
      <c r="C568" s="1">
        <v>1612.9</v>
      </c>
      <c r="D568" s="1">
        <v>383.32</v>
      </c>
    </row>
    <row r="569" spans="1:4" x14ac:dyDescent="0.25">
      <c r="A569" s="7">
        <v>44444.125</v>
      </c>
      <c r="B569" s="1" t="s">
        <v>69</v>
      </c>
      <c r="C569" s="1">
        <v>899.1</v>
      </c>
      <c r="D569" s="1">
        <v>697.07</v>
      </c>
    </row>
    <row r="570" spans="1:4" x14ac:dyDescent="0.25">
      <c r="A570" s="7">
        <v>44444.125</v>
      </c>
      <c r="B570" s="1" t="s">
        <v>70</v>
      </c>
      <c r="C570" s="1">
        <v>1860.41</v>
      </c>
      <c r="D570" s="1">
        <v>658.73</v>
      </c>
    </row>
    <row r="571" spans="1:4" x14ac:dyDescent="0.25">
      <c r="A571" s="7">
        <v>44444.125</v>
      </c>
      <c r="B571" s="1" t="s">
        <v>78</v>
      </c>
      <c r="C571" s="1">
        <v>544.23</v>
      </c>
      <c r="D571" s="1">
        <v>276.35000000000002</v>
      </c>
    </row>
    <row r="572" spans="1:4" x14ac:dyDescent="0.25">
      <c r="A572" s="7">
        <v>44444.125</v>
      </c>
      <c r="B572" s="1" t="s">
        <v>76</v>
      </c>
      <c r="C572" s="1">
        <v>4729.45</v>
      </c>
      <c r="D572" s="1">
        <v>753.75</v>
      </c>
    </row>
    <row r="573" spans="1:4" x14ac:dyDescent="0.25">
      <c r="A573" s="7">
        <v>44444.125</v>
      </c>
      <c r="B573" s="1" t="s">
        <v>73</v>
      </c>
      <c r="C573" s="1">
        <v>1405.31</v>
      </c>
      <c r="D573" s="1">
        <v>150.93</v>
      </c>
    </row>
    <row r="574" spans="1:4" x14ac:dyDescent="0.25">
      <c r="A574" s="7">
        <v>44444.166666666664</v>
      </c>
      <c r="B574" s="1" t="s">
        <v>75</v>
      </c>
      <c r="C574" s="1">
        <v>249.71</v>
      </c>
      <c r="D574" s="1">
        <v>104.22</v>
      </c>
    </row>
    <row r="575" spans="1:4" x14ac:dyDescent="0.25">
      <c r="A575" s="7">
        <v>44444.166666666664</v>
      </c>
      <c r="B575" s="1" t="s">
        <v>74</v>
      </c>
      <c r="C575" s="1">
        <v>1251.5999999999999</v>
      </c>
      <c r="D575" s="1">
        <v>243.11</v>
      </c>
    </row>
    <row r="576" spans="1:4" x14ac:dyDescent="0.25">
      <c r="A576" s="7">
        <v>44444.166666666664</v>
      </c>
      <c r="B576" s="1" t="s">
        <v>73</v>
      </c>
      <c r="C576" s="1">
        <v>1037.8699999999999</v>
      </c>
      <c r="D576" s="1">
        <v>133.56</v>
      </c>
    </row>
    <row r="577" spans="1:4" x14ac:dyDescent="0.25">
      <c r="A577" s="7">
        <v>44444.166666666664</v>
      </c>
      <c r="B577" s="1" t="s">
        <v>68</v>
      </c>
      <c r="C577" s="1">
        <v>1143.47</v>
      </c>
      <c r="D577" s="1">
        <v>329.53</v>
      </c>
    </row>
    <row r="578" spans="1:4" x14ac:dyDescent="0.25">
      <c r="A578" s="7">
        <v>44444.166666666664</v>
      </c>
      <c r="B578" s="1" t="s">
        <v>77</v>
      </c>
      <c r="C578" s="1">
        <v>1730.99</v>
      </c>
      <c r="D578" s="1">
        <v>441.08</v>
      </c>
    </row>
    <row r="579" spans="1:4" x14ac:dyDescent="0.25">
      <c r="A579" s="7">
        <v>44444.166666666664</v>
      </c>
      <c r="B579" s="1" t="s">
        <v>71</v>
      </c>
      <c r="C579" s="1">
        <v>1473.42</v>
      </c>
      <c r="D579" s="1">
        <v>375.21</v>
      </c>
    </row>
    <row r="580" spans="1:4" x14ac:dyDescent="0.25">
      <c r="A580" s="7">
        <v>44444.166666666664</v>
      </c>
      <c r="B580" s="1" t="s">
        <v>70</v>
      </c>
      <c r="C580" s="1">
        <v>1393.13</v>
      </c>
      <c r="D580" s="1">
        <v>529.66999999999996</v>
      </c>
    </row>
    <row r="581" spans="1:4" x14ac:dyDescent="0.25">
      <c r="A581" s="7">
        <v>44444.166666666664</v>
      </c>
      <c r="B581" s="1" t="s">
        <v>78</v>
      </c>
      <c r="C581" s="1">
        <v>452.58</v>
      </c>
      <c r="D581" s="1">
        <v>233.39</v>
      </c>
    </row>
    <row r="582" spans="1:4" x14ac:dyDescent="0.25">
      <c r="A582" s="7">
        <v>44444.166666666664</v>
      </c>
      <c r="B582" s="1" t="s">
        <v>72</v>
      </c>
      <c r="C582" s="1">
        <v>1273.26</v>
      </c>
      <c r="D582" s="1">
        <v>766.69</v>
      </c>
    </row>
    <row r="583" spans="1:4" x14ac:dyDescent="0.25">
      <c r="A583" s="7">
        <v>44444.166666666664</v>
      </c>
      <c r="B583" s="1" t="s">
        <v>76</v>
      </c>
      <c r="C583" s="1">
        <v>2268.9499999999998</v>
      </c>
      <c r="D583" s="1">
        <v>439.03</v>
      </c>
    </row>
    <row r="584" spans="1:4" x14ac:dyDescent="0.25">
      <c r="A584" s="7">
        <v>44444.166666666664</v>
      </c>
      <c r="B584" s="1" t="s">
        <v>69</v>
      </c>
      <c r="C584" s="1">
        <v>688.2</v>
      </c>
      <c r="D584" s="1">
        <v>543.77</v>
      </c>
    </row>
    <row r="585" spans="1:4" x14ac:dyDescent="0.25">
      <c r="A585" s="7">
        <v>44444.208333333336</v>
      </c>
      <c r="B585" s="1" t="s">
        <v>75</v>
      </c>
      <c r="C585" s="1">
        <v>97.66</v>
      </c>
      <c r="D585" s="1">
        <v>27.8</v>
      </c>
    </row>
    <row r="586" spans="1:4" x14ac:dyDescent="0.25">
      <c r="A586" s="7">
        <v>44444.208333333336</v>
      </c>
      <c r="B586" s="1" t="s">
        <v>74</v>
      </c>
      <c r="C586" s="1">
        <v>783.42</v>
      </c>
      <c r="D586" s="1">
        <v>119.2</v>
      </c>
    </row>
    <row r="587" spans="1:4" x14ac:dyDescent="0.25">
      <c r="A587" s="7">
        <v>44444.208333333336</v>
      </c>
      <c r="B587" s="1" t="s">
        <v>78</v>
      </c>
      <c r="C587" s="1">
        <v>199.43</v>
      </c>
      <c r="D587" s="1">
        <v>104.73</v>
      </c>
    </row>
    <row r="588" spans="1:4" x14ac:dyDescent="0.25">
      <c r="A588" s="7">
        <v>44444.208333333336</v>
      </c>
      <c r="B588" s="1" t="s">
        <v>76</v>
      </c>
      <c r="C588" s="1">
        <v>919.27</v>
      </c>
      <c r="D588" s="1">
        <v>176.84</v>
      </c>
    </row>
    <row r="589" spans="1:4" x14ac:dyDescent="0.25">
      <c r="A589" s="7">
        <v>44444.208333333336</v>
      </c>
      <c r="B589" s="1" t="s">
        <v>73</v>
      </c>
      <c r="C589" s="1">
        <v>720.28</v>
      </c>
      <c r="D589" s="1">
        <v>63.4</v>
      </c>
    </row>
    <row r="590" spans="1:4" x14ac:dyDescent="0.25">
      <c r="A590" s="7">
        <v>44444.208333333336</v>
      </c>
      <c r="B590" s="1" t="s">
        <v>71</v>
      </c>
      <c r="C590" s="1">
        <v>1275.9000000000001</v>
      </c>
      <c r="D590" s="1">
        <v>251.21</v>
      </c>
    </row>
    <row r="591" spans="1:4" x14ac:dyDescent="0.25">
      <c r="A591" s="7">
        <v>44444.208333333336</v>
      </c>
      <c r="B591" s="1" t="s">
        <v>68</v>
      </c>
      <c r="C591" s="1">
        <v>1074.1600000000001</v>
      </c>
      <c r="D591" s="1">
        <v>238.11</v>
      </c>
    </row>
    <row r="592" spans="1:4" x14ac:dyDescent="0.25">
      <c r="A592" s="7">
        <v>44444.208333333336</v>
      </c>
      <c r="B592" s="1" t="s">
        <v>72</v>
      </c>
      <c r="C592" s="1">
        <v>632.54</v>
      </c>
      <c r="D592" s="1">
        <v>306.02999999999997</v>
      </c>
    </row>
    <row r="593" spans="1:4" x14ac:dyDescent="0.25">
      <c r="A593" s="7">
        <v>44444.208333333336</v>
      </c>
      <c r="B593" s="1" t="s">
        <v>77</v>
      </c>
      <c r="C593" s="1">
        <v>1157.1300000000001</v>
      </c>
      <c r="D593" s="1">
        <v>275.92</v>
      </c>
    </row>
    <row r="594" spans="1:4" x14ac:dyDescent="0.25">
      <c r="A594" s="7">
        <v>44444.208333333336</v>
      </c>
      <c r="B594" s="1" t="s">
        <v>69</v>
      </c>
      <c r="C594" s="1">
        <v>339.68</v>
      </c>
      <c r="D594" s="1">
        <v>213.96</v>
      </c>
    </row>
    <row r="595" spans="1:4" x14ac:dyDescent="0.25">
      <c r="A595" s="7">
        <v>44444.208333333336</v>
      </c>
      <c r="B595" s="1" t="s">
        <v>70</v>
      </c>
      <c r="C595" s="1">
        <v>637.38</v>
      </c>
      <c r="D595" s="1">
        <v>217.67</v>
      </c>
    </row>
    <row r="596" spans="1:4" x14ac:dyDescent="0.25">
      <c r="A596" s="7">
        <v>44444.25</v>
      </c>
      <c r="B596" s="1" t="s">
        <v>75</v>
      </c>
      <c r="C596" s="1">
        <v>135.27000000000001</v>
      </c>
      <c r="D596" s="1">
        <v>31.98</v>
      </c>
    </row>
    <row r="597" spans="1:4" x14ac:dyDescent="0.25">
      <c r="A597" s="7">
        <v>44444.25</v>
      </c>
      <c r="B597" s="1" t="s">
        <v>74</v>
      </c>
      <c r="C597" s="1">
        <v>2284.37</v>
      </c>
      <c r="D597" s="1">
        <v>288.07</v>
      </c>
    </row>
    <row r="598" spans="1:4" x14ac:dyDescent="0.25">
      <c r="A598" s="7">
        <v>44444.25</v>
      </c>
      <c r="B598" s="1" t="s">
        <v>78</v>
      </c>
      <c r="C598" s="1">
        <v>304.97000000000003</v>
      </c>
      <c r="D598" s="1">
        <v>138.22</v>
      </c>
    </row>
    <row r="599" spans="1:4" x14ac:dyDescent="0.25">
      <c r="A599" s="7">
        <v>44444.25</v>
      </c>
      <c r="B599" s="1" t="s">
        <v>76</v>
      </c>
      <c r="C599" s="1">
        <v>2837.16</v>
      </c>
      <c r="D599" s="1">
        <v>426.15</v>
      </c>
    </row>
    <row r="600" spans="1:4" x14ac:dyDescent="0.25">
      <c r="A600" s="7">
        <v>44444.25</v>
      </c>
      <c r="B600" s="1" t="s">
        <v>68</v>
      </c>
      <c r="C600" s="1">
        <v>2962.61</v>
      </c>
      <c r="D600" s="1">
        <v>614.83000000000004</v>
      </c>
    </row>
    <row r="601" spans="1:4" x14ac:dyDescent="0.25">
      <c r="A601" s="7">
        <v>44444.25</v>
      </c>
      <c r="B601" s="1" t="s">
        <v>71</v>
      </c>
      <c r="C601" s="1">
        <v>3459.13</v>
      </c>
      <c r="D601" s="1">
        <v>625.66999999999996</v>
      </c>
    </row>
    <row r="602" spans="1:4" x14ac:dyDescent="0.25">
      <c r="A602" s="7">
        <v>44444.25</v>
      </c>
      <c r="B602" s="1" t="s">
        <v>70</v>
      </c>
      <c r="C602" s="1">
        <v>1239.4000000000001</v>
      </c>
      <c r="D602" s="1">
        <v>390.45</v>
      </c>
    </row>
    <row r="603" spans="1:4" x14ac:dyDescent="0.25">
      <c r="A603" s="7">
        <v>44444.25</v>
      </c>
      <c r="B603" s="1" t="s">
        <v>72</v>
      </c>
      <c r="C603" s="1">
        <v>1165.55</v>
      </c>
      <c r="D603" s="1">
        <v>481.97</v>
      </c>
    </row>
    <row r="604" spans="1:4" x14ac:dyDescent="0.25">
      <c r="A604" s="7">
        <v>44444.25</v>
      </c>
      <c r="B604" s="1" t="s">
        <v>73</v>
      </c>
      <c r="C604" s="1">
        <v>2014.78</v>
      </c>
      <c r="D604" s="1">
        <v>176.84</v>
      </c>
    </row>
    <row r="605" spans="1:4" x14ac:dyDescent="0.25">
      <c r="A605" s="7">
        <v>44444.25</v>
      </c>
      <c r="B605" s="1" t="s">
        <v>77</v>
      </c>
      <c r="C605" s="1">
        <v>2671.99</v>
      </c>
      <c r="D605" s="1">
        <v>632.62</v>
      </c>
    </row>
    <row r="606" spans="1:4" x14ac:dyDescent="0.25">
      <c r="A606" s="7">
        <v>44444.25</v>
      </c>
      <c r="B606" s="1" t="s">
        <v>69</v>
      </c>
      <c r="C606" s="1">
        <v>623.52</v>
      </c>
      <c r="D606" s="1">
        <v>322.64</v>
      </c>
    </row>
    <row r="607" spans="1:4" x14ac:dyDescent="0.25">
      <c r="A607" s="7">
        <v>44444.291666666664</v>
      </c>
      <c r="B607" s="1" t="s">
        <v>75</v>
      </c>
      <c r="C607" s="1">
        <v>265.16000000000003</v>
      </c>
      <c r="D607" s="1">
        <v>64.25</v>
      </c>
    </row>
    <row r="608" spans="1:4" x14ac:dyDescent="0.25">
      <c r="A608" s="7">
        <v>44444.291666666664</v>
      </c>
      <c r="B608" s="1" t="s">
        <v>74</v>
      </c>
      <c r="C608" s="1">
        <v>4119.43</v>
      </c>
      <c r="D608" s="1">
        <v>577.22</v>
      </c>
    </row>
    <row r="609" spans="1:4" x14ac:dyDescent="0.25">
      <c r="A609" s="7">
        <v>44444.291666666664</v>
      </c>
      <c r="B609" s="1" t="s">
        <v>72</v>
      </c>
      <c r="C609" s="1">
        <v>2353.25</v>
      </c>
      <c r="D609" s="1">
        <v>1025.3900000000001</v>
      </c>
    </row>
    <row r="610" spans="1:4" x14ac:dyDescent="0.25">
      <c r="A610" s="7">
        <v>44444.291666666664</v>
      </c>
      <c r="B610" s="1" t="s">
        <v>76</v>
      </c>
      <c r="C610" s="1">
        <v>5595.46</v>
      </c>
      <c r="D610" s="1">
        <v>931.1</v>
      </c>
    </row>
    <row r="611" spans="1:4" x14ac:dyDescent="0.25">
      <c r="A611" s="7">
        <v>44444.291666666664</v>
      </c>
      <c r="B611" s="1" t="s">
        <v>77</v>
      </c>
      <c r="C611" s="1">
        <v>4218.3100000000004</v>
      </c>
      <c r="D611" s="1">
        <v>963.12</v>
      </c>
    </row>
    <row r="612" spans="1:4" x14ac:dyDescent="0.25">
      <c r="A612" s="7">
        <v>44444.291666666664</v>
      </c>
      <c r="B612" s="1" t="s">
        <v>69</v>
      </c>
      <c r="C612" s="1">
        <v>1077.17</v>
      </c>
      <c r="D612" s="1">
        <v>599.37</v>
      </c>
    </row>
    <row r="613" spans="1:4" x14ac:dyDescent="0.25">
      <c r="A613" s="7">
        <v>44444.291666666664</v>
      </c>
      <c r="B613" s="1" t="s">
        <v>70</v>
      </c>
      <c r="C613" s="1">
        <v>2542.29</v>
      </c>
      <c r="D613" s="1">
        <v>844.18</v>
      </c>
    </row>
    <row r="614" spans="1:4" x14ac:dyDescent="0.25">
      <c r="A614" s="7">
        <v>44444.291666666664</v>
      </c>
      <c r="B614" s="1" t="s">
        <v>78</v>
      </c>
      <c r="C614" s="1">
        <v>456.87</v>
      </c>
      <c r="D614" s="1">
        <v>182.03</v>
      </c>
    </row>
    <row r="615" spans="1:4" x14ac:dyDescent="0.25">
      <c r="A615" s="7">
        <v>44444.291666666664</v>
      </c>
      <c r="B615" s="1" t="s">
        <v>73</v>
      </c>
      <c r="C615" s="1">
        <v>4041.92</v>
      </c>
      <c r="D615" s="1">
        <v>413.31</v>
      </c>
    </row>
    <row r="616" spans="1:4" x14ac:dyDescent="0.25">
      <c r="A616" s="7">
        <v>44444.291666666664</v>
      </c>
      <c r="B616" s="1" t="s">
        <v>68</v>
      </c>
      <c r="C616" s="1">
        <v>5229.4399999999996</v>
      </c>
      <c r="D616" s="1">
        <v>1218.77</v>
      </c>
    </row>
    <row r="617" spans="1:4" x14ac:dyDescent="0.25">
      <c r="A617" s="7">
        <v>44444.291666666664</v>
      </c>
      <c r="B617" s="1" t="s">
        <v>71</v>
      </c>
      <c r="C617" s="1">
        <v>5949.19</v>
      </c>
      <c r="D617" s="1">
        <v>1232.8599999999999</v>
      </c>
    </row>
    <row r="618" spans="1:4" x14ac:dyDescent="0.25">
      <c r="A618" s="7">
        <v>44444.333333333336</v>
      </c>
      <c r="B618" s="1" t="s">
        <v>74</v>
      </c>
      <c r="C618" s="1">
        <v>5857.45</v>
      </c>
      <c r="D618" s="1">
        <v>993.61</v>
      </c>
    </row>
    <row r="619" spans="1:4" x14ac:dyDescent="0.25">
      <c r="A619" s="7">
        <v>44444.333333333336</v>
      </c>
      <c r="B619" s="1" t="s">
        <v>75</v>
      </c>
      <c r="C619" s="1">
        <v>464.92</v>
      </c>
      <c r="D619" s="1">
        <v>135.31</v>
      </c>
    </row>
    <row r="620" spans="1:4" x14ac:dyDescent="0.25">
      <c r="A620" s="7">
        <v>44444.333333333336</v>
      </c>
      <c r="B620" s="1" t="s">
        <v>73</v>
      </c>
      <c r="C620" s="1">
        <v>6005.2</v>
      </c>
      <c r="D620" s="1">
        <v>723.08</v>
      </c>
    </row>
    <row r="621" spans="1:4" x14ac:dyDescent="0.25">
      <c r="A621" s="7">
        <v>44444.333333333336</v>
      </c>
      <c r="B621" s="1" t="s">
        <v>77</v>
      </c>
      <c r="C621" s="1">
        <v>6702.61</v>
      </c>
      <c r="D621" s="1">
        <v>1729.24</v>
      </c>
    </row>
    <row r="622" spans="1:4" x14ac:dyDescent="0.25">
      <c r="A622" s="7">
        <v>44444.333333333336</v>
      </c>
      <c r="B622" s="1" t="s">
        <v>71</v>
      </c>
      <c r="C622" s="1">
        <v>8337.01</v>
      </c>
      <c r="D622" s="1">
        <v>1986.52</v>
      </c>
    </row>
    <row r="623" spans="1:4" x14ac:dyDescent="0.25">
      <c r="A623" s="7">
        <v>44444.333333333336</v>
      </c>
      <c r="B623" s="1" t="s">
        <v>70</v>
      </c>
      <c r="C623" s="1">
        <v>4236.51</v>
      </c>
      <c r="D623" s="1">
        <v>1611.18</v>
      </c>
    </row>
    <row r="624" spans="1:4" x14ac:dyDescent="0.25">
      <c r="A624" s="7">
        <v>44444.333333333336</v>
      </c>
      <c r="B624" s="1" t="s">
        <v>78</v>
      </c>
      <c r="C624" s="1">
        <v>829.18</v>
      </c>
      <c r="D624" s="1">
        <v>355.23</v>
      </c>
    </row>
    <row r="625" spans="1:4" x14ac:dyDescent="0.25">
      <c r="A625" s="7">
        <v>44444.333333333336</v>
      </c>
      <c r="B625" s="1" t="s">
        <v>76</v>
      </c>
      <c r="C625" s="1">
        <v>8622.32</v>
      </c>
      <c r="D625" s="1">
        <v>1630.39</v>
      </c>
    </row>
    <row r="626" spans="1:4" x14ac:dyDescent="0.25">
      <c r="A626" s="7">
        <v>44444.333333333336</v>
      </c>
      <c r="B626" s="1" t="s">
        <v>72</v>
      </c>
      <c r="C626" s="1">
        <v>4299.1400000000003</v>
      </c>
      <c r="D626" s="1">
        <v>2150.6999999999998</v>
      </c>
    </row>
    <row r="627" spans="1:4" x14ac:dyDescent="0.25">
      <c r="A627" s="7">
        <v>44444.333333333336</v>
      </c>
      <c r="B627" s="1" t="s">
        <v>68</v>
      </c>
      <c r="C627" s="1">
        <v>7463.84</v>
      </c>
      <c r="D627" s="1">
        <v>1987.19</v>
      </c>
    </row>
    <row r="628" spans="1:4" x14ac:dyDescent="0.25">
      <c r="A628" s="7">
        <v>44444.333333333336</v>
      </c>
      <c r="B628" s="1" t="s">
        <v>69</v>
      </c>
      <c r="C628" s="1">
        <v>2001.27</v>
      </c>
      <c r="D628" s="1">
        <v>1308.98</v>
      </c>
    </row>
    <row r="629" spans="1:4" x14ac:dyDescent="0.25">
      <c r="A629" s="7">
        <v>44444.375</v>
      </c>
      <c r="B629" s="1" t="s">
        <v>75</v>
      </c>
      <c r="C629" s="1">
        <v>706.73</v>
      </c>
      <c r="D629" s="1">
        <v>238.46</v>
      </c>
    </row>
    <row r="630" spans="1:4" x14ac:dyDescent="0.25">
      <c r="A630" s="7">
        <v>44444.375</v>
      </c>
      <c r="B630" s="1" t="s">
        <v>74</v>
      </c>
      <c r="C630" s="1">
        <v>7250.92</v>
      </c>
      <c r="D630" s="1">
        <v>1438.03</v>
      </c>
    </row>
    <row r="631" spans="1:4" x14ac:dyDescent="0.25">
      <c r="A631" s="7">
        <v>44444.375</v>
      </c>
      <c r="B631" s="1" t="s">
        <v>73</v>
      </c>
      <c r="C631" s="1">
        <v>7533.36</v>
      </c>
      <c r="D631" s="1">
        <v>1057.24</v>
      </c>
    </row>
    <row r="632" spans="1:4" x14ac:dyDescent="0.25">
      <c r="A632" s="7">
        <v>44444.375</v>
      </c>
      <c r="B632" s="1" t="s">
        <v>68</v>
      </c>
      <c r="C632" s="1">
        <v>9198.67</v>
      </c>
      <c r="D632" s="1">
        <v>2835.22</v>
      </c>
    </row>
    <row r="633" spans="1:4" x14ac:dyDescent="0.25">
      <c r="A633" s="7">
        <v>44444.375</v>
      </c>
      <c r="B633" s="1" t="s">
        <v>77</v>
      </c>
      <c r="C633" s="1">
        <v>9274.5300000000007</v>
      </c>
      <c r="D633" s="1">
        <v>2642.33</v>
      </c>
    </row>
    <row r="634" spans="1:4" x14ac:dyDescent="0.25">
      <c r="A634" s="7">
        <v>44444.375</v>
      </c>
      <c r="B634" s="1" t="s">
        <v>71</v>
      </c>
      <c r="C634" s="1">
        <v>9945.16</v>
      </c>
      <c r="D634" s="1">
        <v>2661.93</v>
      </c>
    </row>
    <row r="635" spans="1:4" x14ac:dyDescent="0.25">
      <c r="A635" s="7">
        <v>44444.375</v>
      </c>
      <c r="B635" s="1" t="s">
        <v>70</v>
      </c>
      <c r="C635" s="1">
        <v>5931.63</v>
      </c>
      <c r="D635" s="1">
        <v>2443.2399999999998</v>
      </c>
    </row>
    <row r="636" spans="1:4" x14ac:dyDescent="0.25">
      <c r="A636" s="7">
        <v>44444.375</v>
      </c>
      <c r="B636" s="1" t="s">
        <v>78</v>
      </c>
      <c r="C636" s="1">
        <v>1328.09</v>
      </c>
      <c r="D636" s="1">
        <v>690.1</v>
      </c>
    </row>
    <row r="637" spans="1:4" x14ac:dyDescent="0.25">
      <c r="A637" s="7">
        <v>44444.375</v>
      </c>
      <c r="B637" s="1" t="s">
        <v>72</v>
      </c>
      <c r="C637" s="1">
        <v>6808.03</v>
      </c>
      <c r="D637" s="1">
        <v>4073.97</v>
      </c>
    </row>
    <row r="638" spans="1:4" x14ac:dyDescent="0.25">
      <c r="A638" s="7">
        <v>44444.375</v>
      </c>
      <c r="B638" s="1" t="s">
        <v>76</v>
      </c>
      <c r="C638" s="1">
        <v>11235.53</v>
      </c>
      <c r="D638" s="1">
        <v>2429.79</v>
      </c>
    </row>
    <row r="639" spans="1:4" x14ac:dyDescent="0.25">
      <c r="A639" s="7">
        <v>44444.375</v>
      </c>
      <c r="B639" s="1" t="s">
        <v>69</v>
      </c>
      <c r="C639" s="1">
        <v>3375.72</v>
      </c>
      <c r="D639" s="1">
        <v>2723.45</v>
      </c>
    </row>
    <row r="640" spans="1:4" x14ac:dyDescent="0.25">
      <c r="A640" s="7">
        <v>44444.416666666664</v>
      </c>
      <c r="B640" s="1" t="s">
        <v>75</v>
      </c>
      <c r="C640" s="1">
        <v>925.65</v>
      </c>
      <c r="D640" s="1">
        <v>371.5</v>
      </c>
    </row>
    <row r="641" spans="1:4" x14ac:dyDescent="0.25">
      <c r="A641" s="7">
        <v>44444.416666666664</v>
      </c>
      <c r="B641" s="1" t="s">
        <v>74</v>
      </c>
      <c r="C641" s="1">
        <v>8054.13</v>
      </c>
      <c r="D641" s="1">
        <v>1818.81</v>
      </c>
    </row>
    <row r="642" spans="1:4" x14ac:dyDescent="0.25">
      <c r="A642" s="7">
        <v>44444.416666666664</v>
      </c>
      <c r="B642" s="1" t="s">
        <v>68</v>
      </c>
      <c r="C642" s="1">
        <v>9770.73</v>
      </c>
      <c r="D642" s="1">
        <v>3414.81</v>
      </c>
    </row>
    <row r="643" spans="1:4" x14ac:dyDescent="0.25">
      <c r="A643" s="7">
        <v>44444.416666666664</v>
      </c>
      <c r="B643" s="1" t="s">
        <v>77</v>
      </c>
      <c r="C643" s="1">
        <v>10912.94</v>
      </c>
      <c r="D643" s="1">
        <v>3357.13</v>
      </c>
    </row>
    <row r="644" spans="1:4" x14ac:dyDescent="0.25">
      <c r="A644" s="7">
        <v>44444.416666666664</v>
      </c>
      <c r="B644" s="1" t="s">
        <v>71</v>
      </c>
      <c r="C644" s="1">
        <v>10513.21</v>
      </c>
      <c r="D644" s="1">
        <v>3058.68</v>
      </c>
    </row>
    <row r="645" spans="1:4" x14ac:dyDescent="0.25">
      <c r="A645" s="7">
        <v>44444.416666666664</v>
      </c>
      <c r="B645" s="1" t="s">
        <v>70</v>
      </c>
      <c r="C645" s="1">
        <v>6879.02</v>
      </c>
      <c r="D645" s="1">
        <v>3096.71</v>
      </c>
    </row>
    <row r="646" spans="1:4" x14ac:dyDescent="0.25">
      <c r="A646" s="7">
        <v>44444.416666666664</v>
      </c>
      <c r="B646" s="1" t="s">
        <v>69</v>
      </c>
      <c r="C646" s="1">
        <v>4784.17</v>
      </c>
      <c r="D646" s="1">
        <v>4523.78</v>
      </c>
    </row>
    <row r="647" spans="1:4" x14ac:dyDescent="0.25">
      <c r="A647" s="7">
        <v>44444.416666666664</v>
      </c>
      <c r="B647" s="1" t="s">
        <v>78</v>
      </c>
      <c r="C647" s="1">
        <v>1824.08</v>
      </c>
      <c r="D647" s="1">
        <v>1130.32</v>
      </c>
    </row>
    <row r="648" spans="1:4" x14ac:dyDescent="0.25">
      <c r="A648" s="7">
        <v>44444.416666666664</v>
      </c>
      <c r="B648" s="1" t="s">
        <v>76</v>
      </c>
      <c r="C648" s="1">
        <v>12765.66</v>
      </c>
      <c r="D648" s="1">
        <v>3059.48</v>
      </c>
    </row>
    <row r="649" spans="1:4" x14ac:dyDescent="0.25">
      <c r="A649" s="7">
        <v>44444.416666666664</v>
      </c>
      <c r="B649" s="1" t="s">
        <v>72</v>
      </c>
      <c r="C649" s="1">
        <v>9081.26</v>
      </c>
      <c r="D649" s="1">
        <v>6229.15</v>
      </c>
    </row>
    <row r="650" spans="1:4" x14ac:dyDescent="0.25">
      <c r="A650" s="7">
        <v>44444.416666666664</v>
      </c>
      <c r="B650" s="1" t="s">
        <v>73</v>
      </c>
      <c r="C650" s="1">
        <v>8188.53</v>
      </c>
      <c r="D650" s="1">
        <v>1257.77</v>
      </c>
    </row>
    <row r="651" spans="1:4" x14ac:dyDescent="0.25">
      <c r="A651" s="7">
        <v>44444.458333333336</v>
      </c>
      <c r="B651" s="1" t="s">
        <v>75</v>
      </c>
      <c r="C651" s="1">
        <v>1004.25</v>
      </c>
      <c r="D651" s="1">
        <v>460.24</v>
      </c>
    </row>
    <row r="652" spans="1:4" x14ac:dyDescent="0.25">
      <c r="A652" s="7">
        <v>44444.458333333336</v>
      </c>
      <c r="B652" s="1" t="s">
        <v>74</v>
      </c>
      <c r="C652" s="1">
        <v>7963.5</v>
      </c>
      <c r="D652" s="1">
        <v>1930.95</v>
      </c>
    </row>
    <row r="653" spans="1:4" x14ac:dyDescent="0.25">
      <c r="A653" s="7">
        <v>44444.458333333336</v>
      </c>
      <c r="B653" s="1" t="s">
        <v>78</v>
      </c>
      <c r="C653" s="1">
        <v>2056.77</v>
      </c>
      <c r="D653" s="1">
        <v>1353.52</v>
      </c>
    </row>
    <row r="654" spans="1:4" x14ac:dyDescent="0.25">
      <c r="A654" s="7">
        <v>44444.458333333336</v>
      </c>
      <c r="B654" s="1" t="s">
        <v>76</v>
      </c>
      <c r="C654" s="1">
        <v>12538.7</v>
      </c>
      <c r="D654" s="1">
        <v>3176.55</v>
      </c>
    </row>
    <row r="655" spans="1:4" x14ac:dyDescent="0.25">
      <c r="A655" s="7">
        <v>44444.458333333336</v>
      </c>
      <c r="B655" s="1" t="s">
        <v>72</v>
      </c>
      <c r="C655" s="1">
        <v>9998.42</v>
      </c>
      <c r="D655" s="1">
        <v>7447.16</v>
      </c>
    </row>
    <row r="656" spans="1:4" x14ac:dyDescent="0.25">
      <c r="A656" s="7">
        <v>44444.458333333336</v>
      </c>
      <c r="B656" s="1" t="s">
        <v>68</v>
      </c>
      <c r="C656" s="1">
        <v>9442.15</v>
      </c>
      <c r="D656" s="1">
        <v>3506.02</v>
      </c>
    </row>
    <row r="657" spans="1:4" x14ac:dyDescent="0.25">
      <c r="A657" s="7">
        <v>44444.458333333336</v>
      </c>
      <c r="B657" s="1" t="s">
        <v>69</v>
      </c>
      <c r="C657" s="1">
        <v>5408.69</v>
      </c>
      <c r="D657" s="1">
        <v>5515.39</v>
      </c>
    </row>
    <row r="658" spans="1:4" x14ac:dyDescent="0.25">
      <c r="A658" s="7">
        <v>44444.458333333336</v>
      </c>
      <c r="B658" s="1" t="s">
        <v>73</v>
      </c>
      <c r="C658" s="1">
        <v>7901.21</v>
      </c>
      <c r="D658" s="1">
        <v>1275.6199999999999</v>
      </c>
    </row>
    <row r="659" spans="1:4" x14ac:dyDescent="0.25">
      <c r="A659" s="7">
        <v>44444.458333333336</v>
      </c>
      <c r="B659" s="1" t="s">
        <v>77</v>
      </c>
      <c r="C659" s="1">
        <v>11096.06</v>
      </c>
      <c r="D659" s="1">
        <v>3515.42</v>
      </c>
    </row>
    <row r="660" spans="1:4" x14ac:dyDescent="0.25">
      <c r="A660" s="7">
        <v>44444.458333333336</v>
      </c>
      <c r="B660" s="1" t="s">
        <v>71</v>
      </c>
      <c r="C660" s="1">
        <v>9721.23</v>
      </c>
      <c r="D660" s="1">
        <v>2996.12</v>
      </c>
    </row>
    <row r="661" spans="1:4" x14ac:dyDescent="0.25">
      <c r="A661" s="7">
        <v>44444.458333333336</v>
      </c>
      <c r="B661" s="1" t="s">
        <v>70</v>
      </c>
      <c r="C661" s="1">
        <v>7006.6</v>
      </c>
      <c r="D661" s="1">
        <v>3272.43</v>
      </c>
    </row>
    <row r="662" spans="1:4" x14ac:dyDescent="0.25">
      <c r="A662" s="7">
        <v>44444.5</v>
      </c>
      <c r="B662" s="1" t="s">
        <v>74</v>
      </c>
      <c r="C662" s="1">
        <v>7357.85</v>
      </c>
      <c r="D662" s="1">
        <v>1800.55</v>
      </c>
    </row>
    <row r="663" spans="1:4" x14ac:dyDescent="0.25">
      <c r="A663" s="7">
        <v>44444.5</v>
      </c>
      <c r="B663" s="1" t="s">
        <v>78</v>
      </c>
      <c r="C663" s="1">
        <v>2029.79</v>
      </c>
      <c r="D663" s="1">
        <v>1380.15</v>
      </c>
    </row>
    <row r="664" spans="1:4" x14ac:dyDescent="0.25">
      <c r="A664" s="7">
        <v>44444.5</v>
      </c>
      <c r="B664" s="1" t="s">
        <v>75</v>
      </c>
      <c r="C664" s="1">
        <v>1025.83</v>
      </c>
      <c r="D664" s="1">
        <v>479.78</v>
      </c>
    </row>
    <row r="665" spans="1:4" x14ac:dyDescent="0.25">
      <c r="A665" s="7">
        <v>44444.5</v>
      </c>
      <c r="B665" s="1" t="s">
        <v>76</v>
      </c>
      <c r="C665" s="1">
        <v>11403.08</v>
      </c>
      <c r="D665" s="1">
        <v>2977.77</v>
      </c>
    </row>
    <row r="666" spans="1:4" x14ac:dyDescent="0.25">
      <c r="A666" s="7">
        <v>44444.5</v>
      </c>
      <c r="B666" s="1" t="s">
        <v>72</v>
      </c>
      <c r="C666" s="1">
        <v>9549.2900000000009</v>
      </c>
      <c r="D666" s="1">
        <v>7402.71</v>
      </c>
    </row>
    <row r="667" spans="1:4" x14ac:dyDescent="0.25">
      <c r="A667" s="7">
        <v>44444.5</v>
      </c>
      <c r="B667" s="1" t="s">
        <v>68</v>
      </c>
      <c r="C667" s="1">
        <v>8552.1200000000008</v>
      </c>
      <c r="D667" s="1">
        <v>3195.41</v>
      </c>
    </row>
    <row r="668" spans="1:4" x14ac:dyDescent="0.25">
      <c r="A668" s="7">
        <v>44444.5</v>
      </c>
      <c r="B668" s="1" t="s">
        <v>71</v>
      </c>
      <c r="C668" s="1">
        <v>9045.49</v>
      </c>
      <c r="D668" s="1">
        <v>2773.63</v>
      </c>
    </row>
    <row r="669" spans="1:4" x14ac:dyDescent="0.25">
      <c r="A669" s="7">
        <v>44444.5</v>
      </c>
      <c r="B669" s="1" t="s">
        <v>69</v>
      </c>
      <c r="C669" s="1">
        <v>5164.3999999999996</v>
      </c>
      <c r="D669" s="1">
        <v>5541.53</v>
      </c>
    </row>
    <row r="670" spans="1:4" x14ac:dyDescent="0.25">
      <c r="A670" s="7">
        <v>44444.5</v>
      </c>
      <c r="B670" s="1" t="s">
        <v>70</v>
      </c>
      <c r="C670" s="1">
        <v>6477.49</v>
      </c>
      <c r="D670" s="1">
        <v>3068.51</v>
      </c>
    </row>
    <row r="671" spans="1:4" x14ac:dyDescent="0.25">
      <c r="A671" s="7">
        <v>44444.5</v>
      </c>
      <c r="B671" s="1" t="s">
        <v>73</v>
      </c>
      <c r="C671" s="1">
        <v>7033.69</v>
      </c>
      <c r="D671" s="1">
        <v>1137.05</v>
      </c>
    </row>
    <row r="672" spans="1:4" x14ac:dyDescent="0.25">
      <c r="A672" s="7">
        <v>44444.5</v>
      </c>
      <c r="B672" s="1" t="s">
        <v>77</v>
      </c>
      <c r="C672" s="1">
        <v>10244.48</v>
      </c>
      <c r="D672" s="1">
        <v>3286.02</v>
      </c>
    </row>
    <row r="673" spans="1:4" x14ac:dyDescent="0.25">
      <c r="A673" s="7">
        <v>44444.541666666664</v>
      </c>
      <c r="B673" s="1" t="s">
        <v>74</v>
      </c>
      <c r="C673" s="1">
        <v>6698.59</v>
      </c>
      <c r="D673" s="1">
        <v>1547.39</v>
      </c>
    </row>
    <row r="674" spans="1:4" x14ac:dyDescent="0.25">
      <c r="A674" s="7">
        <v>44444.541666666664</v>
      </c>
      <c r="B674" s="1" t="s">
        <v>75</v>
      </c>
      <c r="C674" s="1">
        <v>887.57</v>
      </c>
      <c r="D674" s="1">
        <v>408.67</v>
      </c>
    </row>
    <row r="675" spans="1:4" x14ac:dyDescent="0.25">
      <c r="A675" s="7">
        <v>44444.541666666664</v>
      </c>
      <c r="B675" s="1" t="s">
        <v>76</v>
      </c>
      <c r="C675" s="1">
        <v>9512.56</v>
      </c>
      <c r="D675" s="1">
        <v>2518.3000000000002</v>
      </c>
    </row>
    <row r="676" spans="1:4" x14ac:dyDescent="0.25">
      <c r="A676" s="7">
        <v>44444.541666666664</v>
      </c>
      <c r="B676" s="1" t="s">
        <v>73</v>
      </c>
      <c r="C676" s="1">
        <v>5546.82</v>
      </c>
      <c r="D676" s="1">
        <v>880.75</v>
      </c>
    </row>
    <row r="677" spans="1:4" x14ac:dyDescent="0.25">
      <c r="A677" s="7">
        <v>44444.541666666664</v>
      </c>
      <c r="B677" s="1" t="s">
        <v>77</v>
      </c>
      <c r="C677" s="1">
        <v>10500.84</v>
      </c>
      <c r="D677" s="1">
        <v>3323.44</v>
      </c>
    </row>
    <row r="678" spans="1:4" x14ac:dyDescent="0.25">
      <c r="A678" s="7">
        <v>44444.541666666664</v>
      </c>
      <c r="B678" s="1" t="s">
        <v>71</v>
      </c>
      <c r="C678" s="1">
        <v>7535.75</v>
      </c>
      <c r="D678" s="1">
        <v>2221.94</v>
      </c>
    </row>
    <row r="679" spans="1:4" x14ac:dyDescent="0.25">
      <c r="A679" s="7">
        <v>44444.541666666664</v>
      </c>
      <c r="B679" s="1" t="s">
        <v>70</v>
      </c>
      <c r="C679" s="1">
        <v>5183.6000000000004</v>
      </c>
      <c r="D679" s="1">
        <v>2445.5500000000002</v>
      </c>
    </row>
    <row r="680" spans="1:4" x14ac:dyDescent="0.25">
      <c r="A680" s="7">
        <v>44444.541666666664</v>
      </c>
      <c r="B680" s="1" t="s">
        <v>78</v>
      </c>
      <c r="C680" s="1">
        <v>1882.41</v>
      </c>
      <c r="D680" s="1">
        <v>1259.3800000000001</v>
      </c>
    </row>
    <row r="681" spans="1:4" x14ac:dyDescent="0.25">
      <c r="A681" s="7">
        <v>44444.541666666664</v>
      </c>
      <c r="B681" s="1" t="s">
        <v>72</v>
      </c>
      <c r="C681" s="1">
        <v>8088.7</v>
      </c>
      <c r="D681" s="1">
        <v>6391.11</v>
      </c>
    </row>
    <row r="682" spans="1:4" x14ac:dyDescent="0.25">
      <c r="A682" s="7">
        <v>44444.541666666664</v>
      </c>
      <c r="B682" s="1" t="s">
        <v>68</v>
      </c>
      <c r="C682" s="1">
        <v>6838.17</v>
      </c>
      <c r="D682" s="1">
        <v>2547.09</v>
      </c>
    </row>
    <row r="683" spans="1:4" x14ac:dyDescent="0.25">
      <c r="A683" s="7">
        <v>44444.541666666664</v>
      </c>
      <c r="B683" s="1" t="s">
        <v>69</v>
      </c>
      <c r="C683" s="1">
        <v>4669.4399999999996</v>
      </c>
      <c r="D683" s="1">
        <v>4815.24</v>
      </c>
    </row>
    <row r="684" spans="1:4" x14ac:dyDescent="0.25">
      <c r="A684" s="7">
        <v>44444.583333333336</v>
      </c>
      <c r="B684" s="1" t="s">
        <v>75</v>
      </c>
      <c r="C684" s="1">
        <v>924.73</v>
      </c>
      <c r="D684" s="1">
        <v>462.13</v>
      </c>
    </row>
    <row r="685" spans="1:4" x14ac:dyDescent="0.25">
      <c r="A685" s="7">
        <v>44444.583333333336</v>
      </c>
      <c r="B685" s="1" t="s">
        <v>74</v>
      </c>
      <c r="C685" s="1">
        <v>7187.59</v>
      </c>
      <c r="D685" s="1">
        <v>1682.41</v>
      </c>
    </row>
    <row r="686" spans="1:4" x14ac:dyDescent="0.25">
      <c r="A686" s="7">
        <v>44444.583333333336</v>
      </c>
      <c r="B686" s="1" t="s">
        <v>73</v>
      </c>
      <c r="C686" s="1">
        <v>6815.12</v>
      </c>
      <c r="D686" s="1">
        <v>1002.89</v>
      </c>
    </row>
    <row r="687" spans="1:4" x14ac:dyDescent="0.25">
      <c r="A687" s="7">
        <v>44444.583333333336</v>
      </c>
      <c r="B687" s="1" t="s">
        <v>77</v>
      </c>
      <c r="C687" s="1">
        <v>9543.4</v>
      </c>
      <c r="D687" s="1">
        <v>3059.38</v>
      </c>
    </row>
    <row r="688" spans="1:4" x14ac:dyDescent="0.25">
      <c r="A688" s="7">
        <v>44444.583333333336</v>
      </c>
      <c r="B688" s="1" t="s">
        <v>71</v>
      </c>
      <c r="C688" s="1">
        <v>8748.07</v>
      </c>
      <c r="D688" s="1">
        <v>2494.9</v>
      </c>
    </row>
    <row r="689" spans="1:4" x14ac:dyDescent="0.25">
      <c r="A689" s="7">
        <v>44444.583333333336</v>
      </c>
      <c r="B689" s="1" t="s">
        <v>69</v>
      </c>
      <c r="C689" s="1">
        <v>4753.67</v>
      </c>
      <c r="D689" s="1">
        <v>5009.1400000000003</v>
      </c>
    </row>
    <row r="690" spans="1:4" x14ac:dyDescent="0.25">
      <c r="A690" s="7">
        <v>44444.583333333336</v>
      </c>
      <c r="B690" s="1" t="s">
        <v>70</v>
      </c>
      <c r="C690" s="1">
        <v>5758.25</v>
      </c>
      <c r="D690" s="1">
        <v>2708.66</v>
      </c>
    </row>
    <row r="691" spans="1:4" x14ac:dyDescent="0.25">
      <c r="A691" s="7">
        <v>44444.583333333336</v>
      </c>
      <c r="B691" s="1" t="s">
        <v>78</v>
      </c>
      <c r="C691" s="1">
        <v>1888.82</v>
      </c>
      <c r="D691" s="1">
        <v>1244.5999999999999</v>
      </c>
    </row>
    <row r="692" spans="1:4" x14ac:dyDescent="0.25">
      <c r="A692" s="7">
        <v>44444.583333333336</v>
      </c>
      <c r="B692" s="1" t="s">
        <v>76</v>
      </c>
      <c r="C692" s="1">
        <v>9984.85</v>
      </c>
      <c r="D692" s="1">
        <v>2648.36</v>
      </c>
    </row>
    <row r="693" spans="1:4" x14ac:dyDescent="0.25">
      <c r="A693" s="7">
        <v>44444.583333333336</v>
      </c>
      <c r="B693" s="1" t="s">
        <v>72</v>
      </c>
      <c r="C693" s="1">
        <v>8812.07</v>
      </c>
      <c r="D693" s="1">
        <v>6754.51</v>
      </c>
    </row>
    <row r="694" spans="1:4" x14ac:dyDescent="0.25">
      <c r="A694" s="7">
        <v>44444.583333333336</v>
      </c>
      <c r="B694" s="1" t="s">
        <v>68</v>
      </c>
      <c r="C694" s="1">
        <v>7957.15</v>
      </c>
      <c r="D694" s="1">
        <v>2797</v>
      </c>
    </row>
    <row r="695" spans="1:4" x14ac:dyDescent="0.25">
      <c r="A695" s="7">
        <v>44444.625</v>
      </c>
      <c r="B695" s="1" t="s">
        <v>75</v>
      </c>
      <c r="C695" s="1">
        <v>979.1</v>
      </c>
      <c r="D695" s="1">
        <v>474.07</v>
      </c>
    </row>
    <row r="696" spans="1:4" x14ac:dyDescent="0.25">
      <c r="A696" s="7">
        <v>44444.625</v>
      </c>
      <c r="B696" s="1" t="s">
        <v>74</v>
      </c>
      <c r="C696" s="1">
        <v>7394.08</v>
      </c>
      <c r="D696" s="1">
        <v>1663.23</v>
      </c>
    </row>
    <row r="697" spans="1:4" x14ac:dyDescent="0.25">
      <c r="A697" s="7">
        <v>44444.625</v>
      </c>
      <c r="B697" s="1" t="s">
        <v>72</v>
      </c>
      <c r="C697" s="1">
        <v>9003.27</v>
      </c>
      <c r="D697" s="1">
        <v>6914.14</v>
      </c>
    </row>
    <row r="698" spans="1:4" x14ac:dyDescent="0.25">
      <c r="A698" s="7">
        <v>44444.625</v>
      </c>
      <c r="B698" s="1" t="s">
        <v>68</v>
      </c>
      <c r="C698" s="1">
        <v>8363.8799999999992</v>
      </c>
      <c r="D698" s="1">
        <v>2867.85</v>
      </c>
    </row>
    <row r="699" spans="1:4" x14ac:dyDescent="0.25">
      <c r="A699" s="7">
        <v>44444.625</v>
      </c>
      <c r="B699" s="1" t="s">
        <v>77</v>
      </c>
      <c r="C699" s="1">
        <v>10258.049999999999</v>
      </c>
      <c r="D699" s="1">
        <v>3228.18</v>
      </c>
    </row>
    <row r="700" spans="1:4" x14ac:dyDescent="0.25">
      <c r="A700" s="7">
        <v>44444.625</v>
      </c>
      <c r="B700" s="1" t="s">
        <v>71</v>
      </c>
      <c r="C700" s="1">
        <v>9011.52</v>
      </c>
      <c r="D700" s="1">
        <v>2593.6799999999998</v>
      </c>
    </row>
    <row r="701" spans="1:4" x14ac:dyDescent="0.25">
      <c r="A701" s="7">
        <v>44444.625</v>
      </c>
      <c r="B701" s="1" t="s">
        <v>69</v>
      </c>
      <c r="C701" s="1">
        <v>4760.03</v>
      </c>
      <c r="D701" s="1">
        <v>4986.12</v>
      </c>
    </row>
    <row r="702" spans="1:4" x14ac:dyDescent="0.25">
      <c r="A702" s="7">
        <v>44444.625</v>
      </c>
      <c r="B702" s="1" t="s">
        <v>70</v>
      </c>
      <c r="C702" s="1">
        <v>6242.46</v>
      </c>
      <c r="D702" s="1">
        <v>2871.73</v>
      </c>
    </row>
    <row r="703" spans="1:4" x14ac:dyDescent="0.25">
      <c r="A703" s="7">
        <v>44444.625</v>
      </c>
      <c r="B703" s="1" t="s">
        <v>78</v>
      </c>
      <c r="C703" s="1">
        <v>1836.8</v>
      </c>
      <c r="D703" s="1">
        <v>1235.77</v>
      </c>
    </row>
    <row r="704" spans="1:4" x14ac:dyDescent="0.25">
      <c r="A704" s="7">
        <v>44444.625</v>
      </c>
      <c r="B704" s="1" t="s">
        <v>76</v>
      </c>
      <c r="C704" s="1">
        <v>11577.76</v>
      </c>
      <c r="D704" s="1">
        <v>2878.96</v>
      </c>
    </row>
    <row r="705" spans="1:4" x14ac:dyDescent="0.25">
      <c r="A705" s="7">
        <v>44444.625</v>
      </c>
      <c r="B705" s="1" t="s">
        <v>73</v>
      </c>
      <c r="C705" s="1">
        <v>7596.18</v>
      </c>
      <c r="D705" s="1">
        <v>1092.3399999999999</v>
      </c>
    </row>
    <row r="706" spans="1:4" x14ac:dyDescent="0.25">
      <c r="A706" s="7">
        <v>44444.666666666664</v>
      </c>
      <c r="B706" s="1" t="s">
        <v>74</v>
      </c>
      <c r="C706" s="1">
        <v>7113.86</v>
      </c>
      <c r="D706" s="1">
        <v>1607.49</v>
      </c>
    </row>
    <row r="707" spans="1:4" x14ac:dyDescent="0.25">
      <c r="A707" s="7">
        <v>44444.666666666664</v>
      </c>
      <c r="B707" s="1" t="s">
        <v>78</v>
      </c>
      <c r="C707" s="1">
        <v>1744</v>
      </c>
      <c r="D707" s="1">
        <v>1126.42</v>
      </c>
    </row>
    <row r="708" spans="1:4" x14ac:dyDescent="0.25">
      <c r="A708" s="7">
        <v>44444.666666666664</v>
      </c>
      <c r="B708" s="1" t="s">
        <v>75</v>
      </c>
      <c r="C708" s="1">
        <v>942.37</v>
      </c>
      <c r="D708" s="1">
        <v>444.82</v>
      </c>
    </row>
    <row r="709" spans="1:4" x14ac:dyDescent="0.25">
      <c r="A709" s="7">
        <v>44444.666666666664</v>
      </c>
      <c r="B709" s="1" t="s">
        <v>72</v>
      </c>
      <c r="C709" s="1">
        <v>8445.89</v>
      </c>
      <c r="D709" s="1">
        <v>6417.37</v>
      </c>
    </row>
    <row r="710" spans="1:4" x14ac:dyDescent="0.25">
      <c r="A710" s="7">
        <v>44444.666666666664</v>
      </c>
      <c r="B710" s="1" t="s">
        <v>68</v>
      </c>
      <c r="C710" s="1">
        <v>8112.65</v>
      </c>
      <c r="D710" s="1">
        <v>2852.28</v>
      </c>
    </row>
    <row r="711" spans="1:4" x14ac:dyDescent="0.25">
      <c r="A711" s="7">
        <v>44444.666666666664</v>
      </c>
      <c r="B711" s="1" t="s">
        <v>77</v>
      </c>
      <c r="C711" s="1">
        <v>10292.99</v>
      </c>
      <c r="D711" s="1">
        <v>3175.92</v>
      </c>
    </row>
    <row r="712" spans="1:4" x14ac:dyDescent="0.25">
      <c r="A712" s="7">
        <v>44444.666666666664</v>
      </c>
      <c r="B712" s="1" t="s">
        <v>69</v>
      </c>
      <c r="C712" s="1">
        <v>4536.88</v>
      </c>
      <c r="D712" s="1">
        <v>4619.2</v>
      </c>
    </row>
    <row r="713" spans="1:4" x14ac:dyDescent="0.25">
      <c r="A713" s="7">
        <v>44444.666666666664</v>
      </c>
      <c r="B713" s="1" t="s">
        <v>70</v>
      </c>
      <c r="C713" s="1">
        <v>6363.88</v>
      </c>
      <c r="D713" s="1">
        <v>2798.32</v>
      </c>
    </row>
    <row r="714" spans="1:4" x14ac:dyDescent="0.25">
      <c r="A714" s="7">
        <v>44444.666666666664</v>
      </c>
      <c r="B714" s="1" t="s">
        <v>76</v>
      </c>
      <c r="C714" s="1">
        <v>11305.59</v>
      </c>
      <c r="D714" s="1">
        <v>2771.23</v>
      </c>
    </row>
    <row r="715" spans="1:4" x14ac:dyDescent="0.25">
      <c r="A715" s="7">
        <v>44444.666666666664</v>
      </c>
      <c r="B715" s="1" t="s">
        <v>73</v>
      </c>
      <c r="C715" s="1">
        <v>7058.73</v>
      </c>
      <c r="D715" s="1">
        <v>1050.44</v>
      </c>
    </row>
    <row r="716" spans="1:4" x14ac:dyDescent="0.25">
      <c r="A716" s="7">
        <v>44444.666666666664</v>
      </c>
      <c r="B716" s="1" t="s">
        <v>71</v>
      </c>
      <c r="C716" s="1">
        <v>8338.75</v>
      </c>
      <c r="D716" s="1">
        <v>2512.1</v>
      </c>
    </row>
    <row r="717" spans="1:4" x14ac:dyDescent="0.25">
      <c r="A717" s="7">
        <v>44444.708333333336</v>
      </c>
      <c r="B717" s="1" t="s">
        <v>74</v>
      </c>
      <c r="C717" s="1">
        <v>7357.61</v>
      </c>
      <c r="D717" s="1">
        <v>1659.79</v>
      </c>
    </row>
    <row r="718" spans="1:4" x14ac:dyDescent="0.25">
      <c r="A718" s="7">
        <v>44444.708333333336</v>
      </c>
      <c r="B718" s="1" t="s">
        <v>78</v>
      </c>
      <c r="C718" s="1">
        <v>1806.08</v>
      </c>
      <c r="D718" s="1">
        <v>1129.1500000000001</v>
      </c>
    </row>
    <row r="719" spans="1:4" x14ac:dyDescent="0.25">
      <c r="A719" s="7">
        <v>44444.708333333336</v>
      </c>
      <c r="B719" s="1" t="s">
        <v>75</v>
      </c>
      <c r="C719" s="1">
        <v>957.34</v>
      </c>
      <c r="D719" s="1">
        <v>417.72</v>
      </c>
    </row>
    <row r="720" spans="1:4" x14ac:dyDescent="0.25">
      <c r="A720" s="7">
        <v>44444.708333333336</v>
      </c>
      <c r="B720" s="1" t="s">
        <v>76</v>
      </c>
      <c r="C720" s="1">
        <v>11354.68</v>
      </c>
      <c r="D720" s="1">
        <v>2831.28</v>
      </c>
    </row>
    <row r="721" spans="1:4" x14ac:dyDescent="0.25">
      <c r="A721" s="7">
        <v>44444.708333333336</v>
      </c>
      <c r="B721" s="1" t="s">
        <v>68</v>
      </c>
      <c r="C721" s="1">
        <v>8809.23</v>
      </c>
      <c r="D721" s="1">
        <v>2985.55</v>
      </c>
    </row>
    <row r="722" spans="1:4" x14ac:dyDescent="0.25">
      <c r="A722" s="7">
        <v>44444.708333333336</v>
      </c>
      <c r="B722" s="1" t="s">
        <v>71</v>
      </c>
      <c r="C722" s="1">
        <v>8274.4500000000007</v>
      </c>
      <c r="D722" s="1">
        <v>2574.4899999999998</v>
      </c>
    </row>
    <row r="723" spans="1:4" x14ac:dyDescent="0.25">
      <c r="A723" s="7">
        <v>44444.708333333336</v>
      </c>
      <c r="B723" s="1" t="s">
        <v>70</v>
      </c>
      <c r="C723" s="1">
        <v>6299.82</v>
      </c>
      <c r="D723" s="1">
        <v>2577.52</v>
      </c>
    </row>
    <row r="724" spans="1:4" x14ac:dyDescent="0.25">
      <c r="A724" s="7">
        <v>44444.708333333336</v>
      </c>
      <c r="B724" s="1" t="s">
        <v>73</v>
      </c>
      <c r="C724" s="1">
        <v>7121.65</v>
      </c>
      <c r="D724" s="1">
        <v>1071.04</v>
      </c>
    </row>
    <row r="725" spans="1:4" x14ac:dyDescent="0.25">
      <c r="A725" s="7">
        <v>44444.708333333336</v>
      </c>
      <c r="B725" s="1" t="s">
        <v>72</v>
      </c>
      <c r="C725" s="1">
        <v>8307.98</v>
      </c>
      <c r="D725" s="1">
        <v>6128.64</v>
      </c>
    </row>
    <row r="726" spans="1:4" x14ac:dyDescent="0.25">
      <c r="A726" s="7">
        <v>44444.708333333336</v>
      </c>
      <c r="B726" s="1" t="s">
        <v>77</v>
      </c>
      <c r="C726" s="1">
        <v>11128.8</v>
      </c>
      <c r="D726" s="1">
        <v>3498.65</v>
      </c>
    </row>
    <row r="727" spans="1:4" x14ac:dyDescent="0.25">
      <c r="A727" s="7">
        <v>44444.708333333336</v>
      </c>
      <c r="B727" s="1" t="s">
        <v>69</v>
      </c>
      <c r="C727" s="1">
        <v>4491.1000000000004</v>
      </c>
      <c r="D727" s="1">
        <v>4358.8999999999996</v>
      </c>
    </row>
    <row r="728" spans="1:4" x14ac:dyDescent="0.25">
      <c r="A728" s="7">
        <v>44444.75</v>
      </c>
      <c r="B728" s="1" t="s">
        <v>75</v>
      </c>
      <c r="C728" s="1">
        <v>706.86</v>
      </c>
      <c r="D728" s="1">
        <v>267.42</v>
      </c>
    </row>
    <row r="729" spans="1:4" x14ac:dyDescent="0.25">
      <c r="A729" s="7">
        <v>44444.75</v>
      </c>
      <c r="B729" s="1" t="s">
        <v>74</v>
      </c>
      <c r="C729" s="1">
        <v>6121.98</v>
      </c>
      <c r="D729" s="1">
        <v>1207.5999999999999</v>
      </c>
    </row>
    <row r="730" spans="1:4" x14ac:dyDescent="0.25">
      <c r="A730" s="7">
        <v>44444.75</v>
      </c>
      <c r="B730" s="1" t="s">
        <v>78</v>
      </c>
      <c r="C730" s="1">
        <v>1284.96</v>
      </c>
      <c r="D730" s="1">
        <v>692.95</v>
      </c>
    </row>
    <row r="731" spans="1:4" x14ac:dyDescent="0.25">
      <c r="A731" s="7">
        <v>44444.75</v>
      </c>
      <c r="B731" s="1" t="s">
        <v>76</v>
      </c>
      <c r="C731" s="1">
        <v>8994.24</v>
      </c>
      <c r="D731" s="1">
        <v>2055.4899999999998</v>
      </c>
    </row>
    <row r="732" spans="1:4" x14ac:dyDescent="0.25">
      <c r="A732" s="7">
        <v>44444.75</v>
      </c>
      <c r="B732" s="1" t="s">
        <v>73</v>
      </c>
      <c r="C732" s="1">
        <v>5433.75</v>
      </c>
      <c r="D732" s="1">
        <v>743.83</v>
      </c>
    </row>
    <row r="733" spans="1:4" x14ac:dyDescent="0.25">
      <c r="A733" s="7">
        <v>44444.75</v>
      </c>
      <c r="B733" s="1" t="s">
        <v>71</v>
      </c>
      <c r="C733" s="1">
        <v>6905.77</v>
      </c>
      <c r="D733" s="1">
        <v>1894.14</v>
      </c>
    </row>
    <row r="734" spans="1:4" x14ac:dyDescent="0.25">
      <c r="A734" s="7">
        <v>44444.75</v>
      </c>
      <c r="B734" s="1" t="s">
        <v>70</v>
      </c>
      <c r="C734" s="1">
        <v>4478.7700000000004</v>
      </c>
      <c r="D734" s="1">
        <v>1746.66</v>
      </c>
    </row>
    <row r="735" spans="1:4" x14ac:dyDescent="0.25">
      <c r="A735" s="7">
        <v>44444.75</v>
      </c>
      <c r="B735" s="1" t="s">
        <v>72</v>
      </c>
      <c r="C735" s="1">
        <v>5637.71</v>
      </c>
      <c r="D735" s="1">
        <v>3679.28</v>
      </c>
    </row>
    <row r="736" spans="1:4" x14ac:dyDescent="0.25">
      <c r="A736" s="7">
        <v>44444.75</v>
      </c>
      <c r="B736" s="1" t="s">
        <v>68</v>
      </c>
      <c r="C736" s="1">
        <v>7815.55</v>
      </c>
      <c r="D736" s="1">
        <v>2329.8000000000002</v>
      </c>
    </row>
    <row r="737" spans="1:4" x14ac:dyDescent="0.25">
      <c r="A737" s="7">
        <v>44444.75</v>
      </c>
      <c r="B737" s="1" t="s">
        <v>77</v>
      </c>
      <c r="C737" s="1">
        <v>9225.0499999999993</v>
      </c>
      <c r="D737" s="1">
        <v>2684.08</v>
      </c>
    </row>
    <row r="738" spans="1:4" x14ac:dyDescent="0.25">
      <c r="A738" s="7">
        <v>44444.75</v>
      </c>
      <c r="B738" s="1" t="s">
        <v>69</v>
      </c>
      <c r="C738" s="1">
        <v>3141.07</v>
      </c>
      <c r="D738" s="1">
        <v>2567.27</v>
      </c>
    </row>
    <row r="739" spans="1:4" x14ac:dyDescent="0.25">
      <c r="A739" s="7">
        <v>44444.791666666664</v>
      </c>
      <c r="B739" s="1" t="s">
        <v>75</v>
      </c>
      <c r="C739" s="1">
        <v>2192.11</v>
      </c>
      <c r="D739" s="1">
        <v>829.54</v>
      </c>
    </row>
    <row r="740" spans="1:4" x14ac:dyDescent="0.25">
      <c r="A740" s="7">
        <v>44444.791666666664</v>
      </c>
      <c r="B740" s="1" t="s">
        <v>74</v>
      </c>
      <c r="C740" s="1">
        <v>16595.740000000002</v>
      </c>
      <c r="D740" s="1">
        <v>2996.08</v>
      </c>
    </row>
    <row r="741" spans="1:4" x14ac:dyDescent="0.25">
      <c r="A741" s="7">
        <v>44444.791666666664</v>
      </c>
      <c r="B741" s="1" t="s">
        <v>72</v>
      </c>
      <c r="C741" s="1">
        <v>14941.18</v>
      </c>
      <c r="D741" s="1">
        <v>9387</v>
      </c>
    </row>
    <row r="742" spans="1:4" x14ac:dyDescent="0.25">
      <c r="A742" s="7">
        <v>44444.791666666664</v>
      </c>
      <c r="B742" s="1" t="s">
        <v>76</v>
      </c>
      <c r="C742" s="1">
        <v>28115.91</v>
      </c>
      <c r="D742" s="1">
        <v>5576.24</v>
      </c>
    </row>
    <row r="743" spans="1:4" x14ac:dyDescent="0.25">
      <c r="A743" s="7">
        <v>44444.791666666664</v>
      </c>
      <c r="B743" s="1" t="s">
        <v>77</v>
      </c>
      <c r="C743" s="1">
        <v>23206.868999999999</v>
      </c>
      <c r="D743" s="1">
        <v>6383.74</v>
      </c>
    </row>
    <row r="744" spans="1:4" x14ac:dyDescent="0.25">
      <c r="A744" s="7">
        <v>44444.791666666664</v>
      </c>
      <c r="B744" s="1" t="s">
        <v>71</v>
      </c>
      <c r="C744" s="1">
        <v>21578.6</v>
      </c>
      <c r="D744" s="1">
        <v>5052.6499999999996</v>
      </c>
    </row>
    <row r="745" spans="1:4" x14ac:dyDescent="0.25">
      <c r="A745" s="7">
        <v>44444.791666666664</v>
      </c>
      <c r="B745" s="1" t="s">
        <v>69</v>
      </c>
      <c r="C745" s="1">
        <v>8036.3</v>
      </c>
      <c r="D745" s="1">
        <v>6578.52</v>
      </c>
    </row>
    <row r="746" spans="1:4" x14ac:dyDescent="0.25">
      <c r="A746" s="7">
        <v>44444.791666666664</v>
      </c>
      <c r="B746" s="1" t="s">
        <v>70</v>
      </c>
      <c r="C746" s="1">
        <v>13701.18</v>
      </c>
      <c r="D746" s="1">
        <v>5167.12</v>
      </c>
    </row>
    <row r="747" spans="1:4" x14ac:dyDescent="0.25">
      <c r="A747" s="7">
        <v>44444.791666666664</v>
      </c>
      <c r="B747" s="1" t="s">
        <v>78</v>
      </c>
      <c r="C747" s="1">
        <v>3704.59</v>
      </c>
      <c r="D747" s="1">
        <v>2057.61</v>
      </c>
    </row>
    <row r="748" spans="1:4" x14ac:dyDescent="0.25">
      <c r="A748" s="7">
        <v>44444.791666666664</v>
      </c>
      <c r="B748" s="1" t="s">
        <v>73</v>
      </c>
      <c r="C748" s="1">
        <v>16563.25</v>
      </c>
      <c r="D748" s="1">
        <v>1991.43</v>
      </c>
    </row>
    <row r="749" spans="1:4" x14ac:dyDescent="0.25">
      <c r="A749" s="7">
        <v>44444.791666666664</v>
      </c>
      <c r="B749" s="1" t="s">
        <v>68</v>
      </c>
      <c r="C749" s="1">
        <v>20241.028999999999</v>
      </c>
      <c r="D749" s="1">
        <v>5461.15</v>
      </c>
    </row>
    <row r="750" spans="1:4" x14ac:dyDescent="0.25">
      <c r="A750" s="7">
        <v>44444.833333333336</v>
      </c>
      <c r="B750" s="1" t="s">
        <v>75</v>
      </c>
      <c r="C750" s="1">
        <v>1649</v>
      </c>
      <c r="D750" s="1">
        <v>600.16999999999996</v>
      </c>
    </row>
    <row r="751" spans="1:4" x14ac:dyDescent="0.25">
      <c r="A751" s="7">
        <v>44444.833333333336</v>
      </c>
      <c r="B751" s="1" t="s">
        <v>74</v>
      </c>
      <c r="C751" s="1">
        <v>15143.48</v>
      </c>
      <c r="D751" s="1">
        <v>2686.46</v>
      </c>
    </row>
    <row r="752" spans="1:4" x14ac:dyDescent="0.25">
      <c r="A752" s="7">
        <v>44444.833333333336</v>
      </c>
      <c r="B752" s="1" t="s">
        <v>72</v>
      </c>
      <c r="C752" s="1">
        <v>12330.96</v>
      </c>
      <c r="D752" s="1">
        <v>7856.1</v>
      </c>
    </row>
    <row r="753" spans="1:4" x14ac:dyDescent="0.25">
      <c r="A753" s="7">
        <v>44444.833333333336</v>
      </c>
      <c r="B753" s="1" t="s">
        <v>77</v>
      </c>
      <c r="C753" s="1">
        <v>19586.118999999999</v>
      </c>
      <c r="D753" s="1">
        <v>5331.3</v>
      </c>
    </row>
    <row r="754" spans="1:4" x14ac:dyDescent="0.25">
      <c r="A754" s="7">
        <v>44444.833333333336</v>
      </c>
      <c r="B754" s="1" t="s">
        <v>69</v>
      </c>
      <c r="C754" s="1">
        <v>7051.27</v>
      </c>
      <c r="D754" s="1">
        <v>5797.06</v>
      </c>
    </row>
    <row r="755" spans="1:4" x14ac:dyDescent="0.25">
      <c r="A755" s="7">
        <v>44444.833333333336</v>
      </c>
      <c r="B755" s="1" t="s">
        <v>70</v>
      </c>
      <c r="C755" s="1">
        <v>10692.65</v>
      </c>
      <c r="D755" s="1">
        <v>4131.01</v>
      </c>
    </row>
    <row r="756" spans="1:4" x14ac:dyDescent="0.25">
      <c r="A756" s="7">
        <v>44444.833333333336</v>
      </c>
      <c r="B756" s="1" t="s">
        <v>78</v>
      </c>
      <c r="C756" s="1">
        <v>2873.27</v>
      </c>
      <c r="D756" s="1">
        <v>1619.88</v>
      </c>
    </row>
    <row r="757" spans="1:4" x14ac:dyDescent="0.25">
      <c r="A757" s="7">
        <v>44444.833333333336</v>
      </c>
      <c r="B757" s="1" t="s">
        <v>76</v>
      </c>
      <c r="C757" s="1">
        <v>23273.778999999999</v>
      </c>
      <c r="D757" s="1">
        <v>4583.88</v>
      </c>
    </row>
    <row r="758" spans="1:4" x14ac:dyDescent="0.25">
      <c r="A758" s="7">
        <v>44444.833333333336</v>
      </c>
      <c r="B758" s="1" t="s">
        <v>73</v>
      </c>
      <c r="C758" s="1">
        <v>11697.65</v>
      </c>
      <c r="D758" s="1">
        <v>1451.92</v>
      </c>
    </row>
    <row r="759" spans="1:4" x14ac:dyDescent="0.25">
      <c r="A759" s="7">
        <v>44444.833333333336</v>
      </c>
      <c r="B759" s="1" t="s">
        <v>68</v>
      </c>
      <c r="C759" s="1">
        <v>14708.51</v>
      </c>
      <c r="D759" s="1">
        <v>4065.49</v>
      </c>
    </row>
    <row r="760" spans="1:4" x14ac:dyDescent="0.25">
      <c r="A760" s="7">
        <v>44444.833333333336</v>
      </c>
      <c r="B760" s="1" t="s">
        <v>71</v>
      </c>
      <c r="C760" s="1">
        <v>16335.47</v>
      </c>
      <c r="D760" s="1">
        <v>3763.08</v>
      </c>
    </row>
    <row r="761" spans="1:4" x14ac:dyDescent="0.25">
      <c r="A761" s="7">
        <v>44444.875</v>
      </c>
      <c r="B761" s="1" t="s">
        <v>75</v>
      </c>
      <c r="C761" s="1">
        <v>1131.8900000000001</v>
      </c>
      <c r="D761" s="1">
        <v>441.98</v>
      </c>
    </row>
    <row r="762" spans="1:4" x14ac:dyDescent="0.25">
      <c r="A762" s="7">
        <v>44444.875</v>
      </c>
      <c r="B762" s="1" t="s">
        <v>74</v>
      </c>
      <c r="C762" s="1">
        <v>10932.34</v>
      </c>
      <c r="D762" s="1">
        <v>1994.52</v>
      </c>
    </row>
    <row r="763" spans="1:4" x14ac:dyDescent="0.25">
      <c r="A763" s="7">
        <v>44444.875</v>
      </c>
      <c r="B763" s="1" t="s">
        <v>73</v>
      </c>
      <c r="C763" s="1">
        <v>6358.56</v>
      </c>
      <c r="D763" s="1">
        <v>857.82</v>
      </c>
    </row>
    <row r="764" spans="1:4" x14ac:dyDescent="0.25">
      <c r="A764" s="7">
        <v>44444.875</v>
      </c>
      <c r="B764" s="1" t="s">
        <v>68</v>
      </c>
      <c r="C764" s="1">
        <v>9145.4699999999993</v>
      </c>
      <c r="D764" s="1">
        <v>2786.78</v>
      </c>
    </row>
    <row r="765" spans="1:4" x14ac:dyDescent="0.25">
      <c r="A765" s="7">
        <v>44444.875</v>
      </c>
      <c r="B765" s="1" t="s">
        <v>77</v>
      </c>
      <c r="C765" s="1">
        <v>14548.72</v>
      </c>
      <c r="D765" s="1">
        <v>4104.1000000000004</v>
      </c>
    </row>
    <row r="766" spans="1:4" x14ac:dyDescent="0.25">
      <c r="A766" s="7">
        <v>44444.875</v>
      </c>
      <c r="B766" s="1" t="s">
        <v>71</v>
      </c>
      <c r="C766" s="1">
        <v>9699.44</v>
      </c>
      <c r="D766" s="1">
        <v>2348.39</v>
      </c>
    </row>
    <row r="767" spans="1:4" x14ac:dyDescent="0.25">
      <c r="A767" s="7">
        <v>44444.875</v>
      </c>
      <c r="B767" s="1" t="s">
        <v>69</v>
      </c>
      <c r="C767" s="1">
        <v>5549.11</v>
      </c>
      <c r="D767" s="1">
        <v>4469.1000000000004</v>
      </c>
    </row>
    <row r="768" spans="1:4" x14ac:dyDescent="0.25">
      <c r="A768" s="7">
        <v>44444.875</v>
      </c>
      <c r="B768" s="1" t="s">
        <v>70</v>
      </c>
      <c r="C768" s="1">
        <v>6674.15</v>
      </c>
      <c r="D768" s="1">
        <v>2697.47</v>
      </c>
    </row>
    <row r="769" spans="1:4" x14ac:dyDescent="0.25">
      <c r="A769" s="7">
        <v>44444.875</v>
      </c>
      <c r="B769" s="1" t="s">
        <v>78</v>
      </c>
      <c r="C769" s="1">
        <v>2389.35</v>
      </c>
      <c r="D769" s="1">
        <v>1267.6600000000001</v>
      </c>
    </row>
    <row r="770" spans="1:4" x14ac:dyDescent="0.25">
      <c r="A770" s="7">
        <v>44444.875</v>
      </c>
      <c r="B770" s="1" t="s">
        <v>72</v>
      </c>
      <c r="C770" s="1">
        <v>9245.2999999999993</v>
      </c>
      <c r="D770" s="1">
        <v>5917.56</v>
      </c>
    </row>
    <row r="771" spans="1:4" x14ac:dyDescent="0.25">
      <c r="A771" s="7">
        <v>44444.875</v>
      </c>
      <c r="B771" s="1" t="s">
        <v>76</v>
      </c>
      <c r="C771" s="1">
        <v>14928.75</v>
      </c>
      <c r="D771" s="1">
        <v>3143.04</v>
      </c>
    </row>
    <row r="772" spans="1:4" x14ac:dyDescent="0.25">
      <c r="A772" s="7">
        <v>44444.916666666664</v>
      </c>
      <c r="B772" s="1" t="s">
        <v>74</v>
      </c>
      <c r="C772" s="1">
        <v>7410.07</v>
      </c>
      <c r="D772" s="1">
        <v>1586.72</v>
      </c>
    </row>
    <row r="773" spans="1:4" x14ac:dyDescent="0.25">
      <c r="A773" s="7">
        <v>44444.916666666664</v>
      </c>
      <c r="B773" s="1" t="s">
        <v>78</v>
      </c>
      <c r="C773" s="1">
        <v>2399.0500000000002</v>
      </c>
      <c r="D773" s="1">
        <v>1249.8800000000001</v>
      </c>
    </row>
    <row r="774" spans="1:4" x14ac:dyDescent="0.25">
      <c r="A774" s="7">
        <v>44444.916666666664</v>
      </c>
      <c r="B774" s="1" t="s">
        <v>75</v>
      </c>
      <c r="C774" s="1">
        <v>1228.5899999999999</v>
      </c>
      <c r="D774" s="1">
        <v>544.47</v>
      </c>
    </row>
    <row r="775" spans="1:4" x14ac:dyDescent="0.25">
      <c r="A775" s="7">
        <v>44444.916666666664</v>
      </c>
      <c r="B775" s="1" t="s">
        <v>76</v>
      </c>
      <c r="C775" s="1">
        <v>11514.09</v>
      </c>
      <c r="D775" s="1">
        <v>2695.83</v>
      </c>
    </row>
    <row r="776" spans="1:4" x14ac:dyDescent="0.25">
      <c r="A776" s="7">
        <v>44444.916666666664</v>
      </c>
      <c r="B776" s="1" t="s">
        <v>73</v>
      </c>
      <c r="C776" s="1">
        <v>5572.05</v>
      </c>
      <c r="D776" s="1">
        <v>799.87</v>
      </c>
    </row>
    <row r="777" spans="1:4" x14ac:dyDescent="0.25">
      <c r="A777" s="7">
        <v>44444.916666666664</v>
      </c>
      <c r="B777" s="1" t="s">
        <v>68</v>
      </c>
      <c r="C777" s="1">
        <v>7051.21</v>
      </c>
      <c r="D777" s="1">
        <v>2419.12</v>
      </c>
    </row>
    <row r="778" spans="1:4" x14ac:dyDescent="0.25">
      <c r="A778" s="7">
        <v>44444.916666666664</v>
      </c>
      <c r="B778" s="1" t="s">
        <v>71</v>
      </c>
      <c r="C778" s="1">
        <v>7455.07</v>
      </c>
      <c r="D778" s="1">
        <v>2044.07</v>
      </c>
    </row>
    <row r="779" spans="1:4" x14ac:dyDescent="0.25">
      <c r="A779" s="7">
        <v>44444.916666666664</v>
      </c>
      <c r="B779" s="1" t="s">
        <v>72</v>
      </c>
      <c r="C779" s="1">
        <v>9067.34</v>
      </c>
      <c r="D779" s="1">
        <v>5952.96</v>
      </c>
    </row>
    <row r="780" spans="1:4" x14ac:dyDescent="0.25">
      <c r="A780" s="7">
        <v>44444.916666666664</v>
      </c>
      <c r="B780" s="1" t="s">
        <v>77</v>
      </c>
      <c r="C780" s="1">
        <v>12795.53</v>
      </c>
      <c r="D780" s="1">
        <v>3734.74</v>
      </c>
    </row>
    <row r="781" spans="1:4" x14ac:dyDescent="0.25">
      <c r="A781" s="7">
        <v>44444.916666666664</v>
      </c>
      <c r="B781" s="1" t="s">
        <v>69</v>
      </c>
      <c r="C781" s="1">
        <v>5426.6</v>
      </c>
      <c r="D781" s="1">
        <v>4445.93</v>
      </c>
    </row>
    <row r="782" spans="1:4" x14ac:dyDescent="0.25">
      <c r="A782" s="7">
        <v>44444.916666666664</v>
      </c>
      <c r="B782" s="1" t="s">
        <v>70</v>
      </c>
      <c r="C782" s="1">
        <v>5901.4</v>
      </c>
      <c r="D782" s="1">
        <v>2516.79</v>
      </c>
    </row>
    <row r="783" spans="1:4" x14ac:dyDescent="0.25">
      <c r="A783" s="7">
        <v>44444.958333333336</v>
      </c>
      <c r="B783" s="1" t="s">
        <v>75</v>
      </c>
      <c r="C783" s="1">
        <v>1057.79</v>
      </c>
      <c r="D783" s="1">
        <v>492</v>
      </c>
    </row>
    <row r="784" spans="1:4" x14ac:dyDescent="0.25">
      <c r="A784" s="7">
        <v>44444.958333333336</v>
      </c>
      <c r="B784" s="1" t="s">
        <v>74</v>
      </c>
      <c r="C784" s="1">
        <v>3845.96</v>
      </c>
      <c r="D784" s="1">
        <v>955.03</v>
      </c>
    </row>
    <row r="785" spans="1:4" x14ac:dyDescent="0.25">
      <c r="A785" s="7">
        <v>44444.958333333336</v>
      </c>
      <c r="B785" s="1" t="s">
        <v>78</v>
      </c>
      <c r="C785" s="1">
        <v>1890.91</v>
      </c>
      <c r="D785" s="1">
        <v>1047.81</v>
      </c>
    </row>
    <row r="786" spans="1:4" x14ac:dyDescent="0.25">
      <c r="A786" s="7">
        <v>44444.958333333336</v>
      </c>
      <c r="B786" s="1" t="s">
        <v>76</v>
      </c>
      <c r="C786" s="1">
        <v>7154.88</v>
      </c>
      <c r="D786" s="1">
        <v>1861.02</v>
      </c>
    </row>
    <row r="787" spans="1:4" x14ac:dyDescent="0.25">
      <c r="A787" s="7">
        <v>44444.958333333336</v>
      </c>
      <c r="B787" s="1" t="s">
        <v>73</v>
      </c>
      <c r="C787" s="1">
        <v>3949.87</v>
      </c>
      <c r="D787" s="1">
        <v>651.38</v>
      </c>
    </row>
    <row r="788" spans="1:4" x14ac:dyDescent="0.25">
      <c r="A788" s="7">
        <v>44444.958333333336</v>
      </c>
      <c r="B788" s="1" t="s">
        <v>68</v>
      </c>
      <c r="C788" s="1">
        <v>3792.29</v>
      </c>
      <c r="D788" s="1">
        <v>1511.37</v>
      </c>
    </row>
    <row r="789" spans="1:4" x14ac:dyDescent="0.25">
      <c r="A789" s="7">
        <v>44444.958333333336</v>
      </c>
      <c r="B789" s="1" t="s">
        <v>71</v>
      </c>
      <c r="C789" s="1">
        <v>3912.92</v>
      </c>
      <c r="D789" s="1">
        <v>1280.1300000000001</v>
      </c>
    </row>
    <row r="790" spans="1:4" x14ac:dyDescent="0.25">
      <c r="A790" s="7">
        <v>44444.958333333336</v>
      </c>
      <c r="B790" s="1" t="s">
        <v>69</v>
      </c>
      <c r="C790" s="1">
        <v>4320.5</v>
      </c>
      <c r="D790" s="1">
        <v>3669.74</v>
      </c>
    </row>
    <row r="791" spans="1:4" x14ac:dyDescent="0.25">
      <c r="A791" s="7">
        <v>44444.958333333336</v>
      </c>
      <c r="B791" s="1" t="s">
        <v>70</v>
      </c>
      <c r="C791" s="1">
        <v>4314.74</v>
      </c>
      <c r="D791" s="1">
        <v>1925.57</v>
      </c>
    </row>
    <row r="792" spans="1:4" x14ac:dyDescent="0.25">
      <c r="A792" s="7">
        <v>44444.958333333336</v>
      </c>
      <c r="B792" s="1" t="s">
        <v>72</v>
      </c>
      <c r="C792" s="1">
        <v>7058.73</v>
      </c>
      <c r="D792" s="1">
        <v>4822</v>
      </c>
    </row>
    <row r="793" spans="1:4" x14ac:dyDescent="0.25">
      <c r="A793" s="7">
        <v>44444.958333333336</v>
      </c>
      <c r="B793" s="1" t="s">
        <v>77</v>
      </c>
      <c r="C793" s="1">
        <v>8724.25</v>
      </c>
      <c r="D793" s="1">
        <v>2529</v>
      </c>
    </row>
    <row r="794" spans="1:4" x14ac:dyDescent="0.25">
      <c r="A794" s="7">
        <v>44474</v>
      </c>
      <c r="B794" s="1" t="s">
        <v>75</v>
      </c>
      <c r="C794" s="1">
        <v>649.35</v>
      </c>
      <c r="D794" s="1">
        <v>321.73</v>
      </c>
    </row>
    <row r="795" spans="1:4" x14ac:dyDescent="0.25">
      <c r="A795" s="7">
        <v>44474</v>
      </c>
      <c r="B795" s="1" t="s">
        <v>74</v>
      </c>
      <c r="C795" s="1">
        <v>1642.66</v>
      </c>
      <c r="D795" s="1">
        <v>468.41</v>
      </c>
    </row>
    <row r="796" spans="1:4" x14ac:dyDescent="0.25">
      <c r="A796" s="7">
        <v>44474</v>
      </c>
      <c r="B796" s="1" t="s">
        <v>76</v>
      </c>
      <c r="C796" s="1">
        <v>3131.83</v>
      </c>
      <c r="D796" s="1">
        <v>883.72</v>
      </c>
    </row>
    <row r="797" spans="1:4" x14ac:dyDescent="0.25">
      <c r="A797" s="7">
        <v>44474</v>
      </c>
      <c r="B797" s="1" t="s">
        <v>71</v>
      </c>
      <c r="C797" s="1">
        <v>1579.4</v>
      </c>
      <c r="D797" s="1">
        <v>590.65</v>
      </c>
    </row>
    <row r="798" spans="1:4" x14ac:dyDescent="0.25">
      <c r="A798" s="7">
        <v>44474</v>
      </c>
      <c r="B798" s="1" t="s">
        <v>69</v>
      </c>
      <c r="C798" s="1">
        <v>2342.96</v>
      </c>
      <c r="D798" s="1">
        <v>1959.23</v>
      </c>
    </row>
    <row r="799" spans="1:4" x14ac:dyDescent="0.25">
      <c r="A799" s="7">
        <v>44474</v>
      </c>
      <c r="B799" s="1" t="s">
        <v>70</v>
      </c>
      <c r="C799" s="1">
        <v>2288.1999999999998</v>
      </c>
      <c r="D799" s="1">
        <v>1056.8900000000001</v>
      </c>
    </row>
    <row r="800" spans="1:4" x14ac:dyDescent="0.25">
      <c r="A800" s="7">
        <v>44474</v>
      </c>
      <c r="B800" s="1" t="s">
        <v>78</v>
      </c>
      <c r="C800" s="1">
        <v>1081.04</v>
      </c>
      <c r="D800" s="1">
        <v>599.94000000000005</v>
      </c>
    </row>
    <row r="801" spans="1:4" x14ac:dyDescent="0.25">
      <c r="A801" s="7">
        <v>44474</v>
      </c>
      <c r="B801" s="1" t="s">
        <v>72</v>
      </c>
      <c r="C801" s="1">
        <v>3812.44</v>
      </c>
      <c r="D801" s="1">
        <v>2711.86</v>
      </c>
    </row>
    <row r="802" spans="1:4" x14ac:dyDescent="0.25">
      <c r="A802" s="7">
        <v>44474</v>
      </c>
      <c r="B802" s="1" t="s">
        <v>73</v>
      </c>
      <c r="C802" s="1">
        <v>1777.28</v>
      </c>
      <c r="D802" s="1">
        <v>331.32</v>
      </c>
    </row>
    <row r="803" spans="1:4" x14ac:dyDescent="0.25">
      <c r="A803" s="7">
        <v>44474</v>
      </c>
      <c r="B803" s="1" t="s">
        <v>68</v>
      </c>
      <c r="C803" s="1">
        <v>1569.53</v>
      </c>
      <c r="D803" s="1">
        <v>702.92</v>
      </c>
    </row>
    <row r="804" spans="1:4" x14ac:dyDescent="0.25">
      <c r="A804" s="7">
        <v>44474</v>
      </c>
      <c r="B804" s="1" t="s">
        <v>77</v>
      </c>
      <c r="C804" s="1">
        <v>4063.77</v>
      </c>
      <c r="D804" s="1">
        <v>1208.75</v>
      </c>
    </row>
    <row r="805" spans="1:4" x14ac:dyDescent="0.25">
      <c r="A805" s="7">
        <v>44474.041666666664</v>
      </c>
      <c r="B805" s="1" t="s">
        <v>74</v>
      </c>
      <c r="C805" s="1">
        <v>799.91</v>
      </c>
      <c r="D805" s="1">
        <v>212.12</v>
      </c>
    </row>
    <row r="806" spans="1:4" x14ac:dyDescent="0.25">
      <c r="A806" s="7">
        <v>44474.041666666664</v>
      </c>
      <c r="B806" s="1" t="s">
        <v>75</v>
      </c>
      <c r="C806" s="1">
        <v>374.71</v>
      </c>
      <c r="D806" s="1">
        <v>187.2</v>
      </c>
    </row>
    <row r="807" spans="1:4" x14ac:dyDescent="0.25">
      <c r="A807" s="7">
        <v>44474.041666666664</v>
      </c>
      <c r="B807" s="1" t="s">
        <v>72</v>
      </c>
      <c r="C807" s="1">
        <v>1819.28</v>
      </c>
      <c r="D807" s="1">
        <v>1301.45</v>
      </c>
    </row>
    <row r="808" spans="1:4" x14ac:dyDescent="0.25">
      <c r="A808" s="7">
        <v>44474.041666666664</v>
      </c>
      <c r="B808" s="1" t="s">
        <v>77</v>
      </c>
      <c r="C808" s="1">
        <v>1828.31</v>
      </c>
      <c r="D808" s="1">
        <v>530.53</v>
      </c>
    </row>
    <row r="809" spans="1:4" x14ac:dyDescent="0.25">
      <c r="A809" s="7">
        <v>44474.041666666664</v>
      </c>
      <c r="B809" s="1" t="s">
        <v>70</v>
      </c>
      <c r="C809" s="1">
        <v>1109.29</v>
      </c>
      <c r="D809" s="1">
        <v>521.17999999999995</v>
      </c>
    </row>
    <row r="810" spans="1:4" x14ac:dyDescent="0.25">
      <c r="A810" s="7">
        <v>44474.041666666664</v>
      </c>
      <c r="B810" s="1" t="s">
        <v>69</v>
      </c>
      <c r="C810" s="1">
        <v>1110.1400000000001</v>
      </c>
      <c r="D810" s="1">
        <v>888.73</v>
      </c>
    </row>
    <row r="811" spans="1:4" x14ac:dyDescent="0.25">
      <c r="A811" s="7">
        <v>44474.041666666664</v>
      </c>
      <c r="B811" s="1" t="s">
        <v>78</v>
      </c>
      <c r="C811" s="1">
        <v>519.99</v>
      </c>
      <c r="D811" s="1">
        <v>299.58999999999997</v>
      </c>
    </row>
    <row r="812" spans="1:4" x14ac:dyDescent="0.25">
      <c r="A812" s="7">
        <v>44474.041666666664</v>
      </c>
      <c r="B812" s="1" t="s">
        <v>76</v>
      </c>
      <c r="C812" s="1">
        <v>1363.38</v>
      </c>
      <c r="D812" s="1">
        <v>401.41</v>
      </c>
    </row>
    <row r="813" spans="1:4" x14ac:dyDescent="0.25">
      <c r="A813" s="7">
        <v>44474.041666666664</v>
      </c>
      <c r="B813" s="1" t="s">
        <v>73</v>
      </c>
      <c r="C813" s="1">
        <v>732.22</v>
      </c>
      <c r="D813" s="1">
        <v>151.30000000000001</v>
      </c>
    </row>
    <row r="814" spans="1:4" x14ac:dyDescent="0.25">
      <c r="A814" s="7">
        <v>44474.041666666664</v>
      </c>
      <c r="B814" s="1" t="s">
        <v>68</v>
      </c>
      <c r="C814" s="1">
        <v>684.56</v>
      </c>
      <c r="D814" s="1">
        <v>308.10000000000002</v>
      </c>
    </row>
    <row r="815" spans="1:4" x14ac:dyDescent="0.25">
      <c r="A815" s="7">
        <v>44474.041666666664</v>
      </c>
      <c r="B815" s="1" t="s">
        <v>71</v>
      </c>
      <c r="C815" s="1">
        <v>707.36</v>
      </c>
      <c r="D815" s="1">
        <v>272.43</v>
      </c>
    </row>
    <row r="816" spans="1:4" x14ac:dyDescent="0.25">
      <c r="A816" s="7">
        <v>44474.083333333336</v>
      </c>
      <c r="B816" s="1" t="s">
        <v>75</v>
      </c>
      <c r="C816" s="1">
        <v>292</v>
      </c>
      <c r="D816" s="1">
        <v>120.84</v>
      </c>
    </row>
    <row r="817" spans="1:4" x14ac:dyDescent="0.25">
      <c r="A817" s="7">
        <v>44474.083333333336</v>
      </c>
      <c r="B817" s="1" t="s">
        <v>74</v>
      </c>
      <c r="C817" s="1">
        <v>719.84</v>
      </c>
      <c r="D817" s="1">
        <v>151.34</v>
      </c>
    </row>
    <row r="818" spans="1:4" x14ac:dyDescent="0.25">
      <c r="A818" s="7">
        <v>44474.083333333336</v>
      </c>
      <c r="B818" s="1" t="s">
        <v>73</v>
      </c>
      <c r="C818" s="1">
        <v>469.57</v>
      </c>
      <c r="D818" s="1">
        <v>76.25</v>
      </c>
    </row>
    <row r="819" spans="1:4" x14ac:dyDescent="0.25">
      <c r="A819" s="7">
        <v>44474.083333333336</v>
      </c>
      <c r="B819" s="1" t="s">
        <v>71</v>
      </c>
      <c r="C819" s="1">
        <v>536.36</v>
      </c>
      <c r="D819" s="1">
        <v>179.31</v>
      </c>
    </row>
    <row r="820" spans="1:4" x14ac:dyDescent="0.25">
      <c r="A820" s="7">
        <v>44474.083333333336</v>
      </c>
      <c r="B820" s="1" t="s">
        <v>68</v>
      </c>
      <c r="C820" s="1">
        <v>438.54</v>
      </c>
      <c r="D820" s="1">
        <v>178.76</v>
      </c>
    </row>
    <row r="821" spans="1:4" x14ac:dyDescent="0.25">
      <c r="A821" s="7">
        <v>44474.083333333336</v>
      </c>
      <c r="B821" s="1" t="s">
        <v>77</v>
      </c>
      <c r="C821" s="1">
        <v>1191.67</v>
      </c>
      <c r="D821" s="1">
        <v>314.29000000000002</v>
      </c>
    </row>
    <row r="822" spans="1:4" x14ac:dyDescent="0.25">
      <c r="A822" s="7">
        <v>44474.083333333336</v>
      </c>
      <c r="B822" s="1" t="s">
        <v>70</v>
      </c>
      <c r="C822" s="1">
        <v>792.89</v>
      </c>
      <c r="D822" s="1">
        <v>351.44</v>
      </c>
    </row>
    <row r="823" spans="1:4" x14ac:dyDescent="0.25">
      <c r="A823" s="7">
        <v>44474.083333333336</v>
      </c>
      <c r="B823" s="1" t="s">
        <v>78</v>
      </c>
      <c r="C823" s="1">
        <v>353.79</v>
      </c>
      <c r="D823" s="1">
        <v>195.09</v>
      </c>
    </row>
    <row r="824" spans="1:4" x14ac:dyDescent="0.25">
      <c r="A824" s="7">
        <v>44474.083333333336</v>
      </c>
      <c r="B824" s="1" t="s">
        <v>76</v>
      </c>
      <c r="C824" s="1">
        <v>1466.52</v>
      </c>
      <c r="D824" s="1">
        <v>294.36</v>
      </c>
    </row>
    <row r="825" spans="1:4" x14ac:dyDescent="0.25">
      <c r="A825" s="7">
        <v>44474.083333333336</v>
      </c>
      <c r="B825" s="1" t="s">
        <v>72</v>
      </c>
      <c r="C825" s="1">
        <v>1047.53</v>
      </c>
      <c r="D825" s="1">
        <v>702.24</v>
      </c>
    </row>
    <row r="826" spans="1:4" x14ac:dyDescent="0.25">
      <c r="A826" s="7">
        <v>44474.083333333336</v>
      </c>
      <c r="B826" s="1" t="s">
        <v>69</v>
      </c>
      <c r="C826" s="1">
        <v>605.72</v>
      </c>
      <c r="D826" s="1">
        <v>499.9</v>
      </c>
    </row>
    <row r="827" spans="1:4" x14ac:dyDescent="0.25">
      <c r="A827" s="7">
        <v>44474.125</v>
      </c>
      <c r="B827" s="1" t="s">
        <v>75</v>
      </c>
      <c r="C827" s="1">
        <v>447.15</v>
      </c>
      <c r="D827" s="1">
        <v>192.89</v>
      </c>
    </row>
    <row r="828" spans="1:4" x14ac:dyDescent="0.25">
      <c r="A828" s="7">
        <v>44474.125</v>
      </c>
      <c r="B828" s="1" t="s">
        <v>74</v>
      </c>
      <c r="C828" s="1">
        <v>1871.52</v>
      </c>
      <c r="D828" s="1">
        <v>321</v>
      </c>
    </row>
    <row r="829" spans="1:4" x14ac:dyDescent="0.25">
      <c r="A829" s="7">
        <v>44474.125</v>
      </c>
      <c r="B829" s="1" t="s">
        <v>72</v>
      </c>
      <c r="C829" s="1">
        <v>1772.27</v>
      </c>
      <c r="D829" s="1">
        <v>1063.3599999999999</v>
      </c>
    </row>
    <row r="830" spans="1:4" x14ac:dyDescent="0.25">
      <c r="A830" s="7">
        <v>44474.125</v>
      </c>
      <c r="B830" s="1" t="s">
        <v>73</v>
      </c>
      <c r="C830" s="1">
        <v>1450.43</v>
      </c>
      <c r="D830" s="1">
        <v>164.93</v>
      </c>
    </row>
    <row r="831" spans="1:4" x14ac:dyDescent="0.25">
      <c r="A831" s="7">
        <v>44474.125</v>
      </c>
      <c r="B831" s="1" t="s">
        <v>68</v>
      </c>
      <c r="C831" s="1">
        <v>1347.44</v>
      </c>
      <c r="D831" s="1">
        <v>372.93</v>
      </c>
    </row>
    <row r="832" spans="1:4" x14ac:dyDescent="0.25">
      <c r="A832" s="7">
        <v>44474.125</v>
      </c>
      <c r="B832" s="1" t="s">
        <v>77</v>
      </c>
      <c r="C832" s="1">
        <v>2783.37</v>
      </c>
      <c r="D832" s="1">
        <v>729.76</v>
      </c>
    </row>
    <row r="833" spans="1:4" x14ac:dyDescent="0.25">
      <c r="A833" s="7">
        <v>44474.125</v>
      </c>
      <c r="B833" s="1" t="s">
        <v>71</v>
      </c>
      <c r="C833" s="1">
        <v>1648.05</v>
      </c>
      <c r="D833" s="1">
        <v>403.85</v>
      </c>
    </row>
    <row r="834" spans="1:4" x14ac:dyDescent="0.25">
      <c r="A834" s="7">
        <v>44474.125</v>
      </c>
      <c r="B834" s="1" t="s">
        <v>69</v>
      </c>
      <c r="C834" s="1">
        <v>1008.07</v>
      </c>
      <c r="D834" s="1">
        <v>766.01</v>
      </c>
    </row>
    <row r="835" spans="1:4" x14ac:dyDescent="0.25">
      <c r="A835" s="7">
        <v>44474.125</v>
      </c>
      <c r="B835" s="1" t="s">
        <v>70</v>
      </c>
      <c r="C835" s="1">
        <v>1801.78</v>
      </c>
      <c r="D835" s="1">
        <v>664.34</v>
      </c>
    </row>
    <row r="836" spans="1:4" x14ac:dyDescent="0.25">
      <c r="A836" s="7">
        <v>44474.125</v>
      </c>
      <c r="B836" s="1" t="s">
        <v>78</v>
      </c>
      <c r="C836" s="1">
        <v>534.47</v>
      </c>
      <c r="D836" s="1">
        <v>288.26</v>
      </c>
    </row>
    <row r="837" spans="1:4" x14ac:dyDescent="0.25">
      <c r="A837" s="7">
        <v>44474.125</v>
      </c>
      <c r="B837" s="1" t="s">
        <v>76</v>
      </c>
      <c r="C837" s="1">
        <v>4535.42</v>
      </c>
      <c r="D837" s="1">
        <v>752.59</v>
      </c>
    </row>
    <row r="838" spans="1:4" x14ac:dyDescent="0.25">
      <c r="A838" s="7">
        <v>44474.166666666664</v>
      </c>
      <c r="B838" s="1" t="s">
        <v>75</v>
      </c>
      <c r="C838" s="1">
        <v>228.9</v>
      </c>
      <c r="D838" s="1">
        <v>97.26</v>
      </c>
    </row>
    <row r="839" spans="1:4" x14ac:dyDescent="0.25">
      <c r="A839" s="7">
        <v>44474.166666666664</v>
      </c>
      <c r="B839" s="1" t="s">
        <v>74</v>
      </c>
      <c r="C839" s="1">
        <v>1119.18</v>
      </c>
      <c r="D839" s="1">
        <v>247.75</v>
      </c>
    </row>
    <row r="840" spans="1:4" x14ac:dyDescent="0.25">
      <c r="A840" s="7">
        <v>44474.166666666664</v>
      </c>
      <c r="B840" s="1" t="s">
        <v>78</v>
      </c>
      <c r="C840" s="1">
        <v>420.91</v>
      </c>
      <c r="D840" s="1">
        <v>235.11</v>
      </c>
    </row>
    <row r="841" spans="1:4" x14ac:dyDescent="0.25">
      <c r="A841" s="7">
        <v>44474.166666666664</v>
      </c>
      <c r="B841" s="1" t="s">
        <v>76</v>
      </c>
      <c r="C841" s="1">
        <v>2026.35</v>
      </c>
      <c r="D841" s="1">
        <v>427.25</v>
      </c>
    </row>
    <row r="842" spans="1:4" x14ac:dyDescent="0.25">
      <c r="A842" s="7">
        <v>44474.166666666664</v>
      </c>
      <c r="B842" s="1" t="s">
        <v>68</v>
      </c>
      <c r="C842" s="1">
        <v>1166.17</v>
      </c>
      <c r="D842" s="1">
        <v>337.49</v>
      </c>
    </row>
    <row r="843" spans="1:4" x14ac:dyDescent="0.25">
      <c r="A843" s="7">
        <v>44474.166666666664</v>
      </c>
      <c r="B843" s="1" t="s">
        <v>71</v>
      </c>
      <c r="C843" s="1">
        <v>1362.9</v>
      </c>
      <c r="D843" s="1">
        <v>340.69</v>
      </c>
    </row>
    <row r="844" spans="1:4" x14ac:dyDescent="0.25">
      <c r="A844" s="7">
        <v>44474.166666666664</v>
      </c>
      <c r="B844" s="1" t="s">
        <v>69</v>
      </c>
      <c r="C844" s="1">
        <v>673.82</v>
      </c>
      <c r="D844" s="1">
        <v>529.14</v>
      </c>
    </row>
    <row r="845" spans="1:4" x14ac:dyDescent="0.25">
      <c r="A845" s="7">
        <v>44474.166666666664</v>
      </c>
      <c r="B845" s="1" t="s">
        <v>72</v>
      </c>
      <c r="C845" s="1">
        <v>1209.04</v>
      </c>
      <c r="D845" s="1">
        <v>731.65</v>
      </c>
    </row>
    <row r="846" spans="1:4" x14ac:dyDescent="0.25">
      <c r="A846" s="7">
        <v>44474.166666666664</v>
      </c>
      <c r="B846" s="1" t="s">
        <v>73</v>
      </c>
      <c r="C846" s="1">
        <v>945.19</v>
      </c>
      <c r="D846" s="1">
        <v>127.58</v>
      </c>
    </row>
    <row r="847" spans="1:4" x14ac:dyDescent="0.25">
      <c r="A847" s="7">
        <v>44474.166666666664</v>
      </c>
      <c r="B847" s="1" t="s">
        <v>77</v>
      </c>
      <c r="C847" s="1">
        <v>1708.71</v>
      </c>
      <c r="D847" s="1">
        <v>443.82</v>
      </c>
    </row>
    <row r="848" spans="1:4" x14ac:dyDescent="0.25">
      <c r="A848" s="7">
        <v>44474.166666666664</v>
      </c>
      <c r="B848" s="1" t="s">
        <v>70</v>
      </c>
      <c r="C848" s="1">
        <v>1202.69</v>
      </c>
      <c r="D848" s="1">
        <v>479.72</v>
      </c>
    </row>
    <row r="849" spans="1:4" x14ac:dyDescent="0.25">
      <c r="A849" s="7">
        <v>44474.208333333336</v>
      </c>
      <c r="B849" s="1" t="s">
        <v>75</v>
      </c>
      <c r="C849" s="1">
        <v>95.34</v>
      </c>
      <c r="D849" s="1">
        <v>31.69</v>
      </c>
    </row>
    <row r="850" spans="1:4" x14ac:dyDescent="0.25">
      <c r="A850" s="7">
        <v>44474.208333333336</v>
      </c>
      <c r="B850" s="1" t="s">
        <v>74</v>
      </c>
      <c r="C850" s="1">
        <v>734.14</v>
      </c>
      <c r="D850" s="1">
        <v>118.88</v>
      </c>
    </row>
    <row r="851" spans="1:4" x14ac:dyDescent="0.25">
      <c r="A851" s="7">
        <v>44474.208333333336</v>
      </c>
      <c r="B851" s="1" t="s">
        <v>78</v>
      </c>
      <c r="C851" s="1">
        <v>212.29</v>
      </c>
      <c r="D851" s="1">
        <v>98.52</v>
      </c>
    </row>
    <row r="852" spans="1:4" x14ac:dyDescent="0.25">
      <c r="A852" s="7">
        <v>44474.208333333336</v>
      </c>
      <c r="B852" s="1" t="s">
        <v>76</v>
      </c>
      <c r="C852" s="1">
        <v>869.38</v>
      </c>
      <c r="D852" s="1">
        <v>181.62</v>
      </c>
    </row>
    <row r="853" spans="1:4" x14ac:dyDescent="0.25">
      <c r="A853" s="7">
        <v>44474.208333333336</v>
      </c>
      <c r="B853" s="1" t="s">
        <v>72</v>
      </c>
      <c r="C853" s="1">
        <v>659</v>
      </c>
      <c r="D853" s="1">
        <v>307.61</v>
      </c>
    </row>
    <row r="854" spans="1:4" x14ac:dyDescent="0.25">
      <c r="A854" s="7">
        <v>44474.208333333336</v>
      </c>
      <c r="B854" s="1" t="s">
        <v>68</v>
      </c>
      <c r="C854" s="1">
        <v>1025.3900000000001</v>
      </c>
      <c r="D854" s="1">
        <v>237.64</v>
      </c>
    </row>
    <row r="855" spans="1:4" x14ac:dyDescent="0.25">
      <c r="A855" s="7">
        <v>44474.208333333336</v>
      </c>
      <c r="B855" s="1" t="s">
        <v>70</v>
      </c>
      <c r="C855" s="1">
        <v>577.64</v>
      </c>
      <c r="D855" s="1">
        <v>200.76</v>
      </c>
    </row>
    <row r="856" spans="1:4" x14ac:dyDescent="0.25">
      <c r="A856" s="7">
        <v>44474.208333333336</v>
      </c>
      <c r="B856" s="1" t="s">
        <v>69</v>
      </c>
      <c r="C856" s="1">
        <v>344.74</v>
      </c>
      <c r="D856" s="1">
        <v>218.43</v>
      </c>
    </row>
    <row r="857" spans="1:4" x14ac:dyDescent="0.25">
      <c r="A857" s="7">
        <v>44474.208333333336</v>
      </c>
      <c r="B857" s="1" t="s">
        <v>73</v>
      </c>
      <c r="C857" s="1">
        <v>654.01</v>
      </c>
      <c r="D857" s="1">
        <v>64.599999999999994</v>
      </c>
    </row>
    <row r="858" spans="1:4" x14ac:dyDescent="0.25">
      <c r="A858" s="7">
        <v>44474.208333333336</v>
      </c>
      <c r="B858" s="1" t="s">
        <v>77</v>
      </c>
      <c r="C858" s="1">
        <v>1196.26</v>
      </c>
      <c r="D858" s="1">
        <v>285.7</v>
      </c>
    </row>
    <row r="859" spans="1:4" x14ac:dyDescent="0.25">
      <c r="A859" s="7">
        <v>44474.208333333336</v>
      </c>
      <c r="B859" s="1" t="s">
        <v>71</v>
      </c>
      <c r="C859" s="1">
        <v>1261.1600000000001</v>
      </c>
      <c r="D859" s="1">
        <v>243.57</v>
      </c>
    </row>
    <row r="860" spans="1:4" x14ac:dyDescent="0.25">
      <c r="A860" s="7">
        <v>44474.25</v>
      </c>
      <c r="B860" s="1" t="s">
        <v>74</v>
      </c>
      <c r="C860" s="1">
        <v>2205.33</v>
      </c>
      <c r="D860" s="1">
        <v>282.98</v>
      </c>
    </row>
    <row r="861" spans="1:4" x14ac:dyDescent="0.25">
      <c r="A861" s="7">
        <v>44474.25</v>
      </c>
      <c r="B861" s="1" t="s">
        <v>75</v>
      </c>
      <c r="C861" s="1">
        <v>131.51</v>
      </c>
      <c r="D861" s="1">
        <v>29.95</v>
      </c>
    </row>
    <row r="862" spans="1:4" x14ac:dyDescent="0.25">
      <c r="A862" s="7">
        <v>44474.25</v>
      </c>
      <c r="B862" s="1" t="s">
        <v>76</v>
      </c>
      <c r="C862" s="1">
        <v>2758.55</v>
      </c>
      <c r="D862" s="1">
        <v>431.26</v>
      </c>
    </row>
    <row r="863" spans="1:4" x14ac:dyDescent="0.25">
      <c r="A863" s="7">
        <v>44474.25</v>
      </c>
      <c r="B863" s="1" t="s">
        <v>71</v>
      </c>
      <c r="C863" s="1">
        <v>3597.25</v>
      </c>
      <c r="D863" s="1">
        <v>632.78</v>
      </c>
    </row>
    <row r="864" spans="1:4" x14ac:dyDescent="0.25">
      <c r="A864" s="7">
        <v>44474.25</v>
      </c>
      <c r="B864" s="1" t="s">
        <v>77</v>
      </c>
      <c r="C864" s="1">
        <v>2774.66</v>
      </c>
      <c r="D864" s="1">
        <v>660.81</v>
      </c>
    </row>
    <row r="865" spans="1:4" x14ac:dyDescent="0.25">
      <c r="A865" s="7">
        <v>44474.25</v>
      </c>
      <c r="B865" s="1" t="s">
        <v>69</v>
      </c>
      <c r="C865" s="1">
        <v>616.04</v>
      </c>
      <c r="D865" s="1">
        <v>317.14999999999998</v>
      </c>
    </row>
    <row r="866" spans="1:4" x14ac:dyDescent="0.25">
      <c r="A866" s="7">
        <v>44474.25</v>
      </c>
      <c r="B866" s="1" t="s">
        <v>70</v>
      </c>
      <c r="C866" s="1">
        <v>1155.33</v>
      </c>
      <c r="D866" s="1">
        <v>382.99</v>
      </c>
    </row>
    <row r="867" spans="1:4" x14ac:dyDescent="0.25">
      <c r="A867" s="7">
        <v>44474.25</v>
      </c>
      <c r="B867" s="1" t="s">
        <v>78</v>
      </c>
      <c r="C867" s="1">
        <v>290.99</v>
      </c>
      <c r="D867" s="1">
        <v>127.21</v>
      </c>
    </row>
    <row r="868" spans="1:4" x14ac:dyDescent="0.25">
      <c r="A868" s="7">
        <v>44474.25</v>
      </c>
      <c r="B868" s="1" t="s">
        <v>72</v>
      </c>
      <c r="C868" s="1">
        <v>1175.99</v>
      </c>
      <c r="D868" s="1">
        <v>481.71</v>
      </c>
    </row>
    <row r="869" spans="1:4" x14ac:dyDescent="0.25">
      <c r="A869" s="7">
        <v>44474.25</v>
      </c>
      <c r="B869" s="1" t="s">
        <v>73</v>
      </c>
      <c r="C869" s="1">
        <v>1952.35</v>
      </c>
      <c r="D869" s="1">
        <v>176.51</v>
      </c>
    </row>
    <row r="870" spans="1:4" x14ac:dyDescent="0.25">
      <c r="A870" s="7">
        <v>44474.25</v>
      </c>
      <c r="B870" s="1" t="s">
        <v>68</v>
      </c>
      <c r="C870" s="1">
        <v>2889.36</v>
      </c>
      <c r="D870" s="1">
        <v>584.32000000000005</v>
      </c>
    </row>
    <row r="871" spans="1:4" x14ac:dyDescent="0.25">
      <c r="A871" s="7">
        <v>44474.291666666664</v>
      </c>
      <c r="B871" s="1" t="s">
        <v>74</v>
      </c>
      <c r="C871" s="1">
        <v>4011.34</v>
      </c>
      <c r="D871" s="1">
        <v>576.34</v>
      </c>
    </row>
    <row r="872" spans="1:4" x14ac:dyDescent="0.25">
      <c r="A872" s="7">
        <v>44474.291666666664</v>
      </c>
      <c r="B872" s="1" t="s">
        <v>75</v>
      </c>
      <c r="C872" s="1">
        <v>251.68</v>
      </c>
      <c r="D872" s="1">
        <v>57.63</v>
      </c>
    </row>
    <row r="873" spans="1:4" x14ac:dyDescent="0.25">
      <c r="A873" s="7">
        <v>44474.291666666664</v>
      </c>
      <c r="B873" s="1" t="s">
        <v>73</v>
      </c>
      <c r="C873" s="1">
        <v>4028.69</v>
      </c>
      <c r="D873" s="1">
        <v>406.44</v>
      </c>
    </row>
    <row r="874" spans="1:4" x14ac:dyDescent="0.25">
      <c r="A874" s="7">
        <v>44474.291666666664</v>
      </c>
      <c r="B874" s="1" t="s">
        <v>77</v>
      </c>
      <c r="C874" s="1">
        <v>4448.17</v>
      </c>
      <c r="D874" s="1">
        <v>1065.6099999999999</v>
      </c>
    </row>
    <row r="875" spans="1:4" x14ac:dyDescent="0.25">
      <c r="A875" s="7">
        <v>44474.291666666664</v>
      </c>
      <c r="B875" s="1" t="s">
        <v>71</v>
      </c>
      <c r="C875" s="1">
        <v>6108.43</v>
      </c>
      <c r="D875" s="1">
        <v>1285.49</v>
      </c>
    </row>
    <row r="876" spans="1:4" x14ac:dyDescent="0.25">
      <c r="A876" s="7">
        <v>44474.291666666664</v>
      </c>
      <c r="B876" s="1" t="s">
        <v>70</v>
      </c>
      <c r="C876" s="1">
        <v>2414.19</v>
      </c>
      <c r="D876" s="1">
        <v>806.09</v>
      </c>
    </row>
    <row r="877" spans="1:4" x14ac:dyDescent="0.25">
      <c r="A877" s="7">
        <v>44474.291666666664</v>
      </c>
      <c r="B877" s="1" t="s">
        <v>78</v>
      </c>
      <c r="C877" s="1">
        <v>442.6</v>
      </c>
      <c r="D877" s="1">
        <v>179.74</v>
      </c>
    </row>
    <row r="878" spans="1:4" x14ac:dyDescent="0.25">
      <c r="A878" s="7">
        <v>44474.291666666664</v>
      </c>
      <c r="B878" s="1" t="s">
        <v>76</v>
      </c>
      <c r="C878" s="1">
        <v>5592.66</v>
      </c>
      <c r="D878" s="1">
        <v>915.4</v>
      </c>
    </row>
    <row r="879" spans="1:4" x14ac:dyDescent="0.25">
      <c r="A879" s="7">
        <v>44474.291666666664</v>
      </c>
      <c r="B879" s="1" t="s">
        <v>72</v>
      </c>
      <c r="C879" s="1">
        <v>2316.5500000000002</v>
      </c>
      <c r="D879" s="1">
        <v>1004.3</v>
      </c>
    </row>
    <row r="880" spans="1:4" x14ac:dyDescent="0.25">
      <c r="A880" s="7">
        <v>44474.291666666664</v>
      </c>
      <c r="B880" s="1" t="s">
        <v>68</v>
      </c>
      <c r="C880" s="1">
        <v>5239.75</v>
      </c>
      <c r="D880" s="1">
        <v>1209.58</v>
      </c>
    </row>
    <row r="881" spans="1:4" x14ac:dyDescent="0.25">
      <c r="A881" s="7">
        <v>44474.291666666664</v>
      </c>
      <c r="B881" s="1" t="s">
        <v>69</v>
      </c>
      <c r="C881" s="1">
        <v>1074.1500000000001</v>
      </c>
      <c r="D881" s="1">
        <v>579.64</v>
      </c>
    </row>
    <row r="882" spans="1:4" x14ac:dyDescent="0.25">
      <c r="A882" s="7">
        <v>44474.333333333336</v>
      </c>
      <c r="B882" s="1" t="s">
        <v>75</v>
      </c>
      <c r="C882" s="1">
        <v>451.13</v>
      </c>
      <c r="D882" s="1">
        <v>126.62</v>
      </c>
    </row>
    <row r="883" spans="1:4" x14ac:dyDescent="0.25">
      <c r="A883" s="7">
        <v>44474.333333333336</v>
      </c>
      <c r="B883" s="1" t="s">
        <v>74</v>
      </c>
      <c r="C883" s="1">
        <v>5913.14</v>
      </c>
      <c r="D883" s="1">
        <v>990.64</v>
      </c>
    </row>
    <row r="884" spans="1:4" x14ac:dyDescent="0.25">
      <c r="A884" s="7">
        <v>44474.333333333336</v>
      </c>
      <c r="B884" s="1" t="s">
        <v>68</v>
      </c>
      <c r="C884" s="1">
        <v>7586.89</v>
      </c>
      <c r="D884" s="1">
        <v>1996.23</v>
      </c>
    </row>
    <row r="885" spans="1:4" x14ac:dyDescent="0.25">
      <c r="A885" s="7">
        <v>44474.333333333336</v>
      </c>
      <c r="B885" s="1" t="s">
        <v>77</v>
      </c>
      <c r="C885" s="1">
        <v>7053.11</v>
      </c>
      <c r="D885" s="1">
        <v>1795.68</v>
      </c>
    </row>
    <row r="886" spans="1:4" x14ac:dyDescent="0.25">
      <c r="A886" s="7">
        <v>44474.333333333336</v>
      </c>
      <c r="B886" s="1" t="s">
        <v>71</v>
      </c>
      <c r="C886" s="1">
        <v>8566.0499999999993</v>
      </c>
      <c r="D886" s="1">
        <v>2061.09</v>
      </c>
    </row>
    <row r="887" spans="1:4" x14ac:dyDescent="0.25">
      <c r="A887" s="7">
        <v>44474.333333333336</v>
      </c>
      <c r="B887" s="1" t="s">
        <v>69</v>
      </c>
      <c r="C887" s="1">
        <v>1995.2</v>
      </c>
      <c r="D887" s="1">
        <v>1227.32</v>
      </c>
    </row>
    <row r="888" spans="1:4" x14ac:dyDescent="0.25">
      <c r="A888" s="7">
        <v>44474.333333333336</v>
      </c>
      <c r="B888" s="1" t="s">
        <v>70</v>
      </c>
      <c r="C888" s="1">
        <v>4123.93</v>
      </c>
      <c r="D888" s="1">
        <v>1548.63</v>
      </c>
    </row>
    <row r="889" spans="1:4" x14ac:dyDescent="0.25">
      <c r="A889" s="7">
        <v>44474.333333333336</v>
      </c>
      <c r="B889" s="1" t="s">
        <v>78</v>
      </c>
      <c r="C889" s="1">
        <v>730.3</v>
      </c>
      <c r="D889" s="1">
        <v>319.66000000000003</v>
      </c>
    </row>
    <row r="890" spans="1:4" x14ac:dyDescent="0.25">
      <c r="A890" s="7">
        <v>44474.333333333336</v>
      </c>
      <c r="B890" s="1" t="s">
        <v>76</v>
      </c>
      <c r="C890" s="1">
        <v>8833.1200000000008</v>
      </c>
      <c r="D890" s="1">
        <v>1638.76</v>
      </c>
    </row>
    <row r="891" spans="1:4" x14ac:dyDescent="0.25">
      <c r="A891" s="7">
        <v>44474.333333333336</v>
      </c>
      <c r="B891" s="1" t="s">
        <v>73</v>
      </c>
      <c r="C891" s="1">
        <v>6131.59</v>
      </c>
      <c r="D891" s="1">
        <v>728.5</v>
      </c>
    </row>
    <row r="892" spans="1:4" x14ac:dyDescent="0.25">
      <c r="A892" s="7">
        <v>44474.333333333336</v>
      </c>
      <c r="B892" s="1" t="s">
        <v>72</v>
      </c>
      <c r="C892" s="1">
        <v>4193.5</v>
      </c>
      <c r="D892" s="1">
        <v>2057.65</v>
      </c>
    </row>
    <row r="893" spans="1:4" x14ac:dyDescent="0.25">
      <c r="A893" s="7">
        <v>44474.375</v>
      </c>
      <c r="B893" s="1" t="s">
        <v>75</v>
      </c>
      <c r="C893" s="1">
        <v>687.26</v>
      </c>
      <c r="D893" s="1">
        <v>226.97</v>
      </c>
    </row>
    <row r="894" spans="1:4" x14ac:dyDescent="0.25">
      <c r="A894" s="7">
        <v>44474.375</v>
      </c>
      <c r="B894" s="1" t="s">
        <v>74</v>
      </c>
      <c r="C894" s="1">
        <v>7442.77</v>
      </c>
      <c r="D894" s="1">
        <v>1434.55</v>
      </c>
    </row>
    <row r="895" spans="1:4" x14ac:dyDescent="0.25">
      <c r="A895" s="7">
        <v>44474.375</v>
      </c>
      <c r="B895" s="1" t="s">
        <v>78</v>
      </c>
      <c r="C895" s="1">
        <v>1194.0999999999999</v>
      </c>
      <c r="D895" s="1">
        <v>592.66</v>
      </c>
    </row>
    <row r="896" spans="1:4" x14ac:dyDescent="0.25">
      <c r="A896" s="7">
        <v>44474.375</v>
      </c>
      <c r="B896" s="1" t="s">
        <v>72</v>
      </c>
      <c r="C896" s="1">
        <v>6550.23</v>
      </c>
      <c r="D896" s="1">
        <v>3734.94</v>
      </c>
    </row>
    <row r="897" spans="1:4" x14ac:dyDescent="0.25">
      <c r="A897" s="7">
        <v>44474.375</v>
      </c>
      <c r="B897" s="1" t="s">
        <v>68</v>
      </c>
      <c r="C897" s="1">
        <v>9331.9599999999991</v>
      </c>
      <c r="D897" s="1">
        <v>2791.34</v>
      </c>
    </row>
    <row r="898" spans="1:4" x14ac:dyDescent="0.25">
      <c r="A898" s="7">
        <v>44474.375</v>
      </c>
      <c r="B898" s="1" t="s">
        <v>77</v>
      </c>
      <c r="C898" s="1">
        <v>9760.26</v>
      </c>
      <c r="D898" s="1">
        <v>2712.79</v>
      </c>
    </row>
    <row r="899" spans="1:4" x14ac:dyDescent="0.25">
      <c r="A899" s="7">
        <v>44474.375</v>
      </c>
      <c r="B899" s="1" t="s">
        <v>71</v>
      </c>
      <c r="C899" s="1">
        <v>10135.34</v>
      </c>
      <c r="D899" s="1">
        <v>2718.35</v>
      </c>
    </row>
    <row r="900" spans="1:4" x14ac:dyDescent="0.25">
      <c r="A900" s="7">
        <v>44474.375</v>
      </c>
      <c r="B900" s="1" t="s">
        <v>69</v>
      </c>
      <c r="C900" s="1">
        <v>3278.36</v>
      </c>
      <c r="D900" s="1">
        <v>2421.17</v>
      </c>
    </row>
    <row r="901" spans="1:4" x14ac:dyDescent="0.25">
      <c r="A901" s="7">
        <v>44474.375</v>
      </c>
      <c r="B901" s="1" t="s">
        <v>76</v>
      </c>
      <c r="C901" s="1">
        <v>11394.96</v>
      </c>
      <c r="D901" s="1">
        <v>2457.65</v>
      </c>
    </row>
    <row r="902" spans="1:4" x14ac:dyDescent="0.25">
      <c r="A902" s="7">
        <v>44474.375</v>
      </c>
      <c r="B902" s="1" t="s">
        <v>73</v>
      </c>
      <c r="C902" s="1">
        <v>7734.98</v>
      </c>
      <c r="D902" s="1">
        <v>1080.44</v>
      </c>
    </row>
    <row r="903" spans="1:4" x14ac:dyDescent="0.25">
      <c r="A903" s="7">
        <v>44474.375</v>
      </c>
      <c r="B903" s="1" t="s">
        <v>70</v>
      </c>
      <c r="C903" s="1">
        <v>5793.39</v>
      </c>
      <c r="D903" s="1">
        <v>2420.3200000000002</v>
      </c>
    </row>
    <row r="904" spans="1:4" x14ac:dyDescent="0.25">
      <c r="A904" s="7">
        <v>44474.416666666664</v>
      </c>
      <c r="B904" s="1" t="s">
        <v>74</v>
      </c>
      <c r="C904" s="1">
        <v>8204.8799999999992</v>
      </c>
      <c r="D904" s="1">
        <v>1828.62</v>
      </c>
    </row>
    <row r="905" spans="1:4" x14ac:dyDescent="0.25">
      <c r="A905" s="7">
        <v>44474.416666666664</v>
      </c>
      <c r="B905" s="1" t="s">
        <v>78</v>
      </c>
      <c r="C905" s="1">
        <v>1654.27</v>
      </c>
      <c r="D905" s="1">
        <v>932.27</v>
      </c>
    </row>
    <row r="906" spans="1:4" x14ac:dyDescent="0.25">
      <c r="A906" s="7">
        <v>44474.416666666664</v>
      </c>
      <c r="B906" s="1" t="s">
        <v>75</v>
      </c>
      <c r="C906" s="1">
        <v>892.89</v>
      </c>
      <c r="D906" s="1">
        <v>335.24</v>
      </c>
    </row>
    <row r="907" spans="1:4" x14ac:dyDescent="0.25">
      <c r="A907" s="7">
        <v>44474.416666666664</v>
      </c>
      <c r="B907" s="1" t="s">
        <v>76</v>
      </c>
      <c r="C907" s="1">
        <v>13121.37</v>
      </c>
      <c r="D907" s="1">
        <v>3138.91</v>
      </c>
    </row>
    <row r="908" spans="1:4" x14ac:dyDescent="0.25">
      <c r="A908" s="7">
        <v>44474.416666666664</v>
      </c>
      <c r="B908" s="1" t="s">
        <v>72</v>
      </c>
      <c r="C908" s="1">
        <v>8789.43</v>
      </c>
      <c r="D908" s="1">
        <v>5620.53</v>
      </c>
    </row>
    <row r="909" spans="1:4" x14ac:dyDescent="0.25">
      <c r="A909" s="7">
        <v>44474.416666666664</v>
      </c>
      <c r="B909" s="1" t="s">
        <v>68</v>
      </c>
      <c r="C909" s="1">
        <v>10068.870000000001</v>
      </c>
      <c r="D909" s="1">
        <v>3381.65</v>
      </c>
    </row>
    <row r="910" spans="1:4" x14ac:dyDescent="0.25">
      <c r="A910" s="7">
        <v>44474.416666666664</v>
      </c>
      <c r="B910" s="1" t="s">
        <v>70</v>
      </c>
      <c r="C910" s="1">
        <v>6978.48</v>
      </c>
      <c r="D910" s="1">
        <v>3044.04</v>
      </c>
    </row>
    <row r="911" spans="1:4" x14ac:dyDescent="0.25">
      <c r="A911" s="7">
        <v>44474.416666666664</v>
      </c>
      <c r="B911" s="1" t="s">
        <v>69</v>
      </c>
      <c r="C911" s="1">
        <v>4541.78</v>
      </c>
      <c r="D911" s="1">
        <v>3964.71</v>
      </c>
    </row>
    <row r="912" spans="1:4" x14ac:dyDescent="0.25">
      <c r="A912" s="7">
        <v>44474.416666666664</v>
      </c>
      <c r="B912" s="1" t="s">
        <v>73</v>
      </c>
      <c r="C912" s="1">
        <v>8434.57</v>
      </c>
      <c r="D912" s="1">
        <v>1238.01</v>
      </c>
    </row>
    <row r="913" spans="1:4" x14ac:dyDescent="0.25">
      <c r="A913" s="7">
        <v>44474.416666666664</v>
      </c>
      <c r="B913" s="1" t="s">
        <v>77</v>
      </c>
      <c r="C913" s="1">
        <v>11579.72</v>
      </c>
      <c r="D913" s="1">
        <v>3463.87</v>
      </c>
    </row>
    <row r="914" spans="1:4" x14ac:dyDescent="0.25">
      <c r="A914" s="7">
        <v>44474.416666666664</v>
      </c>
      <c r="B914" s="1" t="s">
        <v>71</v>
      </c>
      <c r="C914" s="1">
        <v>10876.84</v>
      </c>
      <c r="D914" s="1">
        <v>3129.65</v>
      </c>
    </row>
    <row r="915" spans="1:4" x14ac:dyDescent="0.25">
      <c r="A915" s="7">
        <v>44474.458333333336</v>
      </c>
      <c r="B915" s="1" t="s">
        <v>74</v>
      </c>
      <c r="C915" s="1">
        <v>8081.29</v>
      </c>
      <c r="D915" s="1">
        <v>1895.84</v>
      </c>
    </row>
    <row r="916" spans="1:4" x14ac:dyDescent="0.25">
      <c r="A916" s="7">
        <v>44474.458333333336</v>
      </c>
      <c r="B916" s="1" t="s">
        <v>78</v>
      </c>
      <c r="C916" s="1">
        <v>1896.01</v>
      </c>
      <c r="D916" s="1">
        <v>1167.45</v>
      </c>
    </row>
    <row r="917" spans="1:4" x14ac:dyDescent="0.25">
      <c r="A917" s="7">
        <v>44474.458333333336</v>
      </c>
      <c r="B917" s="1" t="s">
        <v>75</v>
      </c>
      <c r="C917" s="1">
        <v>1008.07</v>
      </c>
      <c r="D917" s="1">
        <v>427.69</v>
      </c>
    </row>
    <row r="918" spans="1:4" x14ac:dyDescent="0.25">
      <c r="A918" s="7">
        <v>44474.458333333336</v>
      </c>
      <c r="B918" s="1" t="s">
        <v>76</v>
      </c>
      <c r="C918" s="1">
        <v>13168.77</v>
      </c>
      <c r="D918" s="1">
        <v>3254.33</v>
      </c>
    </row>
    <row r="919" spans="1:4" x14ac:dyDescent="0.25">
      <c r="A919" s="7">
        <v>44474.458333333336</v>
      </c>
      <c r="B919" s="1" t="s">
        <v>73</v>
      </c>
      <c r="C919" s="1">
        <v>8173.77</v>
      </c>
      <c r="D919" s="1">
        <v>1283.5999999999999</v>
      </c>
    </row>
    <row r="920" spans="1:4" x14ac:dyDescent="0.25">
      <c r="A920" s="7">
        <v>44474.458333333336</v>
      </c>
      <c r="B920" s="1" t="s">
        <v>71</v>
      </c>
      <c r="C920" s="1">
        <v>10350.09</v>
      </c>
      <c r="D920" s="1">
        <v>3099.46</v>
      </c>
    </row>
    <row r="921" spans="1:4" x14ac:dyDescent="0.25">
      <c r="A921" s="7">
        <v>44474.458333333336</v>
      </c>
      <c r="B921" s="1" t="s">
        <v>70</v>
      </c>
      <c r="C921" s="1">
        <v>7047.98</v>
      </c>
      <c r="D921" s="1">
        <v>3211.14</v>
      </c>
    </row>
    <row r="922" spans="1:4" x14ac:dyDescent="0.25">
      <c r="A922" s="7">
        <v>44474.458333333336</v>
      </c>
      <c r="B922" s="1" t="s">
        <v>72</v>
      </c>
      <c r="C922" s="1">
        <v>9584.23</v>
      </c>
      <c r="D922" s="1">
        <v>6739.92</v>
      </c>
    </row>
    <row r="923" spans="1:4" x14ac:dyDescent="0.25">
      <c r="A923" s="7">
        <v>44474.458333333336</v>
      </c>
      <c r="B923" s="1" t="s">
        <v>68</v>
      </c>
      <c r="C923" s="1">
        <v>9619.74</v>
      </c>
      <c r="D923" s="1">
        <v>3465.7</v>
      </c>
    </row>
    <row r="924" spans="1:4" x14ac:dyDescent="0.25">
      <c r="A924" s="7">
        <v>44474.458333333336</v>
      </c>
      <c r="B924" s="1" t="s">
        <v>77</v>
      </c>
      <c r="C924" s="1">
        <v>11797.08</v>
      </c>
      <c r="D924" s="1">
        <v>3615.96</v>
      </c>
    </row>
    <row r="925" spans="1:4" x14ac:dyDescent="0.25">
      <c r="A925" s="7">
        <v>44474.458333333336</v>
      </c>
      <c r="B925" s="1" t="s">
        <v>69</v>
      </c>
      <c r="C925" s="1">
        <v>5196.91</v>
      </c>
      <c r="D925" s="1">
        <v>5040.57</v>
      </c>
    </row>
    <row r="926" spans="1:4" x14ac:dyDescent="0.25">
      <c r="A926" s="7">
        <v>44474.5</v>
      </c>
      <c r="B926" s="1" t="s">
        <v>75</v>
      </c>
      <c r="C926" s="1">
        <v>995.89</v>
      </c>
      <c r="D926" s="1">
        <v>451.06</v>
      </c>
    </row>
    <row r="927" spans="1:4" x14ac:dyDescent="0.25">
      <c r="A927" s="7">
        <v>44474.5</v>
      </c>
      <c r="B927" s="1" t="s">
        <v>74</v>
      </c>
      <c r="C927" s="1">
        <v>7333.25</v>
      </c>
      <c r="D927" s="1">
        <v>1761.99</v>
      </c>
    </row>
    <row r="928" spans="1:4" x14ac:dyDescent="0.25">
      <c r="A928" s="7">
        <v>44474.5</v>
      </c>
      <c r="B928" s="1" t="s">
        <v>76</v>
      </c>
      <c r="C928" s="1">
        <v>12095.58</v>
      </c>
      <c r="D928" s="1">
        <v>3106.7</v>
      </c>
    </row>
    <row r="929" spans="1:4" x14ac:dyDescent="0.25">
      <c r="A929" s="7">
        <v>44474.5</v>
      </c>
      <c r="B929" s="1" t="s">
        <v>73</v>
      </c>
      <c r="C929" s="1">
        <v>7433.62</v>
      </c>
      <c r="D929" s="1">
        <v>1165.92</v>
      </c>
    </row>
    <row r="930" spans="1:4" x14ac:dyDescent="0.25">
      <c r="A930" s="7">
        <v>44474.5</v>
      </c>
      <c r="B930" s="1" t="s">
        <v>77</v>
      </c>
      <c r="C930" s="1">
        <v>11020.02</v>
      </c>
      <c r="D930" s="1">
        <v>3481.27</v>
      </c>
    </row>
    <row r="931" spans="1:4" x14ac:dyDescent="0.25">
      <c r="A931" s="7">
        <v>44474.5</v>
      </c>
      <c r="B931" s="1" t="s">
        <v>71</v>
      </c>
      <c r="C931" s="1">
        <v>9291.07</v>
      </c>
      <c r="D931" s="1">
        <v>2816.26</v>
      </c>
    </row>
    <row r="932" spans="1:4" x14ac:dyDescent="0.25">
      <c r="A932" s="7">
        <v>44474.5</v>
      </c>
      <c r="B932" s="1" t="s">
        <v>69</v>
      </c>
      <c r="C932" s="1">
        <v>5089.33</v>
      </c>
      <c r="D932" s="1">
        <v>5140.1099999999997</v>
      </c>
    </row>
    <row r="933" spans="1:4" x14ac:dyDescent="0.25">
      <c r="A933" s="7">
        <v>44474.5</v>
      </c>
      <c r="B933" s="1" t="s">
        <v>70</v>
      </c>
      <c r="C933" s="1">
        <v>6560.19</v>
      </c>
      <c r="D933" s="1">
        <v>3067.27</v>
      </c>
    </row>
    <row r="934" spans="1:4" x14ac:dyDescent="0.25">
      <c r="A934" s="7">
        <v>44474.5</v>
      </c>
      <c r="B934" s="1" t="s">
        <v>78</v>
      </c>
      <c r="C934" s="1">
        <v>1948.5</v>
      </c>
      <c r="D934" s="1">
        <v>1267.3699999999999</v>
      </c>
    </row>
    <row r="935" spans="1:4" x14ac:dyDescent="0.25">
      <c r="A935" s="7">
        <v>44474.5</v>
      </c>
      <c r="B935" s="1" t="s">
        <v>72</v>
      </c>
      <c r="C935" s="1">
        <v>9269.18</v>
      </c>
      <c r="D935" s="1">
        <v>6846.88</v>
      </c>
    </row>
    <row r="936" spans="1:4" x14ac:dyDescent="0.25">
      <c r="A936" s="7">
        <v>44474.5</v>
      </c>
      <c r="B936" s="1" t="s">
        <v>68</v>
      </c>
      <c r="C936" s="1">
        <v>8719.48</v>
      </c>
      <c r="D936" s="1">
        <v>3179.32</v>
      </c>
    </row>
    <row r="937" spans="1:4" x14ac:dyDescent="0.25">
      <c r="A937" s="7">
        <v>44474.541666666664</v>
      </c>
      <c r="B937" s="1" t="s">
        <v>75</v>
      </c>
      <c r="C937" s="1">
        <v>862.82</v>
      </c>
      <c r="D937" s="1">
        <v>388.88</v>
      </c>
    </row>
    <row r="938" spans="1:4" x14ac:dyDescent="0.25">
      <c r="A938" s="7">
        <v>44474.541666666664</v>
      </c>
      <c r="B938" s="1" t="s">
        <v>74</v>
      </c>
      <c r="C938" s="1">
        <v>6435.87</v>
      </c>
      <c r="D938" s="1">
        <v>1465.89</v>
      </c>
    </row>
    <row r="939" spans="1:4" x14ac:dyDescent="0.25">
      <c r="A939" s="7">
        <v>44474.541666666664</v>
      </c>
      <c r="B939" s="1" t="s">
        <v>77</v>
      </c>
      <c r="C939" s="1">
        <v>11369.94</v>
      </c>
      <c r="D939" s="1">
        <v>3563.4</v>
      </c>
    </row>
    <row r="940" spans="1:4" x14ac:dyDescent="0.25">
      <c r="A940" s="7">
        <v>44474.541666666664</v>
      </c>
      <c r="B940" s="1" t="s">
        <v>71</v>
      </c>
      <c r="C940" s="1">
        <v>7506.44</v>
      </c>
      <c r="D940" s="1">
        <v>2239.5700000000002</v>
      </c>
    </row>
    <row r="941" spans="1:4" x14ac:dyDescent="0.25">
      <c r="A941" s="7">
        <v>44474.541666666664</v>
      </c>
      <c r="B941" s="1" t="s">
        <v>70</v>
      </c>
      <c r="C941" s="1">
        <v>5342.34</v>
      </c>
      <c r="D941" s="1">
        <v>2491.21</v>
      </c>
    </row>
    <row r="942" spans="1:4" x14ac:dyDescent="0.25">
      <c r="A942" s="7">
        <v>44474.541666666664</v>
      </c>
      <c r="B942" s="1" t="s">
        <v>69</v>
      </c>
      <c r="C942" s="1">
        <v>4598.3</v>
      </c>
      <c r="D942" s="1">
        <v>4479.83</v>
      </c>
    </row>
    <row r="943" spans="1:4" x14ac:dyDescent="0.25">
      <c r="A943" s="7">
        <v>44474.541666666664</v>
      </c>
      <c r="B943" s="1" t="s">
        <v>78</v>
      </c>
      <c r="C943" s="1">
        <v>1873.25</v>
      </c>
      <c r="D943" s="1">
        <v>1164.28</v>
      </c>
    </row>
    <row r="944" spans="1:4" x14ac:dyDescent="0.25">
      <c r="A944" s="7">
        <v>44474.541666666664</v>
      </c>
      <c r="B944" s="1" t="s">
        <v>76</v>
      </c>
      <c r="C944" s="1">
        <v>11102.06</v>
      </c>
      <c r="D944" s="1">
        <v>2741.6</v>
      </c>
    </row>
    <row r="945" spans="1:4" x14ac:dyDescent="0.25">
      <c r="A945" s="7">
        <v>44474.541666666664</v>
      </c>
      <c r="B945" s="1" t="s">
        <v>72</v>
      </c>
      <c r="C945" s="1">
        <v>7990.69</v>
      </c>
      <c r="D945" s="1">
        <v>5823.19</v>
      </c>
    </row>
    <row r="946" spans="1:4" x14ac:dyDescent="0.25">
      <c r="A946" s="7">
        <v>44474.541666666664</v>
      </c>
      <c r="B946" s="1" t="s">
        <v>73</v>
      </c>
      <c r="C946" s="1">
        <v>5919.37</v>
      </c>
      <c r="D946" s="1">
        <v>890.08</v>
      </c>
    </row>
    <row r="947" spans="1:4" x14ac:dyDescent="0.25">
      <c r="A947" s="7">
        <v>44474.541666666664</v>
      </c>
      <c r="B947" s="1" t="s">
        <v>68</v>
      </c>
      <c r="C947" s="1">
        <v>6944.53</v>
      </c>
      <c r="D947" s="1">
        <v>2545.94</v>
      </c>
    </row>
    <row r="948" spans="1:4" x14ac:dyDescent="0.25">
      <c r="A948" s="7">
        <v>44474.583333333336</v>
      </c>
      <c r="B948" s="1" t="s">
        <v>75</v>
      </c>
      <c r="C948" s="1">
        <v>965.75</v>
      </c>
      <c r="D948" s="1">
        <v>448.93</v>
      </c>
    </row>
    <row r="949" spans="1:4" x14ac:dyDescent="0.25">
      <c r="A949" s="7">
        <v>44474.583333333336</v>
      </c>
      <c r="B949" s="1" t="s">
        <v>74</v>
      </c>
      <c r="C949" s="1">
        <v>6733.5</v>
      </c>
      <c r="D949" s="1">
        <v>1553.69</v>
      </c>
    </row>
    <row r="950" spans="1:4" x14ac:dyDescent="0.25">
      <c r="A950" s="7">
        <v>44474.583333333336</v>
      </c>
      <c r="B950" s="1" t="s">
        <v>72</v>
      </c>
      <c r="C950" s="1">
        <v>8566.17</v>
      </c>
      <c r="D950" s="1">
        <v>6282.39</v>
      </c>
    </row>
    <row r="951" spans="1:4" x14ac:dyDescent="0.25">
      <c r="A951" s="7">
        <v>44474.583333333336</v>
      </c>
      <c r="B951" s="1" t="s">
        <v>68</v>
      </c>
      <c r="C951" s="1">
        <v>7823.82</v>
      </c>
      <c r="D951" s="1">
        <v>2726.51</v>
      </c>
    </row>
    <row r="952" spans="1:4" x14ac:dyDescent="0.25">
      <c r="A952" s="7">
        <v>44474.583333333336</v>
      </c>
      <c r="B952" s="1" t="s">
        <v>77</v>
      </c>
      <c r="C952" s="1">
        <v>10198.16</v>
      </c>
      <c r="D952" s="1">
        <v>3219.99</v>
      </c>
    </row>
    <row r="953" spans="1:4" x14ac:dyDescent="0.25">
      <c r="A953" s="7">
        <v>44474.583333333336</v>
      </c>
      <c r="B953" s="1" t="s">
        <v>69</v>
      </c>
      <c r="C953" s="1">
        <v>4693.16</v>
      </c>
      <c r="D953" s="1">
        <v>4614.97</v>
      </c>
    </row>
    <row r="954" spans="1:4" x14ac:dyDescent="0.25">
      <c r="A954" s="7">
        <v>44474.583333333336</v>
      </c>
      <c r="B954" s="1" t="s">
        <v>70</v>
      </c>
      <c r="C954" s="1">
        <v>5893.77</v>
      </c>
      <c r="D954" s="1">
        <v>2708.46</v>
      </c>
    </row>
    <row r="955" spans="1:4" x14ac:dyDescent="0.25">
      <c r="A955" s="7">
        <v>44474.583333333336</v>
      </c>
      <c r="B955" s="1" t="s">
        <v>78</v>
      </c>
      <c r="C955" s="1">
        <v>1843.84</v>
      </c>
      <c r="D955" s="1">
        <v>1186.82</v>
      </c>
    </row>
    <row r="956" spans="1:4" x14ac:dyDescent="0.25">
      <c r="A956" s="7">
        <v>44474.583333333336</v>
      </c>
      <c r="B956" s="1" t="s">
        <v>76</v>
      </c>
      <c r="C956" s="1">
        <v>10914.9</v>
      </c>
      <c r="D956" s="1">
        <v>2810.12</v>
      </c>
    </row>
    <row r="957" spans="1:4" x14ac:dyDescent="0.25">
      <c r="A957" s="7">
        <v>44474.583333333336</v>
      </c>
      <c r="B957" s="1" t="s">
        <v>73</v>
      </c>
      <c r="C957" s="1">
        <v>6485.25</v>
      </c>
      <c r="D957" s="1">
        <v>960.21</v>
      </c>
    </row>
    <row r="958" spans="1:4" x14ac:dyDescent="0.25">
      <c r="A958" s="7">
        <v>44474.583333333336</v>
      </c>
      <c r="B958" s="1" t="s">
        <v>71</v>
      </c>
      <c r="C958" s="1">
        <v>8196.09</v>
      </c>
      <c r="D958" s="1">
        <v>2386.33</v>
      </c>
    </row>
    <row r="959" spans="1:4" x14ac:dyDescent="0.25">
      <c r="A959" s="7">
        <v>44474.625</v>
      </c>
      <c r="B959" s="1" t="s">
        <v>74</v>
      </c>
      <c r="C959" s="1">
        <v>6770.96</v>
      </c>
      <c r="D959" s="1">
        <v>1577.23</v>
      </c>
    </row>
    <row r="960" spans="1:4" x14ac:dyDescent="0.25">
      <c r="A960" s="7">
        <v>44474.625</v>
      </c>
      <c r="B960" s="1" t="s">
        <v>78</v>
      </c>
      <c r="C960" s="1">
        <v>1848.48</v>
      </c>
      <c r="D960" s="1">
        <v>1163.1300000000001</v>
      </c>
    </row>
    <row r="961" spans="1:4" x14ac:dyDescent="0.25">
      <c r="A961" s="7">
        <v>44474.625</v>
      </c>
      <c r="B961" s="1" t="s">
        <v>75</v>
      </c>
      <c r="C961" s="1">
        <v>971.8</v>
      </c>
      <c r="D961" s="1">
        <v>442.96</v>
      </c>
    </row>
    <row r="962" spans="1:4" x14ac:dyDescent="0.25">
      <c r="A962" s="7">
        <v>44474.625</v>
      </c>
      <c r="B962" s="1" t="s">
        <v>76</v>
      </c>
      <c r="C962" s="1">
        <v>10661.21</v>
      </c>
      <c r="D962" s="1">
        <v>2756.15</v>
      </c>
    </row>
    <row r="963" spans="1:4" x14ac:dyDescent="0.25">
      <c r="A963" s="7">
        <v>44474.625</v>
      </c>
      <c r="B963" s="1" t="s">
        <v>68</v>
      </c>
      <c r="C963" s="1">
        <v>8301.31</v>
      </c>
      <c r="D963" s="1">
        <v>2763.61</v>
      </c>
    </row>
    <row r="964" spans="1:4" x14ac:dyDescent="0.25">
      <c r="A964" s="7">
        <v>44474.625</v>
      </c>
      <c r="B964" s="1" t="s">
        <v>71</v>
      </c>
      <c r="C964" s="1">
        <v>8674.23</v>
      </c>
      <c r="D964" s="1">
        <v>2417.4899999999998</v>
      </c>
    </row>
    <row r="965" spans="1:4" x14ac:dyDescent="0.25">
      <c r="A965" s="7">
        <v>44474.625</v>
      </c>
      <c r="B965" s="1" t="s">
        <v>72</v>
      </c>
      <c r="C965" s="1">
        <v>8413.76</v>
      </c>
      <c r="D965" s="1">
        <v>6111.74</v>
      </c>
    </row>
    <row r="966" spans="1:4" x14ac:dyDescent="0.25">
      <c r="A966" s="7">
        <v>44474.625</v>
      </c>
      <c r="B966" s="1" t="s">
        <v>73</v>
      </c>
      <c r="C966" s="1">
        <v>6894.56</v>
      </c>
      <c r="D966" s="1">
        <v>1006.81</v>
      </c>
    </row>
    <row r="967" spans="1:4" x14ac:dyDescent="0.25">
      <c r="A967" s="7">
        <v>44474.625</v>
      </c>
      <c r="B967" s="1" t="s">
        <v>77</v>
      </c>
      <c r="C967" s="1">
        <v>10434.69</v>
      </c>
      <c r="D967" s="1">
        <v>3297.43</v>
      </c>
    </row>
    <row r="968" spans="1:4" x14ac:dyDescent="0.25">
      <c r="A968" s="7">
        <v>44474.625</v>
      </c>
      <c r="B968" s="1" t="s">
        <v>69</v>
      </c>
      <c r="C968" s="1">
        <v>4545.99</v>
      </c>
      <c r="D968" s="1">
        <v>4505.8599999999997</v>
      </c>
    </row>
    <row r="969" spans="1:4" x14ac:dyDescent="0.25">
      <c r="A969" s="7">
        <v>44474.625</v>
      </c>
      <c r="B969" s="1" t="s">
        <v>70</v>
      </c>
      <c r="C969" s="1">
        <v>6060.62</v>
      </c>
      <c r="D969" s="1">
        <v>2756.87</v>
      </c>
    </row>
    <row r="970" spans="1:4" x14ac:dyDescent="0.25">
      <c r="A970" s="7">
        <v>44474.666666666664</v>
      </c>
      <c r="B970" s="1" t="s">
        <v>74</v>
      </c>
      <c r="C970" s="1">
        <v>7206</v>
      </c>
      <c r="D970" s="1">
        <v>1619.97</v>
      </c>
    </row>
    <row r="971" spans="1:4" x14ac:dyDescent="0.25">
      <c r="A971" s="7">
        <v>44474.666666666664</v>
      </c>
      <c r="B971" s="1" t="s">
        <v>78</v>
      </c>
      <c r="C971" s="1">
        <v>1719.16</v>
      </c>
      <c r="D971" s="1">
        <v>1094.3399999999999</v>
      </c>
    </row>
    <row r="972" spans="1:4" x14ac:dyDescent="0.25">
      <c r="A972" s="7">
        <v>44474.666666666664</v>
      </c>
      <c r="B972" s="1" t="s">
        <v>75</v>
      </c>
      <c r="C972" s="1">
        <v>901</v>
      </c>
      <c r="D972" s="1">
        <v>412.77</v>
      </c>
    </row>
    <row r="973" spans="1:4" x14ac:dyDescent="0.25">
      <c r="A973" s="7">
        <v>44474.666666666664</v>
      </c>
      <c r="B973" s="1" t="s">
        <v>76</v>
      </c>
      <c r="C973" s="1">
        <v>9802.9</v>
      </c>
      <c r="D973" s="1">
        <v>2613.4</v>
      </c>
    </row>
    <row r="974" spans="1:4" x14ac:dyDescent="0.25">
      <c r="A974" s="7">
        <v>44474.666666666664</v>
      </c>
      <c r="B974" s="1" t="s">
        <v>73</v>
      </c>
      <c r="C974" s="1">
        <v>6848.07</v>
      </c>
      <c r="D974" s="1">
        <v>1043.58</v>
      </c>
    </row>
    <row r="975" spans="1:4" x14ac:dyDescent="0.25">
      <c r="A975" s="7">
        <v>44474.666666666664</v>
      </c>
      <c r="B975" s="1" t="s">
        <v>68</v>
      </c>
      <c r="C975" s="1">
        <v>8155.09</v>
      </c>
      <c r="D975" s="1">
        <v>2779.6</v>
      </c>
    </row>
    <row r="976" spans="1:4" x14ac:dyDescent="0.25">
      <c r="A976" s="7">
        <v>44474.666666666664</v>
      </c>
      <c r="B976" s="1" t="s">
        <v>71</v>
      </c>
      <c r="C976" s="1">
        <v>8135.34</v>
      </c>
      <c r="D976" s="1">
        <v>2407.0700000000002</v>
      </c>
    </row>
    <row r="977" spans="1:4" x14ac:dyDescent="0.25">
      <c r="A977" s="7">
        <v>44474.666666666664</v>
      </c>
      <c r="B977" s="1" t="s">
        <v>70</v>
      </c>
      <c r="C977" s="1">
        <v>5662.26</v>
      </c>
      <c r="D977" s="1">
        <v>2626.81</v>
      </c>
    </row>
    <row r="978" spans="1:4" x14ac:dyDescent="0.25">
      <c r="A978" s="7">
        <v>44474.666666666664</v>
      </c>
      <c r="B978" s="1" t="s">
        <v>72</v>
      </c>
      <c r="C978" s="1">
        <v>7983.21</v>
      </c>
      <c r="D978" s="1">
        <v>5856.5</v>
      </c>
    </row>
    <row r="979" spans="1:4" x14ac:dyDescent="0.25">
      <c r="A979" s="7">
        <v>44474.666666666664</v>
      </c>
      <c r="B979" s="1" t="s">
        <v>77</v>
      </c>
      <c r="C979" s="1">
        <v>10282.9</v>
      </c>
      <c r="D979" s="1">
        <v>3320.49</v>
      </c>
    </row>
    <row r="980" spans="1:4" x14ac:dyDescent="0.25">
      <c r="A980" s="7">
        <v>44474.666666666664</v>
      </c>
      <c r="B980" s="1" t="s">
        <v>69</v>
      </c>
      <c r="C980" s="1">
        <v>4353.68</v>
      </c>
      <c r="D980" s="1">
        <v>4280.47</v>
      </c>
    </row>
    <row r="981" spans="1:4" x14ac:dyDescent="0.25">
      <c r="A981" s="7">
        <v>44474.708333333336</v>
      </c>
      <c r="B981" s="1" t="s">
        <v>75</v>
      </c>
      <c r="C981" s="1">
        <v>863.73</v>
      </c>
      <c r="D981" s="1">
        <v>395.81</v>
      </c>
    </row>
    <row r="982" spans="1:4" x14ac:dyDescent="0.25">
      <c r="A982" s="7">
        <v>44474.708333333336</v>
      </c>
      <c r="B982" s="1" t="s">
        <v>74</v>
      </c>
      <c r="C982" s="1">
        <v>7468.2</v>
      </c>
      <c r="D982" s="1">
        <v>1665.25</v>
      </c>
    </row>
    <row r="983" spans="1:4" x14ac:dyDescent="0.25">
      <c r="A983" s="7">
        <v>44474.708333333336</v>
      </c>
      <c r="B983" s="1" t="s">
        <v>78</v>
      </c>
      <c r="C983" s="1">
        <v>1854.07</v>
      </c>
      <c r="D983" s="1">
        <v>1113.21</v>
      </c>
    </row>
    <row r="984" spans="1:4" x14ac:dyDescent="0.25">
      <c r="A984" s="7">
        <v>44474.708333333336</v>
      </c>
      <c r="B984" s="1" t="s">
        <v>76</v>
      </c>
      <c r="C984" s="1">
        <v>10418.049999999999</v>
      </c>
      <c r="D984" s="1">
        <v>2739.01</v>
      </c>
    </row>
    <row r="985" spans="1:4" x14ac:dyDescent="0.25">
      <c r="A985" s="7">
        <v>44474.708333333336</v>
      </c>
      <c r="B985" s="1" t="s">
        <v>71</v>
      </c>
      <c r="C985" s="1">
        <v>8008.79</v>
      </c>
      <c r="D985" s="1">
        <v>2560.83</v>
      </c>
    </row>
    <row r="986" spans="1:4" x14ac:dyDescent="0.25">
      <c r="A986" s="7">
        <v>44474.708333333336</v>
      </c>
      <c r="B986" s="1" t="s">
        <v>69</v>
      </c>
      <c r="C986" s="1">
        <v>4398.74</v>
      </c>
      <c r="D986" s="1">
        <v>4144.83</v>
      </c>
    </row>
    <row r="987" spans="1:4" x14ac:dyDescent="0.25">
      <c r="A987" s="7">
        <v>44474.708333333336</v>
      </c>
      <c r="B987" s="1" t="s">
        <v>70</v>
      </c>
      <c r="C987" s="1">
        <v>5665.39</v>
      </c>
      <c r="D987" s="1">
        <v>2639.53</v>
      </c>
    </row>
    <row r="988" spans="1:4" x14ac:dyDescent="0.25">
      <c r="A988" s="7">
        <v>44474.708333333336</v>
      </c>
      <c r="B988" s="1" t="s">
        <v>73</v>
      </c>
      <c r="C988" s="1">
        <v>7045.7</v>
      </c>
      <c r="D988" s="1">
        <v>1103.45</v>
      </c>
    </row>
    <row r="989" spans="1:4" x14ac:dyDescent="0.25">
      <c r="A989" s="7">
        <v>44474.708333333336</v>
      </c>
      <c r="B989" s="1" t="s">
        <v>72</v>
      </c>
      <c r="C989" s="1">
        <v>7953.23</v>
      </c>
      <c r="D989" s="1">
        <v>5835.71</v>
      </c>
    </row>
    <row r="990" spans="1:4" x14ac:dyDescent="0.25">
      <c r="A990" s="7">
        <v>44474.708333333336</v>
      </c>
      <c r="B990" s="1" t="s">
        <v>68</v>
      </c>
      <c r="C990" s="1">
        <v>8299</v>
      </c>
      <c r="D990" s="1">
        <v>2900.34</v>
      </c>
    </row>
    <row r="991" spans="1:4" x14ac:dyDescent="0.25">
      <c r="A991" s="7">
        <v>44474.708333333336</v>
      </c>
      <c r="B991" s="1" t="s">
        <v>77</v>
      </c>
      <c r="C991" s="1">
        <v>11067.73</v>
      </c>
      <c r="D991" s="1">
        <v>3624.81</v>
      </c>
    </row>
    <row r="992" spans="1:4" x14ac:dyDescent="0.25">
      <c r="A992" s="7">
        <v>44474.75</v>
      </c>
      <c r="B992" s="1" t="s">
        <v>75</v>
      </c>
      <c r="C992" s="1">
        <v>620.58000000000004</v>
      </c>
      <c r="D992" s="1">
        <v>242.13</v>
      </c>
    </row>
    <row r="993" spans="1:4" x14ac:dyDescent="0.25">
      <c r="A993" s="7">
        <v>44474.75</v>
      </c>
      <c r="B993" s="1" t="s">
        <v>74</v>
      </c>
      <c r="C993" s="1">
        <v>6078.29</v>
      </c>
      <c r="D993" s="1">
        <v>1226.8800000000001</v>
      </c>
    </row>
    <row r="994" spans="1:4" x14ac:dyDescent="0.25">
      <c r="A994" s="7">
        <v>44474.75</v>
      </c>
      <c r="B994" s="1" t="s">
        <v>72</v>
      </c>
      <c r="C994" s="1">
        <v>5567.21</v>
      </c>
      <c r="D994" s="1">
        <v>3646.34</v>
      </c>
    </row>
    <row r="995" spans="1:4" x14ac:dyDescent="0.25">
      <c r="A995" s="7">
        <v>44474.75</v>
      </c>
      <c r="B995" s="1" t="s">
        <v>77</v>
      </c>
      <c r="C995" s="1">
        <v>9392.81</v>
      </c>
      <c r="D995" s="1">
        <v>2849.4</v>
      </c>
    </row>
    <row r="996" spans="1:4" x14ac:dyDescent="0.25">
      <c r="A996" s="7">
        <v>44474.75</v>
      </c>
      <c r="B996" s="1" t="s">
        <v>69</v>
      </c>
      <c r="C996" s="1">
        <v>3125.12</v>
      </c>
      <c r="D996" s="1">
        <v>2514.5500000000002</v>
      </c>
    </row>
    <row r="997" spans="1:4" x14ac:dyDescent="0.25">
      <c r="A997" s="7">
        <v>44474.75</v>
      </c>
      <c r="B997" s="1" t="s">
        <v>70</v>
      </c>
      <c r="C997" s="1">
        <v>4098.3900000000003</v>
      </c>
      <c r="D997" s="1">
        <v>1802.33</v>
      </c>
    </row>
    <row r="998" spans="1:4" x14ac:dyDescent="0.25">
      <c r="A998" s="7">
        <v>44474.75</v>
      </c>
      <c r="B998" s="1" t="s">
        <v>78</v>
      </c>
      <c r="C998" s="1">
        <v>1334.09</v>
      </c>
      <c r="D998" s="1">
        <v>717.12</v>
      </c>
    </row>
    <row r="999" spans="1:4" x14ac:dyDescent="0.25">
      <c r="A999" s="7">
        <v>44474.75</v>
      </c>
      <c r="B999" s="1" t="s">
        <v>76</v>
      </c>
      <c r="C999" s="1">
        <v>9474.16</v>
      </c>
      <c r="D999" s="1">
        <v>2209.88</v>
      </c>
    </row>
    <row r="1000" spans="1:4" x14ac:dyDescent="0.25">
      <c r="A1000" s="7">
        <v>44474.75</v>
      </c>
      <c r="B1000" s="1" t="s">
        <v>73</v>
      </c>
      <c r="C1000" s="1">
        <v>5333.98</v>
      </c>
      <c r="D1000" s="1">
        <v>787.34</v>
      </c>
    </row>
    <row r="1001" spans="1:4" x14ac:dyDescent="0.25">
      <c r="A1001" s="7">
        <v>44474.75</v>
      </c>
      <c r="B1001" s="1" t="s">
        <v>68</v>
      </c>
      <c r="C1001" s="1">
        <v>6559.89</v>
      </c>
      <c r="D1001" s="1">
        <v>2217.04</v>
      </c>
    </row>
    <row r="1002" spans="1:4" x14ac:dyDescent="0.25">
      <c r="A1002" s="7">
        <v>44474.75</v>
      </c>
      <c r="B1002" s="1" t="s">
        <v>71</v>
      </c>
      <c r="C1002" s="1">
        <v>6089.58</v>
      </c>
      <c r="D1002" s="1">
        <v>1869.54</v>
      </c>
    </row>
    <row r="1003" spans="1:4" x14ac:dyDescent="0.25">
      <c r="A1003" s="7">
        <v>44474.791666666664</v>
      </c>
      <c r="B1003" s="1" t="s">
        <v>74</v>
      </c>
      <c r="C1003" s="1">
        <v>15468.64</v>
      </c>
      <c r="D1003" s="1">
        <v>2863.78</v>
      </c>
    </row>
    <row r="1004" spans="1:4" x14ac:dyDescent="0.25">
      <c r="A1004" s="7">
        <v>44474.791666666664</v>
      </c>
      <c r="B1004" s="1" t="s">
        <v>75</v>
      </c>
      <c r="C1004" s="1">
        <v>1995.64</v>
      </c>
      <c r="D1004" s="1">
        <v>781.49</v>
      </c>
    </row>
    <row r="1005" spans="1:4" x14ac:dyDescent="0.25">
      <c r="A1005" s="7">
        <v>44474.791666666664</v>
      </c>
      <c r="B1005" s="1" t="s">
        <v>72</v>
      </c>
      <c r="C1005" s="1">
        <v>14362.44</v>
      </c>
      <c r="D1005" s="1">
        <v>9108.75</v>
      </c>
    </row>
    <row r="1006" spans="1:4" x14ac:dyDescent="0.25">
      <c r="A1006" s="7">
        <v>44474.791666666664</v>
      </c>
      <c r="B1006" s="1" t="s">
        <v>68</v>
      </c>
      <c r="C1006" s="1">
        <v>17838.099999999999</v>
      </c>
      <c r="D1006" s="1">
        <v>5262.99</v>
      </c>
    </row>
    <row r="1007" spans="1:4" x14ac:dyDescent="0.25">
      <c r="A1007" s="7">
        <v>44474.791666666664</v>
      </c>
      <c r="B1007" s="1" t="s">
        <v>77</v>
      </c>
      <c r="C1007" s="1">
        <v>22506.789000000001</v>
      </c>
      <c r="D1007" s="1">
        <v>6483.03</v>
      </c>
    </row>
    <row r="1008" spans="1:4" x14ac:dyDescent="0.25">
      <c r="A1008" s="7">
        <v>44474.791666666664</v>
      </c>
      <c r="B1008" s="1" t="s">
        <v>71</v>
      </c>
      <c r="C1008" s="1">
        <v>19111.150000000001</v>
      </c>
      <c r="D1008" s="1">
        <v>4840.78</v>
      </c>
    </row>
    <row r="1009" spans="1:4" x14ac:dyDescent="0.25">
      <c r="A1009" s="7">
        <v>44474.791666666664</v>
      </c>
      <c r="B1009" s="1" t="s">
        <v>69</v>
      </c>
      <c r="C1009" s="1">
        <v>7751.26</v>
      </c>
      <c r="D1009" s="1">
        <v>6369.97</v>
      </c>
    </row>
    <row r="1010" spans="1:4" x14ac:dyDescent="0.25">
      <c r="A1010" s="7">
        <v>44474.791666666664</v>
      </c>
      <c r="B1010" s="1" t="s">
        <v>70</v>
      </c>
      <c r="C1010" s="1">
        <v>12354.1</v>
      </c>
      <c r="D1010" s="1">
        <v>5038.1400000000003</v>
      </c>
    </row>
    <row r="1011" spans="1:4" x14ac:dyDescent="0.25">
      <c r="A1011" s="7">
        <v>44474.791666666664</v>
      </c>
      <c r="B1011" s="1" t="s">
        <v>78</v>
      </c>
      <c r="C1011" s="1">
        <v>3488.02</v>
      </c>
      <c r="D1011" s="1">
        <v>1930.26</v>
      </c>
    </row>
    <row r="1012" spans="1:4" x14ac:dyDescent="0.25">
      <c r="A1012" s="7">
        <v>44474.791666666664</v>
      </c>
      <c r="B1012" s="1" t="s">
        <v>76</v>
      </c>
      <c r="C1012" s="1">
        <v>25926.26</v>
      </c>
      <c r="D1012" s="1">
        <v>5469.68</v>
      </c>
    </row>
    <row r="1013" spans="1:4" x14ac:dyDescent="0.25">
      <c r="A1013" s="7">
        <v>44474.791666666664</v>
      </c>
      <c r="B1013" s="1" t="s">
        <v>73</v>
      </c>
      <c r="C1013" s="1">
        <v>14953.11</v>
      </c>
      <c r="D1013" s="1">
        <v>1897.59</v>
      </c>
    </row>
    <row r="1014" spans="1:4" x14ac:dyDescent="0.25">
      <c r="A1014" s="7">
        <v>44474.833333333336</v>
      </c>
      <c r="B1014" s="1" t="s">
        <v>75</v>
      </c>
      <c r="C1014" s="1">
        <v>1660.4</v>
      </c>
      <c r="D1014" s="1">
        <v>617.23</v>
      </c>
    </row>
    <row r="1015" spans="1:4" x14ac:dyDescent="0.25">
      <c r="A1015" s="7">
        <v>44474.833333333336</v>
      </c>
      <c r="B1015" s="1" t="s">
        <v>74</v>
      </c>
      <c r="C1015" s="1">
        <v>14055.44</v>
      </c>
      <c r="D1015" s="1">
        <v>2578.29</v>
      </c>
    </row>
    <row r="1016" spans="1:4" x14ac:dyDescent="0.25">
      <c r="A1016" s="7">
        <v>44474.833333333336</v>
      </c>
      <c r="B1016" s="1" t="s">
        <v>73</v>
      </c>
      <c r="C1016" s="1">
        <v>12922.58</v>
      </c>
      <c r="D1016" s="1">
        <v>1677.13</v>
      </c>
    </row>
    <row r="1017" spans="1:4" x14ac:dyDescent="0.25">
      <c r="A1017" s="7">
        <v>44474.833333333336</v>
      </c>
      <c r="B1017" s="1" t="s">
        <v>68</v>
      </c>
      <c r="C1017" s="1">
        <v>15951.31</v>
      </c>
      <c r="D1017" s="1">
        <v>4790.7299999999996</v>
      </c>
    </row>
    <row r="1018" spans="1:4" x14ac:dyDescent="0.25">
      <c r="A1018" s="7">
        <v>44474.833333333336</v>
      </c>
      <c r="B1018" s="1" t="s">
        <v>77</v>
      </c>
      <c r="C1018" s="1">
        <v>20113.721000000001</v>
      </c>
      <c r="D1018" s="1">
        <v>5630.52</v>
      </c>
    </row>
    <row r="1019" spans="1:4" x14ac:dyDescent="0.25">
      <c r="A1019" s="7">
        <v>44474.833333333336</v>
      </c>
      <c r="B1019" s="1" t="s">
        <v>71</v>
      </c>
      <c r="C1019" s="1">
        <v>17713.221000000001</v>
      </c>
      <c r="D1019" s="1">
        <v>4367.97</v>
      </c>
    </row>
    <row r="1020" spans="1:4" x14ac:dyDescent="0.25">
      <c r="A1020" s="7">
        <v>44474.833333333336</v>
      </c>
      <c r="B1020" s="1" t="s">
        <v>70</v>
      </c>
      <c r="C1020" s="1">
        <v>10587.98</v>
      </c>
      <c r="D1020" s="1">
        <v>4330.6000000000004</v>
      </c>
    </row>
    <row r="1021" spans="1:4" x14ac:dyDescent="0.25">
      <c r="A1021" s="7">
        <v>44474.833333333336</v>
      </c>
      <c r="B1021" s="1" t="s">
        <v>78</v>
      </c>
      <c r="C1021" s="1">
        <v>3007.98</v>
      </c>
      <c r="D1021" s="1">
        <v>1680.9</v>
      </c>
    </row>
    <row r="1022" spans="1:4" x14ac:dyDescent="0.25">
      <c r="A1022" s="7">
        <v>44474.833333333336</v>
      </c>
      <c r="B1022" s="1" t="s">
        <v>76</v>
      </c>
      <c r="C1022" s="1">
        <v>21912.67</v>
      </c>
      <c r="D1022" s="1">
        <v>4467.8500000000004</v>
      </c>
    </row>
    <row r="1023" spans="1:4" x14ac:dyDescent="0.25">
      <c r="A1023" s="7">
        <v>44474.833333333336</v>
      </c>
      <c r="B1023" s="1" t="s">
        <v>72</v>
      </c>
      <c r="C1023" s="1">
        <v>12414.69</v>
      </c>
      <c r="D1023" s="1">
        <v>8075.03</v>
      </c>
    </row>
    <row r="1024" spans="1:4" x14ac:dyDescent="0.25">
      <c r="A1024" s="7">
        <v>44474.833333333336</v>
      </c>
      <c r="B1024" s="1" t="s">
        <v>69</v>
      </c>
      <c r="C1024" s="1">
        <v>7019.44</v>
      </c>
      <c r="D1024" s="1">
        <v>5910.87</v>
      </c>
    </row>
    <row r="1025" spans="1:4" x14ac:dyDescent="0.25">
      <c r="A1025" s="7">
        <v>44474.875</v>
      </c>
      <c r="B1025" s="1" t="s">
        <v>75</v>
      </c>
      <c r="C1025" s="1">
        <v>1612.4</v>
      </c>
      <c r="D1025" s="1">
        <v>621.77</v>
      </c>
    </row>
    <row r="1026" spans="1:4" x14ac:dyDescent="0.25">
      <c r="A1026" s="7">
        <v>44474.875</v>
      </c>
      <c r="B1026" s="1" t="s">
        <v>74</v>
      </c>
      <c r="C1026" s="1">
        <v>11788.31</v>
      </c>
      <c r="D1026" s="1">
        <v>2254.89</v>
      </c>
    </row>
    <row r="1027" spans="1:4" x14ac:dyDescent="0.25">
      <c r="A1027" s="7">
        <v>44474.875</v>
      </c>
      <c r="B1027" s="1" t="s">
        <v>78</v>
      </c>
      <c r="C1027" s="1">
        <v>3078.21</v>
      </c>
      <c r="D1027" s="1">
        <v>1643.82</v>
      </c>
    </row>
    <row r="1028" spans="1:4" x14ac:dyDescent="0.25">
      <c r="A1028" s="7">
        <v>44474.875</v>
      </c>
      <c r="B1028" s="1" t="s">
        <v>76</v>
      </c>
      <c r="C1028" s="1">
        <v>17945.289000000001</v>
      </c>
      <c r="D1028" s="1">
        <v>3347.99</v>
      </c>
    </row>
    <row r="1029" spans="1:4" x14ac:dyDescent="0.25">
      <c r="A1029" s="7">
        <v>44474.875</v>
      </c>
      <c r="B1029" s="1" t="s">
        <v>73</v>
      </c>
      <c r="C1029" s="1">
        <v>11382.74</v>
      </c>
      <c r="D1029" s="1">
        <v>1506.88</v>
      </c>
    </row>
    <row r="1030" spans="1:4" x14ac:dyDescent="0.25">
      <c r="A1030" s="7">
        <v>44474.875</v>
      </c>
      <c r="B1030" s="1" t="s">
        <v>68</v>
      </c>
      <c r="C1030" s="1">
        <v>14413.8</v>
      </c>
      <c r="D1030" s="1">
        <v>4372.0200000000004</v>
      </c>
    </row>
    <row r="1031" spans="1:4" x14ac:dyDescent="0.25">
      <c r="A1031" s="7">
        <v>44474.875</v>
      </c>
      <c r="B1031" s="1" t="s">
        <v>71</v>
      </c>
      <c r="C1031" s="1">
        <v>15849.01</v>
      </c>
      <c r="D1031" s="1">
        <v>4003.71</v>
      </c>
    </row>
    <row r="1032" spans="1:4" x14ac:dyDescent="0.25">
      <c r="A1032" s="7">
        <v>44474.875</v>
      </c>
      <c r="B1032" s="1" t="s">
        <v>72</v>
      </c>
      <c r="C1032" s="1">
        <v>11895.38</v>
      </c>
      <c r="D1032" s="1">
        <v>7614.4</v>
      </c>
    </row>
    <row r="1033" spans="1:4" x14ac:dyDescent="0.25">
      <c r="A1033" s="7">
        <v>44474.875</v>
      </c>
      <c r="B1033" s="1" t="s">
        <v>77</v>
      </c>
      <c r="C1033" s="1">
        <v>18639.789000000001</v>
      </c>
      <c r="D1033" s="1">
        <v>5428.36</v>
      </c>
    </row>
    <row r="1034" spans="1:4" x14ac:dyDescent="0.25">
      <c r="A1034" s="7">
        <v>44474.875</v>
      </c>
      <c r="B1034" s="1" t="s">
        <v>69</v>
      </c>
      <c r="C1034" s="1">
        <v>6825.93</v>
      </c>
      <c r="D1034" s="1">
        <v>5533.89</v>
      </c>
    </row>
    <row r="1035" spans="1:4" x14ac:dyDescent="0.25">
      <c r="A1035" s="7">
        <v>44474.875</v>
      </c>
      <c r="B1035" s="1" t="s">
        <v>70</v>
      </c>
      <c r="C1035" s="1">
        <v>9474.69</v>
      </c>
      <c r="D1035" s="1">
        <v>3879.33</v>
      </c>
    </row>
    <row r="1036" spans="1:4" x14ac:dyDescent="0.25">
      <c r="A1036" s="7">
        <v>44474.916666666664</v>
      </c>
      <c r="B1036" s="1" t="s">
        <v>75</v>
      </c>
      <c r="C1036" s="1">
        <v>1373.63</v>
      </c>
      <c r="D1036" s="1">
        <v>613.36</v>
      </c>
    </row>
    <row r="1037" spans="1:4" x14ac:dyDescent="0.25">
      <c r="A1037" s="7">
        <v>44474.916666666664</v>
      </c>
      <c r="B1037" s="1" t="s">
        <v>74</v>
      </c>
      <c r="C1037" s="1">
        <v>7817.26</v>
      </c>
      <c r="D1037" s="1">
        <v>1695.62</v>
      </c>
    </row>
    <row r="1038" spans="1:4" x14ac:dyDescent="0.25">
      <c r="A1038" s="7">
        <v>44474.916666666664</v>
      </c>
      <c r="B1038" s="1" t="s">
        <v>78</v>
      </c>
      <c r="C1038" s="1">
        <v>2781.8</v>
      </c>
      <c r="D1038" s="1">
        <v>1521.17</v>
      </c>
    </row>
    <row r="1039" spans="1:4" x14ac:dyDescent="0.25">
      <c r="A1039" s="7">
        <v>44474.916666666664</v>
      </c>
      <c r="B1039" s="1" t="s">
        <v>76</v>
      </c>
      <c r="C1039" s="1">
        <v>11928.35</v>
      </c>
      <c r="D1039" s="1">
        <v>2462.59</v>
      </c>
    </row>
    <row r="1040" spans="1:4" x14ac:dyDescent="0.25">
      <c r="A1040" s="7">
        <v>44474.916666666664</v>
      </c>
      <c r="B1040" s="1" t="s">
        <v>68</v>
      </c>
      <c r="C1040" s="1">
        <v>10313.16</v>
      </c>
      <c r="D1040" s="1">
        <v>3442.71</v>
      </c>
    </row>
    <row r="1041" spans="1:4" x14ac:dyDescent="0.25">
      <c r="A1041" s="7">
        <v>44474.916666666664</v>
      </c>
      <c r="B1041" s="1" t="s">
        <v>71</v>
      </c>
      <c r="C1041" s="1">
        <v>11025.62</v>
      </c>
      <c r="D1041" s="1">
        <v>2978.92</v>
      </c>
    </row>
    <row r="1042" spans="1:4" x14ac:dyDescent="0.25">
      <c r="A1042" s="7">
        <v>44474.916666666664</v>
      </c>
      <c r="B1042" s="1" t="s">
        <v>69</v>
      </c>
      <c r="C1042" s="1">
        <v>6570.45</v>
      </c>
      <c r="D1042" s="1">
        <v>5406.15</v>
      </c>
    </row>
    <row r="1043" spans="1:4" x14ac:dyDescent="0.25">
      <c r="A1043" s="7">
        <v>44474.916666666664</v>
      </c>
      <c r="B1043" s="1" t="s">
        <v>70</v>
      </c>
      <c r="C1043" s="1">
        <v>7561.03</v>
      </c>
      <c r="D1043" s="1">
        <v>3220.92</v>
      </c>
    </row>
    <row r="1044" spans="1:4" x14ac:dyDescent="0.25">
      <c r="A1044" s="7">
        <v>44474.916666666664</v>
      </c>
      <c r="B1044" s="1" t="s">
        <v>72</v>
      </c>
      <c r="C1044" s="1">
        <v>10947.84</v>
      </c>
      <c r="D1044" s="1">
        <v>7214.36</v>
      </c>
    </row>
    <row r="1045" spans="1:4" x14ac:dyDescent="0.25">
      <c r="A1045" s="7">
        <v>44474.916666666664</v>
      </c>
      <c r="B1045" s="1" t="s">
        <v>73</v>
      </c>
      <c r="C1045" s="1">
        <v>8568.25</v>
      </c>
      <c r="D1045" s="1">
        <v>1235.55</v>
      </c>
    </row>
    <row r="1046" spans="1:4" x14ac:dyDescent="0.25">
      <c r="A1046" s="7">
        <v>44474.916666666664</v>
      </c>
      <c r="B1046" s="1" t="s">
        <v>77</v>
      </c>
      <c r="C1046" s="1">
        <v>15089.81</v>
      </c>
      <c r="D1046" s="1">
        <v>4625.46</v>
      </c>
    </row>
    <row r="1047" spans="1:4" x14ac:dyDescent="0.25">
      <c r="A1047" s="7">
        <v>44474.958333333336</v>
      </c>
      <c r="B1047" s="1" t="s">
        <v>74</v>
      </c>
      <c r="C1047" s="1">
        <v>3327.35</v>
      </c>
      <c r="D1047" s="1">
        <v>888.54</v>
      </c>
    </row>
    <row r="1048" spans="1:4" x14ac:dyDescent="0.25">
      <c r="A1048" s="7">
        <v>44474.958333333336</v>
      </c>
      <c r="B1048" s="1" t="s">
        <v>75</v>
      </c>
      <c r="C1048" s="1">
        <v>839.99</v>
      </c>
      <c r="D1048" s="1">
        <v>417.81</v>
      </c>
    </row>
    <row r="1049" spans="1:4" x14ac:dyDescent="0.25">
      <c r="A1049" s="7">
        <v>44474.958333333336</v>
      </c>
      <c r="B1049" s="1" t="s">
        <v>76</v>
      </c>
      <c r="C1049" s="1">
        <v>5428.89</v>
      </c>
      <c r="D1049" s="1">
        <v>1321.45</v>
      </c>
    </row>
    <row r="1050" spans="1:4" x14ac:dyDescent="0.25">
      <c r="A1050" s="7">
        <v>44474.958333333336</v>
      </c>
      <c r="B1050" s="1" t="s">
        <v>72</v>
      </c>
      <c r="C1050" s="1">
        <v>6816.67</v>
      </c>
      <c r="D1050" s="1">
        <v>4795.5200000000004</v>
      </c>
    </row>
    <row r="1051" spans="1:4" x14ac:dyDescent="0.25">
      <c r="A1051" s="7">
        <v>44474.958333333336</v>
      </c>
      <c r="B1051" s="1" t="s">
        <v>77</v>
      </c>
      <c r="C1051" s="1">
        <v>8387.6200000000008</v>
      </c>
      <c r="D1051" s="1">
        <v>2639.87</v>
      </c>
    </row>
    <row r="1052" spans="1:4" x14ac:dyDescent="0.25">
      <c r="A1052" s="7">
        <v>44474.958333333336</v>
      </c>
      <c r="B1052" s="1" t="s">
        <v>69</v>
      </c>
      <c r="C1052" s="1">
        <v>4375.96</v>
      </c>
      <c r="D1052" s="1">
        <v>3600.84</v>
      </c>
    </row>
    <row r="1053" spans="1:4" x14ac:dyDescent="0.25">
      <c r="A1053" s="7">
        <v>44474.958333333336</v>
      </c>
      <c r="B1053" s="1" t="s">
        <v>70</v>
      </c>
      <c r="C1053" s="1">
        <v>3824.74</v>
      </c>
      <c r="D1053" s="1">
        <v>1848.67</v>
      </c>
    </row>
    <row r="1054" spans="1:4" x14ac:dyDescent="0.25">
      <c r="A1054" s="7">
        <v>44474.958333333336</v>
      </c>
      <c r="B1054" s="1" t="s">
        <v>78</v>
      </c>
      <c r="C1054" s="1">
        <v>1718.8</v>
      </c>
      <c r="D1054" s="1">
        <v>1008.39</v>
      </c>
    </row>
    <row r="1055" spans="1:4" x14ac:dyDescent="0.25">
      <c r="A1055" s="7">
        <v>44474.958333333336</v>
      </c>
      <c r="B1055" s="1" t="s">
        <v>73</v>
      </c>
      <c r="C1055" s="1">
        <v>3747.56</v>
      </c>
      <c r="D1055" s="1">
        <v>640.69000000000005</v>
      </c>
    </row>
    <row r="1056" spans="1:4" x14ac:dyDescent="0.25">
      <c r="A1056" s="7">
        <v>44474.958333333336</v>
      </c>
      <c r="B1056" s="1" t="s">
        <v>68</v>
      </c>
      <c r="C1056" s="1">
        <v>4586.45</v>
      </c>
      <c r="D1056" s="1">
        <v>1854.73</v>
      </c>
    </row>
    <row r="1057" spans="1:4" x14ac:dyDescent="0.25">
      <c r="A1057" s="7">
        <v>44474.958333333336</v>
      </c>
      <c r="B1057" s="1" t="s">
        <v>71</v>
      </c>
      <c r="C1057" s="1">
        <v>4493.75</v>
      </c>
      <c r="D1057" s="1">
        <v>1463.66</v>
      </c>
    </row>
    <row r="1058" spans="1:4" x14ac:dyDescent="0.25">
      <c r="A1058" s="7">
        <v>44505</v>
      </c>
      <c r="B1058" s="1" t="s">
        <v>74</v>
      </c>
      <c r="C1058" s="1">
        <v>1381.97</v>
      </c>
      <c r="D1058" s="1">
        <v>432.05</v>
      </c>
    </row>
    <row r="1059" spans="1:4" x14ac:dyDescent="0.25">
      <c r="A1059" s="7">
        <v>44505</v>
      </c>
      <c r="B1059" s="1" t="s">
        <v>75</v>
      </c>
      <c r="C1059" s="1">
        <v>477.07</v>
      </c>
      <c r="D1059" s="1">
        <v>250.64</v>
      </c>
    </row>
    <row r="1060" spans="1:4" x14ac:dyDescent="0.25">
      <c r="A1060" s="7">
        <v>44505</v>
      </c>
      <c r="B1060" s="1" t="s">
        <v>77</v>
      </c>
      <c r="C1060" s="1">
        <v>3810.33</v>
      </c>
      <c r="D1060" s="1">
        <v>1174.43</v>
      </c>
    </row>
    <row r="1061" spans="1:4" x14ac:dyDescent="0.25">
      <c r="A1061" s="7">
        <v>44505</v>
      </c>
      <c r="B1061" s="1" t="s">
        <v>71</v>
      </c>
      <c r="C1061" s="1">
        <v>1749.64</v>
      </c>
      <c r="D1061" s="1">
        <v>663.22</v>
      </c>
    </row>
    <row r="1062" spans="1:4" x14ac:dyDescent="0.25">
      <c r="A1062" s="7">
        <v>44505</v>
      </c>
      <c r="B1062" s="1" t="s">
        <v>70</v>
      </c>
      <c r="C1062" s="1">
        <v>1718.67</v>
      </c>
      <c r="D1062" s="1">
        <v>864.67</v>
      </c>
    </row>
    <row r="1063" spans="1:4" x14ac:dyDescent="0.25">
      <c r="A1063" s="7">
        <v>44505</v>
      </c>
      <c r="B1063" s="1" t="s">
        <v>78</v>
      </c>
      <c r="C1063" s="1">
        <v>876.02</v>
      </c>
      <c r="D1063" s="1">
        <v>549.63</v>
      </c>
    </row>
    <row r="1064" spans="1:4" x14ac:dyDescent="0.25">
      <c r="A1064" s="7">
        <v>44505</v>
      </c>
      <c r="B1064" s="1" t="s">
        <v>76</v>
      </c>
      <c r="C1064" s="1">
        <v>2226</v>
      </c>
      <c r="D1064" s="1">
        <v>605.73</v>
      </c>
    </row>
    <row r="1065" spans="1:4" x14ac:dyDescent="0.25">
      <c r="A1065" s="7">
        <v>44505</v>
      </c>
      <c r="B1065" s="1" t="s">
        <v>72</v>
      </c>
      <c r="C1065" s="1">
        <v>3445.58</v>
      </c>
      <c r="D1065" s="1">
        <v>2558.71</v>
      </c>
    </row>
    <row r="1066" spans="1:4" x14ac:dyDescent="0.25">
      <c r="A1066" s="7">
        <v>44505</v>
      </c>
      <c r="B1066" s="1" t="s">
        <v>73</v>
      </c>
      <c r="C1066" s="1">
        <v>1474.61</v>
      </c>
      <c r="D1066" s="1">
        <v>299.14999999999998</v>
      </c>
    </row>
    <row r="1067" spans="1:4" x14ac:dyDescent="0.25">
      <c r="A1067" s="7">
        <v>44505</v>
      </c>
      <c r="B1067" s="1" t="s">
        <v>68</v>
      </c>
      <c r="C1067" s="1">
        <v>1806.67</v>
      </c>
      <c r="D1067" s="1">
        <v>828.19</v>
      </c>
    </row>
    <row r="1068" spans="1:4" x14ac:dyDescent="0.25">
      <c r="A1068" s="7">
        <v>44505</v>
      </c>
      <c r="B1068" s="1" t="s">
        <v>69</v>
      </c>
      <c r="C1068" s="1">
        <v>2207.77</v>
      </c>
      <c r="D1068" s="1">
        <v>1839.02</v>
      </c>
    </row>
    <row r="1069" spans="1:4" x14ac:dyDescent="0.25">
      <c r="A1069" s="7">
        <v>44505.041666666664</v>
      </c>
      <c r="B1069" s="1" t="s">
        <v>75</v>
      </c>
      <c r="C1069" s="1">
        <v>296.83</v>
      </c>
      <c r="D1069" s="1">
        <v>142.66999999999999</v>
      </c>
    </row>
    <row r="1070" spans="1:4" x14ac:dyDescent="0.25">
      <c r="A1070" s="7">
        <v>44505.041666666664</v>
      </c>
      <c r="B1070" s="1" t="s">
        <v>74</v>
      </c>
      <c r="C1070" s="1">
        <v>666.12</v>
      </c>
      <c r="D1070" s="1">
        <v>185.73</v>
      </c>
    </row>
    <row r="1071" spans="1:4" x14ac:dyDescent="0.25">
      <c r="A1071" s="7">
        <v>44505.041666666664</v>
      </c>
      <c r="B1071" s="1" t="s">
        <v>73</v>
      </c>
      <c r="C1071" s="1">
        <v>637.28</v>
      </c>
      <c r="D1071" s="1">
        <v>139.87</v>
      </c>
    </row>
    <row r="1072" spans="1:4" x14ac:dyDescent="0.25">
      <c r="A1072" s="7">
        <v>44505.041666666664</v>
      </c>
      <c r="B1072" s="1" t="s">
        <v>68</v>
      </c>
      <c r="C1072" s="1">
        <v>792.04</v>
      </c>
      <c r="D1072" s="1">
        <v>357.29</v>
      </c>
    </row>
    <row r="1073" spans="1:4" x14ac:dyDescent="0.25">
      <c r="A1073" s="7">
        <v>44505.041666666664</v>
      </c>
      <c r="B1073" s="1" t="s">
        <v>77</v>
      </c>
      <c r="C1073" s="1">
        <v>1725.98</v>
      </c>
      <c r="D1073" s="1">
        <v>516.55999999999995</v>
      </c>
    </row>
    <row r="1074" spans="1:4" x14ac:dyDescent="0.25">
      <c r="A1074" s="7">
        <v>44505.041666666664</v>
      </c>
      <c r="B1074" s="1" t="s">
        <v>71</v>
      </c>
      <c r="C1074" s="1">
        <v>733.12</v>
      </c>
      <c r="D1074" s="1">
        <v>294.20999999999998</v>
      </c>
    </row>
    <row r="1075" spans="1:4" x14ac:dyDescent="0.25">
      <c r="A1075" s="7">
        <v>44505.041666666664</v>
      </c>
      <c r="B1075" s="1" t="s">
        <v>70</v>
      </c>
      <c r="C1075" s="1">
        <v>814.97</v>
      </c>
      <c r="D1075" s="1">
        <v>399.27</v>
      </c>
    </row>
    <row r="1076" spans="1:4" x14ac:dyDescent="0.25">
      <c r="A1076" s="7">
        <v>44505.041666666664</v>
      </c>
      <c r="B1076" s="1" t="s">
        <v>78</v>
      </c>
      <c r="C1076" s="1">
        <v>449.49</v>
      </c>
      <c r="D1076" s="1">
        <v>286.39</v>
      </c>
    </row>
    <row r="1077" spans="1:4" x14ac:dyDescent="0.25">
      <c r="A1077" s="7">
        <v>44505.041666666664</v>
      </c>
      <c r="B1077" s="1" t="s">
        <v>76</v>
      </c>
      <c r="C1077" s="1">
        <v>1137.17</v>
      </c>
      <c r="D1077" s="1">
        <v>306.79000000000002</v>
      </c>
    </row>
    <row r="1078" spans="1:4" x14ac:dyDescent="0.25">
      <c r="A1078" s="7">
        <v>44505.041666666664</v>
      </c>
      <c r="B1078" s="1" t="s">
        <v>72</v>
      </c>
      <c r="C1078" s="1">
        <v>1714.84</v>
      </c>
      <c r="D1078" s="1">
        <v>1257.82</v>
      </c>
    </row>
    <row r="1079" spans="1:4" x14ac:dyDescent="0.25">
      <c r="A1079" s="7">
        <v>44505.041666666664</v>
      </c>
      <c r="B1079" s="1" t="s">
        <v>69</v>
      </c>
      <c r="C1079" s="1">
        <v>1054.08</v>
      </c>
      <c r="D1079" s="1">
        <v>842.82</v>
      </c>
    </row>
    <row r="1080" spans="1:4" x14ac:dyDescent="0.25">
      <c r="A1080" s="7">
        <v>44505.083333333336</v>
      </c>
      <c r="B1080" s="1" t="s">
        <v>75</v>
      </c>
      <c r="C1080" s="1">
        <v>245.86</v>
      </c>
      <c r="D1080" s="1">
        <v>116.05</v>
      </c>
    </row>
    <row r="1081" spans="1:4" x14ac:dyDescent="0.25">
      <c r="A1081" s="7">
        <v>44505.083333333336</v>
      </c>
      <c r="B1081" s="1" t="s">
        <v>74</v>
      </c>
      <c r="C1081" s="1">
        <v>645.74</v>
      </c>
      <c r="D1081" s="1">
        <v>134.19</v>
      </c>
    </row>
    <row r="1082" spans="1:4" x14ac:dyDescent="0.25">
      <c r="A1082" s="7">
        <v>44505.083333333336</v>
      </c>
      <c r="B1082" s="1" t="s">
        <v>68</v>
      </c>
      <c r="C1082" s="1">
        <v>446.58</v>
      </c>
      <c r="D1082" s="1">
        <v>176.96</v>
      </c>
    </row>
    <row r="1083" spans="1:4" x14ac:dyDescent="0.25">
      <c r="A1083" s="7">
        <v>44505.083333333336</v>
      </c>
      <c r="B1083" s="1" t="s">
        <v>77</v>
      </c>
      <c r="C1083" s="1">
        <v>1164.44</v>
      </c>
      <c r="D1083" s="1">
        <v>321.01</v>
      </c>
    </row>
    <row r="1084" spans="1:4" x14ac:dyDescent="0.25">
      <c r="A1084" s="7">
        <v>44505.083333333336</v>
      </c>
      <c r="B1084" s="1" t="s">
        <v>71</v>
      </c>
      <c r="C1084" s="1">
        <v>509.85</v>
      </c>
      <c r="D1084" s="1">
        <v>167.72</v>
      </c>
    </row>
    <row r="1085" spans="1:4" x14ac:dyDescent="0.25">
      <c r="A1085" s="7">
        <v>44505.083333333336</v>
      </c>
      <c r="B1085" s="1" t="s">
        <v>69</v>
      </c>
      <c r="C1085" s="1">
        <v>587.78</v>
      </c>
      <c r="D1085" s="1">
        <v>464.85</v>
      </c>
    </row>
    <row r="1086" spans="1:4" x14ac:dyDescent="0.25">
      <c r="A1086" s="7">
        <v>44505.083333333336</v>
      </c>
      <c r="B1086" s="1" t="s">
        <v>78</v>
      </c>
      <c r="C1086" s="1">
        <v>304.87</v>
      </c>
      <c r="D1086" s="1">
        <v>171.69</v>
      </c>
    </row>
    <row r="1087" spans="1:4" x14ac:dyDescent="0.25">
      <c r="A1087" s="7">
        <v>44505.083333333336</v>
      </c>
      <c r="B1087" s="1" t="s">
        <v>76</v>
      </c>
      <c r="C1087" s="1">
        <v>1339.94</v>
      </c>
      <c r="D1087" s="1">
        <v>274.44</v>
      </c>
    </row>
    <row r="1088" spans="1:4" x14ac:dyDescent="0.25">
      <c r="A1088" s="7">
        <v>44505.083333333336</v>
      </c>
      <c r="B1088" s="1" t="s">
        <v>73</v>
      </c>
      <c r="C1088" s="1">
        <v>419.89</v>
      </c>
      <c r="D1088" s="1">
        <v>80.36</v>
      </c>
    </row>
    <row r="1089" spans="1:4" x14ac:dyDescent="0.25">
      <c r="A1089" s="7">
        <v>44505.083333333336</v>
      </c>
      <c r="B1089" s="1" t="s">
        <v>72</v>
      </c>
      <c r="C1089" s="1">
        <v>997.48</v>
      </c>
      <c r="D1089" s="1">
        <v>713.28</v>
      </c>
    </row>
    <row r="1090" spans="1:4" x14ac:dyDescent="0.25">
      <c r="A1090" s="7">
        <v>44505.083333333336</v>
      </c>
      <c r="B1090" s="1" t="s">
        <v>70</v>
      </c>
      <c r="C1090" s="1">
        <v>637.53</v>
      </c>
      <c r="D1090" s="1">
        <v>290.32</v>
      </c>
    </row>
    <row r="1091" spans="1:4" x14ac:dyDescent="0.25">
      <c r="A1091" s="7">
        <v>44505.125</v>
      </c>
      <c r="B1091" s="1" t="s">
        <v>75</v>
      </c>
      <c r="C1091" s="1">
        <v>440.38</v>
      </c>
      <c r="D1091" s="1">
        <v>189.85</v>
      </c>
    </row>
    <row r="1092" spans="1:4" x14ac:dyDescent="0.25">
      <c r="A1092" s="7">
        <v>44505.125</v>
      </c>
      <c r="B1092" s="1" t="s">
        <v>74</v>
      </c>
      <c r="C1092" s="1">
        <v>1788.08</v>
      </c>
      <c r="D1092" s="1">
        <v>277.19</v>
      </c>
    </row>
    <row r="1093" spans="1:4" x14ac:dyDescent="0.25">
      <c r="A1093" s="7">
        <v>44505.125</v>
      </c>
      <c r="B1093" s="1" t="s">
        <v>78</v>
      </c>
      <c r="C1093" s="1">
        <v>497.42</v>
      </c>
      <c r="D1093" s="1">
        <v>275.62</v>
      </c>
    </row>
    <row r="1094" spans="1:4" x14ac:dyDescent="0.25">
      <c r="A1094" s="7">
        <v>44505.125</v>
      </c>
      <c r="B1094" s="1" t="s">
        <v>76</v>
      </c>
      <c r="C1094" s="1">
        <v>3941.92</v>
      </c>
      <c r="D1094" s="1">
        <v>675.23</v>
      </c>
    </row>
    <row r="1095" spans="1:4" x14ac:dyDescent="0.25">
      <c r="A1095" s="7">
        <v>44505.125</v>
      </c>
      <c r="B1095" s="1" t="s">
        <v>68</v>
      </c>
      <c r="C1095" s="1">
        <v>1349.37</v>
      </c>
      <c r="D1095" s="1">
        <v>347.28</v>
      </c>
    </row>
    <row r="1096" spans="1:4" x14ac:dyDescent="0.25">
      <c r="A1096" s="7">
        <v>44505.125</v>
      </c>
      <c r="B1096" s="1" t="s">
        <v>69</v>
      </c>
      <c r="C1096" s="1">
        <v>952.75</v>
      </c>
      <c r="D1096" s="1">
        <v>729.73</v>
      </c>
    </row>
    <row r="1097" spans="1:4" x14ac:dyDescent="0.25">
      <c r="A1097" s="7">
        <v>44505.125</v>
      </c>
      <c r="B1097" s="1" t="s">
        <v>70</v>
      </c>
      <c r="C1097" s="1">
        <v>1795.02</v>
      </c>
      <c r="D1097" s="1">
        <v>669.41</v>
      </c>
    </row>
    <row r="1098" spans="1:4" x14ac:dyDescent="0.25">
      <c r="A1098" s="7">
        <v>44505.125</v>
      </c>
      <c r="B1098" s="1" t="s">
        <v>72</v>
      </c>
      <c r="C1098" s="1">
        <v>1764.99</v>
      </c>
      <c r="D1098" s="1">
        <v>1070.45</v>
      </c>
    </row>
    <row r="1099" spans="1:4" x14ac:dyDescent="0.25">
      <c r="A1099" s="7">
        <v>44505.125</v>
      </c>
      <c r="B1099" s="1" t="s">
        <v>73</v>
      </c>
      <c r="C1099" s="1">
        <v>1453.58</v>
      </c>
      <c r="D1099" s="1">
        <v>170.25</v>
      </c>
    </row>
    <row r="1100" spans="1:4" x14ac:dyDescent="0.25">
      <c r="A1100" s="7">
        <v>44505.125</v>
      </c>
      <c r="B1100" s="1" t="s">
        <v>77</v>
      </c>
      <c r="C1100" s="1">
        <v>2780.05</v>
      </c>
      <c r="D1100" s="1">
        <v>764.24</v>
      </c>
    </row>
    <row r="1101" spans="1:4" x14ac:dyDescent="0.25">
      <c r="A1101" s="7">
        <v>44505.125</v>
      </c>
      <c r="B1101" s="1" t="s">
        <v>71</v>
      </c>
      <c r="C1101" s="1">
        <v>1672.64</v>
      </c>
      <c r="D1101" s="1">
        <v>390.32</v>
      </c>
    </row>
    <row r="1102" spans="1:4" x14ac:dyDescent="0.25">
      <c r="A1102" s="7">
        <v>44505.166666666664</v>
      </c>
      <c r="B1102" s="1" t="s">
        <v>74</v>
      </c>
      <c r="C1102" s="1">
        <v>1100.43</v>
      </c>
      <c r="D1102" s="1">
        <v>213.02</v>
      </c>
    </row>
    <row r="1103" spans="1:4" x14ac:dyDescent="0.25">
      <c r="A1103" s="7">
        <v>44505.166666666664</v>
      </c>
      <c r="B1103" s="1" t="s">
        <v>78</v>
      </c>
      <c r="C1103" s="1">
        <v>442.05</v>
      </c>
      <c r="D1103" s="1">
        <v>254.84</v>
      </c>
    </row>
    <row r="1104" spans="1:4" x14ac:dyDescent="0.25">
      <c r="A1104" s="7">
        <v>44505.166666666664</v>
      </c>
      <c r="B1104" s="1" t="s">
        <v>75</v>
      </c>
      <c r="C1104" s="1">
        <v>247.42</v>
      </c>
      <c r="D1104" s="1">
        <v>122.69</v>
      </c>
    </row>
    <row r="1105" spans="1:4" x14ac:dyDescent="0.25">
      <c r="A1105" s="7">
        <v>44505.166666666664</v>
      </c>
      <c r="B1105" s="1" t="s">
        <v>76</v>
      </c>
      <c r="C1105" s="1">
        <v>2032.45</v>
      </c>
      <c r="D1105" s="1">
        <v>404.15</v>
      </c>
    </row>
    <row r="1106" spans="1:4" x14ac:dyDescent="0.25">
      <c r="A1106" s="7">
        <v>44505.166666666664</v>
      </c>
      <c r="B1106" s="1" t="s">
        <v>71</v>
      </c>
      <c r="C1106" s="1">
        <v>1515.8</v>
      </c>
      <c r="D1106" s="1">
        <v>358.21</v>
      </c>
    </row>
    <row r="1107" spans="1:4" x14ac:dyDescent="0.25">
      <c r="A1107" s="7">
        <v>44505.166666666664</v>
      </c>
      <c r="B1107" s="1" t="s">
        <v>69</v>
      </c>
      <c r="C1107" s="1">
        <v>733.98</v>
      </c>
      <c r="D1107" s="1">
        <v>541.78</v>
      </c>
    </row>
    <row r="1108" spans="1:4" x14ac:dyDescent="0.25">
      <c r="A1108" s="7">
        <v>44505.166666666664</v>
      </c>
      <c r="B1108" s="1" t="s">
        <v>70</v>
      </c>
      <c r="C1108" s="1">
        <v>1317.06</v>
      </c>
      <c r="D1108" s="1">
        <v>544.1</v>
      </c>
    </row>
    <row r="1109" spans="1:4" x14ac:dyDescent="0.25">
      <c r="A1109" s="7">
        <v>44505.166666666664</v>
      </c>
      <c r="B1109" s="1" t="s">
        <v>72</v>
      </c>
      <c r="C1109" s="1">
        <v>1331.56</v>
      </c>
      <c r="D1109" s="1">
        <v>795.81</v>
      </c>
    </row>
    <row r="1110" spans="1:4" x14ac:dyDescent="0.25">
      <c r="A1110" s="7">
        <v>44505.166666666664</v>
      </c>
      <c r="B1110" s="1" t="s">
        <v>73</v>
      </c>
      <c r="C1110" s="1">
        <v>1064.03</v>
      </c>
      <c r="D1110" s="1">
        <v>133.74</v>
      </c>
    </row>
    <row r="1111" spans="1:4" x14ac:dyDescent="0.25">
      <c r="A1111" s="7">
        <v>44505.166666666664</v>
      </c>
      <c r="B1111" s="1" t="s">
        <v>68</v>
      </c>
      <c r="C1111" s="1">
        <v>1230.52</v>
      </c>
      <c r="D1111" s="1">
        <v>336.11</v>
      </c>
    </row>
    <row r="1112" spans="1:4" x14ac:dyDescent="0.25">
      <c r="A1112" s="7">
        <v>44505.166666666664</v>
      </c>
      <c r="B1112" s="1" t="s">
        <v>77</v>
      </c>
      <c r="C1112" s="1">
        <v>1935.75</v>
      </c>
      <c r="D1112" s="1">
        <v>580.29</v>
      </c>
    </row>
    <row r="1113" spans="1:4" x14ac:dyDescent="0.25">
      <c r="A1113" s="7">
        <v>44505.208333333336</v>
      </c>
      <c r="B1113" s="1" t="s">
        <v>75</v>
      </c>
      <c r="C1113" s="1">
        <v>90.09</v>
      </c>
      <c r="D1113" s="1">
        <v>40.43</v>
      </c>
    </row>
    <row r="1114" spans="1:4" x14ac:dyDescent="0.25">
      <c r="A1114" s="7">
        <v>44505.208333333336</v>
      </c>
      <c r="B1114" s="1" t="s">
        <v>74</v>
      </c>
      <c r="C1114" s="1">
        <v>636.86</v>
      </c>
      <c r="D1114" s="1">
        <v>105.63</v>
      </c>
    </row>
    <row r="1115" spans="1:4" x14ac:dyDescent="0.25">
      <c r="A1115" s="7">
        <v>44505.208333333336</v>
      </c>
      <c r="B1115" s="1" t="s">
        <v>76</v>
      </c>
      <c r="C1115" s="1">
        <v>846.9</v>
      </c>
      <c r="D1115" s="1">
        <v>167.99</v>
      </c>
    </row>
    <row r="1116" spans="1:4" x14ac:dyDescent="0.25">
      <c r="A1116" s="7">
        <v>44505.208333333336</v>
      </c>
      <c r="B1116" s="1" t="s">
        <v>73</v>
      </c>
      <c r="C1116" s="1">
        <v>707.81</v>
      </c>
      <c r="D1116" s="1">
        <v>65.53</v>
      </c>
    </row>
    <row r="1117" spans="1:4" x14ac:dyDescent="0.25">
      <c r="A1117" s="7">
        <v>44505.208333333336</v>
      </c>
      <c r="B1117" s="1" t="s">
        <v>77</v>
      </c>
      <c r="C1117" s="1">
        <v>1440.56</v>
      </c>
      <c r="D1117" s="1">
        <v>414.07</v>
      </c>
    </row>
    <row r="1118" spans="1:4" x14ac:dyDescent="0.25">
      <c r="A1118" s="7">
        <v>44505.208333333336</v>
      </c>
      <c r="B1118" s="1" t="s">
        <v>71</v>
      </c>
      <c r="C1118" s="1">
        <v>1262.5899999999999</v>
      </c>
      <c r="D1118" s="1">
        <v>242.59</v>
      </c>
    </row>
    <row r="1119" spans="1:4" x14ac:dyDescent="0.25">
      <c r="A1119" s="7">
        <v>44505.208333333336</v>
      </c>
      <c r="B1119" s="1" t="s">
        <v>70</v>
      </c>
      <c r="C1119" s="1">
        <v>636.15</v>
      </c>
      <c r="D1119" s="1">
        <v>248.48</v>
      </c>
    </row>
    <row r="1120" spans="1:4" x14ac:dyDescent="0.25">
      <c r="A1120" s="7">
        <v>44505.208333333336</v>
      </c>
      <c r="B1120" s="1" t="s">
        <v>78</v>
      </c>
      <c r="C1120" s="1">
        <v>208.75</v>
      </c>
      <c r="D1120" s="1">
        <v>101.41</v>
      </c>
    </row>
    <row r="1121" spans="1:4" x14ac:dyDescent="0.25">
      <c r="A1121" s="7">
        <v>44505.208333333336</v>
      </c>
      <c r="B1121" s="1" t="s">
        <v>72</v>
      </c>
      <c r="C1121" s="1">
        <v>767.35</v>
      </c>
      <c r="D1121" s="1">
        <v>432.48</v>
      </c>
    </row>
    <row r="1122" spans="1:4" x14ac:dyDescent="0.25">
      <c r="A1122" s="7">
        <v>44505.208333333336</v>
      </c>
      <c r="B1122" s="1" t="s">
        <v>68</v>
      </c>
      <c r="C1122" s="1">
        <v>1088.3699999999999</v>
      </c>
      <c r="D1122" s="1">
        <v>253.61</v>
      </c>
    </row>
    <row r="1123" spans="1:4" x14ac:dyDescent="0.25">
      <c r="A1123" s="7">
        <v>44505.208333333336</v>
      </c>
      <c r="B1123" s="1" t="s">
        <v>69</v>
      </c>
      <c r="C1123" s="1">
        <v>415.2</v>
      </c>
      <c r="D1123" s="1">
        <v>277.63</v>
      </c>
    </row>
    <row r="1124" spans="1:4" x14ac:dyDescent="0.25">
      <c r="A1124" s="7">
        <v>44505.25</v>
      </c>
      <c r="B1124" s="1" t="s">
        <v>75</v>
      </c>
      <c r="C1124" s="1">
        <v>111.94</v>
      </c>
      <c r="D1124" s="1">
        <v>29.73</v>
      </c>
    </row>
    <row r="1125" spans="1:4" x14ac:dyDescent="0.25">
      <c r="A1125" s="7">
        <v>44505.25</v>
      </c>
      <c r="B1125" s="1" t="s">
        <v>74</v>
      </c>
      <c r="C1125" s="1">
        <v>1887.37</v>
      </c>
      <c r="D1125" s="1">
        <v>240.89</v>
      </c>
    </row>
    <row r="1126" spans="1:4" x14ac:dyDescent="0.25">
      <c r="A1126" s="7">
        <v>44505.25</v>
      </c>
      <c r="B1126" s="1" t="s">
        <v>73</v>
      </c>
      <c r="C1126" s="1">
        <v>1824.97</v>
      </c>
      <c r="D1126" s="1">
        <v>167.25</v>
      </c>
    </row>
    <row r="1127" spans="1:4" x14ac:dyDescent="0.25">
      <c r="A1127" s="7">
        <v>44505.25</v>
      </c>
      <c r="B1127" s="1" t="s">
        <v>71</v>
      </c>
      <c r="C1127" s="1">
        <v>3378.7</v>
      </c>
      <c r="D1127" s="1">
        <v>595.11</v>
      </c>
    </row>
    <row r="1128" spans="1:4" x14ac:dyDescent="0.25">
      <c r="A1128" s="7">
        <v>44505.25</v>
      </c>
      <c r="B1128" s="1" t="s">
        <v>77</v>
      </c>
      <c r="C1128" s="1">
        <v>2814.16</v>
      </c>
      <c r="D1128" s="1">
        <v>787.68</v>
      </c>
    </row>
    <row r="1129" spans="1:4" x14ac:dyDescent="0.25">
      <c r="A1129" s="7">
        <v>44505.25</v>
      </c>
      <c r="B1129" s="1" t="s">
        <v>69</v>
      </c>
      <c r="C1129" s="1">
        <v>645.4</v>
      </c>
      <c r="D1129" s="1">
        <v>340.21</v>
      </c>
    </row>
    <row r="1130" spans="1:4" x14ac:dyDescent="0.25">
      <c r="A1130" s="7">
        <v>44505.25</v>
      </c>
      <c r="B1130" s="1" t="s">
        <v>70</v>
      </c>
      <c r="C1130" s="1">
        <v>1244.06</v>
      </c>
      <c r="D1130" s="1">
        <v>423.11</v>
      </c>
    </row>
    <row r="1131" spans="1:4" x14ac:dyDescent="0.25">
      <c r="A1131" s="7">
        <v>44505.25</v>
      </c>
      <c r="B1131" s="1" t="s">
        <v>78</v>
      </c>
      <c r="C1131" s="1">
        <v>321.58999999999997</v>
      </c>
      <c r="D1131" s="1">
        <v>135.18</v>
      </c>
    </row>
    <row r="1132" spans="1:4" x14ac:dyDescent="0.25">
      <c r="A1132" s="7">
        <v>44505.25</v>
      </c>
      <c r="B1132" s="1" t="s">
        <v>76</v>
      </c>
      <c r="C1132" s="1">
        <v>2397.7199999999998</v>
      </c>
      <c r="D1132" s="1">
        <v>316.8</v>
      </c>
    </row>
    <row r="1133" spans="1:4" x14ac:dyDescent="0.25">
      <c r="A1133" s="7">
        <v>44505.25</v>
      </c>
      <c r="B1133" s="1" t="s">
        <v>72</v>
      </c>
      <c r="C1133" s="1">
        <v>1232.73</v>
      </c>
      <c r="D1133" s="1">
        <v>594.44000000000005</v>
      </c>
    </row>
    <row r="1134" spans="1:4" x14ac:dyDescent="0.25">
      <c r="A1134" s="7">
        <v>44505.25</v>
      </c>
      <c r="B1134" s="1" t="s">
        <v>68</v>
      </c>
      <c r="C1134" s="1">
        <v>3005.42</v>
      </c>
      <c r="D1134" s="1">
        <v>601.08000000000004</v>
      </c>
    </row>
    <row r="1135" spans="1:4" x14ac:dyDescent="0.25">
      <c r="A1135" s="7">
        <v>44505.291666666664</v>
      </c>
      <c r="B1135" s="1" t="s">
        <v>75</v>
      </c>
      <c r="C1135" s="1">
        <v>212.46</v>
      </c>
      <c r="D1135" s="1">
        <v>52.54</v>
      </c>
    </row>
    <row r="1136" spans="1:4" x14ac:dyDescent="0.25">
      <c r="A1136" s="7">
        <v>44505.291666666664</v>
      </c>
      <c r="B1136" s="1" t="s">
        <v>74</v>
      </c>
      <c r="C1136" s="1">
        <v>3796.87</v>
      </c>
      <c r="D1136" s="1">
        <v>528.99</v>
      </c>
    </row>
    <row r="1137" spans="1:4" x14ac:dyDescent="0.25">
      <c r="A1137" s="7">
        <v>44505.291666666664</v>
      </c>
      <c r="B1137" s="1" t="s">
        <v>68</v>
      </c>
      <c r="C1137" s="1">
        <v>5471.43</v>
      </c>
      <c r="D1137" s="1">
        <v>1210.8599999999999</v>
      </c>
    </row>
    <row r="1138" spans="1:4" x14ac:dyDescent="0.25">
      <c r="A1138" s="7">
        <v>44505.291666666664</v>
      </c>
      <c r="B1138" s="1" t="s">
        <v>77</v>
      </c>
      <c r="C1138" s="1">
        <v>4734.9799999999996</v>
      </c>
      <c r="D1138" s="1">
        <v>1214.71</v>
      </c>
    </row>
    <row r="1139" spans="1:4" x14ac:dyDescent="0.25">
      <c r="A1139" s="7">
        <v>44505.291666666664</v>
      </c>
      <c r="B1139" s="1" t="s">
        <v>71</v>
      </c>
      <c r="C1139" s="1">
        <v>5793.57</v>
      </c>
      <c r="D1139" s="1">
        <v>1200.7</v>
      </c>
    </row>
    <row r="1140" spans="1:4" x14ac:dyDescent="0.25">
      <c r="A1140" s="7">
        <v>44505.291666666664</v>
      </c>
      <c r="B1140" s="1" t="s">
        <v>69</v>
      </c>
      <c r="C1140" s="1">
        <v>1146.69</v>
      </c>
      <c r="D1140" s="1">
        <v>623.27</v>
      </c>
    </row>
    <row r="1141" spans="1:4" x14ac:dyDescent="0.25">
      <c r="A1141" s="7">
        <v>44505.291666666664</v>
      </c>
      <c r="B1141" s="1" t="s">
        <v>70</v>
      </c>
      <c r="C1141" s="1">
        <v>2436.04</v>
      </c>
      <c r="D1141" s="1">
        <v>815.77</v>
      </c>
    </row>
    <row r="1142" spans="1:4" x14ac:dyDescent="0.25">
      <c r="A1142" s="7">
        <v>44505.291666666664</v>
      </c>
      <c r="B1142" s="1" t="s">
        <v>78</v>
      </c>
      <c r="C1142" s="1">
        <v>458.85</v>
      </c>
      <c r="D1142" s="1">
        <v>188.18</v>
      </c>
    </row>
    <row r="1143" spans="1:4" x14ac:dyDescent="0.25">
      <c r="A1143" s="7">
        <v>44505.291666666664</v>
      </c>
      <c r="B1143" s="1" t="s">
        <v>76</v>
      </c>
      <c r="C1143" s="1">
        <v>5371.43</v>
      </c>
      <c r="D1143" s="1">
        <v>718.09</v>
      </c>
    </row>
    <row r="1144" spans="1:4" x14ac:dyDescent="0.25">
      <c r="A1144" s="7">
        <v>44505.291666666664</v>
      </c>
      <c r="B1144" s="1" t="s">
        <v>72</v>
      </c>
      <c r="C1144" s="1">
        <v>2259.34</v>
      </c>
      <c r="D1144" s="1">
        <v>1061.33</v>
      </c>
    </row>
    <row r="1145" spans="1:4" x14ac:dyDescent="0.25">
      <c r="A1145" s="7">
        <v>44505.291666666664</v>
      </c>
      <c r="B1145" s="1" t="s">
        <v>73</v>
      </c>
      <c r="C1145" s="1">
        <v>3918.33</v>
      </c>
      <c r="D1145" s="1">
        <v>389.77</v>
      </c>
    </row>
    <row r="1146" spans="1:4" x14ac:dyDescent="0.25">
      <c r="A1146" s="7">
        <v>44505.333333333336</v>
      </c>
      <c r="B1146" s="1" t="s">
        <v>74</v>
      </c>
      <c r="C1146" s="1">
        <v>6050.7</v>
      </c>
      <c r="D1146" s="1">
        <v>991.95</v>
      </c>
    </row>
    <row r="1147" spans="1:4" x14ac:dyDescent="0.25">
      <c r="A1147" s="7">
        <v>44505.333333333336</v>
      </c>
      <c r="B1147" s="1" t="s">
        <v>75</v>
      </c>
      <c r="C1147" s="1">
        <v>429.15</v>
      </c>
      <c r="D1147" s="1">
        <v>92.51</v>
      </c>
    </row>
    <row r="1148" spans="1:4" x14ac:dyDescent="0.25">
      <c r="A1148" s="7">
        <v>44505.333333333336</v>
      </c>
      <c r="B1148" s="1" t="s">
        <v>72</v>
      </c>
      <c r="C1148" s="1">
        <v>4193.78</v>
      </c>
      <c r="D1148" s="1">
        <v>2153.19</v>
      </c>
    </row>
    <row r="1149" spans="1:4" x14ac:dyDescent="0.25">
      <c r="A1149" s="7">
        <v>44505.333333333336</v>
      </c>
      <c r="B1149" s="1" t="s">
        <v>68</v>
      </c>
      <c r="C1149" s="1">
        <v>7827.76</v>
      </c>
      <c r="D1149" s="1">
        <v>2033.81</v>
      </c>
    </row>
    <row r="1150" spans="1:4" x14ac:dyDescent="0.25">
      <c r="A1150" s="7">
        <v>44505.333333333336</v>
      </c>
      <c r="B1150" s="1" t="s">
        <v>69</v>
      </c>
      <c r="C1150" s="1">
        <v>2078.04</v>
      </c>
      <c r="D1150" s="1">
        <v>1340.13</v>
      </c>
    </row>
    <row r="1151" spans="1:4" x14ac:dyDescent="0.25">
      <c r="A1151" s="7">
        <v>44505.333333333336</v>
      </c>
      <c r="B1151" s="1" t="s">
        <v>78</v>
      </c>
      <c r="C1151" s="1">
        <v>778.2</v>
      </c>
      <c r="D1151" s="1">
        <v>348.81</v>
      </c>
    </row>
    <row r="1152" spans="1:4" x14ac:dyDescent="0.25">
      <c r="A1152" s="7">
        <v>44505.333333333336</v>
      </c>
      <c r="B1152" s="1" t="s">
        <v>76</v>
      </c>
      <c r="C1152" s="1">
        <v>8720.07</v>
      </c>
      <c r="D1152" s="1">
        <v>1408.38</v>
      </c>
    </row>
    <row r="1153" spans="1:4" x14ac:dyDescent="0.25">
      <c r="A1153" s="7">
        <v>44505.333333333336</v>
      </c>
      <c r="B1153" s="1" t="s">
        <v>73</v>
      </c>
      <c r="C1153" s="1">
        <v>5982.88</v>
      </c>
      <c r="D1153" s="1">
        <v>701.7</v>
      </c>
    </row>
    <row r="1154" spans="1:4" x14ac:dyDescent="0.25">
      <c r="A1154" s="7">
        <v>44505.333333333336</v>
      </c>
      <c r="B1154" s="1" t="s">
        <v>77</v>
      </c>
      <c r="C1154" s="1">
        <v>7639.11</v>
      </c>
      <c r="D1154" s="1">
        <v>2037.19</v>
      </c>
    </row>
    <row r="1155" spans="1:4" x14ac:dyDescent="0.25">
      <c r="A1155" s="7">
        <v>44505.333333333336</v>
      </c>
      <c r="B1155" s="1" t="s">
        <v>71</v>
      </c>
      <c r="C1155" s="1">
        <v>8201.89</v>
      </c>
      <c r="D1155" s="1">
        <v>1942.93</v>
      </c>
    </row>
    <row r="1156" spans="1:4" x14ac:dyDescent="0.25">
      <c r="A1156" s="7">
        <v>44505.333333333336</v>
      </c>
      <c r="B1156" s="1" t="s">
        <v>70</v>
      </c>
      <c r="C1156" s="1">
        <v>4109.38</v>
      </c>
      <c r="D1156" s="1">
        <v>1513.35</v>
      </c>
    </row>
    <row r="1157" spans="1:4" x14ac:dyDescent="0.25">
      <c r="A1157" s="7">
        <v>44505.375</v>
      </c>
      <c r="B1157" s="1" t="s">
        <v>74</v>
      </c>
      <c r="C1157" s="1">
        <v>7531.37</v>
      </c>
      <c r="D1157" s="1">
        <v>1445.79</v>
      </c>
    </row>
    <row r="1158" spans="1:4" x14ac:dyDescent="0.25">
      <c r="A1158" s="7">
        <v>44505.375</v>
      </c>
      <c r="B1158" s="1" t="s">
        <v>78</v>
      </c>
      <c r="C1158" s="1">
        <v>1300.46</v>
      </c>
      <c r="D1158" s="1">
        <v>671.67</v>
      </c>
    </row>
    <row r="1159" spans="1:4" x14ac:dyDescent="0.25">
      <c r="A1159" s="7">
        <v>44505.375</v>
      </c>
      <c r="B1159" s="1" t="s">
        <v>75</v>
      </c>
      <c r="C1159" s="1">
        <v>663.37</v>
      </c>
      <c r="D1159" s="1">
        <v>209.3</v>
      </c>
    </row>
    <row r="1160" spans="1:4" x14ac:dyDescent="0.25">
      <c r="A1160" s="7">
        <v>44505.375</v>
      </c>
      <c r="B1160" s="1" t="s">
        <v>76</v>
      </c>
      <c r="C1160" s="1">
        <v>11605.42</v>
      </c>
      <c r="D1160" s="1">
        <v>2172.37</v>
      </c>
    </row>
    <row r="1161" spans="1:4" x14ac:dyDescent="0.25">
      <c r="A1161" s="7">
        <v>44505.375</v>
      </c>
      <c r="B1161" s="1" t="s">
        <v>68</v>
      </c>
      <c r="C1161" s="1">
        <v>9336.02</v>
      </c>
      <c r="D1161" s="1">
        <v>2863.31</v>
      </c>
    </row>
    <row r="1162" spans="1:4" x14ac:dyDescent="0.25">
      <c r="A1162" s="7">
        <v>44505.375</v>
      </c>
      <c r="B1162" s="1" t="s">
        <v>71</v>
      </c>
      <c r="C1162" s="1">
        <v>9847.9500000000007</v>
      </c>
      <c r="D1162" s="1">
        <v>2658.63</v>
      </c>
    </row>
    <row r="1163" spans="1:4" x14ac:dyDescent="0.25">
      <c r="A1163" s="7">
        <v>44505.375</v>
      </c>
      <c r="B1163" s="1" t="s">
        <v>70</v>
      </c>
      <c r="C1163" s="1">
        <v>5802.65</v>
      </c>
      <c r="D1163" s="1">
        <v>2348.39</v>
      </c>
    </row>
    <row r="1164" spans="1:4" x14ac:dyDescent="0.25">
      <c r="A1164" s="7">
        <v>44505.375</v>
      </c>
      <c r="B1164" s="1" t="s">
        <v>72</v>
      </c>
      <c r="C1164" s="1">
        <v>6717.64</v>
      </c>
      <c r="D1164" s="1">
        <v>4062.61</v>
      </c>
    </row>
    <row r="1165" spans="1:4" x14ac:dyDescent="0.25">
      <c r="A1165" s="7">
        <v>44505.375</v>
      </c>
      <c r="B1165" s="1" t="s">
        <v>73</v>
      </c>
      <c r="C1165" s="1">
        <v>7524.6</v>
      </c>
      <c r="D1165" s="1">
        <v>1023.45</v>
      </c>
    </row>
    <row r="1166" spans="1:4" x14ac:dyDescent="0.25">
      <c r="A1166" s="7">
        <v>44505.375</v>
      </c>
      <c r="B1166" s="1" t="s">
        <v>77</v>
      </c>
      <c r="C1166" s="1">
        <v>10758.61</v>
      </c>
      <c r="D1166" s="1">
        <v>3155.64</v>
      </c>
    </row>
    <row r="1167" spans="1:4" x14ac:dyDescent="0.25">
      <c r="A1167" s="7">
        <v>44505.375</v>
      </c>
      <c r="B1167" s="1" t="s">
        <v>69</v>
      </c>
      <c r="C1167" s="1">
        <v>3592.07</v>
      </c>
      <c r="D1167" s="1">
        <v>2782.63</v>
      </c>
    </row>
    <row r="1168" spans="1:4" x14ac:dyDescent="0.25">
      <c r="A1168" s="7">
        <v>44505.416666666664</v>
      </c>
      <c r="B1168" s="1" t="s">
        <v>75</v>
      </c>
      <c r="C1168" s="1">
        <v>887.29</v>
      </c>
      <c r="D1168" s="1">
        <v>351.15</v>
      </c>
    </row>
    <row r="1169" spans="1:4" x14ac:dyDescent="0.25">
      <c r="A1169" s="7">
        <v>44505.416666666664</v>
      </c>
      <c r="B1169" s="1" t="s">
        <v>74</v>
      </c>
      <c r="C1169" s="1">
        <v>8369.84</v>
      </c>
      <c r="D1169" s="1">
        <v>1827.37</v>
      </c>
    </row>
    <row r="1170" spans="1:4" x14ac:dyDescent="0.25">
      <c r="A1170" s="7">
        <v>44505.416666666664</v>
      </c>
      <c r="B1170" s="1" t="s">
        <v>78</v>
      </c>
      <c r="C1170" s="1">
        <v>1789.67</v>
      </c>
      <c r="D1170" s="1">
        <v>1066.8</v>
      </c>
    </row>
    <row r="1171" spans="1:4" x14ac:dyDescent="0.25">
      <c r="A1171" s="7">
        <v>44505.416666666664</v>
      </c>
      <c r="B1171" s="1" t="s">
        <v>76</v>
      </c>
      <c r="C1171" s="1">
        <v>13186.72</v>
      </c>
      <c r="D1171" s="1">
        <v>2887.32</v>
      </c>
    </row>
    <row r="1172" spans="1:4" x14ac:dyDescent="0.25">
      <c r="A1172" s="7">
        <v>44505.416666666664</v>
      </c>
      <c r="B1172" s="1" t="s">
        <v>73</v>
      </c>
      <c r="C1172" s="1">
        <v>8386.73</v>
      </c>
      <c r="D1172" s="1">
        <v>1253.53</v>
      </c>
    </row>
    <row r="1173" spans="1:4" x14ac:dyDescent="0.25">
      <c r="A1173" s="7">
        <v>44505.416666666664</v>
      </c>
      <c r="B1173" s="1" t="s">
        <v>71</v>
      </c>
      <c r="C1173" s="1">
        <v>10741.49</v>
      </c>
      <c r="D1173" s="1">
        <v>3148.53</v>
      </c>
    </row>
    <row r="1174" spans="1:4" x14ac:dyDescent="0.25">
      <c r="A1174" s="7">
        <v>44505.416666666664</v>
      </c>
      <c r="B1174" s="1" t="s">
        <v>69</v>
      </c>
      <c r="C1174" s="1">
        <v>4921.17</v>
      </c>
      <c r="D1174" s="1">
        <v>4494.83</v>
      </c>
    </row>
    <row r="1175" spans="1:4" x14ac:dyDescent="0.25">
      <c r="A1175" s="7">
        <v>44505.416666666664</v>
      </c>
      <c r="B1175" s="1" t="s">
        <v>70</v>
      </c>
      <c r="C1175" s="1">
        <v>6962.6</v>
      </c>
      <c r="D1175" s="1">
        <v>3066.44</v>
      </c>
    </row>
    <row r="1176" spans="1:4" x14ac:dyDescent="0.25">
      <c r="A1176" s="7">
        <v>44505.416666666664</v>
      </c>
      <c r="B1176" s="1" t="s">
        <v>72</v>
      </c>
      <c r="C1176" s="1">
        <v>9373.6299999999992</v>
      </c>
      <c r="D1176" s="1">
        <v>6366.73</v>
      </c>
    </row>
    <row r="1177" spans="1:4" x14ac:dyDescent="0.25">
      <c r="A1177" s="7">
        <v>44505.416666666664</v>
      </c>
      <c r="B1177" s="1" t="s">
        <v>68</v>
      </c>
      <c r="C1177" s="1">
        <v>9958.5499999999993</v>
      </c>
      <c r="D1177" s="1">
        <v>3460.7</v>
      </c>
    </row>
    <row r="1178" spans="1:4" x14ac:dyDescent="0.25">
      <c r="A1178" s="7">
        <v>44505.416666666664</v>
      </c>
      <c r="B1178" s="1" t="s">
        <v>77</v>
      </c>
      <c r="C1178" s="1">
        <v>12587.71</v>
      </c>
      <c r="D1178" s="1">
        <v>3852.57</v>
      </c>
    </row>
    <row r="1179" spans="1:4" x14ac:dyDescent="0.25">
      <c r="A1179" s="7">
        <v>44505.458333333336</v>
      </c>
      <c r="B1179" s="1" t="s">
        <v>75</v>
      </c>
      <c r="C1179" s="1">
        <v>1019.74</v>
      </c>
      <c r="D1179" s="1">
        <v>439.08</v>
      </c>
    </row>
    <row r="1180" spans="1:4" x14ac:dyDescent="0.25">
      <c r="A1180" s="7">
        <v>44505.458333333336</v>
      </c>
      <c r="B1180" s="1" t="s">
        <v>74</v>
      </c>
      <c r="C1180" s="1">
        <v>8190.33</v>
      </c>
      <c r="D1180" s="1">
        <v>1954.45</v>
      </c>
    </row>
    <row r="1181" spans="1:4" x14ac:dyDescent="0.25">
      <c r="A1181" s="7">
        <v>44505.458333333336</v>
      </c>
      <c r="B1181" s="1" t="s">
        <v>72</v>
      </c>
      <c r="C1181" s="1">
        <v>9953.1200000000008</v>
      </c>
      <c r="D1181" s="1">
        <v>7355.96</v>
      </c>
    </row>
    <row r="1182" spans="1:4" x14ac:dyDescent="0.25">
      <c r="A1182" s="7">
        <v>44505.458333333336</v>
      </c>
      <c r="B1182" s="1" t="s">
        <v>77</v>
      </c>
      <c r="C1182" s="1">
        <v>12851.33</v>
      </c>
      <c r="D1182" s="1">
        <v>4108.09</v>
      </c>
    </row>
    <row r="1183" spans="1:4" x14ac:dyDescent="0.25">
      <c r="A1183" s="7">
        <v>44505.458333333336</v>
      </c>
      <c r="B1183" s="1" t="s">
        <v>71</v>
      </c>
      <c r="C1183" s="1">
        <v>10475.620000000001</v>
      </c>
      <c r="D1183" s="1">
        <v>3120.61</v>
      </c>
    </row>
    <row r="1184" spans="1:4" x14ac:dyDescent="0.25">
      <c r="A1184" s="7">
        <v>44505.458333333336</v>
      </c>
      <c r="B1184" s="1" t="s">
        <v>69</v>
      </c>
      <c r="C1184" s="1">
        <v>5495.62</v>
      </c>
      <c r="D1184" s="1">
        <v>5471.5</v>
      </c>
    </row>
    <row r="1185" spans="1:4" x14ac:dyDescent="0.25">
      <c r="A1185" s="7">
        <v>44505.458333333336</v>
      </c>
      <c r="B1185" s="1" t="s">
        <v>70</v>
      </c>
      <c r="C1185" s="1">
        <v>7126.93</v>
      </c>
      <c r="D1185" s="1">
        <v>3323.96</v>
      </c>
    </row>
    <row r="1186" spans="1:4" x14ac:dyDescent="0.25">
      <c r="A1186" s="7">
        <v>44505.458333333336</v>
      </c>
      <c r="B1186" s="1" t="s">
        <v>78</v>
      </c>
      <c r="C1186" s="1">
        <v>1977.95</v>
      </c>
      <c r="D1186" s="1">
        <v>1305.6199999999999</v>
      </c>
    </row>
    <row r="1187" spans="1:4" x14ac:dyDescent="0.25">
      <c r="A1187" s="7">
        <v>44505.458333333336</v>
      </c>
      <c r="B1187" s="1" t="s">
        <v>76</v>
      </c>
      <c r="C1187" s="1">
        <v>13071.54</v>
      </c>
      <c r="D1187" s="1">
        <v>3186.54</v>
      </c>
    </row>
    <row r="1188" spans="1:4" x14ac:dyDescent="0.25">
      <c r="A1188" s="7">
        <v>44505.458333333336</v>
      </c>
      <c r="B1188" s="1" t="s">
        <v>73</v>
      </c>
      <c r="C1188" s="1">
        <v>7994.75</v>
      </c>
      <c r="D1188" s="1">
        <v>1256.3399999999999</v>
      </c>
    </row>
    <row r="1189" spans="1:4" x14ac:dyDescent="0.25">
      <c r="A1189" s="7">
        <v>44505.458333333336</v>
      </c>
      <c r="B1189" s="1" t="s">
        <v>68</v>
      </c>
      <c r="C1189" s="1">
        <v>9766.76</v>
      </c>
      <c r="D1189" s="1">
        <v>3578.41</v>
      </c>
    </row>
    <row r="1190" spans="1:4" x14ac:dyDescent="0.25">
      <c r="A1190" s="7">
        <v>44505.5</v>
      </c>
      <c r="B1190" s="1" t="s">
        <v>74</v>
      </c>
      <c r="C1190" s="1">
        <v>7865.18</v>
      </c>
      <c r="D1190" s="1">
        <v>1906.97</v>
      </c>
    </row>
    <row r="1191" spans="1:4" x14ac:dyDescent="0.25">
      <c r="A1191" s="7">
        <v>44505.5</v>
      </c>
      <c r="B1191" s="1" t="s">
        <v>75</v>
      </c>
      <c r="C1191" s="1">
        <v>1043.6300000000001</v>
      </c>
      <c r="D1191" s="1">
        <v>474.72</v>
      </c>
    </row>
    <row r="1192" spans="1:4" x14ac:dyDescent="0.25">
      <c r="A1192" s="7">
        <v>44505.5</v>
      </c>
      <c r="B1192" s="1" t="s">
        <v>72</v>
      </c>
      <c r="C1192" s="1">
        <v>9664.9599999999991</v>
      </c>
      <c r="D1192" s="1">
        <v>7536.56</v>
      </c>
    </row>
    <row r="1193" spans="1:4" x14ac:dyDescent="0.25">
      <c r="A1193" s="7">
        <v>44505.5</v>
      </c>
      <c r="B1193" s="1" t="s">
        <v>77</v>
      </c>
      <c r="C1193" s="1">
        <v>12613</v>
      </c>
      <c r="D1193" s="1">
        <v>4128.17</v>
      </c>
    </row>
    <row r="1194" spans="1:4" x14ac:dyDescent="0.25">
      <c r="A1194" s="7">
        <v>44505.5</v>
      </c>
      <c r="B1194" s="1" t="s">
        <v>70</v>
      </c>
      <c r="C1194" s="1">
        <v>6764.41</v>
      </c>
      <c r="D1194" s="1">
        <v>3220.97</v>
      </c>
    </row>
    <row r="1195" spans="1:4" x14ac:dyDescent="0.25">
      <c r="A1195" s="7">
        <v>44505.5</v>
      </c>
      <c r="B1195" s="1" t="s">
        <v>69</v>
      </c>
      <c r="C1195" s="1">
        <v>5447.56</v>
      </c>
      <c r="D1195" s="1">
        <v>5631.79</v>
      </c>
    </row>
    <row r="1196" spans="1:4" x14ac:dyDescent="0.25">
      <c r="A1196" s="7">
        <v>44505.5</v>
      </c>
      <c r="B1196" s="1" t="s">
        <v>78</v>
      </c>
      <c r="C1196" s="1">
        <v>1989.81</v>
      </c>
      <c r="D1196" s="1">
        <v>1356.37</v>
      </c>
    </row>
    <row r="1197" spans="1:4" x14ac:dyDescent="0.25">
      <c r="A1197" s="7">
        <v>44505.5</v>
      </c>
      <c r="B1197" s="1" t="s">
        <v>76</v>
      </c>
      <c r="C1197" s="1">
        <v>12448.66</v>
      </c>
      <c r="D1197" s="1">
        <v>3084.92</v>
      </c>
    </row>
    <row r="1198" spans="1:4" x14ac:dyDescent="0.25">
      <c r="A1198" s="7">
        <v>44505.5</v>
      </c>
      <c r="B1198" s="1" t="s">
        <v>73</v>
      </c>
      <c r="C1198" s="1">
        <v>7528.45</v>
      </c>
      <c r="D1198" s="1">
        <v>1191.23</v>
      </c>
    </row>
    <row r="1199" spans="1:4" x14ac:dyDescent="0.25">
      <c r="A1199" s="7">
        <v>44505.5</v>
      </c>
      <c r="B1199" s="1" t="s">
        <v>68</v>
      </c>
      <c r="C1199" s="1">
        <v>8881.01</v>
      </c>
      <c r="D1199" s="1">
        <v>3321.07</v>
      </c>
    </row>
    <row r="1200" spans="1:4" x14ac:dyDescent="0.25">
      <c r="A1200" s="7">
        <v>44505.5</v>
      </c>
      <c r="B1200" s="1" t="s">
        <v>71</v>
      </c>
      <c r="C1200" s="1">
        <v>9516.26</v>
      </c>
      <c r="D1200" s="1">
        <v>2902.2</v>
      </c>
    </row>
    <row r="1201" spans="1:4" x14ac:dyDescent="0.25">
      <c r="A1201" s="7">
        <v>44505.541666666664</v>
      </c>
      <c r="B1201" s="1" t="s">
        <v>75</v>
      </c>
      <c r="C1201" s="1">
        <v>924.36</v>
      </c>
      <c r="D1201" s="1">
        <v>414.06</v>
      </c>
    </row>
    <row r="1202" spans="1:4" x14ac:dyDescent="0.25">
      <c r="A1202" s="7">
        <v>44505.541666666664</v>
      </c>
      <c r="B1202" s="1" t="s">
        <v>74</v>
      </c>
      <c r="C1202" s="1">
        <v>7204.21</v>
      </c>
      <c r="D1202" s="1">
        <v>1675.21</v>
      </c>
    </row>
    <row r="1203" spans="1:4" x14ac:dyDescent="0.25">
      <c r="A1203" s="7">
        <v>44505.541666666664</v>
      </c>
      <c r="B1203" s="1" t="s">
        <v>68</v>
      </c>
      <c r="C1203" s="1">
        <v>7546.62</v>
      </c>
      <c r="D1203" s="1">
        <v>2703.29</v>
      </c>
    </row>
    <row r="1204" spans="1:4" x14ac:dyDescent="0.25">
      <c r="A1204" s="7">
        <v>44505.541666666664</v>
      </c>
      <c r="B1204" s="1" t="s">
        <v>77</v>
      </c>
      <c r="C1204" s="1">
        <v>13058.04</v>
      </c>
      <c r="D1204" s="1">
        <v>4430.84</v>
      </c>
    </row>
    <row r="1205" spans="1:4" x14ac:dyDescent="0.25">
      <c r="A1205" s="7">
        <v>44505.541666666664</v>
      </c>
      <c r="B1205" s="1" t="s">
        <v>71</v>
      </c>
      <c r="C1205" s="1">
        <v>7752.87</v>
      </c>
      <c r="D1205" s="1">
        <v>2366.73</v>
      </c>
    </row>
    <row r="1206" spans="1:4" x14ac:dyDescent="0.25">
      <c r="A1206" s="7">
        <v>44505.541666666664</v>
      </c>
      <c r="B1206" s="1" t="s">
        <v>70</v>
      </c>
      <c r="C1206" s="1">
        <v>5668.01</v>
      </c>
      <c r="D1206" s="1">
        <v>2684.04</v>
      </c>
    </row>
    <row r="1207" spans="1:4" x14ac:dyDescent="0.25">
      <c r="A1207" s="7">
        <v>44505.541666666664</v>
      </c>
      <c r="B1207" s="1" t="s">
        <v>78</v>
      </c>
      <c r="C1207" s="1">
        <v>1956.26</v>
      </c>
      <c r="D1207" s="1">
        <v>1292.76</v>
      </c>
    </row>
    <row r="1208" spans="1:4" x14ac:dyDescent="0.25">
      <c r="A1208" s="7">
        <v>44505.541666666664</v>
      </c>
      <c r="B1208" s="1" t="s">
        <v>76</v>
      </c>
      <c r="C1208" s="1">
        <v>11623.54</v>
      </c>
      <c r="D1208" s="1">
        <v>2888.13</v>
      </c>
    </row>
    <row r="1209" spans="1:4" x14ac:dyDescent="0.25">
      <c r="A1209" s="7">
        <v>44505.541666666664</v>
      </c>
      <c r="B1209" s="1" t="s">
        <v>72</v>
      </c>
      <c r="C1209" s="1">
        <v>8584.57</v>
      </c>
      <c r="D1209" s="1">
        <v>6782.7</v>
      </c>
    </row>
    <row r="1210" spans="1:4" x14ac:dyDescent="0.25">
      <c r="A1210" s="7">
        <v>44505.541666666664</v>
      </c>
      <c r="B1210" s="1" t="s">
        <v>73</v>
      </c>
      <c r="C1210" s="1">
        <v>6375.94</v>
      </c>
      <c r="D1210" s="1">
        <v>969.11</v>
      </c>
    </row>
    <row r="1211" spans="1:4" x14ac:dyDescent="0.25">
      <c r="A1211" s="7">
        <v>44505.541666666664</v>
      </c>
      <c r="B1211" s="1" t="s">
        <v>69</v>
      </c>
      <c r="C1211" s="1">
        <v>5131.76</v>
      </c>
      <c r="D1211" s="1">
        <v>5128.6499999999996</v>
      </c>
    </row>
    <row r="1212" spans="1:4" x14ac:dyDescent="0.25">
      <c r="A1212" s="7">
        <v>44505.583333333336</v>
      </c>
      <c r="B1212" s="1" t="s">
        <v>75</v>
      </c>
      <c r="C1212" s="1">
        <v>978.47</v>
      </c>
      <c r="D1212" s="1">
        <v>466.83</v>
      </c>
    </row>
    <row r="1213" spans="1:4" x14ac:dyDescent="0.25">
      <c r="A1213" s="7">
        <v>44505.583333333336</v>
      </c>
      <c r="B1213" s="1" t="s">
        <v>74</v>
      </c>
      <c r="C1213" s="1">
        <v>8100.06</v>
      </c>
      <c r="D1213" s="1">
        <v>1839.67</v>
      </c>
    </row>
    <row r="1214" spans="1:4" x14ac:dyDescent="0.25">
      <c r="A1214" s="7">
        <v>44505.583333333336</v>
      </c>
      <c r="B1214" s="1" t="s">
        <v>68</v>
      </c>
      <c r="C1214" s="1">
        <v>8828.5400000000009</v>
      </c>
      <c r="D1214" s="1">
        <v>3022.53</v>
      </c>
    </row>
    <row r="1215" spans="1:4" x14ac:dyDescent="0.25">
      <c r="A1215" s="7">
        <v>44505.583333333336</v>
      </c>
      <c r="B1215" s="1" t="s">
        <v>78</v>
      </c>
      <c r="C1215" s="1">
        <v>1972.6</v>
      </c>
      <c r="D1215" s="1">
        <v>1289.46</v>
      </c>
    </row>
    <row r="1216" spans="1:4" x14ac:dyDescent="0.25">
      <c r="A1216" s="7">
        <v>44505.583333333336</v>
      </c>
      <c r="B1216" s="1" t="s">
        <v>73</v>
      </c>
      <c r="C1216" s="1">
        <v>7094.66</v>
      </c>
      <c r="D1216" s="1">
        <v>1046.32</v>
      </c>
    </row>
    <row r="1217" spans="1:4" x14ac:dyDescent="0.25">
      <c r="A1217" s="7">
        <v>44505.583333333336</v>
      </c>
      <c r="B1217" s="1" t="s">
        <v>71</v>
      </c>
      <c r="C1217" s="1">
        <v>8839.26</v>
      </c>
      <c r="D1217" s="1">
        <v>2636.66</v>
      </c>
    </row>
    <row r="1218" spans="1:4" x14ac:dyDescent="0.25">
      <c r="A1218" s="7">
        <v>44505.583333333336</v>
      </c>
      <c r="B1218" s="1" t="s">
        <v>76</v>
      </c>
      <c r="C1218" s="1">
        <v>11833.51</v>
      </c>
      <c r="D1218" s="1">
        <v>3021.17</v>
      </c>
    </row>
    <row r="1219" spans="1:4" x14ac:dyDescent="0.25">
      <c r="A1219" s="7">
        <v>44505.583333333336</v>
      </c>
      <c r="B1219" s="1" t="s">
        <v>72</v>
      </c>
      <c r="C1219" s="1">
        <v>9340.8799999999992</v>
      </c>
      <c r="D1219" s="1">
        <v>7253.26</v>
      </c>
    </row>
    <row r="1220" spans="1:4" x14ac:dyDescent="0.25">
      <c r="A1220" s="7">
        <v>44505.583333333336</v>
      </c>
      <c r="B1220" s="1" t="s">
        <v>77</v>
      </c>
      <c r="C1220" s="1">
        <v>13211.95</v>
      </c>
      <c r="D1220" s="1">
        <v>4431.2700000000004</v>
      </c>
    </row>
    <row r="1221" spans="1:4" x14ac:dyDescent="0.25">
      <c r="A1221" s="7">
        <v>44505.583333333336</v>
      </c>
      <c r="B1221" s="1" t="s">
        <v>69</v>
      </c>
      <c r="C1221" s="1">
        <v>5418.2</v>
      </c>
      <c r="D1221" s="1">
        <v>5358.64</v>
      </c>
    </row>
    <row r="1222" spans="1:4" x14ac:dyDescent="0.25">
      <c r="A1222" s="7">
        <v>44505.583333333336</v>
      </c>
      <c r="B1222" s="1" t="s">
        <v>70</v>
      </c>
      <c r="C1222" s="1">
        <v>6193.72</v>
      </c>
      <c r="D1222" s="1">
        <v>2926.7</v>
      </c>
    </row>
    <row r="1223" spans="1:4" x14ac:dyDescent="0.25">
      <c r="A1223" s="7">
        <v>44505.625</v>
      </c>
      <c r="B1223" s="1" t="s">
        <v>75</v>
      </c>
      <c r="C1223" s="1">
        <v>981.76</v>
      </c>
      <c r="D1223" s="1">
        <v>448.57</v>
      </c>
    </row>
    <row r="1224" spans="1:4" x14ac:dyDescent="0.25">
      <c r="A1224" s="7">
        <v>44505.625</v>
      </c>
      <c r="B1224" s="1" t="s">
        <v>74</v>
      </c>
      <c r="C1224" s="1">
        <v>8417.1200000000008</v>
      </c>
      <c r="D1224" s="1">
        <v>1872.3</v>
      </c>
    </row>
    <row r="1225" spans="1:4" x14ac:dyDescent="0.25">
      <c r="A1225" s="7">
        <v>44505.625</v>
      </c>
      <c r="B1225" s="1" t="s">
        <v>78</v>
      </c>
      <c r="C1225" s="1">
        <v>2017.51</v>
      </c>
      <c r="D1225" s="1">
        <v>1308.52</v>
      </c>
    </row>
    <row r="1226" spans="1:4" x14ac:dyDescent="0.25">
      <c r="A1226" s="7">
        <v>44505.625</v>
      </c>
      <c r="B1226" s="1" t="s">
        <v>76</v>
      </c>
      <c r="C1226" s="1">
        <v>12256.86</v>
      </c>
      <c r="D1226" s="1">
        <v>3180.46</v>
      </c>
    </row>
    <row r="1227" spans="1:4" x14ac:dyDescent="0.25">
      <c r="A1227" s="7">
        <v>44505.625</v>
      </c>
      <c r="B1227" s="1" t="s">
        <v>68</v>
      </c>
      <c r="C1227" s="1">
        <v>9662.2800000000007</v>
      </c>
      <c r="D1227" s="1">
        <v>3213.26</v>
      </c>
    </row>
    <row r="1228" spans="1:4" x14ac:dyDescent="0.25">
      <c r="A1228" s="7">
        <v>44505.625</v>
      </c>
      <c r="B1228" s="1" t="s">
        <v>71</v>
      </c>
      <c r="C1228" s="1">
        <v>10298.92</v>
      </c>
      <c r="D1228" s="1">
        <v>2900.66</v>
      </c>
    </row>
    <row r="1229" spans="1:4" x14ac:dyDescent="0.25">
      <c r="A1229" s="7">
        <v>44505.625</v>
      </c>
      <c r="B1229" s="1" t="s">
        <v>70</v>
      </c>
      <c r="C1229" s="1">
        <v>6411.69</v>
      </c>
      <c r="D1229" s="1">
        <v>2977.22</v>
      </c>
    </row>
    <row r="1230" spans="1:4" x14ac:dyDescent="0.25">
      <c r="A1230" s="7">
        <v>44505.625</v>
      </c>
      <c r="B1230" s="1" t="s">
        <v>72</v>
      </c>
      <c r="C1230" s="1">
        <v>9492.1200000000008</v>
      </c>
      <c r="D1230" s="1">
        <v>7309.16</v>
      </c>
    </row>
    <row r="1231" spans="1:4" x14ac:dyDescent="0.25">
      <c r="A1231" s="7">
        <v>44505.625</v>
      </c>
      <c r="B1231" s="1" t="s">
        <v>73</v>
      </c>
      <c r="C1231" s="1">
        <v>7526.98</v>
      </c>
      <c r="D1231" s="1">
        <v>1121.3</v>
      </c>
    </row>
    <row r="1232" spans="1:4" x14ac:dyDescent="0.25">
      <c r="A1232" s="7">
        <v>44505.625</v>
      </c>
      <c r="B1232" s="1" t="s">
        <v>77</v>
      </c>
      <c r="C1232" s="1">
        <v>13885.66</v>
      </c>
      <c r="D1232" s="1">
        <v>4695.21</v>
      </c>
    </row>
    <row r="1233" spans="1:4" x14ac:dyDescent="0.25">
      <c r="A1233" s="7">
        <v>44505.625</v>
      </c>
      <c r="B1233" s="1" t="s">
        <v>69</v>
      </c>
      <c r="C1233" s="1">
        <v>5530.56</v>
      </c>
      <c r="D1233" s="1">
        <v>5340.73</v>
      </c>
    </row>
    <row r="1234" spans="1:4" x14ac:dyDescent="0.25">
      <c r="A1234" s="7">
        <v>44505.666666666664</v>
      </c>
      <c r="B1234" s="1" t="s">
        <v>75</v>
      </c>
      <c r="C1234" s="1">
        <v>945.86</v>
      </c>
      <c r="D1234" s="1">
        <v>433.56</v>
      </c>
    </row>
    <row r="1235" spans="1:4" x14ac:dyDescent="0.25">
      <c r="A1235" s="7">
        <v>44505.666666666664</v>
      </c>
      <c r="B1235" s="1" t="s">
        <v>74</v>
      </c>
      <c r="C1235" s="1">
        <v>8264.7900000000009</v>
      </c>
      <c r="D1235" s="1">
        <v>1823.75</v>
      </c>
    </row>
    <row r="1236" spans="1:4" x14ac:dyDescent="0.25">
      <c r="A1236" s="7">
        <v>44505.666666666664</v>
      </c>
      <c r="B1236" s="1" t="s">
        <v>76</v>
      </c>
      <c r="C1236" s="1">
        <v>11876.3</v>
      </c>
      <c r="D1236" s="1">
        <v>3138.85</v>
      </c>
    </row>
    <row r="1237" spans="1:4" x14ac:dyDescent="0.25">
      <c r="A1237" s="7">
        <v>44505.666666666664</v>
      </c>
      <c r="B1237" s="1" t="s">
        <v>77</v>
      </c>
      <c r="C1237" s="1">
        <v>14009.9</v>
      </c>
      <c r="D1237" s="1">
        <v>4648.1499999999996</v>
      </c>
    </row>
    <row r="1238" spans="1:4" x14ac:dyDescent="0.25">
      <c r="A1238" s="7">
        <v>44505.666666666664</v>
      </c>
      <c r="B1238" s="1" t="s">
        <v>71</v>
      </c>
      <c r="C1238" s="1">
        <v>10970.75</v>
      </c>
      <c r="D1238" s="1">
        <v>3001.14</v>
      </c>
    </row>
    <row r="1239" spans="1:4" x14ac:dyDescent="0.25">
      <c r="A1239" s="7">
        <v>44505.666666666664</v>
      </c>
      <c r="B1239" s="1" t="s">
        <v>69</v>
      </c>
      <c r="C1239" s="1">
        <v>5332.04</v>
      </c>
      <c r="D1239" s="1">
        <v>4998.46</v>
      </c>
    </row>
    <row r="1240" spans="1:4" x14ac:dyDescent="0.25">
      <c r="A1240" s="7">
        <v>44505.666666666664</v>
      </c>
      <c r="B1240" s="1" t="s">
        <v>70</v>
      </c>
      <c r="C1240" s="1">
        <v>6194.27</v>
      </c>
      <c r="D1240" s="1">
        <v>2881.94</v>
      </c>
    </row>
    <row r="1241" spans="1:4" x14ac:dyDescent="0.25">
      <c r="A1241" s="7">
        <v>44505.666666666664</v>
      </c>
      <c r="B1241" s="1" t="s">
        <v>78</v>
      </c>
      <c r="C1241" s="1">
        <v>1932.44</v>
      </c>
      <c r="D1241" s="1">
        <v>1224.25</v>
      </c>
    </row>
    <row r="1242" spans="1:4" x14ac:dyDescent="0.25">
      <c r="A1242" s="7">
        <v>44505.666666666664</v>
      </c>
      <c r="B1242" s="1" t="s">
        <v>72</v>
      </c>
      <c r="C1242" s="1">
        <v>9122.3799999999992</v>
      </c>
      <c r="D1242" s="1">
        <v>6853.73</v>
      </c>
    </row>
    <row r="1243" spans="1:4" x14ac:dyDescent="0.25">
      <c r="A1243" s="7">
        <v>44505.666666666664</v>
      </c>
      <c r="B1243" s="1" t="s">
        <v>73</v>
      </c>
      <c r="C1243" s="1">
        <v>8201.82</v>
      </c>
      <c r="D1243" s="1">
        <v>1156.71</v>
      </c>
    </row>
    <row r="1244" spans="1:4" x14ac:dyDescent="0.25">
      <c r="A1244" s="7">
        <v>44505.666666666664</v>
      </c>
      <c r="B1244" s="1" t="s">
        <v>68</v>
      </c>
      <c r="C1244" s="1">
        <v>9939.5400000000009</v>
      </c>
      <c r="D1244" s="1">
        <v>3276.11</v>
      </c>
    </row>
    <row r="1245" spans="1:4" x14ac:dyDescent="0.25">
      <c r="A1245" s="7">
        <v>44505.708333333336</v>
      </c>
      <c r="B1245" s="1" t="s">
        <v>74</v>
      </c>
      <c r="C1245" s="1">
        <v>8669.0300000000007</v>
      </c>
      <c r="D1245" s="1">
        <v>1864.1</v>
      </c>
    </row>
    <row r="1246" spans="1:4" x14ac:dyDescent="0.25">
      <c r="A1246" s="7">
        <v>44505.708333333336</v>
      </c>
      <c r="B1246" s="1" t="s">
        <v>75</v>
      </c>
      <c r="C1246" s="1">
        <v>923.07</v>
      </c>
      <c r="D1246" s="1">
        <v>414.17</v>
      </c>
    </row>
    <row r="1247" spans="1:4" x14ac:dyDescent="0.25">
      <c r="A1247" s="7">
        <v>44505.708333333336</v>
      </c>
      <c r="B1247" s="1" t="s">
        <v>72</v>
      </c>
      <c r="C1247" s="1">
        <v>9391.98</v>
      </c>
      <c r="D1247" s="1">
        <v>6591.9</v>
      </c>
    </row>
    <row r="1248" spans="1:4" x14ac:dyDescent="0.25">
      <c r="A1248" s="7">
        <v>44505.708333333336</v>
      </c>
      <c r="B1248" s="1" t="s">
        <v>77</v>
      </c>
      <c r="C1248" s="1">
        <v>15284.7</v>
      </c>
      <c r="D1248" s="1">
        <v>4849.7299999999996</v>
      </c>
    </row>
    <row r="1249" spans="1:4" x14ac:dyDescent="0.25">
      <c r="A1249" s="7">
        <v>44505.708333333336</v>
      </c>
      <c r="B1249" s="1" t="s">
        <v>71</v>
      </c>
      <c r="C1249" s="1">
        <v>10403.93</v>
      </c>
      <c r="D1249" s="1">
        <v>2896.08</v>
      </c>
    </row>
    <row r="1250" spans="1:4" x14ac:dyDescent="0.25">
      <c r="A1250" s="7">
        <v>44505.708333333336</v>
      </c>
      <c r="B1250" s="1" t="s">
        <v>69</v>
      </c>
      <c r="C1250" s="1">
        <v>5359.81</v>
      </c>
      <c r="D1250" s="1">
        <v>4725.18</v>
      </c>
    </row>
    <row r="1251" spans="1:4" x14ac:dyDescent="0.25">
      <c r="A1251" s="7">
        <v>44505.708333333336</v>
      </c>
      <c r="B1251" s="1" t="s">
        <v>70</v>
      </c>
      <c r="C1251" s="1">
        <v>6373.78</v>
      </c>
      <c r="D1251" s="1">
        <v>2886.41</v>
      </c>
    </row>
    <row r="1252" spans="1:4" x14ac:dyDescent="0.25">
      <c r="A1252" s="7">
        <v>44505.708333333336</v>
      </c>
      <c r="B1252" s="1" t="s">
        <v>78</v>
      </c>
      <c r="C1252" s="1">
        <v>1937.32</v>
      </c>
      <c r="D1252" s="1">
        <v>1169.68</v>
      </c>
    </row>
    <row r="1253" spans="1:4" x14ac:dyDescent="0.25">
      <c r="A1253" s="7">
        <v>44505.708333333336</v>
      </c>
      <c r="B1253" s="1" t="s">
        <v>76</v>
      </c>
      <c r="C1253" s="1">
        <v>12864.41</v>
      </c>
      <c r="D1253" s="1">
        <v>3314.97</v>
      </c>
    </row>
    <row r="1254" spans="1:4" x14ac:dyDescent="0.25">
      <c r="A1254" s="7">
        <v>44505.708333333336</v>
      </c>
      <c r="B1254" s="1" t="s">
        <v>73</v>
      </c>
      <c r="C1254" s="1">
        <v>8809.1</v>
      </c>
      <c r="D1254" s="1">
        <v>1199.1400000000001</v>
      </c>
    </row>
    <row r="1255" spans="1:4" x14ac:dyDescent="0.25">
      <c r="A1255" s="7">
        <v>44505.708333333336</v>
      </c>
      <c r="B1255" s="1" t="s">
        <v>68</v>
      </c>
      <c r="C1255" s="1">
        <v>10408.82</v>
      </c>
      <c r="D1255" s="1">
        <v>3272.08</v>
      </c>
    </row>
    <row r="1256" spans="1:4" x14ac:dyDescent="0.25">
      <c r="A1256" s="7">
        <v>44505.75</v>
      </c>
      <c r="B1256" s="1" t="s">
        <v>75</v>
      </c>
      <c r="C1256" s="1">
        <v>670.79</v>
      </c>
      <c r="D1256" s="1">
        <v>261.17</v>
      </c>
    </row>
    <row r="1257" spans="1:4" x14ac:dyDescent="0.25">
      <c r="A1257" s="7">
        <v>44505.75</v>
      </c>
      <c r="B1257" s="1" t="s">
        <v>74</v>
      </c>
      <c r="C1257" s="1">
        <v>6822.55</v>
      </c>
      <c r="D1257" s="1">
        <v>1335.15</v>
      </c>
    </row>
    <row r="1258" spans="1:4" x14ac:dyDescent="0.25">
      <c r="A1258" s="7">
        <v>44505.75</v>
      </c>
      <c r="B1258" s="1" t="s">
        <v>73</v>
      </c>
      <c r="C1258" s="1">
        <v>6600.19</v>
      </c>
      <c r="D1258" s="1">
        <v>796.85</v>
      </c>
    </row>
    <row r="1259" spans="1:4" x14ac:dyDescent="0.25">
      <c r="A1259" s="7">
        <v>44505.75</v>
      </c>
      <c r="B1259" s="1" t="s">
        <v>68</v>
      </c>
      <c r="C1259" s="1">
        <v>8593.1200000000008</v>
      </c>
      <c r="D1259" s="1">
        <v>2318.4699999999998</v>
      </c>
    </row>
    <row r="1260" spans="1:4" x14ac:dyDescent="0.25">
      <c r="A1260" s="7">
        <v>44505.75</v>
      </c>
      <c r="B1260" s="1" t="s">
        <v>77</v>
      </c>
      <c r="C1260" s="1">
        <v>12254.21</v>
      </c>
      <c r="D1260" s="1">
        <v>3706.74</v>
      </c>
    </row>
    <row r="1261" spans="1:4" x14ac:dyDescent="0.25">
      <c r="A1261" s="7">
        <v>44505.75</v>
      </c>
      <c r="B1261" s="1" t="s">
        <v>71</v>
      </c>
      <c r="C1261" s="1">
        <v>7678.02</v>
      </c>
      <c r="D1261" s="1">
        <v>2048.35</v>
      </c>
    </row>
    <row r="1262" spans="1:4" x14ac:dyDescent="0.25">
      <c r="A1262" s="7">
        <v>44505.75</v>
      </c>
      <c r="B1262" s="1" t="s">
        <v>70</v>
      </c>
      <c r="C1262" s="1">
        <v>4803</v>
      </c>
      <c r="D1262" s="1">
        <v>1967.85</v>
      </c>
    </row>
    <row r="1263" spans="1:4" x14ac:dyDescent="0.25">
      <c r="A1263" s="7">
        <v>44505.75</v>
      </c>
      <c r="B1263" s="1" t="s">
        <v>78</v>
      </c>
      <c r="C1263" s="1">
        <v>1413.44</v>
      </c>
      <c r="D1263" s="1">
        <v>756.07</v>
      </c>
    </row>
    <row r="1264" spans="1:4" x14ac:dyDescent="0.25">
      <c r="A1264" s="7">
        <v>44505.75</v>
      </c>
      <c r="B1264" s="1" t="s">
        <v>76</v>
      </c>
      <c r="C1264" s="1">
        <v>10165.44</v>
      </c>
      <c r="D1264" s="1">
        <v>2450.4299999999998</v>
      </c>
    </row>
    <row r="1265" spans="1:4" x14ac:dyDescent="0.25">
      <c r="A1265" s="7">
        <v>44505.75</v>
      </c>
      <c r="B1265" s="1" t="s">
        <v>69</v>
      </c>
      <c r="C1265" s="1">
        <v>3734.3</v>
      </c>
      <c r="D1265" s="1">
        <v>2805.58</v>
      </c>
    </row>
    <row r="1266" spans="1:4" x14ac:dyDescent="0.25">
      <c r="A1266" s="7">
        <v>44505.75</v>
      </c>
      <c r="B1266" s="1" t="s">
        <v>72</v>
      </c>
      <c r="C1266" s="1">
        <v>6554.55</v>
      </c>
      <c r="D1266" s="1">
        <v>4134.3999999999996</v>
      </c>
    </row>
    <row r="1267" spans="1:4" x14ac:dyDescent="0.25">
      <c r="A1267" s="7">
        <v>44505.791666666664</v>
      </c>
      <c r="B1267" s="1" t="s">
        <v>75</v>
      </c>
      <c r="C1267" s="1">
        <v>2096.44</v>
      </c>
      <c r="D1267" s="1">
        <v>812.1</v>
      </c>
    </row>
    <row r="1268" spans="1:4" x14ac:dyDescent="0.25">
      <c r="A1268" s="7">
        <v>44505.791666666664</v>
      </c>
      <c r="B1268" s="1" t="s">
        <v>74</v>
      </c>
      <c r="C1268" s="1">
        <v>15726.9</v>
      </c>
      <c r="D1268" s="1">
        <v>2905.66</v>
      </c>
    </row>
    <row r="1269" spans="1:4" x14ac:dyDescent="0.25">
      <c r="A1269" s="7">
        <v>44505.791666666664</v>
      </c>
      <c r="B1269" s="1" t="s">
        <v>73</v>
      </c>
      <c r="C1269" s="1">
        <v>15032.62</v>
      </c>
      <c r="D1269" s="1">
        <v>1759.07</v>
      </c>
    </row>
    <row r="1270" spans="1:4" x14ac:dyDescent="0.25">
      <c r="A1270" s="7">
        <v>44505.791666666664</v>
      </c>
      <c r="B1270" s="1" t="s">
        <v>68</v>
      </c>
      <c r="C1270" s="1">
        <v>18131.631000000001</v>
      </c>
      <c r="D1270" s="1">
        <v>4691.1899999999996</v>
      </c>
    </row>
    <row r="1271" spans="1:4" x14ac:dyDescent="0.25">
      <c r="A1271" s="7">
        <v>44505.791666666664</v>
      </c>
      <c r="B1271" s="1" t="s">
        <v>77</v>
      </c>
      <c r="C1271" s="1">
        <v>24888.48</v>
      </c>
      <c r="D1271" s="1">
        <v>6960.27</v>
      </c>
    </row>
    <row r="1272" spans="1:4" x14ac:dyDescent="0.25">
      <c r="A1272" s="7">
        <v>44505.791666666664</v>
      </c>
      <c r="B1272" s="1" t="s">
        <v>71</v>
      </c>
      <c r="C1272" s="1">
        <v>19397.330000000002</v>
      </c>
      <c r="D1272" s="1">
        <v>4465.67</v>
      </c>
    </row>
    <row r="1273" spans="1:4" x14ac:dyDescent="0.25">
      <c r="A1273" s="7">
        <v>44505.791666666664</v>
      </c>
      <c r="B1273" s="1" t="s">
        <v>69</v>
      </c>
      <c r="C1273" s="1">
        <v>8321.43</v>
      </c>
      <c r="D1273" s="1">
        <v>6630.19</v>
      </c>
    </row>
    <row r="1274" spans="1:4" x14ac:dyDescent="0.25">
      <c r="A1274" s="7">
        <v>44505.791666666664</v>
      </c>
      <c r="B1274" s="1" t="s">
        <v>78</v>
      </c>
      <c r="C1274" s="1">
        <v>3615.21</v>
      </c>
      <c r="D1274" s="1">
        <v>1992.63</v>
      </c>
    </row>
    <row r="1275" spans="1:4" x14ac:dyDescent="0.25">
      <c r="A1275" s="7">
        <v>44505.791666666664</v>
      </c>
      <c r="B1275" s="1" t="s">
        <v>76</v>
      </c>
      <c r="C1275" s="1">
        <v>27163.039000000001</v>
      </c>
      <c r="D1275" s="1">
        <v>5878.7</v>
      </c>
    </row>
    <row r="1276" spans="1:4" x14ac:dyDescent="0.25">
      <c r="A1276" s="7">
        <v>44505.791666666664</v>
      </c>
      <c r="B1276" s="1" t="s">
        <v>72</v>
      </c>
      <c r="C1276" s="1">
        <v>15103.11</v>
      </c>
      <c r="D1276" s="1">
        <v>9625.02</v>
      </c>
    </row>
    <row r="1277" spans="1:4" x14ac:dyDescent="0.25">
      <c r="A1277" s="7">
        <v>44505.791666666664</v>
      </c>
      <c r="B1277" s="1" t="s">
        <v>70</v>
      </c>
      <c r="C1277" s="1">
        <v>13826.01</v>
      </c>
      <c r="D1277" s="1">
        <v>5378.24</v>
      </c>
    </row>
    <row r="1278" spans="1:4" x14ac:dyDescent="0.25">
      <c r="A1278" s="7">
        <v>44505.833333333336</v>
      </c>
      <c r="B1278" s="1" t="s">
        <v>75</v>
      </c>
      <c r="C1278" s="1">
        <v>1725.42</v>
      </c>
      <c r="D1278" s="1">
        <v>648.55999999999995</v>
      </c>
    </row>
    <row r="1279" spans="1:4" x14ac:dyDescent="0.25">
      <c r="A1279" s="7">
        <v>44505.833333333336</v>
      </c>
      <c r="B1279" s="1" t="s">
        <v>74</v>
      </c>
      <c r="C1279" s="1">
        <v>14042.75</v>
      </c>
      <c r="D1279" s="1">
        <v>2602.0300000000002</v>
      </c>
    </row>
    <row r="1280" spans="1:4" x14ac:dyDescent="0.25">
      <c r="A1280" s="7">
        <v>44505.833333333336</v>
      </c>
      <c r="B1280" s="1" t="s">
        <v>78</v>
      </c>
      <c r="C1280" s="1">
        <v>3041.77</v>
      </c>
      <c r="D1280" s="1">
        <v>1699.72</v>
      </c>
    </row>
    <row r="1281" spans="1:4" x14ac:dyDescent="0.25">
      <c r="A1281" s="7">
        <v>44505.833333333336</v>
      </c>
      <c r="B1281" s="1" t="s">
        <v>76</v>
      </c>
      <c r="C1281" s="1">
        <v>22744.52</v>
      </c>
      <c r="D1281" s="1">
        <v>4955.59</v>
      </c>
    </row>
    <row r="1282" spans="1:4" x14ac:dyDescent="0.25">
      <c r="A1282" s="7">
        <v>44505.833333333336</v>
      </c>
      <c r="B1282" s="1" t="s">
        <v>68</v>
      </c>
      <c r="C1282" s="1">
        <v>13805.47</v>
      </c>
      <c r="D1282" s="1">
        <v>3794.07</v>
      </c>
    </row>
    <row r="1283" spans="1:4" x14ac:dyDescent="0.25">
      <c r="A1283" s="7">
        <v>44505.833333333336</v>
      </c>
      <c r="B1283" s="1" t="s">
        <v>71</v>
      </c>
      <c r="C1283" s="1">
        <v>15173.37</v>
      </c>
      <c r="D1283" s="1">
        <v>3581.73</v>
      </c>
    </row>
    <row r="1284" spans="1:4" x14ac:dyDescent="0.25">
      <c r="A1284" s="7">
        <v>44505.833333333336</v>
      </c>
      <c r="B1284" s="1" t="s">
        <v>70</v>
      </c>
      <c r="C1284" s="1">
        <v>10387.1</v>
      </c>
      <c r="D1284" s="1">
        <v>4171.99</v>
      </c>
    </row>
    <row r="1285" spans="1:4" x14ac:dyDescent="0.25">
      <c r="A1285" s="7">
        <v>44505.833333333336</v>
      </c>
      <c r="B1285" s="1" t="s">
        <v>69</v>
      </c>
      <c r="C1285" s="1">
        <v>7317.48</v>
      </c>
      <c r="D1285" s="1">
        <v>5983.7</v>
      </c>
    </row>
    <row r="1286" spans="1:4" x14ac:dyDescent="0.25">
      <c r="A1286" s="7">
        <v>44505.833333333336</v>
      </c>
      <c r="B1286" s="1" t="s">
        <v>73</v>
      </c>
      <c r="C1286" s="1">
        <v>10684.09</v>
      </c>
      <c r="D1286" s="1">
        <v>1374.47</v>
      </c>
    </row>
    <row r="1287" spans="1:4" x14ac:dyDescent="0.25">
      <c r="A1287" s="7">
        <v>44505.833333333336</v>
      </c>
      <c r="B1287" s="1" t="s">
        <v>72</v>
      </c>
      <c r="C1287" s="1">
        <v>12223.7</v>
      </c>
      <c r="D1287" s="1">
        <v>8154.77</v>
      </c>
    </row>
    <row r="1288" spans="1:4" x14ac:dyDescent="0.25">
      <c r="A1288" s="7">
        <v>44505.833333333336</v>
      </c>
      <c r="B1288" s="1" t="s">
        <v>77</v>
      </c>
      <c r="C1288" s="1">
        <v>20909.34</v>
      </c>
      <c r="D1288" s="1">
        <v>5889.5</v>
      </c>
    </row>
    <row r="1289" spans="1:4" x14ac:dyDescent="0.25">
      <c r="A1289" s="7">
        <v>44505.875</v>
      </c>
      <c r="B1289" s="1" t="s">
        <v>74</v>
      </c>
      <c r="C1289" s="1">
        <v>11229.2</v>
      </c>
      <c r="D1289" s="1">
        <v>2223.0300000000002</v>
      </c>
    </row>
    <row r="1290" spans="1:4" x14ac:dyDescent="0.25">
      <c r="A1290" s="7">
        <v>44505.875</v>
      </c>
      <c r="B1290" s="1" t="s">
        <v>78</v>
      </c>
      <c r="C1290" s="1">
        <v>3036.63</v>
      </c>
      <c r="D1290" s="1">
        <v>1627.97</v>
      </c>
    </row>
    <row r="1291" spans="1:4" x14ac:dyDescent="0.25">
      <c r="A1291" s="7">
        <v>44505.875</v>
      </c>
      <c r="B1291" s="1" t="s">
        <v>75</v>
      </c>
      <c r="C1291" s="1">
        <v>1638.82</v>
      </c>
      <c r="D1291" s="1">
        <v>649</v>
      </c>
    </row>
    <row r="1292" spans="1:4" x14ac:dyDescent="0.25">
      <c r="A1292" s="7">
        <v>44505.875</v>
      </c>
      <c r="B1292" s="1" t="s">
        <v>72</v>
      </c>
      <c r="C1292" s="1">
        <v>10938.02</v>
      </c>
      <c r="D1292" s="1">
        <v>7254.86</v>
      </c>
    </row>
    <row r="1293" spans="1:4" x14ac:dyDescent="0.25">
      <c r="A1293" s="7">
        <v>44505.875</v>
      </c>
      <c r="B1293" s="1" t="s">
        <v>76</v>
      </c>
      <c r="C1293" s="1">
        <v>18960.52</v>
      </c>
      <c r="D1293" s="1">
        <v>4314.04</v>
      </c>
    </row>
    <row r="1294" spans="1:4" x14ac:dyDescent="0.25">
      <c r="A1294" s="7">
        <v>44505.875</v>
      </c>
      <c r="B1294" s="1" t="s">
        <v>70</v>
      </c>
      <c r="C1294" s="1">
        <v>8472.18</v>
      </c>
      <c r="D1294" s="1">
        <v>3539.89</v>
      </c>
    </row>
    <row r="1295" spans="1:4" x14ac:dyDescent="0.25">
      <c r="A1295" s="7">
        <v>44505.875</v>
      </c>
      <c r="B1295" s="1" t="s">
        <v>69</v>
      </c>
      <c r="C1295" s="1">
        <v>6614.5</v>
      </c>
      <c r="D1295" s="1">
        <v>5383.51</v>
      </c>
    </row>
    <row r="1296" spans="1:4" x14ac:dyDescent="0.25">
      <c r="A1296" s="7">
        <v>44505.875</v>
      </c>
      <c r="B1296" s="1" t="s">
        <v>73</v>
      </c>
      <c r="C1296" s="1">
        <v>7543.5</v>
      </c>
      <c r="D1296" s="1">
        <v>1055.1400000000001</v>
      </c>
    </row>
    <row r="1297" spans="1:4" x14ac:dyDescent="0.25">
      <c r="A1297" s="7">
        <v>44505.875</v>
      </c>
      <c r="B1297" s="1" t="s">
        <v>71</v>
      </c>
      <c r="C1297" s="1">
        <v>10763.98</v>
      </c>
      <c r="D1297" s="1">
        <v>2656.81</v>
      </c>
    </row>
    <row r="1298" spans="1:4" x14ac:dyDescent="0.25">
      <c r="A1298" s="7">
        <v>44505.875</v>
      </c>
      <c r="B1298" s="1" t="s">
        <v>68</v>
      </c>
      <c r="C1298" s="1">
        <v>9968.81</v>
      </c>
      <c r="D1298" s="1">
        <v>2958.31</v>
      </c>
    </row>
    <row r="1299" spans="1:4" x14ac:dyDescent="0.25">
      <c r="A1299" s="7">
        <v>44505.875</v>
      </c>
      <c r="B1299" s="1" t="s">
        <v>77</v>
      </c>
      <c r="C1299" s="1">
        <v>18210.09</v>
      </c>
      <c r="D1299" s="1">
        <v>5267.45</v>
      </c>
    </row>
    <row r="1300" spans="1:4" x14ac:dyDescent="0.25">
      <c r="A1300" s="7">
        <v>44505.916666666664</v>
      </c>
      <c r="B1300" s="1" t="s">
        <v>74</v>
      </c>
      <c r="C1300" s="1">
        <v>7619.63</v>
      </c>
      <c r="D1300" s="1">
        <v>1672.13</v>
      </c>
    </row>
    <row r="1301" spans="1:4" x14ac:dyDescent="0.25">
      <c r="A1301" s="7">
        <v>44505.916666666664</v>
      </c>
      <c r="B1301" s="1" t="s">
        <v>75</v>
      </c>
      <c r="C1301" s="1">
        <v>1456.22</v>
      </c>
      <c r="D1301" s="1">
        <v>634.46</v>
      </c>
    </row>
    <row r="1302" spans="1:4" x14ac:dyDescent="0.25">
      <c r="A1302" s="7">
        <v>44505.916666666664</v>
      </c>
      <c r="B1302" s="1" t="s">
        <v>76</v>
      </c>
      <c r="C1302" s="1">
        <v>13503.94</v>
      </c>
      <c r="D1302" s="1">
        <v>3313.37</v>
      </c>
    </row>
    <row r="1303" spans="1:4" x14ac:dyDescent="0.25">
      <c r="A1303" s="7">
        <v>44505.916666666664</v>
      </c>
      <c r="B1303" s="1" t="s">
        <v>73</v>
      </c>
      <c r="C1303" s="1">
        <v>5261.92</v>
      </c>
      <c r="D1303" s="1">
        <v>840.6</v>
      </c>
    </row>
    <row r="1304" spans="1:4" x14ac:dyDescent="0.25">
      <c r="A1304" s="7">
        <v>44505.916666666664</v>
      </c>
      <c r="B1304" s="1" t="s">
        <v>77</v>
      </c>
      <c r="C1304" s="1">
        <v>14376.41</v>
      </c>
      <c r="D1304" s="1">
        <v>4223.16</v>
      </c>
    </row>
    <row r="1305" spans="1:4" x14ac:dyDescent="0.25">
      <c r="A1305" s="7">
        <v>44505.916666666664</v>
      </c>
      <c r="B1305" s="1" t="s">
        <v>71</v>
      </c>
      <c r="C1305" s="1">
        <v>6526.88</v>
      </c>
      <c r="D1305" s="1">
        <v>1837.08</v>
      </c>
    </row>
    <row r="1306" spans="1:4" x14ac:dyDescent="0.25">
      <c r="A1306" s="7">
        <v>44505.916666666664</v>
      </c>
      <c r="B1306" s="1" t="s">
        <v>70</v>
      </c>
      <c r="C1306" s="1">
        <v>6698.54</v>
      </c>
      <c r="D1306" s="1">
        <v>2927</v>
      </c>
    </row>
    <row r="1307" spans="1:4" x14ac:dyDescent="0.25">
      <c r="A1307" s="7">
        <v>44505.916666666664</v>
      </c>
      <c r="B1307" s="1" t="s">
        <v>78</v>
      </c>
      <c r="C1307" s="1">
        <v>2715.07</v>
      </c>
      <c r="D1307" s="1">
        <v>1490.43</v>
      </c>
    </row>
    <row r="1308" spans="1:4" x14ac:dyDescent="0.25">
      <c r="A1308" s="7">
        <v>44505.916666666664</v>
      </c>
      <c r="B1308" s="1" t="s">
        <v>72</v>
      </c>
      <c r="C1308" s="1">
        <v>9770.59</v>
      </c>
      <c r="D1308" s="1">
        <v>6694.32</v>
      </c>
    </row>
    <row r="1309" spans="1:4" x14ac:dyDescent="0.25">
      <c r="A1309" s="7">
        <v>44505.916666666664</v>
      </c>
      <c r="B1309" s="1" t="s">
        <v>68</v>
      </c>
      <c r="C1309" s="1">
        <v>6250.04</v>
      </c>
      <c r="D1309" s="1">
        <v>2214.66</v>
      </c>
    </row>
    <row r="1310" spans="1:4" x14ac:dyDescent="0.25">
      <c r="A1310" s="7">
        <v>44505.916666666664</v>
      </c>
      <c r="B1310" s="1" t="s">
        <v>69</v>
      </c>
      <c r="C1310" s="1">
        <v>6095.98</v>
      </c>
      <c r="D1310" s="1">
        <v>5098.25</v>
      </c>
    </row>
    <row r="1311" spans="1:4" x14ac:dyDescent="0.25">
      <c r="A1311" s="7">
        <v>44505.958333333336</v>
      </c>
      <c r="B1311" s="1" t="s">
        <v>75</v>
      </c>
      <c r="C1311" s="1">
        <v>954.57</v>
      </c>
      <c r="D1311" s="1">
        <v>449.64</v>
      </c>
    </row>
    <row r="1312" spans="1:4" x14ac:dyDescent="0.25">
      <c r="A1312" s="7">
        <v>44505.958333333336</v>
      </c>
      <c r="B1312" s="1" t="s">
        <v>74</v>
      </c>
      <c r="C1312" s="1">
        <v>3402.8</v>
      </c>
      <c r="D1312" s="1">
        <v>890.16</v>
      </c>
    </row>
    <row r="1313" spans="1:4" x14ac:dyDescent="0.25">
      <c r="A1313" s="7">
        <v>44505.958333333336</v>
      </c>
      <c r="B1313" s="1" t="s">
        <v>73</v>
      </c>
      <c r="C1313" s="1">
        <v>2354.5</v>
      </c>
      <c r="D1313" s="1">
        <v>459.64</v>
      </c>
    </row>
    <row r="1314" spans="1:4" x14ac:dyDescent="0.25">
      <c r="A1314" s="7">
        <v>44505.958333333336</v>
      </c>
      <c r="B1314" s="1" t="s">
        <v>68</v>
      </c>
      <c r="C1314" s="1">
        <v>2737.37</v>
      </c>
      <c r="D1314" s="1">
        <v>1199.7</v>
      </c>
    </row>
    <row r="1315" spans="1:4" x14ac:dyDescent="0.25">
      <c r="A1315" s="7">
        <v>44505.958333333336</v>
      </c>
      <c r="B1315" s="1" t="s">
        <v>77</v>
      </c>
      <c r="C1315" s="1">
        <v>8152.58</v>
      </c>
      <c r="D1315" s="1">
        <v>2496.84</v>
      </c>
    </row>
    <row r="1316" spans="1:4" x14ac:dyDescent="0.25">
      <c r="A1316" s="7">
        <v>44505.958333333336</v>
      </c>
      <c r="B1316" s="1" t="s">
        <v>71</v>
      </c>
      <c r="C1316" s="1">
        <v>2666.86</v>
      </c>
      <c r="D1316" s="1">
        <v>922.33</v>
      </c>
    </row>
    <row r="1317" spans="1:4" x14ac:dyDescent="0.25">
      <c r="A1317" s="7">
        <v>44505.958333333336</v>
      </c>
      <c r="B1317" s="1" t="s">
        <v>70</v>
      </c>
      <c r="C1317" s="1">
        <v>3377.79</v>
      </c>
      <c r="D1317" s="1">
        <v>1601.41</v>
      </c>
    </row>
    <row r="1318" spans="1:4" x14ac:dyDescent="0.25">
      <c r="A1318" s="7">
        <v>44505.958333333336</v>
      </c>
      <c r="B1318" s="1" t="s">
        <v>78</v>
      </c>
      <c r="C1318" s="1">
        <v>1695.18</v>
      </c>
      <c r="D1318" s="1">
        <v>983.11</v>
      </c>
    </row>
    <row r="1319" spans="1:4" x14ac:dyDescent="0.25">
      <c r="A1319" s="7">
        <v>44505.958333333336</v>
      </c>
      <c r="B1319" s="1" t="s">
        <v>76</v>
      </c>
      <c r="C1319" s="1">
        <v>6561.32</v>
      </c>
      <c r="D1319" s="1">
        <v>1834.21</v>
      </c>
    </row>
    <row r="1320" spans="1:4" x14ac:dyDescent="0.25">
      <c r="A1320" s="7">
        <v>44505.958333333336</v>
      </c>
      <c r="B1320" s="1" t="s">
        <v>72</v>
      </c>
      <c r="C1320" s="1">
        <v>6148.27</v>
      </c>
      <c r="D1320" s="1">
        <v>4433.8100000000004</v>
      </c>
    </row>
    <row r="1321" spans="1:4" x14ac:dyDescent="0.25">
      <c r="A1321" s="7">
        <v>44505.958333333336</v>
      </c>
      <c r="B1321" s="1" t="s">
        <v>69</v>
      </c>
      <c r="C1321" s="1">
        <v>3997.96</v>
      </c>
      <c r="D1321" s="1">
        <v>3403.61</v>
      </c>
    </row>
    <row r="1322" spans="1:4" x14ac:dyDescent="0.25">
      <c r="A1322" s="7">
        <v>44535</v>
      </c>
      <c r="B1322" s="1" t="s">
        <v>75</v>
      </c>
      <c r="C1322" s="1">
        <v>578.25</v>
      </c>
      <c r="D1322" s="1">
        <v>279.07</v>
      </c>
    </row>
    <row r="1323" spans="1:4" x14ac:dyDescent="0.25">
      <c r="A1323" s="7">
        <v>44535</v>
      </c>
      <c r="B1323" s="1" t="s">
        <v>74</v>
      </c>
      <c r="C1323" s="1">
        <v>1414.41</v>
      </c>
      <c r="D1323" s="1">
        <v>437.68</v>
      </c>
    </row>
    <row r="1324" spans="1:4" x14ac:dyDescent="0.25">
      <c r="A1324" s="7">
        <v>44535</v>
      </c>
      <c r="B1324" s="1" t="s">
        <v>72</v>
      </c>
      <c r="C1324" s="1">
        <v>3240.95</v>
      </c>
      <c r="D1324" s="1">
        <v>2456.5500000000002</v>
      </c>
    </row>
    <row r="1325" spans="1:4" x14ac:dyDescent="0.25">
      <c r="A1325" s="7">
        <v>44535</v>
      </c>
      <c r="B1325" s="1" t="s">
        <v>68</v>
      </c>
      <c r="C1325" s="1">
        <v>1191.81</v>
      </c>
      <c r="D1325" s="1">
        <v>544.11</v>
      </c>
    </row>
    <row r="1326" spans="1:4" x14ac:dyDescent="0.25">
      <c r="A1326" s="7">
        <v>44535</v>
      </c>
      <c r="B1326" s="1" t="s">
        <v>77</v>
      </c>
      <c r="C1326" s="1">
        <v>4027.23</v>
      </c>
      <c r="D1326" s="1">
        <v>1278.08</v>
      </c>
    </row>
    <row r="1327" spans="1:4" x14ac:dyDescent="0.25">
      <c r="A1327" s="7">
        <v>44535</v>
      </c>
      <c r="B1327" s="1" t="s">
        <v>71</v>
      </c>
      <c r="C1327" s="1">
        <v>1123.6600000000001</v>
      </c>
      <c r="D1327" s="1">
        <v>441.49</v>
      </c>
    </row>
    <row r="1328" spans="1:4" x14ac:dyDescent="0.25">
      <c r="A1328" s="7">
        <v>44535</v>
      </c>
      <c r="B1328" s="1" t="s">
        <v>69</v>
      </c>
      <c r="C1328" s="1">
        <v>2162.58</v>
      </c>
      <c r="D1328" s="1">
        <v>1778.04</v>
      </c>
    </row>
    <row r="1329" spans="1:4" x14ac:dyDescent="0.25">
      <c r="A1329" s="7">
        <v>44535</v>
      </c>
      <c r="B1329" s="1" t="s">
        <v>70</v>
      </c>
      <c r="C1329" s="1">
        <v>1603.87</v>
      </c>
      <c r="D1329" s="1">
        <v>789.17</v>
      </c>
    </row>
    <row r="1330" spans="1:4" x14ac:dyDescent="0.25">
      <c r="A1330" s="7">
        <v>44535</v>
      </c>
      <c r="B1330" s="1" t="s">
        <v>78</v>
      </c>
      <c r="C1330" s="1">
        <v>864.86</v>
      </c>
      <c r="D1330" s="1">
        <v>533.07000000000005</v>
      </c>
    </row>
    <row r="1331" spans="1:4" x14ac:dyDescent="0.25">
      <c r="A1331" s="7">
        <v>44535</v>
      </c>
      <c r="B1331" s="1" t="s">
        <v>76</v>
      </c>
      <c r="C1331" s="1">
        <v>2954.18</v>
      </c>
      <c r="D1331" s="1">
        <v>899.93</v>
      </c>
    </row>
    <row r="1332" spans="1:4" x14ac:dyDescent="0.25">
      <c r="A1332" s="7">
        <v>44535</v>
      </c>
      <c r="B1332" s="1" t="s">
        <v>73</v>
      </c>
      <c r="C1332" s="1">
        <v>1027.19</v>
      </c>
      <c r="D1332" s="1">
        <v>219.3</v>
      </c>
    </row>
    <row r="1333" spans="1:4" x14ac:dyDescent="0.25">
      <c r="A1333" s="7">
        <v>44535.041666666664</v>
      </c>
      <c r="B1333" s="1" t="s">
        <v>75</v>
      </c>
      <c r="C1333" s="1">
        <v>328.79</v>
      </c>
      <c r="D1333" s="1">
        <v>156.26</v>
      </c>
    </row>
    <row r="1334" spans="1:4" x14ac:dyDescent="0.25">
      <c r="A1334" s="7">
        <v>44535.041666666664</v>
      </c>
      <c r="B1334" s="1" t="s">
        <v>74</v>
      </c>
      <c r="C1334" s="1">
        <v>705.88</v>
      </c>
      <c r="D1334" s="1">
        <v>224.99</v>
      </c>
    </row>
    <row r="1335" spans="1:4" x14ac:dyDescent="0.25">
      <c r="A1335" s="7">
        <v>44535.041666666664</v>
      </c>
      <c r="B1335" s="1" t="s">
        <v>76</v>
      </c>
      <c r="C1335" s="1">
        <v>1544.01</v>
      </c>
      <c r="D1335" s="1">
        <v>476.61</v>
      </c>
    </row>
    <row r="1336" spans="1:4" x14ac:dyDescent="0.25">
      <c r="A1336" s="7">
        <v>44535.041666666664</v>
      </c>
      <c r="B1336" s="1" t="s">
        <v>68</v>
      </c>
      <c r="C1336" s="1">
        <v>559.72</v>
      </c>
      <c r="D1336" s="1">
        <v>237.8</v>
      </c>
    </row>
    <row r="1337" spans="1:4" x14ac:dyDescent="0.25">
      <c r="A1337" s="7">
        <v>44535.041666666664</v>
      </c>
      <c r="B1337" s="1" t="s">
        <v>69</v>
      </c>
      <c r="C1337" s="1">
        <v>1071.8499999999999</v>
      </c>
      <c r="D1337" s="1">
        <v>896.23</v>
      </c>
    </row>
    <row r="1338" spans="1:4" x14ac:dyDescent="0.25">
      <c r="A1338" s="7">
        <v>44535.041666666664</v>
      </c>
      <c r="B1338" s="1" t="s">
        <v>78</v>
      </c>
      <c r="C1338" s="1">
        <v>452.59</v>
      </c>
      <c r="D1338" s="1">
        <v>276.12</v>
      </c>
    </row>
    <row r="1339" spans="1:4" x14ac:dyDescent="0.25">
      <c r="A1339" s="7">
        <v>44535.041666666664</v>
      </c>
      <c r="B1339" s="1" t="s">
        <v>72</v>
      </c>
      <c r="C1339" s="1">
        <v>1729.43</v>
      </c>
      <c r="D1339" s="1">
        <v>1261.93</v>
      </c>
    </row>
    <row r="1340" spans="1:4" x14ac:dyDescent="0.25">
      <c r="A1340" s="7">
        <v>44535.041666666664</v>
      </c>
      <c r="B1340" s="1" t="s">
        <v>73</v>
      </c>
      <c r="C1340" s="1">
        <v>535.14</v>
      </c>
      <c r="D1340" s="1">
        <v>101.17</v>
      </c>
    </row>
    <row r="1341" spans="1:4" x14ac:dyDescent="0.25">
      <c r="A1341" s="7">
        <v>44535.041666666664</v>
      </c>
      <c r="B1341" s="1" t="s">
        <v>77</v>
      </c>
      <c r="C1341" s="1">
        <v>2119.2199999999998</v>
      </c>
      <c r="D1341" s="1">
        <v>664.93</v>
      </c>
    </row>
    <row r="1342" spans="1:4" x14ac:dyDescent="0.25">
      <c r="A1342" s="7">
        <v>44535.041666666664</v>
      </c>
      <c r="B1342" s="1" t="s">
        <v>71</v>
      </c>
      <c r="C1342" s="1">
        <v>538.95000000000005</v>
      </c>
      <c r="D1342" s="1">
        <v>224.63</v>
      </c>
    </row>
    <row r="1343" spans="1:4" x14ac:dyDescent="0.25">
      <c r="A1343" s="7">
        <v>44535.041666666664</v>
      </c>
      <c r="B1343" s="1" t="s">
        <v>70</v>
      </c>
      <c r="C1343" s="1">
        <v>827.11</v>
      </c>
      <c r="D1343" s="1">
        <v>399.09</v>
      </c>
    </row>
    <row r="1344" spans="1:4" x14ac:dyDescent="0.25">
      <c r="A1344" s="7">
        <v>44535.083333333336</v>
      </c>
      <c r="B1344" s="1" t="s">
        <v>74</v>
      </c>
      <c r="C1344" s="1">
        <v>692.25</v>
      </c>
      <c r="D1344" s="1">
        <v>161.34</v>
      </c>
    </row>
    <row r="1345" spans="1:4" x14ac:dyDescent="0.25">
      <c r="A1345" s="7">
        <v>44535.083333333336</v>
      </c>
      <c r="B1345" s="1" t="s">
        <v>78</v>
      </c>
      <c r="C1345" s="1">
        <v>295.31</v>
      </c>
      <c r="D1345" s="1">
        <v>179.97</v>
      </c>
    </row>
    <row r="1346" spans="1:4" x14ac:dyDescent="0.25">
      <c r="A1346" s="7">
        <v>44535.083333333336</v>
      </c>
      <c r="B1346" s="1" t="s">
        <v>75</v>
      </c>
      <c r="C1346" s="1">
        <v>286.02999999999997</v>
      </c>
      <c r="D1346" s="1">
        <v>133.69</v>
      </c>
    </row>
    <row r="1347" spans="1:4" x14ac:dyDescent="0.25">
      <c r="A1347" s="7">
        <v>44535.083333333336</v>
      </c>
      <c r="B1347" s="1" t="s">
        <v>76</v>
      </c>
      <c r="C1347" s="1">
        <v>1824.02</v>
      </c>
      <c r="D1347" s="1">
        <v>435.67</v>
      </c>
    </row>
    <row r="1348" spans="1:4" x14ac:dyDescent="0.25">
      <c r="A1348" s="7">
        <v>44535.083333333336</v>
      </c>
      <c r="B1348" s="1" t="s">
        <v>68</v>
      </c>
      <c r="C1348" s="1">
        <v>406.19</v>
      </c>
      <c r="D1348" s="1">
        <v>147.41</v>
      </c>
    </row>
    <row r="1349" spans="1:4" x14ac:dyDescent="0.25">
      <c r="A1349" s="7">
        <v>44535.083333333336</v>
      </c>
      <c r="B1349" s="1" t="s">
        <v>71</v>
      </c>
      <c r="C1349" s="1">
        <v>497.76</v>
      </c>
      <c r="D1349" s="1">
        <v>160.41</v>
      </c>
    </row>
    <row r="1350" spans="1:4" x14ac:dyDescent="0.25">
      <c r="A1350" s="7">
        <v>44535.083333333336</v>
      </c>
      <c r="B1350" s="1" t="s">
        <v>69</v>
      </c>
      <c r="C1350" s="1">
        <v>667.21</v>
      </c>
      <c r="D1350" s="1">
        <v>508.07</v>
      </c>
    </row>
    <row r="1351" spans="1:4" x14ac:dyDescent="0.25">
      <c r="A1351" s="7">
        <v>44535.083333333336</v>
      </c>
      <c r="B1351" s="1" t="s">
        <v>70</v>
      </c>
      <c r="C1351" s="1">
        <v>695.5</v>
      </c>
      <c r="D1351" s="1">
        <v>311.13</v>
      </c>
    </row>
    <row r="1352" spans="1:4" x14ac:dyDescent="0.25">
      <c r="A1352" s="7">
        <v>44535.083333333336</v>
      </c>
      <c r="B1352" s="1" t="s">
        <v>73</v>
      </c>
      <c r="C1352" s="1">
        <v>399.54</v>
      </c>
      <c r="D1352" s="1">
        <v>72.45</v>
      </c>
    </row>
    <row r="1353" spans="1:4" x14ac:dyDescent="0.25">
      <c r="A1353" s="7">
        <v>44535.083333333336</v>
      </c>
      <c r="B1353" s="1" t="s">
        <v>72</v>
      </c>
      <c r="C1353" s="1">
        <v>1081.72</v>
      </c>
      <c r="D1353" s="1">
        <v>746.59</v>
      </c>
    </row>
    <row r="1354" spans="1:4" x14ac:dyDescent="0.25">
      <c r="A1354" s="7">
        <v>44535.083333333336</v>
      </c>
      <c r="B1354" s="1" t="s">
        <v>77</v>
      </c>
      <c r="C1354" s="1">
        <v>1653.45</v>
      </c>
      <c r="D1354" s="1">
        <v>490.96</v>
      </c>
    </row>
    <row r="1355" spans="1:4" x14ac:dyDescent="0.25">
      <c r="A1355" s="7">
        <v>44535.125</v>
      </c>
      <c r="B1355" s="1" t="s">
        <v>74</v>
      </c>
      <c r="C1355" s="1">
        <v>1937.16</v>
      </c>
      <c r="D1355" s="1">
        <v>357.84</v>
      </c>
    </row>
    <row r="1356" spans="1:4" x14ac:dyDescent="0.25">
      <c r="A1356" s="7">
        <v>44535.125</v>
      </c>
      <c r="B1356" s="1" t="s">
        <v>78</v>
      </c>
      <c r="C1356" s="1">
        <v>533.88</v>
      </c>
      <c r="D1356" s="1">
        <v>280.5</v>
      </c>
    </row>
    <row r="1357" spans="1:4" x14ac:dyDescent="0.25">
      <c r="A1357" s="7">
        <v>44535.125</v>
      </c>
      <c r="B1357" s="1" t="s">
        <v>75</v>
      </c>
      <c r="C1357" s="1">
        <v>488.88</v>
      </c>
      <c r="D1357" s="1">
        <v>200.66</v>
      </c>
    </row>
    <row r="1358" spans="1:4" x14ac:dyDescent="0.25">
      <c r="A1358" s="7">
        <v>44535.125</v>
      </c>
      <c r="B1358" s="1" t="s">
        <v>76</v>
      </c>
      <c r="C1358" s="1">
        <v>5082.8</v>
      </c>
      <c r="D1358" s="1">
        <v>1024.0999999999999</v>
      </c>
    </row>
    <row r="1359" spans="1:4" x14ac:dyDescent="0.25">
      <c r="A1359" s="7">
        <v>44535.125</v>
      </c>
      <c r="B1359" s="1" t="s">
        <v>73</v>
      </c>
      <c r="C1359" s="1">
        <v>1447.75</v>
      </c>
      <c r="D1359" s="1">
        <v>156.85</v>
      </c>
    </row>
    <row r="1360" spans="1:4" x14ac:dyDescent="0.25">
      <c r="A1360" s="7">
        <v>44535.125</v>
      </c>
      <c r="B1360" s="1" t="s">
        <v>71</v>
      </c>
      <c r="C1360" s="1">
        <v>1877.59</v>
      </c>
      <c r="D1360" s="1">
        <v>453.81</v>
      </c>
    </row>
    <row r="1361" spans="1:4" x14ac:dyDescent="0.25">
      <c r="A1361" s="7">
        <v>44535.125</v>
      </c>
      <c r="B1361" s="1" t="s">
        <v>70</v>
      </c>
      <c r="C1361" s="1">
        <v>1912.62</v>
      </c>
      <c r="D1361" s="1">
        <v>718.24</v>
      </c>
    </row>
    <row r="1362" spans="1:4" x14ac:dyDescent="0.25">
      <c r="A1362" s="7">
        <v>44535.125</v>
      </c>
      <c r="B1362" s="1" t="s">
        <v>72</v>
      </c>
      <c r="C1362" s="1">
        <v>1925.21</v>
      </c>
      <c r="D1362" s="1">
        <v>1199.68</v>
      </c>
    </row>
    <row r="1363" spans="1:4" x14ac:dyDescent="0.25">
      <c r="A1363" s="7">
        <v>44535.125</v>
      </c>
      <c r="B1363" s="1" t="s">
        <v>68</v>
      </c>
      <c r="C1363" s="1">
        <v>1412.85</v>
      </c>
      <c r="D1363" s="1">
        <v>340.74</v>
      </c>
    </row>
    <row r="1364" spans="1:4" x14ac:dyDescent="0.25">
      <c r="A1364" s="7">
        <v>44535.125</v>
      </c>
      <c r="B1364" s="1" t="s">
        <v>77</v>
      </c>
      <c r="C1364" s="1">
        <v>3587.66</v>
      </c>
      <c r="D1364" s="1">
        <v>1009.16</v>
      </c>
    </row>
    <row r="1365" spans="1:4" x14ac:dyDescent="0.25">
      <c r="A1365" s="7">
        <v>44535.125</v>
      </c>
      <c r="B1365" s="1" t="s">
        <v>69</v>
      </c>
      <c r="C1365" s="1">
        <v>1117.1300000000001</v>
      </c>
      <c r="D1365" s="1">
        <v>826</v>
      </c>
    </row>
    <row r="1366" spans="1:4" x14ac:dyDescent="0.25">
      <c r="A1366" s="7">
        <v>44535.166666666664</v>
      </c>
      <c r="B1366" s="1" t="s">
        <v>75</v>
      </c>
      <c r="C1366" s="1">
        <v>252.76</v>
      </c>
      <c r="D1366" s="1">
        <v>113.87</v>
      </c>
    </row>
    <row r="1367" spans="1:4" x14ac:dyDescent="0.25">
      <c r="A1367" s="7">
        <v>44535.166666666664</v>
      </c>
      <c r="B1367" s="1" t="s">
        <v>74</v>
      </c>
      <c r="C1367" s="1">
        <v>1250.3900000000001</v>
      </c>
      <c r="D1367" s="1">
        <v>277.68</v>
      </c>
    </row>
    <row r="1368" spans="1:4" x14ac:dyDescent="0.25">
      <c r="A1368" s="7">
        <v>44535.166666666664</v>
      </c>
      <c r="B1368" s="1" t="s">
        <v>73</v>
      </c>
      <c r="C1368" s="1">
        <v>1055.57</v>
      </c>
      <c r="D1368" s="1">
        <v>137.71</v>
      </c>
    </row>
    <row r="1369" spans="1:4" x14ac:dyDescent="0.25">
      <c r="A1369" s="7">
        <v>44535.166666666664</v>
      </c>
      <c r="B1369" s="1" t="s">
        <v>77</v>
      </c>
      <c r="C1369" s="1">
        <v>2382.21</v>
      </c>
      <c r="D1369" s="1">
        <v>702.82</v>
      </c>
    </row>
    <row r="1370" spans="1:4" x14ac:dyDescent="0.25">
      <c r="A1370" s="7">
        <v>44535.166666666664</v>
      </c>
      <c r="B1370" s="1" t="s">
        <v>71</v>
      </c>
      <c r="C1370" s="1">
        <v>1479.53</v>
      </c>
      <c r="D1370" s="1">
        <v>356.51</v>
      </c>
    </row>
    <row r="1371" spans="1:4" x14ac:dyDescent="0.25">
      <c r="A1371" s="7">
        <v>44535.166666666664</v>
      </c>
      <c r="B1371" s="1" t="s">
        <v>69</v>
      </c>
      <c r="C1371" s="1">
        <v>809.93</v>
      </c>
      <c r="D1371" s="1">
        <v>623.20000000000005</v>
      </c>
    </row>
    <row r="1372" spans="1:4" x14ac:dyDescent="0.25">
      <c r="A1372" s="7">
        <v>44535.166666666664</v>
      </c>
      <c r="B1372" s="1" t="s">
        <v>70</v>
      </c>
      <c r="C1372" s="1">
        <v>1407.6</v>
      </c>
      <c r="D1372" s="1">
        <v>576.20000000000005</v>
      </c>
    </row>
    <row r="1373" spans="1:4" x14ac:dyDescent="0.25">
      <c r="A1373" s="7">
        <v>44535.166666666664</v>
      </c>
      <c r="B1373" s="1" t="s">
        <v>78</v>
      </c>
      <c r="C1373" s="1">
        <v>445.89</v>
      </c>
      <c r="D1373" s="1">
        <v>244.76</v>
      </c>
    </row>
    <row r="1374" spans="1:4" x14ac:dyDescent="0.25">
      <c r="A1374" s="7">
        <v>44535.166666666664</v>
      </c>
      <c r="B1374" s="1" t="s">
        <v>76</v>
      </c>
      <c r="C1374" s="1">
        <v>2450.37</v>
      </c>
      <c r="D1374" s="1">
        <v>612.09</v>
      </c>
    </row>
    <row r="1375" spans="1:4" x14ac:dyDescent="0.25">
      <c r="A1375" s="7">
        <v>44535.166666666664</v>
      </c>
      <c r="B1375" s="1" t="s">
        <v>72</v>
      </c>
      <c r="C1375" s="1">
        <v>1443.15</v>
      </c>
      <c r="D1375" s="1">
        <v>876.41</v>
      </c>
    </row>
    <row r="1376" spans="1:4" x14ac:dyDescent="0.25">
      <c r="A1376" s="7">
        <v>44535.166666666664</v>
      </c>
      <c r="B1376" s="1" t="s">
        <v>68</v>
      </c>
      <c r="C1376" s="1">
        <v>1206.78</v>
      </c>
      <c r="D1376" s="1">
        <v>317.69</v>
      </c>
    </row>
    <row r="1377" spans="1:4" x14ac:dyDescent="0.25">
      <c r="A1377" s="7">
        <v>44535.208333333336</v>
      </c>
      <c r="B1377" s="1" t="s">
        <v>75</v>
      </c>
      <c r="C1377" s="1">
        <v>111.32</v>
      </c>
      <c r="D1377" s="1">
        <v>35</v>
      </c>
    </row>
    <row r="1378" spans="1:4" x14ac:dyDescent="0.25">
      <c r="A1378" s="7">
        <v>44535.208333333336</v>
      </c>
      <c r="B1378" s="1" t="s">
        <v>74</v>
      </c>
      <c r="C1378" s="1">
        <v>876.45</v>
      </c>
      <c r="D1378" s="1">
        <v>157.80000000000001</v>
      </c>
    </row>
    <row r="1379" spans="1:4" x14ac:dyDescent="0.25">
      <c r="A1379" s="7">
        <v>44535.208333333336</v>
      </c>
      <c r="B1379" s="1" t="s">
        <v>72</v>
      </c>
      <c r="C1379" s="1">
        <v>828.51</v>
      </c>
      <c r="D1379" s="1">
        <v>441.6</v>
      </c>
    </row>
    <row r="1380" spans="1:4" x14ac:dyDescent="0.25">
      <c r="A1380" s="7">
        <v>44535.208333333336</v>
      </c>
      <c r="B1380" s="1" t="s">
        <v>77</v>
      </c>
      <c r="C1380" s="1">
        <v>1820.29</v>
      </c>
      <c r="D1380" s="1">
        <v>506.45</v>
      </c>
    </row>
    <row r="1381" spans="1:4" x14ac:dyDescent="0.25">
      <c r="A1381" s="7">
        <v>44535.208333333336</v>
      </c>
      <c r="B1381" s="1" t="s">
        <v>71</v>
      </c>
      <c r="C1381" s="1">
        <v>1282.8800000000001</v>
      </c>
      <c r="D1381" s="1">
        <v>255.08</v>
      </c>
    </row>
    <row r="1382" spans="1:4" x14ac:dyDescent="0.25">
      <c r="A1382" s="7">
        <v>44535.208333333336</v>
      </c>
      <c r="B1382" s="1" t="s">
        <v>69</v>
      </c>
      <c r="C1382" s="1">
        <v>477.73</v>
      </c>
      <c r="D1382" s="1">
        <v>285.70999999999998</v>
      </c>
    </row>
    <row r="1383" spans="1:4" x14ac:dyDescent="0.25">
      <c r="A1383" s="7">
        <v>44535.208333333336</v>
      </c>
      <c r="B1383" s="1" t="s">
        <v>70</v>
      </c>
      <c r="C1383" s="1">
        <v>702.99</v>
      </c>
      <c r="D1383" s="1">
        <v>258.10000000000002</v>
      </c>
    </row>
    <row r="1384" spans="1:4" x14ac:dyDescent="0.25">
      <c r="A1384" s="7">
        <v>44535.208333333336</v>
      </c>
      <c r="B1384" s="1" t="s">
        <v>78</v>
      </c>
      <c r="C1384" s="1">
        <v>206.8</v>
      </c>
      <c r="D1384" s="1">
        <v>103.21</v>
      </c>
    </row>
    <row r="1385" spans="1:4" x14ac:dyDescent="0.25">
      <c r="A1385" s="7">
        <v>44535.208333333336</v>
      </c>
      <c r="B1385" s="1" t="s">
        <v>76</v>
      </c>
      <c r="C1385" s="1">
        <v>1356.06</v>
      </c>
      <c r="D1385" s="1">
        <v>356.32</v>
      </c>
    </row>
    <row r="1386" spans="1:4" x14ac:dyDescent="0.25">
      <c r="A1386" s="7">
        <v>44535.208333333336</v>
      </c>
      <c r="B1386" s="1" t="s">
        <v>73</v>
      </c>
      <c r="C1386" s="1">
        <v>776.46</v>
      </c>
      <c r="D1386" s="1">
        <v>78.41</v>
      </c>
    </row>
    <row r="1387" spans="1:4" x14ac:dyDescent="0.25">
      <c r="A1387" s="7">
        <v>44535.208333333336</v>
      </c>
      <c r="B1387" s="1" t="s">
        <v>68</v>
      </c>
      <c r="C1387" s="1">
        <v>1106.3800000000001</v>
      </c>
      <c r="D1387" s="1">
        <v>230.02</v>
      </c>
    </row>
    <row r="1388" spans="1:4" x14ac:dyDescent="0.25">
      <c r="A1388" s="7">
        <v>44535.25</v>
      </c>
      <c r="B1388" s="1" t="s">
        <v>75</v>
      </c>
      <c r="C1388" s="1">
        <v>147</v>
      </c>
      <c r="D1388" s="1">
        <v>38.08</v>
      </c>
    </row>
    <row r="1389" spans="1:4" x14ac:dyDescent="0.25">
      <c r="A1389" s="7">
        <v>44535.25</v>
      </c>
      <c r="B1389" s="1" t="s">
        <v>74</v>
      </c>
      <c r="C1389" s="1">
        <v>2468.52</v>
      </c>
      <c r="D1389" s="1">
        <v>363.89</v>
      </c>
    </row>
    <row r="1390" spans="1:4" x14ac:dyDescent="0.25">
      <c r="A1390" s="7">
        <v>44535.25</v>
      </c>
      <c r="B1390" s="1" t="s">
        <v>72</v>
      </c>
      <c r="C1390" s="1">
        <v>1438.04</v>
      </c>
      <c r="D1390" s="1">
        <v>666.99</v>
      </c>
    </row>
    <row r="1391" spans="1:4" x14ac:dyDescent="0.25">
      <c r="A1391" s="7">
        <v>44535.25</v>
      </c>
      <c r="B1391" s="1" t="s">
        <v>68</v>
      </c>
      <c r="C1391" s="1">
        <v>3160.78</v>
      </c>
      <c r="D1391" s="1">
        <v>632.57000000000005</v>
      </c>
    </row>
    <row r="1392" spans="1:4" x14ac:dyDescent="0.25">
      <c r="A1392" s="7">
        <v>44535.25</v>
      </c>
      <c r="B1392" s="1" t="s">
        <v>77</v>
      </c>
      <c r="C1392" s="1">
        <v>3665.32</v>
      </c>
      <c r="D1392" s="1">
        <v>903.32</v>
      </c>
    </row>
    <row r="1393" spans="1:4" x14ac:dyDescent="0.25">
      <c r="A1393" s="7">
        <v>44535.25</v>
      </c>
      <c r="B1393" s="1" t="s">
        <v>69</v>
      </c>
      <c r="C1393" s="1">
        <v>799.45</v>
      </c>
      <c r="D1393" s="1">
        <v>388.66</v>
      </c>
    </row>
    <row r="1394" spans="1:4" x14ac:dyDescent="0.25">
      <c r="A1394" s="7">
        <v>44535.25</v>
      </c>
      <c r="B1394" s="1" t="s">
        <v>70</v>
      </c>
      <c r="C1394" s="1">
        <v>1451.95</v>
      </c>
      <c r="D1394" s="1">
        <v>483.96</v>
      </c>
    </row>
    <row r="1395" spans="1:4" x14ac:dyDescent="0.25">
      <c r="A1395" s="7">
        <v>44535.25</v>
      </c>
      <c r="B1395" s="1" t="s">
        <v>78</v>
      </c>
      <c r="C1395" s="1">
        <v>291.45</v>
      </c>
      <c r="D1395" s="1">
        <v>121.83</v>
      </c>
    </row>
    <row r="1396" spans="1:4" x14ac:dyDescent="0.25">
      <c r="A1396" s="7">
        <v>44535.25</v>
      </c>
      <c r="B1396" s="1" t="s">
        <v>76</v>
      </c>
      <c r="C1396" s="1">
        <v>3700.88</v>
      </c>
      <c r="D1396" s="1">
        <v>730.93</v>
      </c>
    </row>
    <row r="1397" spans="1:4" x14ac:dyDescent="0.25">
      <c r="A1397" s="7">
        <v>44535.25</v>
      </c>
      <c r="B1397" s="1" t="s">
        <v>73</v>
      </c>
      <c r="C1397" s="1">
        <v>2211.2600000000002</v>
      </c>
      <c r="D1397" s="1">
        <v>190.69</v>
      </c>
    </row>
    <row r="1398" spans="1:4" x14ac:dyDescent="0.25">
      <c r="A1398" s="7">
        <v>44535.25</v>
      </c>
      <c r="B1398" s="1" t="s">
        <v>71</v>
      </c>
      <c r="C1398" s="1">
        <v>3784.18</v>
      </c>
      <c r="D1398" s="1">
        <v>714.81</v>
      </c>
    </row>
    <row r="1399" spans="1:4" x14ac:dyDescent="0.25">
      <c r="A1399" s="7">
        <v>44535.291666666664</v>
      </c>
      <c r="B1399" s="1" t="s">
        <v>74</v>
      </c>
      <c r="C1399" s="1">
        <v>4774.92</v>
      </c>
      <c r="D1399" s="1">
        <v>740.67</v>
      </c>
    </row>
    <row r="1400" spans="1:4" x14ac:dyDescent="0.25">
      <c r="A1400" s="7">
        <v>44535.291666666664</v>
      </c>
      <c r="B1400" s="1" t="s">
        <v>78</v>
      </c>
      <c r="C1400" s="1">
        <v>485.68</v>
      </c>
      <c r="D1400" s="1">
        <v>191.56</v>
      </c>
    </row>
    <row r="1401" spans="1:4" x14ac:dyDescent="0.25">
      <c r="A1401" s="7">
        <v>44535.291666666664</v>
      </c>
      <c r="B1401" s="1" t="s">
        <v>75</v>
      </c>
      <c r="C1401" s="1">
        <v>289.58</v>
      </c>
      <c r="D1401" s="1">
        <v>70.91</v>
      </c>
    </row>
    <row r="1402" spans="1:4" x14ac:dyDescent="0.25">
      <c r="A1402" s="7">
        <v>44535.291666666664</v>
      </c>
      <c r="B1402" s="1" t="s">
        <v>76</v>
      </c>
      <c r="C1402" s="1">
        <v>7456.68</v>
      </c>
      <c r="D1402" s="1">
        <v>1431.3</v>
      </c>
    </row>
    <row r="1403" spans="1:4" x14ac:dyDescent="0.25">
      <c r="A1403" s="7">
        <v>44535.291666666664</v>
      </c>
      <c r="B1403" s="1" t="s">
        <v>68</v>
      </c>
      <c r="C1403" s="1">
        <v>5821.27</v>
      </c>
      <c r="D1403" s="1">
        <v>1319.93</v>
      </c>
    </row>
    <row r="1404" spans="1:4" x14ac:dyDescent="0.25">
      <c r="A1404" s="7">
        <v>44535.291666666664</v>
      </c>
      <c r="B1404" s="1" t="s">
        <v>71</v>
      </c>
      <c r="C1404" s="1">
        <v>6589.47</v>
      </c>
      <c r="D1404" s="1">
        <v>1414.46</v>
      </c>
    </row>
    <row r="1405" spans="1:4" x14ac:dyDescent="0.25">
      <c r="A1405" s="7">
        <v>44535.291666666664</v>
      </c>
      <c r="B1405" s="1" t="s">
        <v>72</v>
      </c>
      <c r="C1405" s="1">
        <v>2779.46</v>
      </c>
      <c r="D1405" s="1">
        <v>1299.5899999999999</v>
      </c>
    </row>
    <row r="1406" spans="1:4" x14ac:dyDescent="0.25">
      <c r="A1406" s="7">
        <v>44535.291666666664</v>
      </c>
      <c r="B1406" s="1" t="s">
        <v>73</v>
      </c>
      <c r="C1406" s="1">
        <v>4403.66</v>
      </c>
      <c r="D1406" s="1">
        <v>453.88</v>
      </c>
    </row>
    <row r="1407" spans="1:4" x14ac:dyDescent="0.25">
      <c r="A1407" s="7">
        <v>44535.291666666664</v>
      </c>
      <c r="B1407" s="1" t="s">
        <v>77</v>
      </c>
      <c r="C1407" s="1">
        <v>6410.11</v>
      </c>
      <c r="D1407" s="1">
        <v>1570.51</v>
      </c>
    </row>
    <row r="1408" spans="1:4" x14ac:dyDescent="0.25">
      <c r="A1408" s="7">
        <v>44535.291666666664</v>
      </c>
      <c r="B1408" s="1" t="s">
        <v>69</v>
      </c>
      <c r="C1408" s="1">
        <v>1417.66</v>
      </c>
      <c r="D1408" s="1">
        <v>722.51</v>
      </c>
    </row>
    <row r="1409" spans="1:4" x14ac:dyDescent="0.25">
      <c r="A1409" s="7">
        <v>44535.291666666664</v>
      </c>
      <c r="B1409" s="1" t="s">
        <v>70</v>
      </c>
      <c r="C1409" s="1">
        <v>2902.37</v>
      </c>
      <c r="D1409" s="1">
        <v>1013.16</v>
      </c>
    </row>
    <row r="1410" spans="1:4" x14ac:dyDescent="0.25">
      <c r="A1410" s="7">
        <v>44535.333333333336</v>
      </c>
      <c r="B1410" s="1" t="s">
        <v>75</v>
      </c>
      <c r="C1410" s="1">
        <v>485.18</v>
      </c>
      <c r="D1410" s="1">
        <v>136.96</v>
      </c>
    </row>
    <row r="1411" spans="1:4" x14ac:dyDescent="0.25">
      <c r="A1411" s="7">
        <v>44535.333333333336</v>
      </c>
      <c r="B1411" s="1" t="s">
        <v>74</v>
      </c>
      <c r="C1411" s="1">
        <v>6918.85</v>
      </c>
      <c r="D1411" s="1">
        <v>1207.9000000000001</v>
      </c>
    </row>
    <row r="1412" spans="1:4" x14ac:dyDescent="0.25">
      <c r="A1412" s="7">
        <v>44535.333333333336</v>
      </c>
      <c r="B1412" s="1" t="s">
        <v>78</v>
      </c>
      <c r="C1412" s="1">
        <v>875.63</v>
      </c>
      <c r="D1412" s="1">
        <v>367.9</v>
      </c>
    </row>
    <row r="1413" spans="1:4" x14ac:dyDescent="0.25">
      <c r="A1413" s="7">
        <v>44535.333333333336</v>
      </c>
      <c r="B1413" s="1" t="s">
        <v>76</v>
      </c>
      <c r="C1413" s="1">
        <v>11156.04</v>
      </c>
      <c r="D1413" s="1">
        <v>2332.27</v>
      </c>
    </row>
    <row r="1414" spans="1:4" x14ac:dyDescent="0.25">
      <c r="A1414" s="7">
        <v>44535.333333333336</v>
      </c>
      <c r="B1414" s="1" t="s">
        <v>73</v>
      </c>
      <c r="C1414" s="1">
        <v>6547.87</v>
      </c>
      <c r="D1414" s="1">
        <v>801.54</v>
      </c>
    </row>
    <row r="1415" spans="1:4" x14ac:dyDescent="0.25">
      <c r="A1415" s="7">
        <v>44535.333333333336</v>
      </c>
      <c r="B1415" s="1" t="s">
        <v>68</v>
      </c>
      <c r="C1415" s="1">
        <v>8333.51</v>
      </c>
      <c r="D1415" s="1">
        <v>2149.23</v>
      </c>
    </row>
    <row r="1416" spans="1:4" x14ac:dyDescent="0.25">
      <c r="A1416" s="7">
        <v>44535.333333333336</v>
      </c>
      <c r="B1416" s="1" t="s">
        <v>71</v>
      </c>
      <c r="C1416" s="1">
        <v>9014.57</v>
      </c>
      <c r="D1416" s="1">
        <v>2188.4899999999998</v>
      </c>
    </row>
    <row r="1417" spans="1:4" x14ac:dyDescent="0.25">
      <c r="A1417" s="7">
        <v>44535.333333333336</v>
      </c>
      <c r="B1417" s="1" t="s">
        <v>69</v>
      </c>
      <c r="C1417" s="1">
        <v>2488.12</v>
      </c>
      <c r="D1417" s="1">
        <v>1443.53</v>
      </c>
    </row>
    <row r="1418" spans="1:4" x14ac:dyDescent="0.25">
      <c r="A1418" s="7">
        <v>44535.333333333336</v>
      </c>
      <c r="B1418" s="1" t="s">
        <v>70</v>
      </c>
      <c r="C1418" s="1">
        <v>4664.26</v>
      </c>
      <c r="D1418" s="1">
        <v>1787.13</v>
      </c>
    </row>
    <row r="1419" spans="1:4" x14ac:dyDescent="0.25">
      <c r="A1419" s="7">
        <v>44535.333333333336</v>
      </c>
      <c r="B1419" s="1" t="s">
        <v>72</v>
      </c>
      <c r="C1419" s="1">
        <v>4771.29</v>
      </c>
      <c r="D1419" s="1">
        <v>2475.27</v>
      </c>
    </row>
    <row r="1420" spans="1:4" x14ac:dyDescent="0.25">
      <c r="A1420" s="7">
        <v>44535.333333333336</v>
      </c>
      <c r="B1420" s="1" t="s">
        <v>77</v>
      </c>
      <c r="C1420" s="1">
        <v>9626.6200000000008</v>
      </c>
      <c r="D1420" s="1">
        <v>2499.52</v>
      </c>
    </row>
    <row r="1421" spans="1:4" x14ac:dyDescent="0.25">
      <c r="A1421" s="7">
        <v>44535.375</v>
      </c>
      <c r="B1421" s="1" t="s">
        <v>75</v>
      </c>
      <c r="C1421" s="1">
        <v>711.01</v>
      </c>
      <c r="D1421" s="1">
        <v>229.84</v>
      </c>
    </row>
    <row r="1422" spans="1:4" x14ac:dyDescent="0.25">
      <c r="A1422" s="7">
        <v>44535.375</v>
      </c>
      <c r="B1422" s="1" t="s">
        <v>74</v>
      </c>
      <c r="C1422" s="1">
        <v>8216.57</v>
      </c>
      <c r="D1422" s="1">
        <v>1691.36</v>
      </c>
    </row>
    <row r="1423" spans="1:4" x14ac:dyDescent="0.25">
      <c r="A1423" s="7">
        <v>44535.375</v>
      </c>
      <c r="B1423" s="1" t="s">
        <v>76</v>
      </c>
      <c r="C1423" s="1">
        <v>13660.99</v>
      </c>
      <c r="D1423" s="1">
        <v>3138.61</v>
      </c>
    </row>
    <row r="1424" spans="1:4" x14ac:dyDescent="0.25">
      <c r="A1424" s="7">
        <v>44535.375</v>
      </c>
      <c r="B1424" s="1" t="s">
        <v>77</v>
      </c>
      <c r="C1424" s="1">
        <v>12362.82</v>
      </c>
      <c r="D1424" s="1">
        <v>3373.57</v>
      </c>
    </row>
    <row r="1425" spans="1:4" x14ac:dyDescent="0.25">
      <c r="A1425" s="7">
        <v>44535.375</v>
      </c>
      <c r="B1425" s="1" t="s">
        <v>71</v>
      </c>
      <c r="C1425" s="1">
        <v>10409.17</v>
      </c>
      <c r="D1425" s="1">
        <v>2815.99</v>
      </c>
    </row>
    <row r="1426" spans="1:4" x14ac:dyDescent="0.25">
      <c r="A1426" s="7">
        <v>44535.375</v>
      </c>
      <c r="B1426" s="1" t="s">
        <v>69</v>
      </c>
      <c r="C1426" s="1">
        <v>3788.22</v>
      </c>
      <c r="D1426" s="1">
        <v>2645.14</v>
      </c>
    </row>
    <row r="1427" spans="1:4" x14ac:dyDescent="0.25">
      <c r="A1427" s="7">
        <v>44535.375</v>
      </c>
      <c r="B1427" s="1" t="s">
        <v>70</v>
      </c>
      <c r="C1427" s="1">
        <v>6273.93</v>
      </c>
      <c r="D1427" s="1">
        <v>2648.3</v>
      </c>
    </row>
    <row r="1428" spans="1:4" x14ac:dyDescent="0.25">
      <c r="A1428" s="7">
        <v>44535.375</v>
      </c>
      <c r="B1428" s="1" t="s">
        <v>78</v>
      </c>
      <c r="C1428" s="1">
        <v>1364.44</v>
      </c>
      <c r="D1428" s="1">
        <v>664.94</v>
      </c>
    </row>
    <row r="1429" spans="1:4" x14ac:dyDescent="0.25">
      <c r="A1429" s="7">
        <v>44535.375</v>
      </c>
      <c r="B1429" s="1" t="s">
        <v>72</v>
      </c>
      <c r="C1429" s="1">
        <v>7070.3</v>
      </c>
      <c r="D1429" s="1">
        <v>4166.96</v>
      </c>
    </row>
    <row r="1430" spans="1:4" x14ac:dyDescent="0.25">
      <c r="A1430" s="7">
        <v>44535.375</v>
      </c>
      <c r="B1430" s="1" t="s">
        <v>73</v>
      </c>
      <c r="C1430" s="1">
        <v>7931.11</v>
      </c>
      <c r="D1430" s="1">
        <v>1100.17</v>
      </c>
    </row>
    <row r="1431" spans="1:4" x14ac:dyDescent="0.25">
      <c r="A1431" s="7">
        <v>44535.375</v>
      </c>
      <c r="B1431" s="1" t="s">
        <v>68</v>
      </c>
      <c r="C1431" s="1">
        <v>9924.2999999999993</v>
      </c>
      <c r="D1431" s="1">
        <v>2903.54</v>
      </c>
    </row>
    <row r="1432" spans="1:4" x14ac:dyDescent="0.25">
      <c r="A1432" s="7">
        <v>44535.416666666664</v>
      </c>
      <c r="B1432" s="1" t="s">
        <v>75</v>
      </c>
      <c r="C1432" s="1">
        <v>903.74</v>
      </c>
      <c r="D1432" s="1">
        <v>347.1</v>
      </c>
    </row>
    <row r="1433" spans="1:4" x14ac:dyDescent="0.25">
      <c r="A1433" s="7">
        <v>44535.416666666664</v>
      </c>
      <c r="B1433" s="1" t="s">
        <v>74</v>
      </c>
      <c r="C1433" s="1">
        <v>8941.15</v>
      </c>
      <c r="D1433" s="1">
        <v>2030.85</v>
      </c>
    </row>
    <row r="1434" spans="1:4" x14ac:dyDescent="0.25">
      <c r="A1434" s="7">
        <v>44535.416666666664</v>
      </c>
      <c r="B1434" s="1" t="s">
        <v>72</v>
      </c>
      <c r="C1434" s="1">
        <v>9093.26</v>
      </c>
      <c r="D1434" s="1">
        <v>6048.43</v>
      </c>
    </row>
    <row r="1435" spans="1:4" x14ac:dyDescent="0.25">
      <c r="A1435" s="7">
        <v>44535.416666666664</v>
      </c>
      <c r="B1435" s="1" t="s">
        <v>77</v>
      </c>
      <c r="C1435" s="1">
        <v>13809.11</v>
      </c>
      <c r="D1435" s="1">
        <v>3970.22</v>
      </c>
    </row>
    <row r="1436" spans="1:4" x14ac:dyDescent="0.25">
      <c r="A1436" s="7">
        <v>44535.416666666664</v>
      </c>
      <c r="B1436" s="1" t="s">
        <v>69</v>
      </c>
      <c r="C1436" s="1">
        <v>5011.08</v>
      </c>
      <c r="D1436" s="1">
        <v>4123.6099999999997</v>
      </c>
    </row>
    <row r="1437" spans="1:4" x14ac:dyDescent="0.25">
      <c r="A1437" s="7">
        <v>44535.416666666664</v>
      </c>
      <c r="B1437" s="1" t="s">
        <v>70</v>
      </c>
      <c r="C1437" s="1">
        <v>7213.38</v>
      </c>
      <c r="D1437" s="1">
        <v>3235.34</v>
      </c>
    </row>
    <row r="1438" spans="1:4" x14ac:dyDescent="0.25">
      <c r="A1438" s="7">
        <v>44535.416666666664</v>
      </c>
      <c r="B1438" s="1" t="s">
        <v>78</v>
      </c>
      <c r="C1438" s="1">
        <v>1857.94</v>
      </c>
      <c r="D1438" s="1">
        <v>1046.94</v>
      </c>
    </row>
    <row r="1439" spans="1:4" x14ac:dyDescent="0.25">
      <c r="A1439" s="7">
        <v>44535.416666666664</v>
      </c>
      <c r="B1439" s="1" t="s">
        <v>76</v>
      </c>
      <c r="C1439" s="1">
        <v>14924.72</v>
      </c>
      <c r="D1439" s="1">
        <v>3729.78</v>
      </c>
    </row>
    <row r="1440" spans="1:4" x14ac:dyDescent="0.25">
      <c r="A1440" s="7">
        <v>44535.416666666664</v>
      </c>
      <c r="B1440" s="1" t="s">
        <v>73</v>
      </c>
      <c r="C1440" s="1">
        <v>8557.09</v>
      </c>
      <c r="D1440" s="1">
        <v>1305.49</v>
      </c>
    </row>
    <row r="1441" spans="1:4" x14ac:dyDescent="0.25">
      <c r="A1441" s="7">
        <v>44535.416666666664</v>
      </c>
      <c r="B1441" s="1" t="s">
        <v>68</v>
      </c>
      <c r="C1441" s="1">
        <v>10426.02</v>
      </c>
      <c r="D1441" s="1">
        <v>3472.83</v>
      </c>
    </row>
    <row r="1442" spans="1:4" x14ac:dyDescent="0.25">
      <c r="A1442" s="7">
        <v>44535.416666666664</v>
      </c>
      <c r="B1442" s="1" t="s">
        <v>71</v>
      </c>
      <c r="C1442" s="1">
        <v>11098.5</v>
      </c>
      <c r="D1442" s="1">
        <v>3243.34</v>
      </c>
    </row>
    <row r="1443" spans="1:4" x14ac:dyDescent="0.25">
      <c r="A1443" s="7">
        <v>44535.458333333336</v>
      </c>
      <c r="B1443" s="1" t="s">
        <v>75</v>
      </c>
      <c r="C1443" s="1">
        <v>1014.88</v>
      </c>
      <c r="D1443" s="1">
        <v>415.97</v>
      </c>
    </row>
    <row r="1444" spans="1:4" x14ac:dyDescent="0.25">
      <c r="A1444" s="7">
        <v>44535.458333333336</v>
      </c>
      <c r="B1444" s="1" t="s">
        <v>74</v>
      </c>
      <c r="C1444" s="1">
        <v>8703.89</v>
      </c>
      <c r="D1444" s="1">
        <v>2093.54</v>
      </c>
    </row>
    <row r="1445" spans="1:4" x14ac:dyDescent="0.25">
      <c r="A1445" s="7">
        <v>44535.458333333336</v>
      </c>
      <c r="B1445" s="1" t="s">
        <v>68</v>
      </c>
      <c r="C1445" s="1">
        <v>9944.1200000000008</v>
      </c>
      <c r="D1445" s="1">
        <v>3551.57</v>
      </c>
    </row>
    <row r="1446" spans="1:4" x14ac:dyDescent="0.25">
      <c r="A1446" s="7">
        <v>44535.458333333336</v>
      </c>
      <c r="B1446" s="1" t="s">
        <v>77</v>
      </c>
      <c r="C1446" s="1">
        <v>13706.76</v>
      </c>
      <c r="D1446" s="1">
        <v>4044.73</v>
      </c>
    </row>
    <row r="1447" spans="1:4" x14ac:dyDescent="0.25">
      <c r="A1447" s="7">
        <v>44535.458333333336</v>
      </c>
      <c r="B1447" s="1" t="s">
        <v>71</v>
      </c>
      <c r="C1447" s="1">
        <v>10568.44</v>
      </c>
      <c r="D1447" s="1">
        <v>3262.16</v>
      </c>
    </row>
    <row r="1448" spans="1:4" x14ac:dyDescent="0.25">
      <c r="A1448" s="7">
        <v>44535.458333333336</v>
      </c>
      <c r="B1448" s="1" t="s">
        <v>70</v>
      </c>
      <c r="C1448" s="1">
        <v>7261.65</v>
      </c>
      <c r="D1448" s="1">
        <v>3395.11</v>
      </c>
    </row>
    <row r="1449" spans="1:4" x14ac:dyDescent="0.25">
      <c r="A1449" s="7">
        <v>44535.458333333336</v>
      </c>
      <c r="B1449" s="1" t="s">
        <v>78</v>
      </c>
      <c r="C1449" s="1">
        <v>2078.87</v>
      </c>
      <c r="D1449" s="1">
        <v>1264.31</v>
      </c>
    </row>
    <row r="1450" spans="1:4" x14ac:dyDescent="0.25">
      <c r="A1450" s="7">
        <v>44535.458333333336</v>
      </c>
      <c r="B1450" s="1" t="s">
        <v>76</v>
      </c>
      <c r="C1450" s="1">
        <v>14620.9</v>
      </c>
      <c r="D1450" s="1">
        <v>3813.14</v>
      </c>
    </row>
    <row r="1451" spans="1:4" x14ac:dyDescent="0.25">
      <c r="A1451" s="7">
        <v>44535.458333333336</v>
      </c>
      <c r="B1451" s="1" t="s">
        <v>73</v>
      </c>
      <c r="C1451" s="1">
        <v>8371.7000000000007</v>
      </c>
      <c r="D1451" s="1">
        <v>1326.29</v>
      </c>
    </row>
    <row r="1452" spans="1:4" x14ac:dyDescent="0.25">
      <c r="A1452" s="7">
        <v>44535.458333333336</v>
      </c>
      <c r="B1452" s="1" t="s">
        <v>72</v>
      </c>
      <c r="C1452" s="1">
        <v>9658.3700000000008</v>
      </c>
      <c r="D1452" s="1">
        <v>6937.75</v>
      </c>
    </row>
    <row r="1453" spans="1:4" x14ac:dyDescent="0.25">
      <c r="A1453" s="7">
        <v>44535.458333333336</v>
      </c>
      <c r="B1453" s="1" t="s">
        <v>69</v>
      </c>
      <c r="C1453" s="1">
        <v>5502.72</v>
      </c>
      <c r="D1453" s="1">
        <v>4913.8100000000004</v>
      </c>
    </row>
    <row r="1454" spans="1:4" x14ac:dyDescent="0.25">
      <c r="A1454" s="7">
        <v>44535.5</v>
      </c>
      <c r="B1454" s="1" t="s">
        <v>75</v>
      </c>
      <c r="C1454" s="1">
        <v>1002.6</v>
      </c>
      <c r="D1454" s="1">
        <v>443.51</v>
      </c>
    </row>
    <row r="1455" spans="1:4" x14ac:dyDescent="0.25">
      <c r="A1455" s="7">
        <v>44535.5</v>
      </c>
      <c r="B1455" s="1" t="s">
        <v>74</v>
      </c>
      <c r="C1455" s="1">
        <v>8088.29</v>
      </c>
      <c r="D1455" s="1">
        <v>1976.46</v>
      </c>
    </row>
    <row r="1456" spans="1:4" x14ac:dyDescent="0.25">
      <c r="A1456" s="7">
        <v>44535.5</v>
      </c>
      <c r="B1456" s="1" t="s">
        <v>73</v>
      </c>
      <c r="C1456" s="1">
        <v>7512.87</v>
      </c>
      <c r="D1456" s="1">
        <v>1175.29</v>
      </c>
    </row>
    <row r="1457" spans="1:4" x14ac:dyDescent="0.25">
      <c r="A1457" s="7">
        <v>44535.5</v>
      </c>
      <c r="B1457" s="1" t="s">
        <v>68</v>
      </c>
      <c r="C1457" s="1">
        <v>9326.75</v>
      </c>
      <c r="D1457" s="1">
        <v>3371.1</v>
      </c>
    </row>
    <row r="1458" spans="1:4" x14ac:dyDescent="0.25">
      <c r="A1458" s="7">
        <v>44535.5</v>
      </c>
      <c r="B1458" s="1" t="s">
        <v>77</v>
      </c>
      <c r="C1458" s="1">
        <v>12764.65</v>
      </c>
      <c r="D1458" s="1">
        <v>3775.74</v>
      </c>
    </row>
    <row r="1459" spans="1:4" x14ac:dyDescent="0.25">
      <c r="A1459" s="7">
        <v>44535.5</v>
      </c>
      <c r="B1459" s="1" t="s">
        <v>71</v>
      </c>
      <c r="C1459" s="1">
        <v>9998.65</v>
      </c>
      <c r="D1459" s="1">
        <v>3096.87</v>
      </c>
    </row>
    <row r="1460" spans="1:4" x14ac:dyDescent="0.25">
      <c r="A1460" s="7">
        <v>44535.5</v>
      </c>
      <c r="B1460" s="1" t="s">
        <v>78</v>
      </c>
      <c r="C1460" s="1">
        <v>2127.5700000000002</v>
      </c>
      <c r="D1460" s="1">
        <v>1312.42</v>
      </c>
    </row>
    <row r="1461" spans="1:4" x14ac:dyDescent="0.25">
      <c r="A1461" s="7">
        <v>44535.5</v>
      </c>
      <c r="B1461" s="1" t="s">
        <v>76</v>
      </c>
      <c r="C1461" s="1">
        <v>13584.98</v>
      </c>
      <c r="D1461" s="1">
        <v>3588.48</v>
      </c>
    </row>
    <row r="1462" spans="1:4" x14ac:dyDescent="0.25">
      <c r="A1462" s="7">
        <v>44535.5</v>
      </c>
      <c r="B1462" s="1" t="s">
        <v>72</v>
      </c>
      <c r="C1462" s="1">
        <v>9378.35</v>
      </c>
      <c r="D1462" s="1">
        <v>6912.75</v>
      </c>
    </row>
    <row r="1463" spans="1:4" x14ac:dyDescent="0.25">
      <c r="A1463" s="7">
        <v>44535.5</v>
      </c>
      <c r="B1463" s="1" t="s">
        <v>69</v>
      </c>
      <c r="C1463" s="1">
        <v>5338.37</v>
      </c>
      <c r="D1463" s="1">
        <v>5007.84</v>
      </c>
    </row>
    <row r="1464" spans="1:4" x14ac:dyDescent="0.25">
      <c r="A1464" s="7">
        <v>44535.5</v>
      </c>
      <c r="B1464" s="1" t="s">
        <v>70</v>
      </c>
      <c r="C1464" s="1">
        <v>6800.14</v>
      </c>
      <c r="D1464" s="1">
        <v>3195.5</v>
      </c>
    </row>
    <row r="1465" spans="1:4" x14ac:dyDescent="0.25">
      <c r="A1465" s="7">
        <v>44535.541666666664</v>
      </c>
      <c r="B1465" s="1" t="s">
        <v>75</v>
      </c>
      <c r="C1465" s="1">
        <v>863.19</v>
      </c>
      <c r="D1465" s="1">
        <v>399.78</v>
      </c>
    </row>
    <row r="1466" spans="1:4" x14ac:dyDescent="0.25">
      <c r="A1466" s="7">
        <v>44535.541666666664</v>
      </c>
      <c r="B1466" s="1" t="s">
        <v>74</v>
      </c>
      <c r="C1466" s="1">
        <v>6977.51</v>
      </c>
      <c r="D1466" s="1">
        <v>1655.9</v>
      </c>
    </row>
    <row r="1467" spans="1:4" x14ac:dyDescent="0.25">
      <c r="A1467" s="7">
        <v>44535.541666666664</v>
      </c>
      <c r="B1467" s="1" t="s">
        <v>78</v>
      </c>
      <c r="C1467" s="1">
        <v>1845.87</v>
      </c>
      <c r="D1467" s="1">
        <v>1161.46</v>
      </c>
    </row>
    <row r="1468" spans="1:4" x14ac:dyDescent="0.25">
      <c r="A1468" s="7">
        <v>44535.541666666664</v>
      </c>
      <c r="B1468" s="1" t="s">
        <v>76</v>
      </c>
      <c r="C1468" s="1">
        <v>11616.64</v>
      </c>
      <c r="D1468" s="1">
        <v>3083.69</v>
      </c>
    </row>
    <row r="1469" spans="1:4" x14ac:dyDescent="0.25">
      <c r="A1469" s="7">
        <v>44535.541666666664</v>
      </c>
      <c r="B1469" s="1" t="s">
        <v>73</v>
      </c>
      <c r="C1469" s="1">
        <v>6047.29</v>
      </c>
      <c r="D1469" s="1">
        <v>921.37</v>
      </c>
    </row>
    <row r="1470" spans="1:4" x14ac:dyDescent="0.25">
      <c r="A1470" s="7">
        <v>44535.541666666664</v>
      </c>
      <c r="B1470" s="1" t="s">
        <v>68</v>
      </c>
      <c r="C1470" s="1">
        <v>7614.54</v>
      </c>
      <c r="D1470" s="1">
        <v>2705.88</v>
      </c>
    </row>
    <row r="1471" spans="1:4" x14ac:dyDescent="0.25">
      <c r="A1471" s="7">
        <v>44535.541666666664</v>
      </c>
      <c r="B1471" s="1" t="s">
        <v>71</v>
      </c>
      <c r="C1471" s="1">
        <v>8141.1</v>
      </c>
      <c r="D1471" s="1">
        <v>2513.0700000000002</v>
      </c>
    </row>
    <row r="1472" spans="1:4" x14ac:dyDescent="0.25">
      <c r="A1472" s="7">
        <v>44535.541666666664</v>
      </c>
      <c r="B1472" s="1" t="s">
        <v>69</v>
      </c>
      <c r="C1472" s="1">
        <v>4490.82</v>
      </c>
      <c r="D1472" s="1">
        <v>4245.09</v>
      </c>
    </row>
    <row r="1473" spans="1:4" x14ac:dyDescent="0.25">
      <c r="A1473" s="7">
        <v>44535.541666666664</v>
      </c>
      <c r="B1473" s="1" t="s">
        <v>70</v>
      </c>
      <c r="C1473" s="1">
        <v>5506.52</v>
      </c>
      <c r="D1473" s="1">
        <v>2633.71</v>
      </c>
    </row>
    <row r="1474" spans="1:4" x14ac:dyDescent="0.25">
      <c r="A1474" s="7">
        <v>44535.541666666664</v>
      </c>
      <c r="B1474" s="1" t="s">
        <v>72</v>
      </c>
      <c r="C1474" s="1">
        <v>7755.93</v>
      </c>
      <c r="D1474" s="1">
        <v>5834</v>
      </c>
    </row>
    <row r="1475" spans="1:4" x14ac:dyDescent="0.25">
      <c r="A1475" s="7">
        <v>44535.541666666664</v>
      </c>
      <c r="B1475" s="1" t="s">
        <v>77</v>
      </c>
      <c r="C1475" s="1">
        <v>11065.18</v>
      </c>
      <c r="D1475" s="1">
        <v>3216.28</v>
      </c>
    </row>
    <row r="1476" spans="1:4" x14ac:dyDescent="0.25">
      <c r="A1476" s="7">
        <v>44535.583333333336</v>
      </c>
      <c r="B1476" s="1" t="s">
        <v>75</v>
      </c>
      <c r="C1476" s="1">
        <v>947.08</v>
      </c>
      <c r="D1476" s="1">
        <v>430.83</v>
      </c>
    </row>
    <row r="1477" spans="1:4" x14ac:dyDescent="0.25">
      <c r="A1477" s="7">
        <v>44535.583333333336</v>
      </c>
      <c r="B1477" s="1" t="s">
        <v>74</v>
      </c>
      <c r="C1477" s="1">
        <v>7355.14</v>
      </c>
      <c r="D1477" s="1">
        <v>1719.1</v>
      </c>
    </row>
    <row r="1478" spans="1:4" x14ac:dyDescent="0.25">
      <c r="A1478" s="7">
        <v>44535.583333333336</v>
      </c>
      <c r="B1478" s="1" t="s">
        <v>78</v>
      </c>
      <c r="C1478" s="1">
        <v>1968.16</v>
      </c>
      <c r="D1478" s="1">
        <v>1235.55</v>
      </c>
    </row>
    <row r="1479" spans="1:4" x14ac:dyDescent="0.25">
      <c r="A1479" s="7">
        <v>44535.583333333336</v>
      </c>
      <c r="B1479" s="1" t="s">
        <v>72</v>
      </c>
      <c r="C1479" s="1">
        <v>8304.41</v>
      </c>
      <c r="D1479" s="1">
        <v>6135.43</v>
      </c>
    </row>
    <row r="1480" spans="1:4" x14ac:dyDescent="0.25">
      <c r="A1480" s="7">
        <v>44535.583333333336</v>
      </c>
      <c r="B1480" s="1" t="s">
        <v>76</v>
      </c>
      <c r="C1480" s="1">
        <v>12013.69</v>
      </c>
      <c r="D1480" s="1">
        <v>3161.18</v>
      </c>
    </row>
    <row r="1481" spans="1:4" x14ac:dyDescent="0.25">
      <c r="A1481" s="7">
        <v>44535.583333333336</v>
      </c>
      <c r="B1481" s="1" t="s">
        <v>71</v>
      </c>
      <c r="C1481" s="1">
        <v>8881.89</v>
      </c>
      <c r="D1481" s="1">
        <v>2618.2199999999998</v>
      </c>
    </row>
    <row r="1482" spans="1:4" x14ac:dyDescent="0.25">
      <c r="A1482" s="7">
        <v>44535.583333333336</v>
      </c>
      <c r="B1482" s="1" t="s">
        <v>70</v>
      </c>
      <c r="C1482" s="1">
        <v>6092.86</v>
      </c>
      <c r="D1482" s="1">
        <v>2774.28</v>
      </c>
    </row>
    <row r="1483" spans="1:4" x14ac:dyDescent="0.25">
      <c r="A1483" s="7">
        <v>44535.583333333336</v>
      </c>
      <c r="B1483" s="1" t="s">
        <v>69</v>
      </c>
      <c r="C1483" s="1">
        <v>4720.37</v>
      </c>
      <c r="D1483" s="1">
        <v>4365.46</v>
      </c>
    </row>
    <row r="1484" spans="1:4" x14ac:dyDescent="0.25">
      <c r="A1484" s="7">
        <v>44535.583333333336</v>
      </c>
      <c r="B1484" s="1" t="s">
        <v>73</v>
      </c>
      <c r="C1484" s="1">
        <v>6676.63</v>
      </c>
      <c r="D1484" s="1">
        <v>973.68</v>
      </c>
    </row>
    <row r="1485" spans="1:4" x14ac:dyDescent="0.25">
      <c r="A1485" s="7">
        <v>44535.583333333336</v>
      </c>
      <c r="B1485" s="1" t="s">
        <v>68</v>
      </c>
      <c r="C1485" s="1">
        <v>8416.81</v>
      </c>
      <c r="D1485" s="1">
        <v>2816.62</v>
      </c>
    </row>
    <row r="1486" spans="1:4" x14ac:dyDescent="0.25">
      <c r="A1486" s="7">
        <v>44535.583333333336</v>
      </c>
      <c r="B1486" s="1" t="s">
        <v>77</v>
      </c>
      <c r="C1486" s="1">
        <v>11401.93</v>
      </c>
      <c r="D1486" s="1">
        <v>3274.86</v>
      </c>
    </row>
    <row r="1487" spans="1:4" x14ac:dyDescent="0.25">
      <c r="A1487" s="7">
        <v>44535.625</v>
      </c>
      <c r="B1487" s="1" t="s">
        <v>74</v>
      </c>
      <c r="C1487" s="1">
        <v>7686.25</v>
      </c>
      <c r="D1487" s="1">
        <v>1777.34</v>
      </c>
    </row>
    <row r="1488" spans="1:4" x14ac:dyDescent="0.25">
      <c r="A1488" s="7">
        <v>44535.625</v>
      </c>
      <c r="B1488" s="1" t="s">
        <v>75</v>
      </c>
      <c r="C1488" s="1">
        <v>936.98</v>
      </c>
      <c r="D1488" s="1">
        <v>409.48</v>
      </c>
    </row>
    <row r="1489" spans="1:4" x14ac:dyDescent="0.25">
      <c r="A1489" s="7">
        <v>44535.625</v>
      </c>
      <c r="B1489" s="1" t="s">
        <v>76</v>
      </c>
      <c r="C1489" s="1">
        <v>11871.42</v>
      </c>
      <c r="D1489" s="1">
        <v>3123.31</v>
      </c>
    </row>
    <row r="1490" spans="1:4" x14ac:dyDescent="0.25">
      <c r="A1490" s="7">
        <v>44535.625</v>
      </c>
      <c r="B1490" s="1" t="s">
        <v>72</v>
      </c>
      <c r="C1490" s="1">
        <v>8184.16</v>
      </c>
      <c r="D1490" s="1">
        <v>5917.32</v>
      </c>
    </row>
    <row r="1491" spans="1:4" x14ac:dyDescent="0.25">
      <c r="A1491" s="7">
        <v>44535.625</v>
      </c>
      <c r="B1491" s="1" t="s">
        <v>77</v>
      </c>
      <c r="C1491" s="1">
        <v>11343.19</v>
      </c>
      <c r="D1491" s="1">
        <v>3223.65</v>
      </c>
    </row>
    <row r="1492" spans="1:4" x14ac:dyDescent="0.25">
      <c r="A1492" s="7">
        <v>44535.625</v>
      </c>
      <c r="B1492" s="1" t="s">
        <v>69</v>
      </c>
      <c r="C1492" s="1">
        <v>4636.55</v>
      </c>
      <c r="D1492" s="1">
        <v>4176.25</v>
      </c>
    </row>
    <row r="1493" spans="1:4" x14ac:dyDescent="0.25">
      <c r="A1493" s="7">
        <v>44535.625</v>
      </c>
      <c r="B1493" s="1" t="s">
        <v>70</v>
      </c>
      <c r="C1493" s="1">
        <v>6198.83</v>
      </c>
      <c r="D1493" s="1">
        <v>2826.63</v>
      </c>
    </row>
    <row r="1494" spans="1:4" x14ac:dyDescent="0.25">
      <c r="A1494" s="7">
        <v>44535.625</v>
      </c>
      <c r="B1494" s="1" t="s">
        <v>78</v>
      </c>
      <c r="C1494" s="1">
        <v>1938.07</v>
      </c>
      <c r="D1494" s="1">
        <v>1177.4000000000001</v>
      </c>
    </row>
    <row r="1495" spans="1:4" x14ac:dyDescent="0.25">
      <c r="A1495" s="7">
        <v>44535.625</v>
      </c>
      <c r="B1495" s="1" t="s">
        <v>73</v>
      </c>
      <c r="C1495" s="1">
        <v>7087.79</v>
      </c>
      <c r="D1495" s="1">
        <v>1043.18</v>
      </c>
    </row>
    <row r="1496" spans="1:4" x14ac:dyDescent="0.25">
      <c r="A1496" s="7">
        <v>44535.625</v>
      </c>
      <c r="B1496" s="1" t="s">
        <v>68</v>
      </c>
      <c r="C1496" s="1">
        <v>9036.02</v>
      </c>
      <c r="D1496" s="1">
        <v>2932.68</v>
      </c>
    </row>
    <row r="1497" spans="1:4" x14ac:dyDescent="0.25">
      <c r="A1497" s="7">
        <v>44535.625</v>
      </c>
      <c r="B1497" s="1" t="s">
        <v>71</v>
      </c>
      <c r="C1497" s="1">
        <v>9261.48</v>
      </c>
      <c r="D1497" s="1">
        <v>2667.2</v>
      </c>
    </row>
    <row r="1498" spans="1:4" x14ac:dyDescent="0.25">
      <c r="A1498" s="7">
        <v>44535.666666666664</v>
      </c>
      <c r="B1498" s="1" t="s">
        <v>74</v>
      </c>
      <c r="C1498" s="1">
        <v>7700.72</v>
      </c>
      <c r="D1498" s="1">
        <v>1803.8</v>
      </c>
    </row>
    <row r="1499" spans="1:4" x14ac:dyDescent="0.25">
      <c r="A1499" s="7">
        <v>44535.666666666664</v>
      </c>
      <c r="B1499" s="1" t="s">
        <v>75</v>
      </c>
      <c r="C1499" s="1">
        <v>890.86</v>
      </c>
      <c r="D1499" s="1">
        <v>379</v>
      </c>
    </row>
    <row r="1500" spans="1:4" x14ac:dyDescent="0.25">
      <c r="A1500" s="7">
        <v>44535.666666666664</v>
      </c>
      <c r="B1500" s="1" t="s">
        <v>73</v>
      </c>
      <c r="C1500" s="1">
        <v>6762.72</v>
      </c>
      <c r="D1500" s="1">
        <v>1047.9100000000001</v>
      </c>
    </row>
    <row r="1501" spans="1:4" x14ac:dyDescent="0.25">
      <c r="A1501" s="7">
        <v>44535.666666666664</v>
      </c>
      <c r="B1501" s="1" t="s">
        <v>77</v>
      </c>
      <c r="C1501" s="1">
        <v>11071.26</v>
      </c>
      <c r="D1501" s="1">
        <v>3130.3</v>
      </c>
    </row>
    <row r="1502" spans="1:4" x14ac:dyDescent="0.25">
      <c r="A1502" s="7">
        <v>44535.666666666664</v>
      </c>
      <c r="B1502" s="1" t="s">
        <v>71</v>
      </c>
      <c r="C1502" s="1">
        <v>8840.85</v>
      </c>
      <c r="D1502" s="1">
        <v>2690.82</v>
      </c>
    </row>
    <row r="1503" spans="1:4" x14ac:dyDescent="0.25">
      <c r="A1503" s="7">
        <v>44535.666666666664</v>
      </c>
      <c r="B1503" s="1" t="s">
        <v>70</v>
      </c>
      <c r="C1503" s="1">
        <v>5822.29</v>
      </c>
      <c r="D1503" s="1">
        <v>2723.07</v>
      </c>
    </row>
    <row r="1504" spans="1:4" x14ac:dyDescent="0.25">
      <c r="A1504" s="7">
        <v>44535.666666666664</v>
      </c>
      <c r="B1504" s="1" t="s">
        <v>78</v>
      </c>
      <c r="C1504" s="1">
        <v>1772.46</v>
      </c>
      <c r="D1504" s="1">
        <v>1062.0899999999999</v>
      </c>
    </row>
    <row r="1505" spans="1:4" x14ac:dyDescent="0.25">
      <c r="A1505" s="7">
        <v>44535.666666666664</v>
      </c>
      <c r="B1505" s="1" t="s">
        <v>76</v>
      </c>
      <c r="C1505" s="1">
        <v>11527.54</v>
      </c>
      <c r="D1505" s="1">
        <v>3135.53</v>
      </c>
    </row>
    <row r="1506" spans="1:4" x14ac:dyDescent="0.25">
      <c r="A1506" s="7">
        <v>44535.666666666664</v>
      </c>
      <c r="B1506" s="1" t="s">
        <v>72</v>
      </c>
      <c r="C1506" s="1">
        <v>7783.53</v>
      </c>
      <c r="D1506" s="1">
        <v>5584.02</v>
      </c>
    </row>
    <row r="1507" spans="1:4" x14ac:dyDescent="0.25">
      <c r="A1507" s="7">
        <v>44535.666666666664</v>
      </c>
      <c r="B1507" s="1" t="s">
        <v>68</v>
      </c>
      <c r="C1507" s="1">
        <v>8753.18</v>
      </c>
      <c r="D1507" s="1">
        <v>2932.26</v>
      </c>
    </row>
    <row r="1508" spans="1:4" x14ac:dyDescent="0.25">
      <c r="A1508" s="7">
        <v>44535.666666666664</v>
      </c>
      <c r="B1508" s="1" t="s">
        <v>69</v>
      </c>
      <c r="C1508" s="1">
        <v>4427.24</v>
      </c>
      <c r="D1508" s="1">
        <v>3963.17</v>
      </c>
    </row>
    <row r="1509" spans="1:4" x14ac:dyDescent="0.25">
      <c r="A1509" s="7">
        <v>44535.708333333336</v>
      </c>
      <c r="B1509" s="1" t="s">
        <v>75</v>
      </c>
      <c r="C1509" s="1">
        <v>874.77</v>
      </c>
      <c r="D1509" s="1">
        <v>381.48</v>
      </c>
    </row>
    <row r="1510" spans="1:4" x14ac:dyDescent="0.25">
      <c r="A1510" s="7">
        <v>44535.708333333336</v>
      </c>
      <c r="B1510" s="1" t="s">
        <v>74</v>
      </c>
      <c r="C1510" s="1">
        <v>7906.12</v>
      </c>
      <c r="D1510" s="1">
        <v>1908.51</v>
      </c>
    </row>
    <row r="1511" spans="1:4" x14ac:dyDescent="0.25">
      <c r="A1511" s="7">
        <v>44535.708333333336</v>
      </c>
      <c r="B1511" s="1" t="s">
        <v>73</v>
      </c>
      <c r="C1511" s="1">
        <v>6835.77</v>
      </c>
      <c r="D1511" s="1">
        <v>1128.1199999999999</v>
      </c>
    </row>
    <row r="1512" spans="1:4" x14ac:dyDescent="0.25">
      <c r="A1512" s="7">
        <v>44535.708333333336</v>
      </c>
      <c r="B1512" s="1" t="s">
        <v>68</v>
      </c>
      <c r="C1512" s="1">
        <v>8542.4</v>
      </c>
      <c r="D1512" s="1">
        <v>3023.38</v>
      </c>
    </row>
    <row r="1513" spans="1:4" x14ac:dyDescent="0.25">
      <c r="A1513" s="7">
        <v>44535.708333333336</v>
      </c>
      <c r="B1513" s="1" t="s">
        <v>77</v>
      </c>
      <c r="C1513" s="1">
        <v>11368.69</v>
      </c>
      <c r="D1513" s="1">
        <v>3321.55</v>
      </c>
    </row>
    <row r="1514" spans="1:4" x14ac:dyDescent="0.25">
      <c r="A1514" s="7">
        <v>44535.708333333336</v>
      </c>
      <c r="B1514" s="1" t="s">
        <v>71</v>
      </c>
      <c r="C1514" s="1">
        <v>8546.23</v>
      </c>
      <c r="D1514" s="1">
        <v>2877.69</v>
      </c>
    </row>
    <row r="1515" spans="1:4" x14ac:dyDescent="0.25">
      <c r="A1515" s="7">
        <v>44535.708333333336</v>
      </c>
      <c r="B1515" s="1" t="s">
        <v>70</v>
      </c>
      <c r="C1515" s="1">
        <v>5784.69</v>
      </c>
      <c r="D1515" s="1">
        <v>2771.73</v>
      </c>
    </row>
    <row r="1516" spans="1:4" x14ac:dyDescent="0.25">
      <c r="A1516" s="7">
        <v>44535.708333333336</v>
      </c>
      <c r="B1516" s="1" t="s">
        <v>69</v>
      </c>
      <c r="C1516" s="1">
        <v>4327.76</v>
      </c>
      <c r="D1516" s="1">
        <v>3740.87</v>
      </c>
    </row>
    <row r="1517" spans="1:4" x14ac:dyDescent="0.25">
      <c r="A1517" s="7">
        <v>44535.708333333336</v>
      </c>
      <c r="B1517" s="1" t="s">
        <v>78</v>
      </c>
      <c r="C1517" s="1">
        <v>1832.01</v>
      </c>
      <c r="D1517" s="1">
        <v>1066.07</v>
      </c>
    </row>
    <row r="1518" spans="1:4" x14ac:dyDescent="0.25">
      <c r="A1518" s="7">
        <v>44535.708333333336</v>
      </c>
      <c r="B1518" s="1" t="s">
        <v>72</v>
      </c>
      <c r="C1518" s="1">
        <v>7695.36</v>
      </c>
      <c r="D1518" s="1">
        <v>5511.73</v>
      </c>
    </row>
    <row r="1519" spans="1:4" x14ac:dyDescent="0.25">
      <c r="A1519" s="7">
        <v>44535.708333333336</v>
      </c>
      <c r="B1519" s="1" t="s">
        <v>76</v>
      </c>
      <c r="C1519" s="1">
        <v>11708.55</v>
      </c>
      <c r="D1519" s="1">
        <v>3345.38</v>
      </c>
    </row>
    <row r="1520" spans="1:4" x14ac:dyDescent="0.25">
      <c r="A1520" s="7">
        <v>44535.75</v>
      </c>
      <c r="B1520" s="1" t="s">
        <v>75</v>
      </c>
      <c r="C1520" s="1">
        <v>628.95000000000005</v>
      </c>
      <c r="D1520" s="1">
        <v>243.36</v>
      </c>
    </row>
    <row r="1521" spans="1:4" x14ac:dyDescent="0.25">
      <c r="A1521" s="7">
        <v>44535.75</v>
      </c>
      <c r="B1521" s="1" t="s">
        <v>74</v>
      </c>
      <c r="C1521" s="1">
        <v>6392.51</v>
      </c>
      <c r="D1521" s="1">
        <v>1408.1</v>
      </c>
    </row>
    <row r="1522" spans="1:4" x14ac:dyDescent="0.25">
      <c r="A1522" s="7">
        <v>44535.75</v>
      </c>
      <c r="B1522" s="1" t="s">
        <v>68</v>
      </c>
      <c r="C1522" s="1">
        <v>6827.3</v>
      </c>
      <c r="D1522" s="1">
        <v>2381.7199999999998</v>
      </c>
    </row>
    <row r="1523" spans="1:4" x14ac:dyDescent="0.25">
      <c r="A1523" s="7">
        <v>44535.75</v>
      </c>
      <c r="B1523" s="1" t="s">
        <v>71</v>
      </c>
      <c r="C1523" s="1">
        <v>6580.12</v>
      </c>
      <c r="D1523" s="1">
        <v>2128.5100000000002</v>
      </c>
    </row>
    <row r="1524" spans="1:4" x14ac:dyDescent="0.25">
      <c r="A1524" s="7">
        <v>44535.75</v>
      </c>
      <c r="B1524" s="1" t="s">
        <v>69</v>
      </c>
      <c r="C1524" s="1">
        <v>2974.99</v>
      </c>
      <c r="D1524" s="1">
        <v>2236.09</v>
      </c>
    </row>
    <row r="1525" spans="1:4" x14ac:dyDescent="0.25">
      <c r="A1525" s="7">
        <v>44535.75</v>
      </c>
      <c r="B1525" s="1" t="s">
        <v>78</v>
      </c>
      <c r="C1525" s="1">
        <v>1319.86</v>
      </c>
      <c r="D1525" s="1">
        <v>717.57</v>
      </c>
    </row>
    <row r="1526" spans="1:4" x14ac:dyDescent="0.25">
      <c r="A1526" s="7">
        <v>44535.75</v>
      </c>
      <c r="B1526" s="1" t="s">
        <v>72</v>
      </c>
      <c r="C1526" s="1">
        <v>5357.77</v>
      </c>
      <c r="D1526" s="1">
        <v>3485.87</v>
      </c>
    </row>
    <row r="1527" spans="1:4" x14ac:dyDescent="0.25">
      <c r="A1527" s="7">
        <v>44535.75</v>
      </c>
      <c r="B1527" s="1" t="s">
        <v>76</v>
      </c>
      <c r="C1527" s="1">
        <v>9072.68</v>
      </c>
      <c r="D1527" s="1">
        <v>2470.7399999999998</v>
      </c>
    </row>
    <row r="1528" spans="1:4" x14ac:dyDescent="0.25">
      <c r="A1528" s="7">
        <v>44535.75</v>
      </c>
      <c r="B1528" s="1" t="s">
        <v>73</v>
      </c>
      <c r="C1528" s="1">
        <v>5295.78</v>
      </c>
      <c r="D1528" s="1">
        <v>840.74</v>
      </c>
    </row>
    <row r="1529" spans="1:4" x14ac:dyDescent="0.25">
      <c r="A1529" s="7">
        <v>44535.75</v>
      </c>
      <c r="B1529" s="1" t="s">
        <v>77</v>
      </c>
      <c r="C1529" s="1">
        <v>8824.6</v>
      </c>
      <c r="D1529" s="1">
        <v>2401.62</v>
      </c>
    </row>
    <row r="1530" spans="1:4" x14ac:dyDescent="0.25">
      <c r="A1530" s="7">
        <v>44535.75</v>
      </c>
      <c r="B1530" s="1" t="s">
        <v>70</v>
      </c>
      <c r="C1530" s="1">
        <v>4240.17</v>
      </c>
      <c r="D1530" s="1">
        <v>1918.98</v>
      </c>
    </row>
    <row r="1531" spans="1:4" x14ac:dyDescent="0.25">
      <c r="A1531" s="7">
        <v>44535.791666666664</v>
      </c>
      <c r="B1531" s="1" t="s">
        <v>74</v>
      </c>
      <c r="C1531" s="1">
        <v>14959.85</v>
      </c>
      <c r="D1531" s="1">
        <v>3130.15</v>
      </c>
    </row>
    <row r="1532" spans="1:4" x14ac:dyDescent="0.25">
      <c r="A1532" s="7">
        <v>44535.791666666664</v>
      </c>
      <c r="B1532" s="1" t="s">
        <v>78</v>
      </c>
      <c r="C1532" s="1">
        <v>3366.07</v>
      </c>
      <c r="D1532" s="1">
        <v>1852.14</v>
      </c>
    </row>
    <row r="1533" spans="1:4" x14ac:dyDescent="0.25">
      <c r="A1533" s="7">
        <v>44535.791666666664</v>
      </c>
      <c r="B1533" s="1" t="s">
        <v>75</v>
      </c>
      <c r="C1533" s="1">
        <v>1958.16</v>
      </c>
      <c r="D1533" s="1">
        <v>773.04</v>
      </c>
    </row>
    <row r="1534" spans="1:4" x14ac:dyDescent="0.25">
      <c r="A1534" s="7">
        <v>44535.791666666664</v>
      </c>
      <c r="B1534" s="1" t="s">
        <v>76</v>
      </c>
      <c r="C1534" s="1">
        <v>25238.240000000002</v>
      </c>
      <c r="D1534" s="1">
        <v>6109.03</v>
      </c>
    </row>
    <row r="1535" spans="1:4" x14ac:dyDescent="0.25">
      <c r="A1535" s="7">
        <v>44535.791666666664</v>
      </c>
      <c r="B1535" s="1" t="s">
        <v>72</v>
      </c>
      <c r="C1535" s="1">
        <v>13263.29</v>
      </c>
      <c r="D1535" s="1">
        <v>8400.41</v>
      </c>
    </row>
    <row r="1536" spans="1:4" x14ac:dyDescent="0.25">
      <c r="A1536" s="7">
        <v>44535.791666666664</v>
      </c>
      <c r="B1536" s="1" t="s">
        <v>68</v>
      </c>
      <c r="C1536" s="1">
        <v>17603.900000000001</v>
      </c>
      <c r="D1536" s="1">
        <v>5332.07</v>
      </c>
    </row>
    <row r="1537" spans="1:4" x14ac:dyDescent="0.25">
      <c r="A1537" s="7">
        <v>44535.791666666664</v>
      </c>
      <c r="B1537" s="1" t="s">
        <v>69</v>
      </c>
      <c r="C1537" s="1">
        <v>7174.67</v>
      </c>
      <c r="D1537" s="1">
        <v>5524.45</v>
      </c>
    </row>
    <row r="1538" spans="1:4" x14ac:dyDescent="0.25">
      <c r="A1538" s="7">
        <v>44535.791666666664</v>
      </c>
      <c r="B1538" s="1" t="s">
        <v>70</v>
      </c>
      <c r="C1538" s="1">
        <v>12393.36</v>
      </c>
      <c r="D1538" s="1">
        <v>5229.21</v>
      </c>
    </row>
    <row r="1539" spans="1:4" x14ac:dyDescent="0.25">
      <c r="A1539" s="7">
        <v>44535.791666666664</v>
      </c>
      <c r="B1539" s="1" t="s">
        <v>73</v>
      </c>
      <c r="C1539" s="1">
        <v>14229</v>
      </c>
      <c r="D1539" s="1">
        <v>1979.18</v>
      </c>
    </row>
    <row r="1540" spans="1:4" x14ac:dyDescent="0.25">
      <c r="A1540" s="7">
        <v>44535.791666666664</v>
      </c>
      <c r="B1540" s="1" t="s">
        <v>77</v>
      </c>
      <c r="C1540" s="1">
        <v>20771.859</v>
      </c>
      <c r="D1540" s="1">
        <v>5321.26</v>
      </c>
    </row>
    <row r="1541" spans="1:4" x14ac:dyDescent="0.25">
      <c r="A1541" s="7">
        <v>44535.791666666664</v>
      </c>
      <c r="B1541" s="1" t="s">
        <v>71</v>
      </c>
      <c r="C1541" s="1">
        <v>19332.52</v>
      </c>
      <c r="D1541" s="1">
        <v>5151.3900000000003</v>
      </c>
    </row>
    <row r="1542" spans="1:4" x14ac:dyDescent="0.25">
      <c r="A1542" s="7">
        <v>44535.833333333336</v>
      </c>
      <c r="B1542" s="1" t="s">
        <v>74</v>
      </c>
      <c r="C1542" s="1">
        <v>13909.82</v>
      </c>
      <c r="D1542" s="1">
        <v>2783.12</v>
      </c>
    </row>
    <row r="1543" spans="1:4" x14ac:dyDescent="0.25">
      <c r="A1543" s="7">
        <v>44535.833333333336</v>
      </c>
      <c r="B1543" s="1" t="s">
        <v>78</v>
      </c>
      <c r="C1543" s="1">
        <v>2947.61</v>
      </c>
      <c r="D1543" s="1">
        <v>1602.91</v>
      </c>
    </row>
    <row r="1544" spans="1:4" x14ac:dyDescent="0.25">
      <c r="A1544" s="7">
        <v>44535.833333333336</v>
      </c>
      <c r="B1544" s="1" t="s">
        <v>75</v>
      </c>
      <c r="C1544" s="1">
        <v>1720.4</v>
      </c>
      <c r="D1544" s="1">
        <v>618.05999999999995</v>
      </c>
    </row>
    <row r="1545" spans="1:4" x14ac:dyDescent="0.25">
      <c r="A1545" s="7">
        <v>44535.833333333336</v>
      </c>
      <c r="B1545" s="1" t="s">
        <v>76</v>
      </c>
      <c r="C1545" s="1">
        <v>22668.68</v>
      </c>
      <c r="D1545" s="1">
        <v>5320.08</v>
      </c>
    </row>
    <row r="1546" spans="1:4" x14ac:dyDescent="0.25">
      <c r="A1546" s="7">
        <v>44535.833333333336</v>
      </c>
      <c r="B1546" s="1" t="s">
        <v>71</v>
      </c>
      <c r="C1546" s="1">
        <v>17618.84</v>
      </c>
      <c r="D1546" s="1">
        <v>4590.18</v>
      </c>
    </row>
    <row r="1547" spans="1:4" x14ac:dyDescent="0.25">
      <c r="A1547" s="7">
        <v>44535.833333333336</v>
      </c>
      <c r="B1547" s="1" t="s">
        <v>70</v>
      </c>
      <c r="C1547" s="1">
        <v>10696.94</v>
      </c>
      <c r="D1547" s="1">
        <v>4410.93</v>
      </c>
    </row>
    <row r="1548" spans="1:4" x14ac:dyDescent="0.25">
      <c r="A1548" s="7">
        <v>44535.833333333336</v>
      </c>
      <c r="B1548" s="1" t="s">
        <v>72</v>
      </c>
      <c r="C1548" s="1">
        <v>11638.67</v>
      </c>
      <c r="D1548" s="1">
        <v>7499.67</v>
      </c>
    </row>
    <row r="1549" spans="1:4" x14ac:dyDescent="0.25">
      <c r="A1549" s="7">
        <v>44535.833333333336</v>
      </c>
      <c r="B1549" s="1" t="s">
        <v>73</v>
      </c>
      <c r="C1549" s="1">
        <v>12563.45</v>
      </c>
      <c r="D1549" s="1">
        <v>1706.94</v>
      </c>
    </row>
    <row r="1550" spans="1:4" x14ac:dyDescent="0.25">
      <c r="A1550" s="7">
        <v>44535.833333333336</v>
      </c>
      <c r="B1550" s="1" t="s">
        <v>68</v>
      </c>
      <c r="C1550" s="1">
        <v>16119.26</v>
      </c>
      <c r="D1550" s="1">
        <v>4844.2299999999996</v>
      </c>
    </row>
    <row r="1551" spans="1:4" x14ac:dyDescent="0.25">
      <c r="A1551" s="7">
        <v>44535.833333333336</v>
      </c>
      <c r="B1551" s="1" t="s">
        <v>77</v>
      </c>
      <c r="C1551" s="1">
        <v>18735.800999999999</v>
      </c>
      <c r="D1551" s="1">
        <v>4733.62</v>
      </c>
    </row>
    <row r="1552" spans="1:4" x14ac:dyDescent="0.25">
      <c r="A1552" s="7">
        <v>44535.833333333336</v>
      </c>
      <c r="B1552" s="1" t="s">
        <v>69</v>
      </c>
      <c r="C1552" s="1">
        <v>6551.4</v>
      </c>
      <c r="D1552" s="1">
        <v>5234.18</v>
      </c>
    </row>
    <row r="1553" spans="1:4" x14ac:dyDescent="0.25">
      <c r="A1553" s="7">
        <v>44535.875</v>
      </c>
      <c r="B1553" s="1" t="s">
        <v>75</v>
      </c>
      <c r="C1553" s="1">
        <v>1651.93</v>
      </c>
      <c r="D1553" s="1">
        <v>625.47</v>
      </c>
    </row>
    <row r="1554" spans="1:4" x14ac:dyDescent="0.25">
      <c r="A1554" s="7">
        <v>44535.875</v>
      </c>
      <c r="B1554" s="1" t="s">
        <v>74</v>
      </c>
      <c r="C1554" s="1">
        <v>10882.6</v>
      </c>
      <c r="D1554" s="1">
        <v>2252.94</v>
      </c>
    </row>
    <row r="1555" spans="1:4" x14ac:dyDescent="0.25">
      <c r="A1555" s="7">
        <v>44535.875</v>
      </c>
      <c r="B1555" s="1" t="s">
        <v>76</v>
      </c>
      <c r="C1555" s="1">
        <v>19609.98</v>
      </c>
      <c r="D1555" s="1">
        <v>4719.3100000000004</v>
      </c>
    </row>
    <row r="1556" spans="1:4" x14ac:dyDescent="0.25">
      <c r="A1556" s="7">
        <v>44535.875</v>
      </c>
      <c r="B1556" s="1" t="s">
        <v>73</v>
      </c>
      <c r="C1556" s="1">
        <v>10559.74</v>
      </c>
      <c r="D1556" s="1">
        <v>1502.78</v>
      </c>
    </row>
    <row r="1557" spans="1:4" x14ac:dyDescent="0.25">
      <c r="A1557" s="7">
        <v>44535.875</v>
      </c>
      <c r="B1557" s="1" t="s">
        <v>77</v>
      </c>
      <c r="C1557" s="1">
        <v>17374.631000000001</v>
      </c>
      <c r="D1557" s="1">
        <v>4436.2299999999996</v>
      </c>
    </row>
    <row r="1558" spans="1:4" x14ac:dyDescent="0.25">
      <c r="A1558" s="7">
        <v>44535.875</v>
      </c>
      <c r="B1558" s="1" t="s">
        <v>71</v>
      </c>
      <c r="C1558" s="1">
        <v>15528.75</v>
      </c>
      <c r="D1558" s="1">
        <v>4011.58</v>
      </c>
    </row>
    <row r="1559" spans="1:4" x14ac:dyDescent="0.25">
      <c r="A1559" s="7">
        <v>44535.875</v>
      </c>
      <c r="B1559" s="1" t="s">
        <v>70</v>
      </c>
      <c r="C1559" s="1">
        <v>9705.44</v>
      </c>
      <c r="D1559" s="1">
        <v>4125.88</v>
      </c>
    </row>
    <row r="1560" spans="1:4" x14ac:dyDescent="0.25">
      <c r="A1560" s="7">
        <v>44535.875</v>
      </c>
      <c r="B1560" s="1" t="s">
        <v>78</v>
      </c>
      <c r="C1560" s="1">
        <v>2975.8</v>
      </c>
      <c r="D1560" s="1">
        <v>1593.88</v>
      </c>
    </row>
    <row r="1561" spans="1:4" x14ac:dyDescent="0.25">
      <c r="A1561" s="7">
        <v>44535.875</v>
      </c>
      <c r="B1561" s="1" t="s">
        <v>72</v>
      </c>
      <c r="C1561" s="1">
        <v>10855.87</v>
      </c>
      <c r="D1561" s="1">
        <v>7006.23</v>
      </c>
    </row>
    <row r="1562" spans="1:4" x14ac:dyDescent="0.25">
      <c r="A1562" s="7">
        <v>44535.875</v>
      </c>
      <c r="B1562" s="1" t="s">
        <v>68</v>
      </c>
      <c r="C1562" s="1">
        <v>14727.14</v>
      </c>
      <c r="D1562" s="1">
        <v>4455.16</v>
      </c>
    </row>
    <row r="1563" spans="1:4" x14ac:dyDescent="0.25">
      <c r="A1563" s="7">
        <v>44535.875</v>
      </c>
      <c r="B1563" s="1" t="s">
        <v>69</v>
      </c>
      <c r="C1563" s="1">
        <v>6171.1</v>
      </c>
      <c r="D1563" s="1">
        <v>4769.41</v>
      </c>
    </row>
    <row r="1564" spans="1:4" x14ac:dyDescent="0.25">
      <c r="A1564" s="7">
        <v>44535.916666666664</v>
      </c>
      <c r="B1564" s="1" t="s">
        <v>75</v>
      </c>
      <c r="C1564" s="1">
        <v>1519.19</v>
      </c>
      <c r="D1564" s="1">
        <v>617.88</v>
      </c>
    </row>
    <row r="1565" spans="1:4" x14ac:dyDescent="0.25">
      <c r="A1565" s="7">
        <v>44535.916666666664</v>
      </c>
      <c r="B1565" s="1" t="s">
        <v>74</v>
      </c>
      <c r="C1565" s="1">
        <v>7074.27</v>
      </c>
      <c r="D1565" s="1">
        <v>1644.51</v>
      </c>
    </row>
    <row r="1566" spans="1:4" x14ac:dyDescent="0.25">
      <c r="A1566" s="7">
        <v>44535.916666666664</v>
      </c>
      <c r="B1566" s="1" t="s">
        <v>73</v>
      </c>
      <c r="C1566" s="1">
        <v>9105.2800000000007</v>
      </c>
      <c r="D1566" s="1">
        <v>1344.14</v>
      </c>
    </row>
    <row r="1567" spans="1:4" x14ac:dyDescent="0.25">
      <c r="A1567" s="7">
        <v>44535.916666666664</v>
      </c>
      <c r="B1567" s="1" t="s">
        <v>68</v>
      </c>
      <c r="C1567" s="1">
        <v>11657.68</v>
      </c>
      <c r="D1567" s="1">
        <v>3740.94</v>
      </c>
    </row>
    <row r="1568" spans="1:4" x14ac:dyDescent="0.25">
      <c r="A1568" s="7">
        <v>44535.916666666664</v>
      </c>
      <c r="B1568" s="1" t="s">
        <v>77</v>
      </c>
      <c r="C1568" s="1">
        <v>14360.19</v>
      </c>
      <c r="D1568" s="1">
        <v>3768.39</v>
      </c>
    </row>
    <row r="1569" spans="1:4" x14ac:dyDescent="0.25">
      <c r="A1569" s="7">
        <v>44535.916666666664</v>
      </c>
      <c r="B1569" s="1" t="s">
        <v>71</v>
      </c>
      <c r="C1569" s="1">
        <v>11317.17</v>
      </c>
      <c r="D1569" s="1">
        <v>3191.24</v>
      </c>
    </row>
    <row r="1570" spans="1:4" x14ac:dyDescent="0.25">
      <c r="A1570" s="7">
        <v>44535.916666666664</v>
      </c>
      <c r="B1570" s="1" t="s">
        <v>69</v>
      </c>
      <c r="C1570" s="1">
        <v>6019.68</v>
      </c>
      <c r="D1570" s="1">
        <v>4716.43</v>
      </c>
    </row>
    <row r="1571" spans="1:4" x14ac:dyDescent="0.25">
      <c r="A1571" s="7">
        <v>44535.916666666664</v>
      </c>
      <c r="B1571" s="1" t="s">
        <v>70</v>
      </c>
      <c r="C1571" s="1">
        <v>8507.42</v>
      </c>
      <c r="D1571" s="1">
        <v>3626.34</v>
      </c>
    </row>
    <row r="1572" spans="1:4" x14ac:dyDescent="0.25">
      <c r="A1572" s="7">
        <v>44535.916666666664</v>
      </c>
      <c r="B1572" s="1" t="s">
        <v>78</v>
      </c>
      <c r="C1572" s="1">
        <v>2816.39</v>
      </c>
      <c r="D1572" s="1">
        <v>1541.42</v>
      </c>
    </row>
    <row r="1573" spans="1:4" x14ac:dyDescent="0.25">
      <c r="A1573" s="7">
        <v>44535.916666666664</v>
      </c>
      <c r="B1573" s="1" t="s">
        <v>76</v>
      </c>
      <c r="C1573" s="1">
        <v>14365.59</v>
      </c>
      <c r="D1573" s="1">
        <v>3638.83</v>
      </c>
    </row>
    <row r="1574" spans="1:4" x14ac:dyDescent="0.25">
      <c r="A1574" s="7">
        <v>44535.916666666664</v>
      </c>
      <c r="B1574" s="1" t="s">
        <v>72</v>
      </c>
      <c r="C1574" s="1">
        <v>10345.6</v>
      </c>
      <c r="D1574" s="1">
        <v>6717.04</v>
      </c>
    </row>
    <row r="1575" spans="1:4" x14ac:dyDescent="0.25">
      <c r="A1575" s="7">
        <v>44535.958333333336</v>
      </c>
      <c r="B1575" s="1" t="s">
        <v>75</v>
      </c>
      <c r="C1575" s="1">
        <v>997.31</v>
      </c>
      <c r="D1575" s="1">
        <v>452.53</v>
      </c>
    </row>
    <row r="1576" spans="1:4" x14ac:dyDescent="0.25">
      <c r="A1576" s="7">
        <v>44535.958333333336</v>
      </c>
      <c r="B1576" s="1" t="s">
        <v>74</v>
      </c>
      <c r="C1576" s="1">
        <v>3053.92</v>
      </c>
      <c r="D1576" s="1">
        <v>847.18</v>
      </c>
    </row>
    <row r="1577" spans="1:4" x14ac:dyDescent="0.25">
      <c r="A1577" s="7">
        <v>44535.958333333336</v>
      </c>
      <c r="B1577" s="1" t="s">
        <v>68</v>
      </c>
      <c r="C1577" s="1">
        <v>5533.09</v>
      </c>
      <c r="D1577" s="1">
        <v>2080.83</v>
      </c>
    </row>
    <row r="1578" spans="1:4" x14ac:dyDescent="0.25">
      <c r="A1578" s="7">
        <v>44535.958333333336</v>
      </c>
      <c r="B1578" s="1" t="s">
        <v>77</v>
      </c>
      <c r="C1578" s="1">
        <v>8000.1</v>
      </c>
      <c r="D1578" s="1">
        <v>2208.8200000000002</v>
      </c>
    </row>
    <row r="1579" spans="1:4" x14ac:dyDescent="0.25">
      <c r="A1579" s="7">
        <v>44535.958333333336</v>
      </c>
      <c r="B1579" s="1" t="s">
        <v>71</v>
      </c>
      <c r="C1579" s="1">
        <v>4908.76</v>
      </c>
      <c r="D1579" s="1">
        <v>1624.34</v>
      </c>
    </row>
    <row r="1580" spans="1:4" x14ac:dyDescent="0.25">
      <c r="A1580" s="7">
        <v>44535.958333333336</v>
      </c>
      <c r="B1580" s="1" t="s">
        <v>70</v>
      </c>
      <c r="C1580" s="1">
        <v>4599.6400000000003</v>
      </c>
      <c r="D1580" s="1">
        <v>2130.38</v>
      </c>
    </row>
    <row r="1581" spans="1:4" x14ac:dyDescent="0.25">
      <c r="A1581" s="7">
        <v>44535.958333333336</v>
      </c>
      <c r="B1581" s="1" t="s">
        <v>69</v>
      </c>
      <c r="C1581" s="1">
        <v>4058.67</v>
      </c>
      <c r="D1581" s="1">
        <v>3249.81</v>
      </c>
    </row>
    <row r="1582" spans="1:4" x14ac:dyDescent="0.25">
      <c r="A1582" s="7">
        <v>44535.958333333336</v>
      </c>
      <c r="B1582" s="1" t="s">
        <v>78</v>
      </c>
      <c r="C1582" s="1">
        <v>1891.06</v>
      </c>
      <c r="D1582" s="1">
        <v>1064.3900000000001</v>
      </c>
    </row>
    <row r="1583" spans="1:4" x14ac:dyDescent="0.25">
      <c r="A1583" s="7">
        <v>44535.958333333336</v>
      </c>
      <c r="B1583" s="1" t="s">
        <v>72</v>
      </c>
      <c r="C1583" s="1">
        <v>6561.99</v>
      </c>
      <c r="D1583" s="1">
        <v>4555.2</v>
      </c>
    </row>
    <row r="1584" spans="1:4" x14ac:dyDescent="0.25">
      <c r="A1584" s="7">
        <v>44535.958333333336</v>
      </c>
      <c r="B1584" s="1" t="s">
        <v>76</v>
      </c>
      <c r="C1584" s="1">
        <v>6801.48</v>
      </c>
      <c r="D1584" s="1">
        <v>1852.1</v>
      </c>
    </row>
    <row r="1585" spans="1:4" x14ac:dyDescent="0.25">
      <c r="A1585" s="7">
        <v>44535.958333333336</v>
      </c>
      <c r="B1585" s="1" t="s">
        <v>73</v>
      </c>
      <c r="C1585" s="1">
        <v>4262.6000000000004</v>
      </c>
      <c r="D1585" s="1">
        <v>751.24</v>
      </c>
    </row>
    <row r="1586" spans="1:4" x14ac:dyDescent="0.25">
      <c r="A1586" s="1" t="s">
        <v>128</v>
      </c>
      <c r="B1586" s="1" t="s">
        <v>74</v>
      </c>
      <c r="C1586" s="1">
        <v>1296.67</v>
      </c>
      <c r="D1586" s="1">
        <v>400.76</v>
      </c>
    </row>
    <row r="1587" spans="1:4" x14ac:dyDescent="0.25">
      <c r="A1587" s="1" t="s">
        <v>128</v>
      </c>
      <c r="B1587" s="1" t="s">
        <v>75</v>
      </c>
      <c r="C1587" s="1">
        <v>569.67999999999995</v>
      </c>
      <c r="D1587" s="1">
        <v>282.66000000000003</v>
      </c>
    </row>
    <row r="1588" spans="1:4" x14ac:dyDescent="0.25">
      <c r="A1588" s="1" t="s">
        <v>128</v>
      </c>
      <c r="B1588" s="1" t="s">
        <v>76</v>
      </c>
      <c r="C1588" s="1">
        <v>2741.22</v>
      </c>
      <c r="D1588" s="1">
        <v>823.78</v>
      </c>
    </row>
    <row r="1589" spans="1:4" x14ac:dyDescent="0.25">
      <c r="A1589" s="1" t="s">
        <v>128</v>
      </c>
      <c r="B1589" s="1" t="s">
        <v>68</v>
      </c>
      <c r="C1589" s="1">
        <v>2271.23</v>
      </c>
      <c r="D1589" s="1">
        <v>972</v>
      </c>
    </row>
    <row r="1590" spans="1:4" x14ac:dyDescent="0.25">
      <c r="A1590" s="1" t="s">
        <v>128</v>
      </c>
      <c r="B1590" s="1" t="s">
        <v>69</v>
      </c>
      <c r="C1590" s="1">
        <v>2181.81</v>
      </c>
      <c r="D1590" s="1">
        <v>1779.89</v>
      </c>
    </row>
    <row r="1591" spans="1:4" x14ac:dyDescent="0.25">
      <c r="A1591" s="1" t="s">
        <v>128</v>
      </c>
      <c r="B1591" s="1" t="s">
        <v>78</v>
      </c>
      <c r="C1591" s="1">
        <v>1027.3800000000001</v>
      </c>
      <c r="D1591" s="1">
        <v>623.76</v>
      </c>
    </row>
    <row r="1592" spans="1:4" x14ac:dyDescent="0.25">
      <c r="A1592" s="1" t="s">
        <v>128</v>
      </c>
      <c r="B1592" s="1" t="s">
        <v>72</v>
      </c>
      <c r="C1592" s="1">
        <v>3421.4</v>
      </c>
      <c r="D1592" s="1">
        <v>2546.5</v>
      </c>
    </row>
    <row r="1593" spans="1:4" x14ac:dyDescent="0.25">
      <c r="A1593" s="1" t="s">
        <v>128</v>
      </c>
      <c r="B1593" s="1" t="s">
        <v>73</v>
      </c>
      <c r="C1593" s="1">
        <v>1658.41</v>
      </c>
      <c r="D1593" s="1">
        <v>326.04000000000002</v>
      </c>
    </row>
    <row r="1594" spans="1:4" x14ac:dyDescent="0.25">
      <c r="A1594" s="1" t="s">
        <v>128</v>
      </c>
      <c r="B1594" s="1" t="s">
        <v>77</v>
      </c>
      <c r="C1594" s="1">
        <v>3753.25</v>
      </c>
      <c r="D1594" s="1">
        <v>1068.25</v>
      </c>
    </row>
    <row r="1595" spans="1:4" x14ac:dyDescent="0.25">
      <c r="A1595" s="1" t="s">
        <v>128</v>
      </c>
      <c r="B1595" s="1" t="s">
        <v>71</v>
      </c>
      <c r="C1595" s="1">
        <v>1975.12</v>
      </c>
      <c r="D1595" s="1">
        <v>729.56</v>
      </c>
    </row>
    <row r="1596" spans="1:4" x14ac:dyDescent="0.25">
      <c r="A1596" s="1" t="s">
        <v>128</v>
      </c>
      <c r="B1596" s="1" t="s">
        <v>70</v>
      </c>
      <c r="C1596" s="1">
        <v>2099.4299999999998</v>
      </c>
      <c r="D1596" s="1">
        <v>1042.3800000000001</v>
      </c>
    </row>
    <row r="1597" spans="1:4" x14ac:dyDescent="0.25">
      <c r="A1597" s="1" t="s">
        <v>129</v>
      </c>
      <c r="B1597" s="1" t="s">
        <v>74</v>
      </c>
      <c r="C1597" s="1">
        <v>638.67999999999995</v>
      </c>
      <c r="D1597" s="1">
        <v>207.69</v>
      </c>
    </row>
    <row r="1598" spans="1:4" x14ac:dyDescent="0.25">
      <c r="A1598" s="1" t="s">
        <v>129</v>
      </c>
      <c r="B1598" s="1" t="s">
        <v>78</v>
      </c>
      <c r="C1598" s="1">
        <v>564.83000000000004</v>
      </c>
      <c r="D1598" s="1">
        <v>331.42</v>
      </c>
    </row>
    <row r="1599" spans="1:4" x14ac:dyDescent="0.25">
      <c r="A1599" s="1" t="s">
        <v>129</v>
      </c>
      <c r="B1599" s="1" t="s">
        <v>75</v>
      </c>
      <c r="C1599" s="1">
        <v>341.42</v>
      </c>
      <c r="D1599" s="1">
        <v>165.25</v>
      </c>
    </row>
    <row r="1600" spans="1:4" x14ac:dyDescent="0.25">
      <c r="A1600" s="1" t="s">
        <v>129</v>
      </c>
      <c r="B1600" s="1" t="s">
        <v>76</v>
      </c>
      <c r="C1600" s="1">
        <v>1353.6</v>
      </c>
      <c r="D1600" s="1">
        <v>425.52</v>
      </c>
    </row>
    <row r="1601" spans="1:4" x14ac:dyDescent="0.25">
      <c r="A1601" s="1" t="s">
        <v>129</v>
      </c>
      <c r="B1601" s="1" t="s">
        <v>68</v>
      </c>
      <c r="C1601" s="1">
        <v>987.18</v>
      </c>
      <c r="D1601" s="1">
        <v>444.04</v>
      </c>
    </row>
    <row r="1602" spans="1:4" x14ac:dyDescent="0.25">
      <c r="A1602" s="1" t="s">
        <v>129</v>
      </c>
      <c r="B1602" s="1" t="s">
        <v>71</v>
      </c>
      <c r="C1602" s="1">
        <v>847.92</v>
      </c>
      <c r="D1602" s="1">
        <v>327.94</v>
      </c>
    </row>
    <row r="1603" spans="1:4" x14ac:dyDescent="0.25">
      <c r="A1603" s="1" t="s">
        <v>129</v>
      </c>
      <c r="B1603" s="1" t="s">
        <v>70</v>
      </c>
      <c r="C1603" s="1">
        <v>992.3</v>
      </c>
      <c r="D1603" s="1">
        <v>522.29999999999995</v>
      </c>
    </row>
    <row r="1604" spans="1:4" x14ac:dyDescent="0.25">
      <c r="A1604" s="1" t="s">
        <v>129</v>
      </c>
      <c r="B1604" s="1" t="s">
        <v>73</v>
      </c>
      <c r="C1604" s="1">
        <v>721.69</v>
      </c>
      <c r="D1604" s="1">
        <v>148.28</v>
      </c>
    </row>
    <row r="1605" spans="1:4" x14ac:dyDescent="0.25">
      <c r="A1605" s="1" t="s">
        <v>129</v>
      </c>
      <c r="B1605" s="1" t="s">
        <v>72</v>
      </c>
      <c r="C1605" s="1">
        <v>1702.08</v>
      </c>
      <c r="D1605" s="1">
        <v>1284.28</v>
      </c>
    </row>
    <row r="1606" spans="1:4" x14ac:dyDescent="0.25">
      <c r="A1606" s="1" t="s">
        <v>129</v>
      </c>
      <c r="B1606" s="1" t="s">
        <v>77</v>
      </c>
      <c r="C1606" s="1">
        <v>1758.1</v>
      </c>
      <c r="D1606" s="1">
        <v>500.31</v>
      </c>
    </row>
    <row r="1607" spans="1:4" x14ac:dyDescent="0.25">
      <c r="A1607" s="1" t="s">
        <v>129</v>
      </c>
      <c r="B1607" s="1" t="s">
        <v>69</v>
      </c>
      <c r="C1607" s="1">
        <v>1078.28</v>
      </c>
      <c r="D1607" s="1">
        <v>898.38</v>
      </c>
    </row>
    <row r="1608" spans="1:4" x14ac:dyDescent="0.25">
      <c r="A1608" s="1" t="s">
        <v>130</v>
      </c>
      <c r="B1608" s="1" t="s">
        <v>75</v>
      </c>
      <c r="C1608" s="1">
        <v>275</v>
      </c>
      <c r="D1608" s="1">
        <v>130.79</v>
      </c>
    </row>
    <row r="1609" spans="1:4" x14ac:dyDescent="0.25">
      <c r="A1609" s="1" t="s">
        <v>130</v>
      </c>
      <c r="B1609" s="1" t="s">
        <v>74</v>
      </c>
      <c r="C1609" s="1">
        <v>665.43</v>
      </c>
      <c r="D1609" s="1">
        <v>162.06</v>
      </c>
    </row>
    <row r="1610" spans="1:4" x14ac:dyDescent="0.25">
      <c r="A1610" s="1" t="s">
        <v>130</v>
      </c>
      <c r="B1610" s="1" t="s">
        <v>78</v>
      </c>
      <c r="C1610" s="1">
        <v>380.43</v>
      </c>
      <c r="D1610" s="1">
        <v>211.56</v>
      </c>
    </row>
    <row r="1611" spans="1:4" x14ac:dyDescent="0.25">
      <c r="A1611" s="1" t="s">
        <v>130</v>
      </c>
      <c r="B1611" s="1" t="s">
        <v>76</v>
      </c>
      <c r="C1611" s="1">
        <v>1618.2</v>
      </c>
      <c r="D1611" s="1">
        <v>374.63</v>
      </c>
    </row>
    <row r="1612" spans="1:4" x14ac:dyDescent="0.25">
      <c r="A1612" s="1" t="s">
        <v>130</v>
      </c>
      <c r="B1612" s="1" t="s">
        <v>73</v>
      </c>
      <c r="C1612" s="1">
        <v>499.99</v>
      </c>
      <c r="D1612" s="1">
        <v>90.55</v>
      </c>
    </row>
    <row r="1613" spans="1:4" x14ac:dyDescent="0.25">
      <c r="A1613" s="1" t="s">
        <v>130</v>
      </c>
      <c r="B1613" s="1" t="s">
        <v>77</v>
      </c>
      <c r="C1613" s="1">
        <v>1322.41</v>
      </c>
      <c r="D1613" s="1">
        <v>317.5</v>
      </c>
    </row>
    <row r="1614" spans="1:4" x14ac:dyDescent="0.25">
      <c r="A1614" s="1" t="s">
        <v>130</v>
      </c>
      <c r="B1614" s="1" t="s">
        <v>71</v>
      </c>
      <c r="C1614" s="1">
        <v>591.09</v>
      </c>
      <c r="D1614" s="1">
        <v>204.82</v>
      </c>
    </row>
    <row r="1615" spans="1:4" x14ac:dyDescent="0.25">
      <c r="A1615" s="1" t="s">
        <v>130</v>
      </c>
      <c r="B1615" s="1" t="s">
        <v>70</v>
      </c>
      <c r="C1615" s="1">
        <v>778.35</v>
      </c>
      <c r="D1615" s="1">
        <v>372.64</v>
      </c>
    </row>
    <row r="1616" spans="1:4" x14ac:dyDescent="0.25">
      <c r="A1616" s="1" t="s">
        <v>130</v>
      </c>
      <c r="B1616" s="1" t="s">
        <v>72</v>
      </c>
      <c r="C1616" s="1">
        <v>1015.34</v>
      </c>
      <c r="D1616" s="1">
        <v>780.29</v>
      </c>
    </row>
    <row r="1617" spans="1:4" x14ac:dyDescent="0.25">
      <c r="A1617" s="1" t="s">
        <v>130</v>
      </c>
      <c r="B1617" s="1" t="s">
        <v>68</v>
      </c>
      <c r="C1617" s="1">
        <v>528.54999999999995</v>
      </c>
      <c r="D1617" s="1">
        <v>212.31</v>
      </c>
    </row>
    <row r="1618" spans="1:4" x14ac:dyDescent="0.25">
      <c r="A1618" s="1" t="s">
        <v>130</v>
      </c>
      <c r="B1618" s="1" t="s">
        <v>69</v>
      </c>
      <c r="C1618" s="1">
        <v>617.51</v>
      </c>
      <c r="D1618" s="1">
        <v>502.37</v>
      </c>
    </row>
    <row r="1619" spans="1:4" x14ac:dyDescent="0.25">
      <c r="A1619" s="1" t="s">
        <v>131</v>
      </c>
      <c r="B1619" s="1" t="s">
        <v>75</v>
      </c>
      <c r="C1619" s="1">
        <v>478.36</v>
      </c>
      <c r="D1619" s="1">
        <v>195.45</v>
      </c>
    </row>
    <row r="1620" spans="1:4" x14ac:dyDescent="0.25">
      <c r="A1620" s="1" t="s">
        <v>131</v>
      </c>
      <c r="B1620" s="1" t="s">
        <v>74</v>
      </c>
      <c r="C1620" s="1">
        <v>1887.61</v>
      </c>
      <c r="D1620" s="1">
        <v>370.32</v>
      </c>
    </row>
    <row r="1621" spans="1:4" x14ac:dyDescent="0.25">
      <c r="A1621" s="1" t="s">
        <v>131</v>
      </c>
      <c r="B1621" s="1" t="s">
        <v>72</v>
      </c>
      <c r="C1621" s="1">
        <v>1661.21</v>
      </c>
      <c r="D1621" s="1">
        <v>1039.03</v>
      </c>
    </row>
    <row r="1622" spans="1:4" x14ac:dyDescent="0.25">
      <c r="A1622" s="1" t="s">
        <v>131</v>
      </c>
      <c r="B1622" s="1" t="s">
        <v>77</v>
      </c>
      <c r="C1622" s="1">
        <v>2718.47</v>
      </c>
      <c r="D1622" s="1">
        <v>592.09</v>
      </c>
    </row>
    <row r="1623" spans="1:4" x14ac:dyDescent="0.25">
      <c r="A1623" s="1" t="s">
        <v>131</v>
      </c>
      <c r="B1623" s="1" t="s">
        <v>71</v>
      </c>
      <c r="C1623" s="1">
        <v>1951.39</v>
      </c>
      <c r="D1623" s="1">
        <v>451.75</v>
      </c>
    </row>
    <row r="1624" spans="1:4" x14ac:dyDescent="0.25">
      <c r="A1624" s="1" t="s">
        <v>131</v>
      </c>
      <c r="B1624" s="1" t="s">
        <v>70</v>
      </c>
      <c r="C1624" s="1">
        <v>1964.68</v>
      </c>
      <c r="D1624" s="1">
        <v>754.18</v>
      </c>
    </row>
    <row r="1625" spans="1:4" x14ac:dyDescent="0.25">
      <c r="A1625" s="1" t="s">
        <v>131</v>
      </c>
      <c r="B1625" s="1" t="s">
        <v>78</v>
      </c>
      <c r="C1625" s="1">
        <v>580.63</v>
      </c>
      <c r="D1625" s="1">
        <v>291.14</v>
      </c>
    </row>
    <row r="1626" spans="1:4" x14ac:dyDescent="0.25">
      <c r="A1626" s="1" t="s">
        <v>131</v>
      </c>
      <c r="B1626" s="1" t="s">
        <v>76</v>
      </c>
      <c r="C1626" s="1">
        <v>4543.68</v>
      </c>
      <c r="D1626" s="1">
        <v>846.43</v>
      </c>
    </row>
    <row r="1627" spans="1:4" x14ac:dyDescent="0.25">
      <c r="A1627" s="1" t="s">
        <v>131</v>
      </c>
      <c r="B1627" s="1" t="s">
        <v>73</v>
      </c>
      <c r="C1627" s="1">
        <v>1520.4</v>
      </c>
      <c r="D1627" s="1">
        <v>172.12</v>
      </c>
    </row>
    <row r="1628" spans="1:4" x14ac:dyDescent="0.25">
      <c r="A1628" s="1" t="s">
        <v>131</v>
      </c>
      <c r="B1628" s="1" t="s">
        <v>68</v>
      </c>
      <c r="C1628" s="1">
        <v>1484.45</v>
      </c>
      <c r="D1628" s="1">
        <v>363.14</v>
      </c>
    </row>
    <row r="1629" spans="1:4" x14ac:dyDescent="0.25">
      <c r="A1629" s="1" t="s">
        <v>131</v>
      </c>
      <c r="B1629" s="1" t="s">
        <v>69</v>
      </c>
      <c r="C1629" s="1">
        <v>960.11</v>
      </c>
      <c r="D1629" s="1">
        <v>700.4</v>
      </c>
    </row>
    <row r="1630" spans="1:4" x14ac:dyDescent="0.25">
      <c r="A1630" s="1" t="s">
        <v>132</v>
      </c>
      <c r="B1630" s="1" t="s">
        <v>75</v>
      </c>
      <c r="C1630" s="1">
        <v>240.69</v>
      </c>
      <c r="D1630" s="1">
        <v>101.9</v>
      </c>
    </row>
    <row r="1631" spans="1:4" x14ac:dyDescent="0.25">
      <c r="A1631" s="1" t="s">
        <v>132</v>
      </c>
      <c r="B1631" s="1" t="s">
        <v>74</v>
      </c>
      <c r="C1631" s="1">
        <v>1163.1099999999999</v>
      </c>
      <c r="D1631" s="1">
        <v>280.83</v>
      </c>
    </row>
    <row r="1632" spans="1:4" x14ac:dyDescent="0.25">
      <c r="A1632" s="1" t="s">
        <v>132</v>
      </c>
      <c r="B1632" s="1" t="s">
        <v>72</v>
      </c>
      <c r="C1632" s="1">
        <v>1194.1400000000001</v>
      </c>
      <c r="D1632" s="1">
        <v>749.1</v>
      </c>
    </row>
    <row r="1633" spans="1:4" x14ac:dyDescent="0.25">
      <c r="A1633" s="1" t="s">
        <v>132</v>
      </c>
      <c r="B1633" s="1" t="s">
        <v>68</v>
      </c>
      <c r="C1633" s="1">
        <v>1262.2</v>
      </c>
      <c r="D1633" s="1">
        <v>349.01</v>
      </c>
    </row>
    <row r="1634" spans="1:4" x14ac:dyDescent="0.25">
      <c r="A1634" s="1" t="s">
        <v>132</v>
      </c>
      <c r="B1634" s="1" t="s">
        <v>77</v>
      </c>
      <c r="C1634" s="1">
        <v>1759.27</v>
      </c>
      <c r="D1634" s="1">
        <v>406.76</v>
      </c>
    </row>
    <row r="1635" spans="1:4" x14ac:dyDescent="0.25">
      <c r="A1635" s="1" t="s">
        <v>132</v>
      </c>
      <c r="B1635" s="1" t="s">
        <v>69</v>
      </c>
      <c r="C1635" s="1">
        <v>702.58</v>
      </c>
      <c r="D1635" s="1">
        <v>540.24</v>
      </c>
    </row>
    <row r="1636" spans="1:4" x14ac:dyDescent="0.25">
      <c r="A1636" s="1" t="s">
        <v>132</v>
      </c>
      <c r="B1636" s="1" t="s">
        <v>70</v>
      </c>
      <c r="C1636" s="1">
        <v>1407.56</v>
      </c>
      <c r="D1636" s="1">
        <v>591.59</v>
      </c>
    </row>
    <row r="1637" spans="1:4" x14ac:dyDescent="0.25">
      <c r="A1637" s="1" t="s">
        <v>132</v>
      </c>
      <c r="B1637" s="1" t="s">
        <v>78</v>
      </c>
      <c r="C1637" s="1">
        <v>461.71</v>
      </c>
      <c r="D1637" s="1">
        <v>259.66000000000003</v>
      </c>
    </row>
    <row r="1638" spans="1:4" x14ac:dyDescent="0.25">
      <c r="A1638" s="1" t="s">
        <v>132</v>
      </c>
      <c r="B1638" s="1" t="s">
        <v>76</v>
      </c>
      <c r="C1638" s="1">
        <v>2093.21</v>
      </c>
      <c r="D1638" s="1">
        <v>455.47</v>
      </c>
    </row>
    <row r="1639" spans="1:4" x14ac:dyDescent="0.25">
      <c r="A1639" s="1" t="s">
        <v>132</v>
      </c>
      <c r="B1639" s="1" t="s">
        <v>73</v>
      </c>
      <c r="C1639" s="1">
        <v>1085.81</v>
      </c>
      <c r="D1639" s="1">
        <v>135.69</v>
      </c>
    </row>
    <row r="1640" spans="1:4" x14ac:dyDescent="0.25">
      <c r="A1640" s="1" t="s">
        <v>132</v>
      </c>
      <c r="B1640" s="1" t="s">
        <v>71</v>
      </c>
      <c r="C1640" s="1">
        <v>1706.96</v>
      </c>
      <c r="D1640" s="1">
        <v>402.4</v>
      </c>
    </row>
    <row r="1641" spans="1:4" x14ac:dyDescent="0.25">
      <c r="A1641" s="1" t="s">
        <v>133</v>
      </c>
      <c r="B1641" s="1" t="s">
        <v>75</v>
      </c>
      <c r="C1641" s="1">
        <v>104.21</v>
      </c>
      <c r="D1641" s="1">
        <v>38.15</v>
      </c>
    </row>
    <row r="1642" spans="1:4" x14ac:dyDescent="0.25">
      <c r="A1642" s="1" t="s">
        <v>133</v>
      </c>
      <c r="B1642" s="1" t="s">
        <v>74</v>
      </c>
      <c r="C1642" s="1">
        <v>743.78</v>
      </c>
      <c r="D1642" s="1">
        <v>143.55000000000001</v>
      </c>
    </row>
    <row r="1643" spans="1:4" x14ac:dyDescent="0.25">
      <c r="A1643" s="1" t="s">
        <v>133</v>
      </c>
      <c r="B1643" s="1" t="s">
        <v>73</v>
      </c>
      <c r="C1643" s="1">
        <v>686.21</v>
      </c>
      <c r="D1643" s="1">
        <v>71.91</v>
      </c>
    </row>
    <row r="1644" spans="1:4" x14ac:dyDescent="0.25">
      <c r="A1644" s="1" t="s">
        <v>133</v>
      </c>
      <c r="B1644" s="1" t="s">
        <v>68</v>
      </c>
      <c r="C1644" s="1">
        <v>1025.71</v>
      </c>
      <c r="D1644" s="1">
        <v>233.79</v>
      </c>
    </row>
    <row r="1645" spans="1:4" x14ac:dyDescent="0.25">
      <c r="A1645" s="1" t="s">
        <v>133</v>
      </c>
      <c r="B1645" s="1" t="s">
        <v>77</v>
      </c>
      <c r="C1645" s="1">
        <v>1079.75</v>
      </c>
      <c r="D1645" s="1">
        <v>225.4</v>
      </c>
    </row>
    <row r="1646" spans="1:4" x14ac:dyDescent="0.25">
      <c r="A1646" s="1" t="s">
        <v>133</v>
      </c>
      <c r="B1646" s="1" t="s">
        <v>71</v>
      </c>
      <c r="C1646" s="1">
        <v>1423.22</v>
      </c>
      <c r="D1646" s="1">
        <v>288.20999999999998</v>
      </c>
    </row>
    <row r="1647" spans="1:4" x14ac:dyDescent="0.25">
      <c r="A1647" s="1" t="s">
        <v>133</v>
      </c>
      <c r="B1647" s="1" t="s">
        <v>78</v>
      </c>
      <c r="C1647" s="1">
        <v>180.95</v>
      </c>
      <c r="D1647" s="1">
        <v>98.08</v>
      </c>
    </row>
    <row r="1648" spans="1:4" x14ac:dyDescent="0.25">
      <c r="A1648" s="1" t="s">
        <v>133</v>
      </c>
      <c r="B1648" s="1" t="s">
        <v>76</v>
      </c>
      <c r="C1648" s="1">
        <v>995.01</v>
      </c>
      <c r="D1648" s="1">
        <v>203.65</v>
      </c>
    </row>
    <row r="1649" spans="1:4" x14ac:dyDescent="0.25">
      <c r="A1649" s="1" t="s">
        <v>133</v>
      </c>
      <c r="B1649" s="1" t="s">
        <v>72</v>
      </c>
      <c r="C1649" s="1">
        <v>618.24</v>
      </c>
      <c r="D1649" s="1">
        <v>338.52</v>
      </c>
    </row>
    <row r="1650" spans="1:4" x14ac:dyDescent="0.25">
      <c r="A1650" s="1" t="s">
        <v>133</v>
      </c>
      <c r="B1650" s="1" t="s">
        <v>69</v>
      </c>
      <c r="C1650" s="1">
        <v>359.05</v>
      </c>
      <c r="D1650" s="1">
        <v>208.97</v>
      </c>
    </row>
    <row r="1651" spans="1:4" x14ac:dyDescent="0.25">
      <c r="A1651" s="1" t="s">
        <v>133</v>
      </c>
      <c r="B1651" s="1" t="s">
        <v>70</v>
      </c>
      <c r="C1651" s="1">
        <v>657.56</v>
      </c>
      <c r="D1651" s="1">
        <v>259.08999999999997</v>
      </c>
    </row>
    <row r="1652" spans="1:4" x14ac:dyDescent="0.25">
      <c r="A1652" s="1" t="s">
        <v>134</v>
      </c>
      <c r="B1652" s="1" t="s">
        <v>75</v>
      </c>
      <c r="C1652" s="1">
        <v>124.67</v>
      </c>
      <c r="D1652" s="1">
        <v>34.130000000000003</v>
      </c>
    </row>
    <row r="1653" spans="1:4" x14ac:dyDescent="0.25">
      <c r="A1653" s="1" t="s">
        <v>134</v>
      </c>
      <c r="B1653" s="1" t="s">
        <v>74</v>
      </c>
      <c r="C1653" s="1">
        <v>2280.1999999999998</v>
      </c>
      <c r="D1653" s="1">
        <v>335.1</v>
      </c>
    </row>
    <row r="1654" spans="1:4" x14ac:dyDescent="0.25">
      <c r="A1654" s="1" t="s">
        <v>134</v>
      </c>
      <c r="B1654" s="1" t="s">
        <v>78</v>
      </c>
      <c r="C1654" s="1">
        <v>248.05</v>
      </c>
      <c r="D1654" s="1">
        <v>93.18</v>
      </c>
    </row>
    <row r="1655" spans="1:4" x14ac:dyDescent="0.25">
      <c r="A1655" s="1" t="s">
        <v>134</v>
      </c>
      <c r="B1655" s="1" t="s">
        <v>76</v>
      </c>
      <c r="C1655" s="1">
        <v>3046.38</v>
      </c>
      <c r="D1655" s="1">
        <v>498.64</v>
      </c>
    </row>
    <row r="1656" spans="1:4" x14ac:dyDescent="0.25">
      <c r="A1656" s="1" t="s">
        <v>134</v>
      </c>
      <c r="B1656" s="1" t="s">
        <v>73</v>
      </c>
      <c r="C1656" s="1">
        <v>1854.23</v>
      </c>
      <c r="D1656" s="1">
        <v>161.18</v>
      </c>
    </row>
    <row r="1657" spans="1:4" x14ac:dyDescent="0.25">
      <c r="A1657" s="1" t="s">
        <v>134</v>
      </c>
      <c r="B1657" s="1" t="s">
        <v>68</v>
      </c>
      <c r="C1657" s="1">
        <v>2812.77</v>
      </c>
      <c r="D1657" s="1">
        <v>556.11</v>
      </c>
    </row>
    <row r="1658" spans="1:4" x14ac:dyDescent="0.25">
      <c r="A1658" s="1" t="s">
        <v>134</v>
      </c>
      <c r="B1658" s="1" t="s">
        <v>71</v>
      </c>
      <c r="C1658" s="1">
        <v>3854.56</v>
      </c>
      <c r="D1658" s="1">
        <v>693.22</v>
      </c>
    </row>
    <row r="1659" spans="1:4" x14ac:dyDescent="0.25">
      <c r="A1659" s="1" t="s">
        <v>134</v>
      </c>
      <c r="B1659" s="1" t="s">
        <v>70</v>
      </c>
      <c r="C1659" s="1">
        <v>1277.58</v>
      </c>
      <c r="D1659" s="1">
        <v>434.68</v>
      </c>
    </row>
    <row r="1660" spans="1:4" x14ac:dyDescent="0.25">
      <c r="A1660" s="1" t="s">
        <v>134</v>
      </c>
      <c r="B1660" s="1" t="s">
        <v>72</v>
      </c>
      <c r="C1660" s="1">
        <v>1039.17</v>
      </c>
      <c r="D1660" s="1">
        <v>462.33</v>
      </c>
    </row>
    <row r="1661" spans="1:4" x14ac:dyDescent="0.25">
      <c r="A1661" s="1" t="s">
        <v>134</v>
      </c>
      <c r="B1661" s="1" t="s">
        <v>77</v>
      </c>
      <c r="C1661" s="1">
        <v>2327.34</v>
      </c>
      <c r="D1661" s="1">
        <v>416.31</v>
      </c>
    </row>
    <row r="1662" spans="1:4" x14ac:dyDescent="0.25">
      <c r="A1662" s="1" t="s">
        <v>134</v>
      </c>
      <c r="B1662" s="1" t="s">
        <v>69</v>
      </c>
      <c r="C1662" s="1">
        <v>527.66</v>
      </c>
      <c r="D1662" s="1">
        <v>234.42</v>
      </c>
    </row>
    <row r="1663" spans="1:4" x14ac:dyDescent="0.25">
      <c r="A1663" s="1" t="s">
        <v>135</v>
      </c>
      <c r="B1663" s="1" t="s">
        <v>75</v>
      </c>
      <c r="C1663" s="1">
        <v>262.91000000000003</v>
      </c>
      <c r="D1663" s="1">
        <v>60.47</v>
      </c>
    </row>
    <row r="1664" spans="1:4" x14ac:dyDescent="0.25">
      <c r="A1664" s="1" t="s">
        <v>135</v>
      </c>
      <c r="B1664" s="1" t="s">
        <v>74</v>
      </c>
      <c r="C1664" s="1">
        <v>4796.74</v>
      </c>
      <c r="D1664" s="1">
        <v>736.51</v>
      </c>
    </row>
    <row r="1665" spans="1:4" x14ac:dyDescent="0.25">
      <c r="A1665" s="1" t="s">
        <v>135</v>
      </c>
      <c r="B1665" s="1" t="s">
        <v>78</v>
      </c>
      <c r="C1665" s="1">
        <v>501.8</v>
      </c>
      <c r="D1665" s="1">
        <v>175.22</v>
      </c>
    </row>
    <row r="1666" spans="1:4" x14ac:dyDescent="0.25">
      <c r="A1666" s="1" t="s">
        <v>135</v>
      </c>
      <c r="B1666" s="1" t="s">
        <v>76</v>
      </c>
      <c r="C1666" s="1">
        <v>6880.5</v>
      </c>
      <c r="D1666" s="1">
        <v>1168.78</v>
      </c>
    </row>
    <row r="1667" spans="1:4" x14ac:dyDescent="0.25">
      <c r="A1667" s="1" t="s">
        <v>135</v>
      </c>
      <c r="B1667" s="1" t="s">
        <v>71</v>
      </c>
      <c r="C1667" s="1">
        <v>7165.02</v>
      </c>
      <c r="D1667" s="1">
        <v>1438.4</v>
      </c>
    </row>
    <row r="1668" spans="1:4" x14ac:dyDescent="0.25">
      <c r="A1668" s="1" t="s">
        <v>135</v>
      </c>
      <c r="B1668" s="1" t="s">
        <v>69</v>
      </c>
      <c r="C1668" s="1">
        <v>1059.1199999999999</v>
      </c>
      <c r="D1668" s="1">
        <v>466.92</v>
      </c>
    </row>
    <row r="1669" spans="1:4" x14ac:dyDescent="0.25">
      <c r="A1669" s="1" t="s">
        <v>135</v>
      </c>
      <c r="B1669" s="1" t="s">
        <v>70</v>
      </c>
      <c r="C1669" s="1">
        <v>2794.9</v>
      </c>
      <c r="D1669" s="1">
        <v>919.43</v>
      </c>
    </row>
    <row r="1670" spans="1:4" x14ac:dyDescent="0.25">
      <c r="A1670" s="1" t="s">
        <v>135</v>
      </c>
      <c r="B1670" s="1" t="s">
        <v>73</v>
      </c>
      <c r="C1670" s="1">
        <v>3821.65</v>
      </c>
      <c r="D1670" s="1">
        <v>363.75</v>
      </c>
    </row>
    <row r="1671" spans="1:4" x14ac:dyDescent="0.25">
      <c r="A1671" s="1" t="s">
        <v>135</v>
      </c>
      <c r="B1671" s="1" t="s">
        <v>72</v>
      </c>
      <c r="C1671" s="1">
        <v>2168.67</v>
      </c>
      <c r="D1671" s="1">
        <v>915.37</v>
      </c>
    </row>
    <row r="1672" spans="1:4" x14ac:dyDescent="0.25">
      <c r="A1672" s="1" t="s">
        <v>135</v>
      </c>
      <c r="B1672" s="1" t="s">
        <v>68</v>
      </c>
      <c r="C1672" s="1">
        <v>5588.73</v>
      </c>
      <c r="D1672" s="1">
        <v>1239.0999999999999</v>
      </c>
    </row>
    <row r="1673" spans="1:4" x14ac:dyDescent="0.25">
      <c r="A1673" s="1" t="s">
        <v>135</v>
      </c>
      <c r="B1673" s="1" t="s">
        <v>77</v>
      </c>
      <c r="C1673" s="1">
        <v>4840.03</v>
      </c>
      <c r="D1673" s="1">
        <v>894.63</v>
      </c>
    </row>
    <row r="1674" spans="1:4" x14ac:dyDescent="0.25">
      <c r="A1674" s="1" t="s">
        <v>136</v>
      </c>
      <c r="B1674" s="1" t="s">
        <v>75</v>
      </c>
      <c r="C1674" s="1">
        <v>487.38</v>
      </c>
      <c r="D1674" s="1">
        <v>118.29</v>
      </c>
    </row>
    <row r="1675" spans="1:4" x14ac:dyDescent="0.25">
      <c r="A1675" s="1" t="s">
        <v>136</v>
      </c>
      <c r="B1675" s="1" t="s">
        <v>74</v>
      </c>
      <c r="C1675" s="1">
        <v>7091.41</v>
      </c>
      <c r="D1675" s="1">
        <v>1241.73</v>
      </c>
    </row>
    <row r="1676" spans="1:4" x14ac:dyDescent="0.25">
      <c r="A1676" s="1" t="s">
        <v>136</v>
      </c>
      <c r="B1676" s="1" t="s">
        <v>72</v>
      </c>
      <c r="C1676" s="1">
        <v>3898.65</v>
      </c>
      <c r="D1676" s="1">
        <v>1892.22</v>
      </c>
    </row>
    <row r="1677" spans="1:4" x14ac:dyDescent="0.25">
      <c r="A1677" s="1" t="s">
        <v>136</v>
      </c>
      <c r="B1677" s="1" t="s">
        <v>76</v>
      </c>
      <c r="C1677" s="1">
        <v>11038.38</v>
      </c>
      <c r="D1677" s="1">
        <v>2113.8200000000002</v>
      </c>
    </row>
    <row r="1678" spans="1:4" x14ac:dyDescent="0.25">
      <c r="A1678" s="1" t="s">
        <v>136</v>
      </c>
      <c r="B1678" s="1" t="s">
        <v>77</v>
      </c>
      <c r="C1678" s="1">
        <v>8198.35</v>
      </c>
      <c r="D1678" s="1">
        <v>1713.54</v>
      </c>
    </row>
    <row r="1679" spans="1:4" x14ac:dyDescent="0.25">
      <c r="A1679" s="1" t="s">
        <v>136</v>
      </c>
      <c r="B1679" s="1" t="s">
        <v>69</v>
      </c>
      <c r="C1679" s="1">
        <v>2011.85</v>
      </c>
      <c r="D1679" s="1">
        <v>1026.71</v>
      </c>
    </row>
    <row r="1680" spans="1:4" x14ac:dyDescent="0.25">
      <c r="A1680" s="1" t="s">
        <v>136</v>
      </c>
      <c r="B1680" s="1" t="s">
        <v>70</v>
      </c>
      <c r="C1680" s="1">
        <v>4757.58</v>
      </c>
      <c r="D1680" s="1">
        <v>1728.51</v>
      </c>
    </row>
    <row r="1681" spans="1:4" x14ac:dyDescent="0.25">
      <c r="A1681" s="1" t="s">
        <v>136</v>
      </c>
      <c r="B1681" s="1" t="s">
        <v>78</v>
      </c>
      <c r="C1681" s="1">
        <v>939.6</v>
      </c>
      <c r="D1681" s="1">
        <v>357.02</v>
      </c>
    </row>
    <row r="1682" spans="1:4" x14ac:dyDescent="0.25">
      <c r="A1682" s="1" t="s">
        <v>136</v>
      </c>
      <c r="B1682" s="1" t="s">
        <v>73</v>
      </c>
      <c r="C1682" s="1">
        <v>6178.05</v>
      </c>
      <c r="D1682" s="1">
        <v>707.2</v>
      </c>
    </row>
    <row r="1683" spans="1:4" x14ac:dyDescent="0.25">
      <c r="A1683" s="1" t="s">
        <v>136</v>
      </c>
      <c r="B1683" s="1" t="s">
        <v>68</v>
      </c>
      <c r="C1683" s="1">
        <v>8428.16</v>
      </c>
      <c r="D1683" s="1">
        <v>2100.77</v>
      </c>
    </row>
    <row r="1684" spans="1:4" x14ac:dyDescent="0.25">
      <c r="A1684" s="1" t="s">
        <v>136</v>
      </c>
      <c r="B1684" s="1" t="s">
        <v>71</v>
      </c>
      <c r="C1684" s="1">
        <v>9690.34</v>
      </c>
      <c r="D1684" s="1">
        <v>2287.5700000000002</v>
      </c>
    </row>
    <row r="1685" spans="1:4" x14ac:dyDescent="0.25">
      <c r="A1685" s="1" t="s">
        <v>137</v>
      </c>
      <c r="B1685" s="1" t="s">
        <v>74</v>
      </c>
      <c r="C1685" s="1">
        <v>8673.7099999999991</v>
      </c>
      <c r="D1685" s="1">
        <v>1712.81</v>
      </c>
    </row>
    <row r="1686" spans="1:4" x14ac:dyDescent="0.25">
      <c r="A1686" s="1" t="s">
        <v>137</v>
      </c>
      <c r="B1686" s="1" t="s">
        <v>75</v>
      </c>
      <c r="C1686" s="1">
        <v>730.96</v>
      </c>
      <c r="D1686" s="1">
        <v>212.53</v>
      </c>
    </row>
    <row r="1687" spans="1:4" x14ac:dyDescent="0.25">
      <c r="A1687" s="1" t="s">
        <v>137</v>
      </c>
      <c r="B1687" s="1" t="s">
        <v>68</v>
      </c>
      <c r="C1687" s="1">
        <v>10398.1</v>
      </c>
      <c r="D1687" s="1">
        <v>2965.3</v>
      </c>
    </row>
    <row r="1688" spans="1:4" x14ac:dyDescent="0.25">
      <c r="A1688" s="1" t="s">
        <v>137</v>
      </c>
      <c r="B1688" s="1" t="s">
        <v>77</v>
      </c>
      <c r="C1688" s="1">
        <v>11506.42</v>
      </c>
      <c r="D1688" s="1">
        <v>2652.16</v>
      </c>
    </row>
    <row r="1689" spans="1:4" x14ac:dyDescent="0.25">
      <c r="A1689" s="1" t="s">
        <v>137</v>
      </c>
      <c r="B1689" s="1" t="s">
        <v>71</v>
      </c>
      <c r="C1689" s="1">
        <v>11572.82</v>
      </c>
      <c r="D1689" s="1">
        <v>3049.69</v>
      </c>
    </row>
    <row r="1690" spans="1:4" x14ac:dyDescent="0.25">
      <c r="A1690" s="1" t="s">
        <v>137</v>
      </c>
      <c r="B1690" s="1" t="s">
        <v>70</v>
      </c>
      <c r="C1690" s="1">
        <v>6713.99</v>
      </c>
      <c r="D1690" s="1">
        <v>2617.42</v>
      </c>
    </row>
    <row r="1691" spans="1:4" x14ac:dyDescent="0.25">
      <c r="A1691" s="1" t="s">
        <v>137</v>
      </c>
      <c r="B1691" s="1" t="s">
        <v>78</v>
      </c>
      <c r="C1691" s="1">
        <v>1467.17</v>
      </c>
      <c r="D1691" s="1">
        <v>633.25</v>
      </c>
    </row>
    <row r="1692" spans="1:4" x14ac:dyDescent="0.25">
      <c r="A1692" s="1" t="s">
        <v>137</v>
      </c>
      <c r="B1692" s="1" t="s">
        <v>76</v>
      </c>
      <c r="C1692" s="1">
        <v>14309.39</v>
      </c>
      <c r="D1692" s="1">
        <v>3087.54</v>
      </c>
    </row>
    <row r="1693" spans="1:4" x14ac:dyDescent="0.25">
      <c r="A1693" s="1" t="s">
        <v>137</v>
      </c>
      <c r="B1693" s="1" t="s">
        <v>72</v>
      </c>
      <c r="C1693" s="1">
        <v>6178.23</v>
      </c>
      <c r="D1693" s="1">
        <v>3417.58</v>
      </c>
    </row>
    <row r="1694" spans="1:4" x14ac:dyDescent="0.25">
      <c r="A1694" s="1" t="s">
        <v>137</v>
      </c>
      <c r="B1694" s="1" t="s">
        <v>73</v>
      </c>
      <c r="C1694" s="1">
        <v>8239.07</v>
      </c>
      <c r="D1694" s="1">
        <v>1112.6600000000001</v>
      </c>
    </row>
    <row r="1695" spans="1:4" x14ac:dyDescent="0.25">
      <c r="A1695" s="1" t="s">
        <v>137</v>
      </c>
      <c r="B1695" s="1" t="s">
        <v>69</v>
      </c>
      <c r="C1695" s="1">
        <v>3301.38</v>
      </c>
      <c r="D1695" s="1">
        <v>2035.11</v>
      </c>
    </row>
    <row r="1696" spans="1:4" x14ac:dyDescent="0.25">
      <c r="A1696" s="1" t="s">
        <v>138</v>
      </c>
      <c r="B1696" s="1" t="s">
        <v>75</v>
      </c>
      <c r="C1696" s="1">
        <v>899.94</v>
      </c>
      <c r="D1696" s="1">
        <v>316.49</v>
      </c>
    </row>
    <row r="1697" spans="1:4" x14ac:dyDescent="0.25">
      <c r="A1697" s="1" t="s">
        <v>138</v>
      </c>
      <c r="B1697" s="1" t="s">
        <v>74</v>
      </c>
      <c r="C1697" s="1">
        <v>9396.7199999999993</v>
      </c>
      <c r="D1697" s="1">
        <v>2041.18</v>
      </c>
    </row>
    <row r="1698" spans="1:4" x14ac:dyDescent="0.25">
      <c r="A1698" s="1" t="s">
        <v>138</v>
      </c>
      <c r="B1698" s="1" t="s">
        <v>73</v>
      </c>
      <c r="C1698" s="1">
        <v>8991.65</v>
      </c>
      <c r="D1698" s="1">
        <v>1332.88</v>
      </c>
    </row>
    <row r="1699" spans="1:4" x14ac:dyDescent="0.25">
      <c r="A1699" s="1" t="s">
        <v>138</v>
      </c>
      <c r="B1699" s="1" t="s">
        <v>68</v>
      </c>
      <c r="C1699" s="1">
        <v>10983.19</v>
      </c>
      <c r="D1699" s="1">
        <v>3519.93</v>
      </c>
    </row>
    <row r="1700" spans="1:4" x14ac:dyDescent="0.25">
      <c r="A1700" s="1" t="s">
        <v>138</v>
      </c>
      <c r="B1700" s="1" t="s">
        <v>77</v>
      </c>
      <c r="C1700" s="1">
        <v>13420.52</v>
      </c>
      <c r="D1700" s="1">
        <v>3299.05</v>
      </c>
    </row>
    <row r="1701" spans="1:4" x14ac:dyDescent="0.25">
      <c r="A1701" s="1" t="s">
        <v>138</v>
      </c>
      <c r="B1701" s="1" t="s">
        <v>71</v>
      </c>
      <c r="C1701" s="1">
        <v>12094.14</v>
      </c>
      <c r="D1701" s="1">
        <v>3469.35</v>
      </c>
    </row>
    <row r="1702" spans="1:4" x14ac:dyDescent="0.25">
      <c r="A1702" s="1" t="s">
        <v>138</v>
      </c>
      <c r="B1702" s="1" t="s">
        <v>70</v>
      </c>
      <c r="C1702" s="1">
        <v>7651.23</v>
      </c>
      <c r="D1702" s="1">
        <v>3199.06</v>
      </c>
    </row>
    <row r="1703" spans="1:4" x14ac:dyDescent="0.25">
      <c r="A1703" s="1" t="s">
        <v>138</v>
      </c>
      <c r="B1703" s="1" t="s">
        <v>78</v>
      </c>
      <c r="C1703" s="1">
        <v>1920.15</v>
      </c>
      <c r="D1703" s="1">
        <v>945.35</v>
      </c>
    </row>
    <row r="1704" spans="1:4" x14ac:dyDescent="0.25">
      <c r="A1704" s="1" t="s">
        <v>138</v>
      </c>
      <c r="B1704" s="1" t="s">
        <v>76</v>
      </c>
      <c r="C1704" s="1">
        <v>15651.92</v>
      </c>
      <c r="D1704" s="1">
        <v>3670.82</v>
      </c>
    </row>
    <row r="1705" spans="1:4" x14ac:dyDescent="0.25">
      <c r="A1705" s="1" t="s">
        <v>138</v>
      </c>
      <c r="B1705" s="1" t="s">
        <v>72</v>
      </c>
      <c r="C1705" s="1">
        <v>7922.4</v>
      </c>
      <c r="D1705" s="1">
        <v>5033.71</v>
      </c>
    </row>
    <row r="1706" spans="1:4" x14ac:dyDescent="0.25">
      <c r="A1706" s="1" t="s">
        <v>138</v>
      </c>
      <c r="B1706" s="1" t="s">
        <v>69</v>
      </c>
      <c r="C1706" s="1">
        <v>4492.1499999999996</v>
      </c>
      <c r="D1706" s="1">
        <v>3289.81</v>
      </c>
    </row>
    <row r="1707" spans="1:4" x14ac:dyDescent="0.25">
      <c r="A1707" s="1" t="s">
        <v>139</v>
      </c>
      <c r="B1707" s="1" t="s">
        <v>75</v>
      </c>
      <c r="C1707" s="1">
        <v>977.44</v>
      </c>
      <c r="D1707" s="1">
        <v>371.49</v>
      </c>
    </row>
    <row r="1708" spans="1:4" x14ac:dyDescent="0.25">
      <c r="A1708" s="1" t="s">
        <v>139</v>
      </c>
      <c r="B1708" s="1" t="s">
        <v>74</v>
      </c>
      <c r="C1708" s="1">
        <v>9241.17</v>
      </c>
      <c r="D1708" s="1">
        <v>2123.4699999999998</v>
      </c>
    </row>
    <row r="1709" spans="1:4" x14ac:dyDescent="0.25">
      <c r="A1709" s="1" t="s">
        <v>139</v>
      </c>
      <c r="B1709" s="1" t="s">
        <v>76</v>
      </c>
      <c r="C1709" s="1">
        <v>15551.9</v>
      </c>
      <c r="D1709" s="1">
        <v>3815.28</v>
      </c>
    </row>
    <row r="1710" spans="1:4" x14ac:dyDescent="0.25">
      <c r="A1710" s="1" t="s">
        <v>139</v>
      </c>
      <c r="B1710" s="1" t="s">
        <v>73</v>
      </c>
      <c r="C1710" s="1">
        <v>8706.02</v>
      </c>
      <c r="D1710" s="1">
        <v>1362.13</v>
      </c>
    </row>
    <row r="1711" spans="1:4" x14ac:dyDescent="0.25">
      <c r="A1711" s="1" t="s">
        <v>139</v>
      </c>
      <c r="B1711" s="1" t="s">
        <v>68</v>
      </c>
      <c r="C1711" s="1">
        <v>10341.09</v>
      </c>
      <c r="D1711" s="1">
        <v>3527.28</v>
      </c>
    </row>
    <row r="1712" spans="1:4" x14ac:dyDescent="0.25">
      <c r="A1712" s="1" t="s">
        <v>139</v>
      </c>
      <c r="B1712" s="1" t="s">
        <v>71</v>
      </c>
      <c r="C1712" s="1">
        <v>11459.97</v>
      </c>
      <c r="D1712" s="1">
        <v>3432.36</v>
      </c>
    </row>
    <row r="1713" spans="1:4" x14ac:dyDescent="0.25">
      <c r="A1713" s="1" t="s">
        <v>139</v>
      </c>
      <c r="B1713" s="1" t="s">
        <v>69</v>
      </c>
      <c r="C1713" s="1">
        <v>4956.05</v>
      </c>
      <c r="D1713" s="1">
        <v>4019.38</v>
      </c>
    </row>
    <row r="1714" spans="1:4" x14ac:dyDescent="0.25">
      <c r="A1714" s="1" t="s">
        <v>139</v>
      </c>
      <c r="B1714" s="1" t="s">
        <v>78</v>
      </c>
      <c r="C1714" s="1">
        <v>2130.8000000000002</v>
      </c>
      <c r="D1714" s="1">
        <v>1138.45</v>
      </c>
    </row>
    <row r="1715" spans="1:4" x14ac:dyDescent="0.25">
      <c r="A1715" s="1" t="s">
        <v>139</v>
      </c>
      <c r="B1715" s="1" t="s">
        <v>72</v>
      </c>
      <c r="C1715" s="1">
        <v>8514.23</v>
      </c>
      <c r="D1715" s="1">
        <v>5941.59</v>
      </c>
    </row>
    <row r="1716" spans="1:4" x14ac:dyDescent="0.25">
      <c r="A1716" s="1" t="s">
        <v>139</v>
      </c>
      <c r="B1716" s="1" t="s">
        <v>77</v>
      </c>
      <c r="C1716" s="1">
        <v>13576.27</v>
      </c>
      <c r="D1716" s="1">
        <v>3421.25</v>
      </c>
    </row>
    <row r="1717" spans="1:4" x14ac:dyDescent="0.25">
      <c r="A1717" s="1" t="s">
        <v>139</v>
      </c>
      <c r="B1717" s="1" t="s">
        <v>70</v>
      </c>
      <c r="C1717" s="1">
        <v>7787.73</v>
      </c>
      <c r="D1717" s="1">
        <v>3426.74</v>
      </c>
    </row>
    <row r="1718" spans="1:4" x14ac:dyDescent="0.25">
      <c r="A1718" s="1" t="s">
        <v>140</v>
      </c>
      <c r="B1718" s="1" t="s">
        <v>75</v>
      </c>
      <c r="C1718" s="1">
        <v>1037.42</v>
      </c>
      <c r="D1718" s="1">
        <v>410.92</v>
      </c>
    </row>
    <row r="1719" spans="1:4" x14ac:dyDescent="0.25">
      <c r="A1719" s="1" t="s">
        <v>140</v>
      </c>
      <c r="B1719" s="1" t="s">
        <v>74</v>
      </c>
      <c r="C1719" s="1">
        <v>8324.5400000000009</v>
      </c>
      <c r="D1719" s="1">
        <v>1940.16</v>
      </c>
    </row>
    <row r="1720" spans="1:4" x14ac:dyDescent="0.25">
      <c r="A1720" s="1" t="s">
        <v>140</v>
      </c>
      <c r="B1720" s="1" t="s">
        <v>78</v>
      </c>
      <c r="C1720" s="1">
        <v>2085.27</v>
      </c>
      <c r="D1720" s="1">
        <v>1175.46</v>
      </c>
    </row>
    <row r="1721" spans="1:4" x14ac:dyDescent="0.25">
      <c r="A1721" s="1" t="s">
        <v>140</v>
      </c>
      <c r="B1721" s="1" t="s">
        <v>76</v>
      </c>
      <c r="C1721" s="1">
        <v>14263.2</v>
      </c>
      <c r="D1721" s="1">
        <v>3582.71</v>
      </c>
    </row>
    <row r="1722" spans="1:4" x14ac:dyDescent="0.25">
      <c r="A1722" s="1" t="s">
        <v>140</v>
      </c>
      <c r="B1722" s="1" t="s">
        <v>68</v>
      </c>
      <c r="C1722" s="1">
        <v>9156.9699999999993</v>
      </c>
      <c r="D1722" s="1">
        <v>3158.12</v>
      </c>
    </row>
    <row r="1723" spans="1:4" x14ac:dyDescent="0.25">
      <c r="A1723" s="1" t="s">
        <v>140</v>
      </c>
      <c r="B1723" s="1" t="s">
        <v>71</v>
      </c>
      <c r="C1723" s="1">
        <v>10082.129999999999</v>
      </c>
      <c r="D1723" s="1">
        <v>3040.27</v>
      </c>
    </row>
    <row r="1724" spans="1:4" x14ac:dyDescent="0.25">
      <c r="A1724" s="1" t="s">
        <v>140</v>
      </c>
      <c r="B1724" s="1" t="s">
        <v>69</v>
      </c>
      <c r="C1724" s="1">
        <v>4739.1499999999996</v>
      </c>
      <c r="D1724" s="1">
        <v>4078.86</v>
      </c>
    </row>
    <row r="1725" spans="1:4" x14ac:dyDescent="0.25">
      <c r="A1725" s="1" t="s">
        <v>140</v>
      </c>
      <c r="B1725" s="1" t="s">
        <v>70</v>
      </c>
      <c r="C1725" s="1">
        <v>7051.9</v>
      </c>
      <c r="D1725" s="1">
        <v>3204.29</v>
      </c>
    </row>
    <row r="1726" spans="1:4" x14ac:dyDescent="0.25">
      <c r="A1726" s="1" t="s">
        <v>140</v>
      </c>
      <c r="B1726" s="1" t="s">
        <v>72</v>
      </c>
      <c r="C1726" s="1">
        <v>8100.37</v>
      </c>
      <c r="D1726" s="1">
        <v>5897.48</v>
      </c>
    </row>
    <row r="1727" spans="1:4" x14ac:dyDescent="0.25">
      <c r="A1727" s="1" t="s">
        <v>140</v>
      </c>
      <c r="B1727" s="1" t="s">
        <v>73</v>
      </c>
      <c r="C1727" s="1">
        <v>7663.18</v>
      </c>
      <c r="D1727" s="1">
        <v>1217.23</v>
      </c>
    </row>
    <row r="1728" spans="1:4" x14ac:dyDescent="0.25">
      <c r="A1728" s="1" t="s">
        <v>140</v>
      </c>
      <c r="B1728" s="1" t="s">
        <v>77</v>
      </c>
      <c r="C1728" s="1">
        <v>12329.27</v>
      </c>
      <c r="D1728" s="1">
        <v>3125.11</v>
      </c>
    </row>
    <row r="1729" spans="1:4" x14ac:dyDescent="0.25">
      <c r="A1729" s="1" t="s">
        <v>141</v>
      </c>
      <c r="B1729" s="1" t="s">
        <v>74</v>
      </c>
      <c r="C1729" s="1">
        <v>7126.25</v>
      </c>
      <c r="D1729" s="1">
        <v>1626.86</v>
      </c>
    </row>
    <row r="1730" spans="1:4" x14ac:dyDescent="0.25">
      <c r="A1730" s="1" t="s">
        <v>141</v>
      </c>
      <c r="B1730" s="1" t="s">
        <v>78</v>
      </c>
      <c r="C1730" s="1">
        <v>1722.09</v>
      </c>
      <c r="D1730" s="1">
        <v>980.35</v>
      </c>
    </row>
    <row r="1731" spans="1:4" x14ac:dyDescent="0.25">
      <c r="A1731" s="1" t="s">
        <v>141</v>
      </c>
      <c r="B1731" s="1" t="s">
        <v>75</v>
      </c>
      <c r="C1731" s="1">
        <v>901.16</v>
      </c>
      <c r="D1731" s="1">
        <v>367.06</v>
      </c>
    </row>
    <row r="1732" spans="1:4" x14ac:dyDescent="0.25">
      <c r="A1732" s="1" t="s">
        <v>141</v>
      </c>
      <c r="B1732" s="1" t="s">
        <v>76</v>
      </c>
      <c r="C1732" s="1">
        <v>12040</v>
      </c>
      <c r="D1732" s="1">
        <v>3042.43</v>
      </c>
    </row>
    <row r="1733" spans="1:4" x14ac:dyDescent="0.25">
      <c r="A1733" s="1" t="s">
        <v>141</v>
      </c>
      <c r="B1733" s="1" t="s">
        <v>72</v>
      </c>
      <c r="C1733" s="1">
        <v>6473.49</v>
      </c>
      <c r="D1733" s="1">
        <v>4846.7299999999996</v>
      </c>
    </row>
    <row r="1734" spans="1:4" x14ac:dyDescent="0.25">
      <c r="A1734" s="1" t="s">
        <v>141</v>
      </c>
      <c r="B1734" s="1" t="s">
        <v>77</v>
      </c>
      <c r="C1734" s="1">
        <v>10123.42</v>
      </c>
      <c r="D1734" s="1">
        <v>2590.7600000000002</v>
      </c>
    </row>
    <row r="1735" spans="1:4" x14ac:dyDescent="0.25">
      <c r="A1735" s="1" t="s">
        <v>141</v>
      </c>
      <c r="B1735" s="1" t="s">
        <v>71</v>
      </c>
      <c r="C1735" s="1">
        <v>8258.33</v>
      </c>
      <c r="D1735" s="1">
        <v>2362.17</v>
      </c>
    </row>
    <row r="1736" spans="1:4" x14ac:dyDescent="0.25">
      <c r="A1736" s="1" t="s">
        <v>141</v>
      </c>
      <c r="B1736" s="1" t="s">
        <v>69</v>
      </c>
      <c r="C1736" s="1">
        <v>3871.6</v>
      </c>
      <c r="D1736" s="1">
        <v>3406.05</v>
      </c>
    </row>
    <row r="1737" spans="1:4" x14ac:dyDescent="0.25">
      <c r="A1737" s="1" t="s">
        <v>141</v>
      </c>
      <c r="B1737" s="1" t="s">
        <v>70</v>
      </c>
      <c r="C1737" s="1">
        <v>5511.14</v>
      </c>
      <c r="D1737" s="1">
        <v>2543.98</v>
      </c>
    </row>
    <row r="1738" spans="1:4" x14ac:dyDescent="0.25">
      <c r="A1738" s="1" t="s">
        <v>141</v>
      </c>
      <c r="B1738" s="1" t="s">
        <v>73</v>
      </c>
      <c r="C1738" s="1">
        <v>5653.91</v>
      </c>
      <c r="D1738" s="1">
        <v>866.48</v>
      </c>
    </row>
    <row r="1739" spans="1:4" x14ac:dyDescent="0.25">
      <c r="A1739" s="1" t="s">
        <v>141</v>
      </c>
      <c r="B1739" s="1" t="s">
        <v>68</v>
      </c>
      <c r="C1739" s="1">
        <v>7314.91</v>
      </c>
      <c r="D1739" s="1">
        <v>2506.25</v>
      </c>
    </row>
    <row r="1740" spans="1:4" x14ac:dyDescent="0.25">
      <c r="A1740" s="1" t="s">
        <v>142</v>
      </c>
      <c r="B1740" s="1" t="s">
        <v>74</v>
      </c>
      <c r="C1740" s="1">
        <v>8036.38</v>
      </c>
      <c r="D1740" s="1">
        <v>1771.6</v>
      </c>
    </row>
    <row r="1741" spans="1:4" x14ac:dyDescent="0.25">
      <c r="A1741" s="1" t="s">
        <v>142</v>
      </c>
      <c r="B1741" s="1" t="s">
        <v>75</v>
      </c>
      <c r="C1741" s="1">
        <v>981.56</v>
      </c>
      <c r="D1741" s="1">
        <v>400.24</v>
      </c>
    </row>
    <row r="1742" spans="1:4" x14ac:dyDescent="0.25">
      <c r="A1742" s="1" t="s">
        <v>142</v>
      </c>
      <c r="B1742" s="1" t="s">
        <v>76</v>
      </c>
      <c r="C1742" s="1">
        <v>12322.35</v>
      </c>
      <c r="D1742" s="1">
        <v>3091.03</v>
      </c>
    </row>
    <row r="1743" spans="1:4" x14ac:dyDescent="0.25">
      <c r="A1743" s="1" t="s">
        <v>142</v>
      </c>
      <c r="B1743" s="1" t="s">
        <v>77</v>
      </c>
      <c r="C1743" s="1">
        <v>10687.65</v>
      </c>
      <c r="D1743" s="1">
        <v>2704.74</v>
      </c>
    </row>
    <row r="1744" spans="1:4" x14ac:dyDescent="0.25">
      <c r="A1744" s="1" t="s">
        <v>142</v>
      </c>
      <c r="B1744" s="1" t="s">
        <v>71</v>
      </c>
      <c r="C1744" s="1">
        <v>9163.89</v>
      </c>
      <c r="D1744" s="1">
        <v>2539.0700000000002</v>
      </c>
    </row>
    <row r="1745" spans="1:4" x14ac:dyDescent="0.25">
      <c r="A1745" s="1" t="s">
        <v>142</v>
      </c>
      <c r="B1745" s="1" t="s">
        <v>70</v>
      </c>
      <c r="C1745" s="1">
        <v>6097.34</v>
      </c>
      <c r="D1745" s="1">
        <v>2754.15</v>
      </c>
    </row>
    <row r="1746" spans="1:4" x14ac:dyDescent="0.25">
      <c r="A1746" s="1" t="s">
        <v>142</v>
      </c>
      <c r="B1746" s="1" t="s">
        <v>78</v>
      </c>
      <c r="C1746" s="1">
        <v>1875.89</v>
      </c>
      <c r="D1746" s="1">
        <v>1061.0999999999999</v>
      </c>
    </row>
    <row r="1747" spans="1:4" x14ac:dyDescent="0.25">
      <c r="A1747" s="1" t="s">
        <v>142</v>
      </c>
      <c r="B1747" s="1" t="s">
        <v>72</v>
      </c>
      <c r="C1747" s="1">
        <v>7094.82</v>
      </c>
      <c r="D1747" s="1">
        <v>5290.13</v>
      </c>
    </row>
    <row r="1748" spans="1:4" x14ac:dyDescent="0.25">
      <c r="A1748" s="1" t="s">
        <v>142</v>
      </c>
      <c r="B1748" s="1" t="s">
        <v>73</v>
      </c>
      <c r="C1748" s="1">
        <v>6554.9</v>
      </c>
      <c r="D1748" s="1">
        <v>947.4</v>
      </c>
    </row>
    <row r="1749" spans="1:4" x14ac:dyDescent="0.25">
      <c r="A1749" s="1" t="s">
        <v>142</v>
      </c>
      <c r="B1749" s="1" t="s">
        <v>68</v>
      </c>
      <c r="C1749" s="1">
        <v>8484.5499999999993</v>
      </c>
      <c r="D1749" s="1">
        <v>2743.79</v>
      </c>
    </row>
    <row r="1750" spans="1:4" x14ac:dyDescent="0.25">
      <c r="A1750" s="1" t="s">
        <v>142</v>
      </c>
      <c r="B1750" s="1" t="s">
        <v>69</v>
      </c>
      <c r="C1750" s="1">
        <v>4198.66</v>
      </c>
      <c r="D1750" s="1">
        <v>3554.16</v>
      </c>
    </row>
    <row r="1751" spans="1:4" x14ac:dyDescent="0.25">
      <c r="A1751" s="1" t="s">
        <v>143</v>
      </c>
      <c r="B1751" s="1" t="s">
        <v>75</v>
      </c>
      <c r="C1751" s="1">
        <v>1012.36</v>
      </c>
      <c r="D1751" s="1">
        <v>416.33</v>
      </c>
    </row>
    <row r="1752" spans="1:4" x14ac:dyDescent="0.25">
      <c r="A1752" s="1" t="s">
        <v>143</v>
      </c>
      <c r="B1752" s="1" t="s">
        <v>74</v>
      </c>
      <c r="C1752" s="1">
        <v>8465.2199999999993</v>
      </c>
      <c r="D1752" s="1">
        <v>1902.43</v>
      </c>
    </row>
    <row r="1753" spans="1:4" x14ac:dyDescent="0.25">
      <c r="A1753" s="1" t="s">
        <v>143</v>
      </c>
      <c r="B1753" s="1" t="s">
        <v>73</v>
      </c>
      <c r="C1753" s="1">
        <v>7573.93</v>
      </c>
      <c r="D1753" s="1">
        <v>1088.73</v>
      </c>
    </row>
    <row r="1754" spans="1:4" x14ac:dyDescent="0.25">
      <c r="A1754" s="1" t="s">
        <v>143</v>
      </c>
      <c r="B1754" s="1" t="s">
        <v>68</v>
      </c>
      <c r="C1754" s="1">
        <v>9390.69</v>
      </c>
      <c r="D1754" s="1">
        <v>2959.96</v>
      </c>
    </row>
    <row r="1755" spans="1:4" x14ac:dyDescent="0.25">
      <c r="A1755" s="1" t="s">
        <v>143</v>
      </c>
      <c r="B1755" s="1" t="s">
        <v>77</v>
      </c>
      <c r="C1755" s="1">
        <v>11617.67</v>
      </c>
      <c r="D1755" s="1">
        <v>2889.56</v>
      </c>
    </row>
    <row r="1756" spans="1:4" x14ac:dyDescent="0.25">
      <c r="A1756" s="1" t="s">
        <v>143</v>
      </c>
      <c r="B1756" s="1" t="s">
        <v>71</v>
      </c>
      <c r="C1756" s="1">
        <v>9950.3700000000008</v>
      </c>
      <c r="D1756" s="1">
        <v>2823.37</v>
      </c>
    </row>
    <row r="1757" spans="1:4" x14ac:dyDescent="0.25">
      <c r="A1757" s="1" t="s">
        <v>143</v>
      </c>
      <c r="B1757" s="1" t="s">
        <v>69</v>
      </c>
      <c r="C1757" s="1">
        <v>4299.25</v>
      </c>
      <c r="D1757" s="1">
        <v>3662.39</v>
      </c>
    </row>
    <row r="1758" spans="1:4" x14ac:dyDescent="0.25">
      <c r="A1758" s="1" t="s">
        <v>143</v>
      </c>
      <c r="B1758" s="1" t="s">
        <v>70</v>
      </c>
      <c r="C1758" s="1">
        <v>6591.04</v>
      </c>
      <c r="D1758" s="1">
        <v>3020.91</v>
      </c>
    </row>
    <row r="1759" spans="1:4" x14ac:dyDescent="0.25">
      <c r="A1759" s="1" t="s">
        <v>143</v>
      </c>
      <c r="B1759" s="1" t="s">
        <v>78</v>
      </c>
      <c r="C1759" s="1">
        <v>1891.11</v>
      </c>
      <c r="D1759" s="1">
        <v>1094.8800000000001</v>
      </c>
    </row>
    <row r="1760" spans="1:4" x14ac:dyDescent="0.25">
      <c r="A1760" s="1" t="s">
        <v>143</v>
      </c>
      <c r="B1760" s="1" t="s">
        <v>72</v>
      </c>
      <c r="C1760" s="1">
        <v>7642.1</v>
      </c>
      <c r="D1760" s="1">
        <v>5572.53</v>
      </c>
    </row>
    <row r="1761" spans="1:4" x14ac:dyDescent="0.25">
      <c r="A1761" s="1" t="s">
        <v>143</v>
      </c>
      <c r="B1761" s="1" t="s">
        <v>76</v>
      </c>
      <c r="C1761" s="1">
        <v>13512.51</v>
      </c>
      <c r="D1761" s="1">
        <v>3365.4</v>
      </c>
    </row>
    <row r="1762" spans="1:4" x14ac:dyDescent="0.25">
      <c r="A1762" s="1" t="s">
        <v>144</v>
      </c>
      <c r="B1762" s="1" t="s">
        <v>75</v>
      </c>
      <c r="C1762" s="1">
        <v>988.69</v>
      </c>
      <c r="D1762" s="1">
        <v>408.75</v>
      </c>
    </row>
    <row r="1763" spans="1:4" x14ac:dyDescent="0.25">
      <c r="A1763" s="1" t="s">
        <v>144</v>
      </c>
      <c r="B1763" s="1" t="s">
        <v>74</v>
      </c>
      <c r="C1763" s="1">
        <v>8369.16</v>
      </c>
      <c r="D1763" s="1">
        <v>1966.84</v>
      </c>
    </row>
    <row r="1764" spans="1:4" x14ac:dyDescent="0.25">
      <c r="A1764" s="1" t="s">
        <v>144</v>
      </c>
      <c r="B1764" s="1" t="s">
        <v>71</v>
      </c>
      <c r="C1764" s="1">
        <v>9789.93</v>
      </c>
      <c r="D1764" s="1">
        <v>2967.35</v>
      </c>
    </row>
    <row r="1765" spans="1:4" x14ac:dyDescent="0.25">
      <c r="A1765" s="1" t="s">
        <v>144</v>
      </c>
      <c r="B1765" s="1" t="s">
        <v>68</v>
      </c>
      <c r="C1765" s="1">
        <v>9190.32</v>
      </c>
      <c r="D1765" s="1">
        <v>3079.19</v>
      </c>
    </row>
    <row r="1766" spans="1:4" x14ac:dyDescent="0.25">
      <c r="A1766" s="1" t="s">
        <v>144</v>
      </c>
      <c r="B1766" s="1" t="s">
        <v>77</v>
      </c>
      <c r="C1766" s="1">
        <v>11565.47</v>
      </c>
      <c r="D1766" s="1">
        <v>2926.11</v>
      </c>
    </row>
    <row r="1767" spans="1:4" x14ac:dyDescent="0.25">
      <c r="A1767" s="1" t="s">
        <v>144</v>
      </c>
      <c r="B1767" s="1" t="s">
        <v>69</v>
      </c>
      <c r="C1767" s="1">
        <v>4141.5600000000004</v>
      </c>
      <c r="D1767" s="1">
        <v>3535.14</v>
      </c>
    </row>
    <row r="1768" spans="1:4" x14ac:dyDescent="0.25">
      <c r="A1768" s="1" t="s">
        <v>144</v>
      </c>
      <c r="B1768" s="1" t="s">
        <v>70</v>
      </c>
      <c r="C1768" s="1">
        <v>6879.28</v>
      </c>
      <c r="D1768" s="1">
        <v>3093.83</v>
      </c>
    </row>
    <row r="1769" spans="1:4" x14ac:dyDescent="0.25">
      <c r="A1769" s="1" t="s">
        <v>144</v>
      </c>
      <c r="B1769" s="1" t="s">
        <v>78</v>
      </c>
      <c r="C1769" s="1">
        <v>1818.99</v>
      </c>
      <c r="D1769" s="1">
        <v>1047.8399999999999</v>
      </c>
    </row>
    <row r="1770" spans="1:4" x14ac:dyDescent="0.25">
      <c r="A1770" s="1" t="s">
        <v>144</v>
      </c>
      <c r="B1770" s="1" t="s">
        <v>76</v>
      </c>
      <c r="C1770" s="1">
        <v>13559.26</v>
      </c>
      <c r="D1770" s="1">
        <v>3447.38</v>
      </c>
    </row>
    <row r="1771" spans="1:4" x14ac:dyDescent="0.25">
      <c r="A1771" s="1" t="s">
        <v>144</v>
      </c>
      <c r="B1771" s="1" t="s">
        <v>72</v>
      </c>
      <c r="C1771" s="1">
        <v>7367.19</v>
      </c>
      <c r="D1771" s="1">
        <v>5320.1</v>
      </c>
    </row>
    <row r="1772" spans="1:4" x14ac:dyDescent="0.25">
      <c r="A1772" s="1" t="s">
        <v>144</v>
      </c>
      <c r="B1772" s="1" t="s">
        <v>73</v>
      </c>
      <c r="C1772" s="1">
        <v>7643.65</v>
      </c>
      <c r="D1772" s="1">
        <v>1171.67</v>
      </c>
    </row>
    <row r="1773" spans="1:4" x14ac:dyDescent="0.25">
      <c r="A1773" s="1" t="s">
        <v>145</v>
      </c>
      <c r="B1773" s="1" t="s">
        <v>74</v>
      </c>
      <c r="C1773" s="1">
        <v>8739.76</v>
      </c>
      <c r="D1773" s="1">
        <v>2073.0500000000002</v>
      </c>
    </row>
    <row r="1774" spans="1:4" x14ac:dyDescent="0.25">
      <c r="A1774" s="1" t="s">
        <v>145</v>
      </c>
      <c r="B1774" s="1" t="s">
        <v>78</v>
      </c>
      <c r="C1774" s="1">
        <v>1832.1</v>
      </c>
      <c r="D1774" s="1">
        <v>1022.35</v>
      </c>
    </row>
    <row r="1775" spans="1:4" x14ac:dyDescent="0.25">
      <c r="A1775" s="1" t="s">
        <v>145</v>
      </c>
      <c r="B1775" s="1" t="s">
        <v>75</v>
      </c>
      <c r="C1775" s="1">
        <v>978.6</v>
      </c>
      <c r="D1775" s="1">
        <v>390.34</v>
      </c>
    </row>
    <row r="1776" spans="1:4" x14ac:dyDescent="0.25">
      <c r="A1776" s="1" t="s">
        <v>145</v>
      </c>
      <c r="B1776" s="1" t="s">
        <v>72</v>
      </c>
      <c r="C1776" s="1">
        <v>7196.09</v>
      </c>
      <c r="D1776" s="1">
        <v>5262.43</v>
      </c>
    </row>
    <row r="1777" spans="1:4" x14ac:dyDescent="0.25">
      <c r="A1777" s="1" t="s">
        <v>145</v>
      </c>
      <c r="B1777" s="1" t="s">
        <v>68</v>
      </c>
      <c r="C1777" s="1">
        <v>9180.67</v>
      </c>
      <c r="D1777" s="1">
        <v>3164.07</v>
      </c>
    </row>
    <row r="1778" spans="1:4" x14ac:dyDescent="0.25">
      <c r="A1778" s="1" t="s">
        <v>145</v>
      </c>
      <c r="B1778" s="1" t="s">
        <v>69</v>
      </c>
      <c r="C1778" s="1">
        <v>4115.74</v>
      </c>
      <c r="D1778" s="1">
        <v>3408.5</v>
      </c>
    </row>
    <row r="1779" spans="1:4" x14ac:dyDescent="0.25">
      <c r="A1779" s="1" t="s">
        <v>145</v>
      </c>
      <c r="B1779" s="1" t="s">
        <v>70</v>
      </c>
      <c r="C1779" s="1">
        <v>6801.06</v>
      </c>
      <c r="D1779" s="1">
        <v>3052.01</v>
      </c>
    </row>
    <row r="1780" spans="1:4" x14ac:dyDescent="0.25">
      <c r="A1780" s="1" t="s">
        <v>145</v>
      </c>
      <c r="B1780" s="1" t="s">
        <v>76</v>
      </c>
      <c r="C1780" s="1">
        <v>13792.69</v>
      </c>
      <c r="D1780" s="1">
        <v>3631.05</v>
      </c>
    </row>
    <row r="1781" spans="1:4" x14ac:dyDescent="0.25">
      <c r="A1781" s="1" t="s">
        <v>145</v>
      </c>
      <c r="B1781" s="1" t="s">
        <v>73</v>
      </c>
      <c r="C1781" s="1">
        <v>7716.5</v>
      </c>
      <c r="D1781" s="1">
        <v>1252.49</v>
      </c>
    </row>
    <row r="1782" spans="1:4" x14ac:dyDescent="0.25">
      <c r="A1782" s="1" t="s">
        <v>145</v>
      </c>
      <c r="B1782" s="1" t="s">
        <v>77</v>
      </c>
      <c r="C1782" s="1">
        <v>11885.99</v>
      </c>
      <c r="D1782" s="1">
        <v>2993.37</v>
      </c>
    </row>
    <row r="1783" spans="1:4" x14ac:dyDescent="0.25">
      <c r="A1783" s="1" t="s">
        <v>145</v>
      </c>
      <c r="B1783" s="1" t="s">
        <v>71</v>
      </c>
      <c r="C1783" s="1">
        <v>9699.48</v>
      </c>
      <c r="D1783" s="1">
        <v>3109.29</v>
      </c>
    </row>
    <row r="1784" spans="1:4" x14ac:dyDescent="0.25">
      <c r="A1784" s="1" t="s">
        <v>146</v>
      </c>
      <c r="B1784" s="1" t="s">
        <v>74</v>
      </c>
      <c r="C1784" s="1">
        <v>7255.58</v>
      </c>
      <c r="D1784" s="1">
        <v>1606.02</v>
      </c>
    </row>
    <row r="1785" spans="1:4" x14ac:dyDescent="0.25">
      <c r="A1785" s="1" t="s">
        <v>146</v>
      </c>
      <c r="B1785" s="1" t="s">
        <v>78</v>
      </c>
      <c r="C1785" s="1">
        <v>1298.67</v>
      </c>
      <c r="D1785" s="1">
        <v>660.89</v>
      </c>
    </row>
    <row r="1786" spans="1:4" x14ac:dyDescent="0.25">
      <c r="A1786" s="1" t="s">
        <v>146</v>
      </c>
      <c r="B1786" s="1" t="s">
        <v>75</v>
      </c>
      <c r="C1786" s="1">
        <v>701.19</v>
      </c>
      <c r="D1786" s="1">
        <v>244.74</v>
      </c>
    </row>
    <row r="1787" spans="1:4" x14ac:dyDescent="0.25">
      <c r="A1787" s="1" t="s">
        <v>146</v>
      </c>
      <c r="B1787" s="1" t="s">
        <v>76</v>
      </c>
      <c r="C1787" s="1">
        <v>10566.31</v>
      </c>
      <c r="D1787" s="1">
        <v>2661.4</v>
      </c>
    </row>
    <row r="1788" spans="1:4" x14ac:dyDescent="0.25">
      <c r="A1788" s="1" t="s">
        <v>146</v>
      </c>
      <c r="B1788" s="1" t="s">
        <v>68</v>
      </c>
      <c r="C1788" s="1">
        <v>7490.83</v>
      </c>
      <c r="D1788" s="1">
        <v>2616.27</v>
      </c>
    </row>
    <row r="1789" spans="1:4" x14ac:dyDescent="0.25">
      <c r="A1789" s="1" t="s">
        <v>146</v>
      </c>
      <c r="B1789" s="1" t="s">
        <v>71</v>
      </c>
      <c r="C1789" s="1">
        <v>7534.22</v>
      </c>
      <c r="D1789" s="1">
        <v>2430.75</v>
      </c>
    </row>
    <row r="1790" spans="1:4" x14ac:dyDescent="0.25">
      <c r="A1790" s="1" t="s">
        <v>146</v>
      </c>
      <c r="B1790" s="1" t="s">
        <v>70</v>
      </c>
      <c r="C1790" s="1">
        <v>4912.7299999999996</v>
      </c>
      <c r="D1790" s="1">
        <v>2146.59</v>
      </c>
    </row>
    <row r="1791" spans="1:4" x14ac:dyDescent="0.25">
      <c r="A1791" s="1" t="s">
        <v>146</v>
      </c>
      <c r="B1791" s="1" t="s">
        <v>72</v>
      </c>
      <c r="C1791" s="1">
        <v>5135.05</v>
      </c>
      <c r="D1791" s="1">
        <v>3465.05</v>
      </c>
    </row>
    <row r="1792" spans="1:4" x14ac:dyDescent="0.25">
      <c r="A1792" s="1" t="s">
        <v>146</v>
      </c>
      <c r="B1792" s="1" t="s">
        <v>73</v>
      </c>
      <c r="C1792" s="1">
        <v>5909.89</v>
      </c>
      <c r="D1792" s="1">
        <v>945.91</v>
      </c>
    </row>
    <row r="1793" spans="1:4" x14ac:dyDescent="0.25">
      <c r="A1793" s="1" t="s">
        <v>146</v>
      </c>
      <c r="B1793" s="1" t="s">
        <v>77</v>
      </c>
      <c r="C1793" s="1">
        <v>9203.48</v>
      </c>
      <c r="D1793" s="1">
        <v>2216.33</v>
      </c>
    </row>
    <row r="1794" spans="1:4" x14ac:dyDescent="0.25">
      <c r="A1794" s="1" t="s">
        <v>146</v>
      </c>
      <c r="B1794" s="1" t="s">
        <v>69</v>
      </c>
      <c r="C1794" s="1">
        <v>2887.45</v>
      </c>
      <c r="D1794" s="1">
        <v>2135.91</v>
      </c>
    </row>
    <row r="1795" spans="1:4" x14ac:dyDescent="0.25">
      <c r="A1795" s="1" t="s">
        <v>147</v>
      </c>
      <c r="B1795" s="1" t="s">
        <v>75</v>
      </c>
      <c r="C1795" s="1">
        <v>2172.33</v>
      </c>
      <c r="D1795" s="1">
        <v>830.84</v>
      </c>
    </row>
    <row r="1796" spans="1:4" x14ac:dyDescent="0.25">
      <c r="A1796" s="1" t="s">
        <v>147</v>
      </c>
      <c r="B1796" s="1" t="s">
        <v>74</v>
      </c>
      <c r="C1796" s="1">
        <v>16050.45</v>
      </c>
      <c r="D1796" s="1">
        <v>3335.55</v>
      </c>
    </row>
    <row r="1797" spans="1:4" x14ac:dyDescent="0.25">
      <c r="A1797" s="1" t="s">
        <v>147</v>
      </c>
      <c r="B1797" s="1" t="s">
        <v>78</v>
      </c>
      <c r="C1797" s="1">
        <v>3457.06</v>
      </c>
      <c r="D1797" s="1">
        <v>1909.6</v>
      </c>
    </row>
    <row r="1798" spans="1:4" x14ac:dyDescent="0.25">
      <c r="A1798" s="1" t="s">
        <v>147</v>
      </c>
      <c r="B1798" s="1" t="s">
        <v>76</v>
      </c>
      <c r="C1798" s="1">
        <v>27355.01</v>
      </c>
      <c r="D1798" s="1">
        <v>6445.82</v>
      </c>
    </row>
    <row r="1799" spans="1:4" x14ac:dyDescent="0.25">
      <c r="A1799" s="1" t="s">
        <v>147</v>
      </c>
      <c r="B1799" s="1" t="s">
        <v>73</v>
      </c>
      <c r="C1799" s="1">
        <v>15731.02</v>
      </c>
      <c r="D1799" s="1">
        <v>2171.48</v>
      </c>
    </row>
    <row r="1800" spans="1:4" x14ac:dyDescent="0.25">
      <c r="A1800" s="1" t="s">
        <v>147</v>
      </c>
      <c r="B1800" s="1" t="s">
        <v>71</v>
      </c>
      <c r="C1800" s="1">
        <v>21176.221000000001</v>
      </c>
      <c r="D1800" s="1">
        <v>5743.61</v>
      </c>
    </row>
    <row r="1801" spans="1:4" x14ac:dyDescent="0.25">
      <c r="A1801" s="1" t="s">
        <v>147</v>
      </c>
      <c r="B1801" s="1" t="s">
        <v>70</v>
      </c>
      <c r="C1801" s="1">
        <v>14245.72</v>
      </c>
      <c r="D1801" s="1">
        <v>5840.89</v>
      </c>
    </row>
    <row r="1802" spans="1:4" x14ac:dyDescent="0.25">
      <c r="A1802" s="1" t="s">
        <v>147</v>
      </c>
      <c r="B1802" s="1" t="s">
        <v>72</v>
      </c>
      <c r="C1802" s="1">
        <v>13532.81</v>
      </c>
      <c r="D1802" s="1">
        <v>9343.09</v>
      </c>
    </row>
    <row r="1803" spans="1:4" x14ac:dyDescent="0.25">
      <c r="A1803" s="1" t="s">
        <v>147</v>
      </c>
      <c r="B1803" s="1" t="s">
        <v>68</v>
      </c>
      <c r="C1803" s="1">
        <v>20385.259999999998</v>
      </c>
      <c r="D1803" s="1">
        <v>6172.97</v>
      </c>
    </row>
    <row r="1804" spans="1:4" x14ac:dyDescent="0.25">
      <c r="A1804" s="1" t="s">
        <v>147</v>
      </c>
      <c r="B1804" s="1" t="s">
        <v>77</v>
      </c>
      <c r="C1804" s="1">
        <v>22147.800999999999</v>
      </c>
      <c r="D1804" s="1">
        <v>5322.42</v>
      </c>
    </row>
    <row r="1805" spans="1:4" x14ac:dyDescent="0.25">
      <c r="A1805" s="1" t="s">
        <v>147</v>
      </c>
      <c r="B1805" s="1" t="s">
        <v>69</v>
      </c>
      <c r="C1805" s="1">
        <v>7499.26</v>
      </c>
      <c r="D1805" s="1">
        <v>6031.05</v>
      </c>
    </row>
    <row r="1806" spans="1:4" x14ac:dyDescent="0.25">
      <c r="A1806" s="1" t="s">
        <v>148</v>
      </c>
      <c r="B1806" s="1" t="s">
        <v>75</v>
      </c>
      <c r="C1806" s="1">
        <v>1990.87</v>
      </c>
      <c r="D1806" s="1">
        <v>739.7</v>
      </c>
    </row>
    <row r="1807" spans="1:4" x14ac:dyDescent="0.25">
      <c r="A1807" s="1" t="s">
        <v>148</v>
      </c>
      <c r="B1807" s="1" t="s">
        <v>74</v>
      </c>
      <c r="C1807" s="1">
        <v>17197.25</v>
      </c>
      <c r="D1807" s="1">
        <v>3541.71</v>
      </c>
    </row>
    <row r="1808" spans="1:4" x14ac:dyDescent="0.25">
      <c r="A1808" s="1" t="s">
        <v>148</v>
      </c>
      <c r="B1808" s="1" t="s">
        <v>73</v>
      </c>
      <c r="C1808" s="1">
        <v>15713.56</v>
      </c>
      <c r="D1808" s="1">
        <v>2230.44</v>
      </c>
    </row>
    <row r="1809" spans="1:4" x14ac:dyDescent="0.25">
      <c r="A1809" s="1" t="s">
        <v>148</v>
      </c>
      <c r="B1809" s="1" t="s">
        <v>77</v>
      </c>
      <c r="C1809" s="1">
        <v>21764.34</v>
      </c>
      <c r="D1809" s="1">
        <v>5172.0600000000004</v>
      </c>
    </row>
    <row r="1810" spans="1:4" x14ac:dyDescent="0.25">
      <c r="A1810" s="1" t="s">
        <v>148</v>
      </c>
      <c r="B1810" s="1" t="s">
        <v>71</v>
      </c>
      <c r="C1810" s="1">
        <v>21851.17</v>
      </c>
      <c r="D1810" s="1">
        <v>5841.72</v>
      </c>
    </row>
    <row r="1811" spans="1:4" x14ac:dyDescent="0.25">
      <c r="A1811" s="1" t="s">
        <v>148</v>
      </c>
      <c r="B1811" s="1" t="s">
        <v>69</v>
      </c>
      <c r="C1811" s="1">
        <v>7468.64</v>
      </c>
      <c r="D1811" s="1">
        <v>6107.22</v>
      </c>
    </row>
    <row r="1812" spans="1:4" x14ac:dyDescent="0.25">
      <c r="A1812" s="1" t="s">
        <v>148</v>
      </c>
      <c r="B1812" s="1" t="s">
        <v>70</v>
      </c>
      <c r="C1812" s="1">
        <v>13386.41</v>
      </c>
      <c r="D1812" s="1">
        <v>5561.98</v>
      </c>
    </row>
    <row r="1813" spans="1:4" x14ac:dyDescent="0.25">
      <c r="A1813" s="1" t="s">
        <v>148</v>
      </c>
      <c r="B1813" s="1" t="s">
        <v>78</v>
      </c>
      <c r="C1813" s="1">
        <v>3302.54</v>
      </c>
      <c r="D1813" s="1">
        <v>1828.11</v>
      </c>
    </row>
    <row r="1814" spans="1:4" x14ac:dyDescent="0.25">
      <c r="A1814" s="1" t="s">
        <v>148</v>
      </c>
      <c r="B1814" s="1" t="s">
        <v>72</v>
      </c>
      <c r="C1814" s="1">
        <v>12985.83</v>
      </c>
      <c r="D1814" s="1">
        <v>9115.7900000000009</v>
      </c>
    </row>
    <row r="1815" spans="1:4" x14ac:dyDescent="0.25">
      <c r="A1815" s="1" t="s">
        <v>148</v>
      </c>
      <c r="B1815" s="1" t="s">
        <v>76</v>
      </c>
      <c r="C1815" s="1">
        <v>26447.188999999998</v>
      </c>
      <c r="D1815" s="1">
        <v>6199.3</v>
      </c>
    </row>
    <row r="1816" spans="1:4" x14ac:dyDescent="0.25">
      <c r="A1816" s="1" t="s">
        <v>148</v>
      </c>
      <c r="B1816" s="1" t="s">
        <v>68</v>
      </c>
      <c r="C1816" s="1">
        <v>20275.539000000001</v>
      </c>
      <c r="D1816" s="1">
        <v>6096.14</v>
      </c>
    </row>
    <row r="1817" spans="1:4" x14ac:dyDescent="0.25">
      <c r="A1817" s="1" t="s">
        <v>149</v>
      </c>
      <c r="B1817" s="1" t="s">
        <v>75</v>
      </c>
      <c r="C1817" s="1">
        <v>1905.86</v>
      </c>
      <c r="D1817" s="1">
        <v>750.06</v>
      </c>
    </row>
    <row r="1818" spans="1:4" x14ac:dyDescent="0.25">
      <c r="A1818" s="1" t="s">
        <v>149</v>
      </c>
      <c r="B1818" s="1" t="s">
        <v>74</v>
      </c>
      <c r="C1818" s="1">
        <v>16512.789000000001</v>
      </c>
      <c r="D1818" s="1">
        <v>3371.45</v>
      </c>
    </row>
    <row r="1819" spans="1:4" x14ac:dyDescent="0.25">
      <c r="A1819" s="1" t="s">
        <v>149</v>
      </c>
      <c r="B1819" s="1" t="s">
        <v>71</v>
      </c>
      <c r="C1819" s="1">
        <v>21549.58</v>
      </c>
      <c r="D1819" s="1">
        <v>5653.72</v>
      </c>
    </row>
    <row r="1820" spans="1:4" x14ac:dyDescent="0.25">
      <c r="A1820" s="1" t="s">
        <v>149</v>
      </c>
      <c r="B1820" s="1" t="s">
        <v>68</v>
      </c>
      <c r="C1820" s="1">
        <v>19594.150000000001</v>
      </c>
      <c r="D1820" s="1">
        <v>5844.3</v>
      </c>
    </row>
    <row r="1821" spans="1:4" x14ac:dyDescent="0.25">
      <c r="A1821" s="1" t="s">
        <v>149</v>
      </c>
      <c r="B1821" s="1" t="s">
        <v>77</v>
      </c>
      <c r="C1821" s="1">
        <v>20977.68</v>
      </c>
      <c r="D1821" s="1">
        <v>5005.12</v>
      </c>
    </row>
    <row r="1822" spans="1:4" x14ac:dyDescent="0.25">
      <c r="A1822" s="1" t="s">
        <v>149</v>
      </c>
      <c r="B1822" s="1" t="s">
        <v>69</v>
      </c>
      <c r="C1822" s="1">
        <v>7530.39</v>
      </c>
      <c r="D1822" s="1">
        <v>6063.55</v>
      </c>
    </row>
    <row r="1823" spans="1:4" x14ac:dyDescent="0.25">
      <c r="A1823" s="1" t="s">
        <v>149</v>
      </c>
      <c r="B1823" s="1" t="s">
        <v>70</v>
      </c>
      <c r="C1823" s="1">
        <v>12657.48</v>
      </c>
      <c r="D1823" s="1">
        <v>5284.06</v>
      </c>
    </row>
    <row r="1824" spans="1:4" x14ac:dyDescent="0.25">
      <c r="A1824" s="1" t="s">
        <v>149</v>
      </c>
      <c r="B1824" s="1" t="s">
        <v>78</v>
      </c>
      <c r="C1824" s="1">
        <v>3396.09</v>
      </c>
      <c r="D1824" s="1">
        <v>1820.2</v>
      </c>
    </row>
    <row r="1825" spans="1:4" x14ac:dyDescent="0.25">
      <c r="A1825" s="1" t="s">
        <v>149</v>
      </c>
      <c r="B1825" s="1" t="s">
        <v>72</v>
      </c>
      <c r="C1825" s="1">
        <v>12817.21</v>
      </c>
      <c r="D1825" s="1">
        <v>8805.91</v>
      </c>
    </row>
    <row r="1826" spans="1:4" x14ac:dyDescent="0.25">
      <c r="A1826" s="1" t="s">
        <v>149</v>
      </c>
      <c r="B1826" s="1" t="s">
        <v>76</v>
      </c>
      <c r="C1826" s="1">
        <v>24448.42</v>
      </c>
      <c r="D1826" s="1">
        <v>5736.29</v>
      </c>
    </row>
    <row r="1827" spans="1:4" x14ac:dyDescent="0.25">
      <c r="A1827" s="1" t="s">
        <v>149</v>
      </c>
      <c r="B1827" s="1" t="s">
        <v>73</v>
      </c>
      <c r="C1827" s="1">
        <v>15436.54</v>
      </c>
      <c r="D1827" s="1">
        <v>2135.65</v>
      </c>
    </row>
    <row r="1828" spans="1:4" x14ac:dyDescent="0.25">
      <c r="A1828" s="1" t="s">
        <v>150</v>
      </c>
      <c r="B1828" s="1" t="s">
        <v>75</v>
      </c>
      <c r="C1828" s="1">
        <v>1527.28</v>
      </c>
      <c r="D1828" s="1">
        <v>650.55999999999995</v>
      </c>
    </row>
    <row r="1829" spans="1:4" x14ac:dyDescent="0.25">
      <c r="A1829" s="1" t="s">
        <v>150</v>
      </c>
      <c r="B1829" s="1" t="s">
        <v>74</v>
      </c>
      <c r="C1829" s="1">
        <v>11537.27</v>
      </c>
      <c r="D1829" s="1">
        <v>2619.8000000000002</v>
      </c>
    </row>
    <row r="1830" spans="1:4" x14ac:dyDescent="0.25">
      <c r="A1830" s="1" t="s">
        <v>150</v>
      </c>
      <c r="B1830" s="1" t="s">
        <v>68</v>
      </c>
      <c r="C1830" s="1">
        <v>14889.87</v>
      </c>
      <c r="D1830" s="1">
        <v>4844.26</v>
      </c>
    </row>
    <row r="1831" spans="1:4" x14ac:dyDescent="0.25">
      <c r="A1831" s="1" t="s">
        <v>150</v>
      </c>
      <c r="B1831" s="1" t="s">
        <v>77</v>
      </c>
      <c r="C1831" s="1">
        <v>16329.42</v>
      </c>
      <c r="D1831" s="1">
        <v>4143.6000000000004</v>
      </c>
    </row>
    <row r="1832" spans="1:4" x14ac:dyDescent="0.25">
      <c r="A1832" s="1" t="s">
        <v>150</v>
      </c>
      <c r="B1832" s="1" t="s">
        <v>71</v>
      </c>
      <c r="C1832" s="1">
        <v>16213.47</v>
      </c>
      <c r="D1832" s="1">
        <v>4513.12</v>
      </c>
    </row>
    <row r="1833" spans="1:4" x14ac:dyDescent="0.25">
      <c r="A1833" s="1" t="s">
        <v>150</v>
      </c>
      <c r="B1833" s="1" t="s">
        <v>69</v>
      </c>
      <c r="C1833" s="1">
        <v>6650.86</v>
      </c>
      <c r="D1833" s="1">
        <v>5355.8</v>
      </c>
    </row>
    <row r="1834" spans="1:4" x14ac:dyDescent="0.25">
      <c r="A1834" s="1" t="s">
        <v>150</v>
      </c>
      <c r="B1834" s="1" t="s">
        <v>78</v>
      </c>
      <c r="C1834" s="1">
        <v>2991.18</v>
      </c>
      <c r="D1834" s="1">
        <v>1612.81</v>
      </c>
    </row>
    <row r="1835" spans="1:4" x14ac:dyDescent="0.25">
      <c r="A1835" s="1" t="s">
        <v>150</v>
      </c>
      <c r="B1835" s="1" t="s">
        <v>76</v>
      </c>
      <c r="C1835" s="1">
        <v>17442.618999999999</v>
      </c>
      <c r="D1835" s="1">
        <v>4461.8900000000003</v>
      </c>
    </row>
    <row r="1836" spans="1:4" x14ac:dyDescent="0.25">
      <c r="A1836" s="1" t="s">
        <v>150</v>
      </c>
      <c r="B1836" s="1" t="s">
        <v>73</v>
      </c>
      <c r="C1836" s="1">
        <v>11241.77</v>
      </c>
      <c r="D1836" s="1">
        <v>1691.95</v>
      </c>
    </row>
    <row r="1837" spans="1:4" x14ac:dyDescent="0.25">
      <c r="A1837" s="1" t="s">
        <v>150</v>
      </c>
      <c r="B1837" s="1" t="s">
        <v>72</v>
      </c>
      <c r="C1837" s="1">
        <v>10837.56</v>
      </c>
      <c r="D1837" s="1">
        <v>7664.63</v>
      </c>
    </row>
    <row r="1838" spans="1:4" x14ac:dyDescent="0.25">
      <c r="A1838" s="1" t="s">
        <v>150</v>
      </c>
      <c r="B1838" s="1" t="s">
        <v>70</v>
      </c>
      <c r="C1838" s="1">
        <v>9604.86</v>
      </c>
      <c r="D1838" s="1">
        <v>4220.8</v>
      </c>
    </row>
    <row r="1839" spans="1:4" x14ac:dyDescent="0.25">
      <c r="A1839" s="1" t="s">
        <v>152</v>
      </c>
      <c r="B1839" s="1" t="s">
        <v>74</v>
      </c>
      <c r="C1839" s="1">
        <v>6045.18</v>
      </c>
      <c r="D1839" s="1">
        <v>1612.63</v>
      </c>
    </row>
    <row r="1840" spans="1:4" x14ac:dyDescent="0.25">
      <c r="A1840" s="1" t="s">
        <v>152</v>
      </c>
      <c r="B1840" s="1" t="s">
        <v>78</v>
      </c>
      <c r="C1840" s="1">
        <v>2168.65</v>
      </c>
      <c r="D1840" s="1">
        <v>1218.08</v>
      </c>
    </row>
    <row r="1841" spans="1:4" x14ac:dyDescent="0.25">
      <c r="A1841" s="1" t="s">
        <v>152</v>
      </c>
      <c r="B1841" s="1" t="s">
        <v>75</v>
      </c>
      <c r="C1841" s="1">
        <v>1016.88</v>
      </c>
      <c r="D1841" s="1">
        <v>466.41</v>
      </c>
    </row>
    <row r="1842" spans="1:4" x14ac:dyDescent="0.25">
      <c r="A1842" s="1" t="s">
        <v>152</v>
      </c>
      <c r="B1842" s="1" t="s">
        <v>76</v>
      </c>
      <c r="C1842" s="1">
        <v>9436</v>
      </c>
      <c r="D1842" s="1">
        <v>2701.64</v>
      </c>
    </row>
    <row r="1843" spans="1:4" x14ac:dyDescent="0.25">
      <c r="A1843" s="1" t="s">
        <v>152</v>
      </c>
      <c r="B1843" s="1" t="s">
        <v>73</v>
      </c>
      <c r="C1843" s="1">
        <v>6047.73</v>
      </c>
      <c r="D1843" s="1">
        <v>1083.3699999999999</v>
      </c>
    </row>
    <row r="1844" spans="1:4" x14ac:dyDescent="0.25">
      <c r="A1844" s="1" t="s">
        <v>152</v>
      </c>
      <c r="B1844" s="1" t="s">
        <v>68</v>
      </c>
      <c r="C1844" s="1">
        <v>8057.92</v>
      </c>
      <c r="D1844" s="1">
        <v>3125.65</v>
      </c>
    </row>
    <row r="1845" spans="1:4" x14ac:dyDescent="0.25">
      <c r="A1845" s="1" t="s">
        <v>152</v>
      </c>
      <c r="B1845" s="1" t="s">
        <v>71</v>
      </c>
      <c r="C1845" s="1">
        <v>8392.84</v>
      </c>
      <c r="D1845" s="1">
        <v>2704.33</v>
      </c>
    </row>
    <row r="1846" spans="1:4" x14ac:dyDescent="0.25">
      <c r="A1846" s="1" t="s">
        <v>152</v>
      </c>
      <c r="B1846" s="1" t="s">
        <v>70</v>
      </c>
      <c r="C1846" s="1">
        <v>5565.23</v>
      </c>
      <c r="D1846" s="1">
        <v>2661.76</v>
      </c>
    </row>
    <row r="1847" spans="1:4" x14ac:dyDescent="0.25">
      <c r="A1847" s="1" t="s">
        <v>152</v>
      </c>
      <c r="B1847" s="1" t="s">
        <v>72</v>
      </c>
      <c r="C1847" s="1">
        <v>7363.04</v>
      </c>
      <c r="D1847" s="1">
        <v>5653.38</v>
      </c>
    </row>
    <row r="1848" spans="1:4" x14ac:dyDescent="0.25">
      <c r="A1848" s="1" t="s">
        <v>152</v>
      </c>
      <c r="B1848" s="1" t="s">
        <v>77</v>
      </c>
      <c r="C1848" s="1">
        <v>9792.24</v>
      </c>
      <c r="D1848" s="1">
        <v>2684.1</v>
      </c>
    </row>
    <row r="1849" spans="1:4" x14ac:dyDescent="0.25">
      <c r="A1849" s="1" t="s">
        <v>152</v>
      </c>
      <c r="B1849" s="1" t="s">
        <v>69</v>
      </c>
      <c r="C1849" s="1">
        <v>4753.1899999999996</v>
      </c>
      <c r="D1849" s="1">
        <v>3914.79</v>
      </c>
    </row>
    <row r="1850" spans="1:4" x14ac:dyDescent="0.25">
      <c r="A1850" s="1" t="s">
        <v>153</v>
      </c>
      <c r="B1850" s="1" t="s">
        <v>75</v>
      </c>
      <c r="C1850" s="1">
        <v>635.73</v>
      </c>
      <c r="D1850" s="1">
        <v>312.77999999999997</v>
      </c>
    </row>
    <row r="1851" spans="1:4" x14ac:dyDescent="0.25">
      <c r="A1851" s="1" t="s">
        <v>153</v>
      </c>
      <c r="B1851" s="1" t="s">
        <v>74</v>
      </c>
      <c r="C1851" s="1">
        <v>2978.16</v>
      </c>
      <c r="D1851" s="1">
        <v>892.44</v>
      </c>
    </row>
    <row r="1852" spans="1:4" x14ac:dyDescent="0.25">
      <c r="A1852" s="1" t="s">
        <v>153</v>
      </c>
      <c r="B1852" s="1" t="s">
        <v>78</v>
      </c>
      <c r="C1852" s="1">
        <v>1319.85</v>
      </c>
      <c r="D1852" s="1">
        <v>762.25</v>
      </c>
    </row>
    <row r="1853" spans="1:4" x14ac:dyDescent="0.25">
      <c r="A1853" s="1" t="s">
        <v>153</v>
      </c>
      <c r="B1853" s="1" t="s">
        <v>76</v>
      </c>
      <c r="C1853" s="1">
        <v>4536.17</v>
      </c>
      <c r="D1853" s="1">
        <v>1445.94</v>
      </c>
    </row>
    <row r="1854" spans="1:4" x14ac:dyDescent="0.25">
      <c r="A1854" s="1" t="s">
        <v>153</v>
      </c>
      <c r="B1854" s="1" t="s">
        <v>73</v>
      </c>
      <c r="C1854" s="1">
        <v>2801.04</v>
      </c>
      <c r="D1854" s="1">
        <v>604.58000000000004</v>
      </c>
    </row>
    <row r="1855" spans="1:4" x14ac:dyDescent="0.25">
      <c r="A1855" s="1" t="s">
        <v>153</v>
      </c>
      <c r="B1855" s="1" t="s">
        <v>71</v>
      </c>
      <c r="C1855" s="1">
        <v>4030.92</v>
      </c>
      <c r="D1855" s="1">
        <v>1473.77</v>
      </c>
    </row>
    <row r="1856" spans="1:4" x14ac:dyDescent="0.25">
      <c r="A1856" s="1" t="s">
        <v>153</v>
      </c>
      <c r="B1856" s="1" t="s">
        <v>69</v>
      </c>
      <c r="C1856" s="1">
        <v>2900.7</v>
      </c>
      <c r="D1856" s="1">
        <v>2481.08</v>
      </c>
    </row>
    <row r="1857" spans="1:4" x14ac:dyDescent="0.25">
      <c r="A1857" s="1" t="s">
        <v>153</v>
      </c>
      <c r="B1857" s="1" t="s">
        <v>70</v>
      </c>
      <c r="C1857" s="1">
        <v>2886.76</v>
      </c>
      <c r="D1857" s="1">
        <v>1484.88</v>
      </c>
    </row>
    <row r="1858" spans="1:4" x14ac:dyDescent="0.25">
      <c r="A1858" s="1" t="s">
        <v>153</v>
      </c>
      <c r="B1858" s="1" t="s">
        <v>72</v>
      </c>
      <c r="C1858" s="1">
        <v>4457.0200000000004</v>
      </c>
      <c r="D1858" s="1">
        <v>3659.8</v>
      </c>
    </row>
    <row r="1859" spans="1:4" x14ac:dyDescent="0.25">
      <c r="A1859" s="1" t="s">
        <v>153</v>
      </c>
      <c r="B1859" s="1" t="s">
        <v>68</v>
      </c>
      <c r="C1859" s="1">
        <v>3919.98</v>
      </c>
      <c r="D1859" s="1">
        <v>1831.96</v>
      </c>
    </row>
    <row r="1860" spans="1:4" x14ac:dyDescent="0.25">
      <c r="A1860" s="1" t="s">
        <v>153</v>
      </c>
      <c r="B1860" s="1" t="s">
        <v>77</v>
      </c>
      <c r="C1860" s="1">
        <v>5266.96</v>
      </c>
      <c r="D1860" s="1">
        <v>1570.01</v>
      </c>
    </row>
    <row r="1861" spans="1:4" x14ac:dyDescent="0.25">
      <c r="A1861" s="1" t="s">
        <v>156</v>
      </c>
      <c r="B1861" s="1" t="s">
        <v>75</v>
      </c>
      <c r="C1861" s="1">
        <v>368.28</v>
      </c>
      <c r="D1861" s="1">
        <v>182.73</v>
      </c>
    </row>
    <row r="1862" spans="1:4" x14ac:dyDescent="0.25">
      <c r="A1862" s="1" t="s">
        <v>156</v>
      </c>
      <c r="B1862" s="1" t="s">
        <v>74</v>
      </c>
      <c r="C1862" s="1">
        <v>1448.71</v>
      </c>
      <c r="D1862" s="1">
        <v>451.32</v>
      </c>
    </row>
    <row r="1863" spans="1:4" x14ac:dyDescent="0.25">
      <c r="A1863" s="1" t="s">
        <v>156</v>
      </c>
      <c r="B1863" s="1" t="s">
        <v>76</v>
      </c>
      <c r="C1863" s="1">
        <v>2201.52</v>
      </c>
      <c r="D1863" s="1">
        <v>699.33</v>
      </c>
    </row>
    <row r="1864" spans="1:4" x14ac:dyDescent="0.25">
      <c r="A1864" s="1" t="s">
        <v>156</v>
      </c>
      <c r="B1864" s="1" t="s">
        <v>72</v>
      </c>
      <c r="C1864" s="1">
        <v>2461.91</v>
      </c>
      <c r="D1864" s="1">
        <v>2115.73</v>
      </c>
    </row>
    <row r="1865" spans="1:4" x14ac:dyDescent="0.25">
      <c r="A1865" s="1" t="s">
        <v>156</v>
      </c>
      <c r="B1865" s="1" t="s">
        <v>77</v>
      </c>
      <c r="C1865" s="1">
        <v>2607</v>
      </c>
      <c r="D1865" s="1">
        <v>770.39</v>
      </c>
    </row>
    <row r="1866" spans="1:4" x14ac:dyDescent="0.25">
      <c r="A1866" s="1" t="s">
        <v>156</v>
      </c>
      <c r="B1866" s="1" t="s">
        <v>71</v>
      </c>
      <c r="C1866" s="1">
        <v>1888.42</v>
      </c>
      <c r="D1866" s="1">
        <v>714.77</v>
      </c>
    </row>
    <row r="1867" spans="1:4" x14ac:dyDescent="0.25">
      <c r="A1867" s="1" t="s">
        <v>156</v>
      </c>
      <c r="B1867" s="1" t="s">
        <v>70</v>
      </c>
      <c r="C1867" s="1">
        <v>1446.85</v>
      </c>
      <c r="D1867" s="1">
        <v>799.62</v>
      </c>
    </row>
    <row r="1868" spans="1:4" x14ac:dyDescent="0.25">
      <c r="A1868" s="1" t="s">
        <v>156</v>
      </c>
      <c r="B1868" s="1" t="s">
        <v>69</v>
      </c>
      <c r="C1868" s="1">
        <v>1580.63</v>
      </c>
      <c r="D1868" s="1">
        <v>1367.01</v>
      </c>
    </row>
    <row r="1869" spans="1:4" x14ac:dyDescent="0.25">
      <c r="A1869" s="1" t="s">
        <v>156</v>
      </c>
      <c r="B1869" s="1" t="s">
        <v>78</v>
      </c>
      <c r="C1869" s="1">
        <v>720.45</v>
      </c>
      <c r="D1869" s="1">
        <v>433.63</v>
      </c>
    </row>
    <row r="1870" spans="1:4" x14ac:dyDescent="0.25">
      <c r="A1870" s="1" t="s">
        <v>156</v>
      </c>
      <c r="B1870" s="1" t="s">
        <v>73</v>
      </c>
      <c r="C1870" s="1">
        <v>1246.3499999999999</v>
      </c>
      <c r="D1870" s="1">
        <v>289.77</v>
      </c>
    </row>
    <row r="1871" spans="1:4" x14ac:dyDescent="0.25">
      <c r="A1871" s="1" t="s">
        <v>156</v>
      </c>
      <c r="B1871" s="1" t="s">
        <v>68</v>
      </c>
      <c r="C1871" s="1">
        <v>1868.72</v>
      </c>
      <c r="D1871" s="1">
        <v>943.18</v>
      </c>
    </row>
    <row r="1872" spans="1:4" x14ac:dyDescent="0.25">
      <c r="A1872" s="1" t="s">
        <v>157</v>
      </c>
      <c r="B1872" s="1" t="s">
        <v>74</v>
      </c>
      <c r="C1872" s="1">
        <v>768.28</v>
      </c>
      <c r="D1872" s="1">
        <v>251.79</v>
      </c>
    </row>
    <row r="1873" spans="1:4" x14ac:dyDescent="0.25">
      <c r="A1873" s="1" t="s">
        <v>157</v>
      </c>
      <c r="B1873" s="1" t="s">
        <v>75</v>
      </c>
      <c r="C1873" s="1">
        <v>217.85</v>
      </c>
      <c r="D1873" s="1">
        <v>97.16</v>
      </c>
    </row>
    <row r="1874" spans="1:4" x14ac:dyDescent="0.25">
      <c r="A1874" s="1" t="s">
        <v>157</v>
      </c>
      <c r="B1874" s="1" t="s">
        <v>72</v>
      </c>
      <c r="C1874" s="1">
        <v>1357.06</v>
      </c>
      <c r="D1874" s="1">
        <v>1160.8</v>
      </c>
    </row>
    <row r="1875" spans="1:4" x14ac:dyDescent="0.25">
      <c r="A1875" s="1" t="s">
        <v>157</v>
      </c>
      <c r="B1875" s="1" t="s">
        <v>77</v>
      </c>
      <c r="C1875" s="1">
        <v>1335.88</v>
      </c>
      <c r="D1875" s="1">
        <v>376.15</v>
      </c>
    </row>
    <row r="1876" spans="1:4" x14ac:dyDescent="0.25">
      <c r="A1876" s="1" t="s">
        <v>157</v>
      </c>
      <c r="B1876" s="1" t="s">
        <v>69</v>
      </c>
      <c r="C1876" s="1">
        <v>845.89</v>
      </c>
      <c r="D1876" s="1">
        <v>730.66</v>
      </c>
    </row>
    <row r="1877" spans="1:4" x14ac:dyDescent="0.25">
      <c r="A1877" s="1" t="s">
        <v>157</v>
      </c>
      <c r="B1877" s="1" t="s">
        <v>70</v>
      </c>
      <c r="C1877" s="1">
        <v>776.25</v>
      </c>
      <c r="D1877" s="1">
        <v>401.31</v>
      </c>
    </row>
    <row r="1878" spans="1:4" x14ac:dyDescent="0.25">
      <c r="A1878" s="1" t="s">
        <v>157</v>
      </c>
      <c r="B1878" s="1" t="s">
        <v>78</v>
      </c>
      <c r="C1878" s="1">
        <v>417.12</v>
      </c>
      <c r="D1878" s="1">
        <v>236.87</v>
      </c>
    </row>
    <row r="1879" spans="1:4" x14ac:dyDescent="0.25">
      <c r="A1879" s="1" t="s">
        <v>157</v>
      </c>
      <c r="B1879" s="1" t="s">
        <v>76</v>
      </c>
      <c r="C1879" s="1">
        <v>1167.99</v>
      </c>
      <c r="D1879" s="1">
        <v>382.47</v>
      </c>
    </row>
    <row r="1880" spans="1:4" x14ac:dyDescent="0.25">
      <c r="A1880" s="1" t="s">
        <v>157</v>
      </c>
      <c r="B1880" s="1" t="s">
        <v>73</v>
      </c>
      <c r="C1880" s="1">
        <v>624.28</v>
      </c>
      <c r="D1880" s="1">
        <v>134.84</v>
      </c>
    </row>
    <row r="1881" spans="1:4" x14ac:dyDescent="0.25">
      <c r="A1881" s="1" t="s">
        <v>157</v>
      </c>
      <c r="B1881" s="1" t="s">
        <v>68</v>
      </c>
      <c r="C1881" s="1">
        <v>938.83</v>
      </c>
      <c r="D1881" s="1">
        <v>495.49</v>
      </c>
    </row>
    <row r="1882" spans="1:4" x14ac:dyDescent="0.25">
      <c r="A1882" s="1" t="s">
        <v>157</v>
      </c>
      <c r="B1882" s="1" t="s">
        <v>71</v>
      </c>
      <c r="C1882" s="1">
        <v>982.21</v>
      </c>
      <c r="D1882" s="1">
        <v>342.55</v>
      </c>
    </row>
    <row r="1883" spans="1:4" x14ac:dyDescent="0.25">
      <c r="A1883" s="1" t="s">
        <v>158</v>
      </c>
      <c r="B1883" s="1" t="s">
        <v>75</v>
      </c>
      <c r="C1883" s="1">
        <v>120.76</v>
      </c>
      <c r="D1883" s="1">
        <v>60.4</v>
      </c>
    </row>
    <row r="1884" spans="1:4" x14ac:dyDescent="0.25">
      <c r="A1884" s="1" t="s">
        <v>158</v>
      </c>
      <c r="B1884" s="1" t="s">
        <v>74</v>
      </c>
      <c r="C1884" s="1">
        <v>452.27</v>
      </c>
      <c r="D1884" s="1">
        <v>153.66</v>
      </c>
    </row>
    <row r="1885" spans="1:4" x14ac:dyDescent="0.25">
      <c r="A1885" s="1" t="s">
        <v>158</v>
      </c>
      <c r="B1885" s="1" t="s">
        <v>72</v>
      </c>
      <c r="C1885" s="1">
        <v>746.59</v>
      </c>
      <c r="D1885" s="1">
        <v>629.66999999999996</v>
      </c>
    </row>
    <row r="1886" spans="1:4" x14ac:dyDescent="0.25">
      <c r="A1886" s="1" t="s">
        <v>158</v>
      </c>
      <c r="B1886" s="1" t="s">
        <v>68</v>
      </c>
      <c r="C1886" s="1">
        <v>575.36</v>
      </c>
      <c r="D1886" s="1">
        <v>266.10000000000002</v>
      </c>
    </row>
    <row r="1887" spans="1:4" x14ac:dyDescent="0.25">
      <c r="A1887" s="1" t="s">
        <v>158</v>
      </c>
      <c r="B1887" s="1" t="s">
        <v>77</v>
      </c>
      <c r="C1887" s="1">
        <v>760.94</v>
      </c>
      <c r="D1887" s="1">
        <v>214.81</v>
      </c>
    </row>
    <row r="1888" spans="1:4" x14ac:dyDescent="0.25">
      <c r="A1888" s="1" t="s">
        <v>158</v>
      </c>
      <c r="B1888" s="1" t="s">
        <v>71</v>
      </c>
      <c r="C1888" s="1">
        <v>574.98</v>
      </c>
      <c r="D1888" s="1">
        <v>195.11</v>
      </c>
    </row>
    <row r="1889" spans="1:4" x14ac:dyDescent="0.25">
      <c r="A1889" s="1" t="s">
        <v>158</v>
      </c>
      <c r="B1889" s="1" t="s">
        <v>70</v>
      </c>
      <c r="C1889" s="1">
        <v>481.9</v>
      </c>
      <c r="D1889" s="1">
        <v>245.94</v>
      </c>
    </row>
    <row r="1890" spans="1:4" x14ac:dyDescent="0.25">
      <c r="A1890" s="1" t="s">
        <v>158</v>
      </c>
      <c r="B1890" s="1" t="s">
        <v>78</v>
      </c>
      <c r="C1890" s="1">
        <v>231.36</v>
      </c>
      <c r="D1890" s="1">
        <v>144.02000000000001</v>
      </c>
    </row>
    <row r="1891" spans="1:4" x14ac:dyDescent="0.25">
      <c r="A1891" s="1" t="s">
        <v>158</v>
      </c>
      <c r="B1891" s="1" t="s">
        <v>76</v>
      </c>
      <c r="C1891" s="1">
        <v>714.06</v>
      </c>
      <c r="D1891" s="1">
        <v>233.96</v>
      </c>
    </row>
    <row r="1892" spans="1:4" x14ac:dyDescent="0.25">
      <c r="A1892" s="1" t="s">
        <v>158</v>
      </c>
      <c r="B1892" s="1" t="s">
        <v>73</v>
      </c>
      <c r="C1892" s="1">
        <v>324.52</v>
      </c>
      <c r="D1892" s="1">
        <v>68.91</v>
      </c>
    </row>
    <row r="1893" spans="1:4" x14ac:dyDescent="0.25">
      <c r="A1893" s="1" t="s">
        <v>158</v>
      </c>
      <c r="B1893" s="1" t="s">
        <v>69</v>
      </c>
      <c r="C1893" s="1">
        <v>469.15</v>
      </c>
      <c r="D1893" s="1">
        <v>420.73</v>
      </c>
    </row>
    <row r="1894" spans="1:4" x14ac:dyDescent="0.25">
      <c r="A1894" s="1" t="s">
        <v>159</v>
      </c>
      <c r="B1894" s="1" t="s">
        <v>75</v>
      </c>
      <c r="C1894" s="1">
        <v>98.79</v>
      </c>
      <c r="D1894" s="1">
        <v>41.46</v>
      </c>
    </row>
    <row r="1895" spans="1:4" x14ac:dyDescent="0.25">
      <c r="A1895" s="1" t="s">
        <v>159</v>
      </c>
      <c r="B1895" s="1" t="s">
        <v>74</v>
      </c>
      <c r="C1895" s="1">
        <v>484.16</v>
      </c>
      <c r="D1895" s="1">
        <v>124.45</v>
      </c>
    </row>
    <row r="1896" spans="1:4" x14ac:dyDescent="0.25">
      <c r="A1896" s="1" t="s">
        <v>159</v>
      </c>
      <c r="B1896" s="1" t="s">
        <v>76</v>
      </c>
      <c r="C1896" s="1">
        <v>657.05</v>
      </c>
      <c r="D1896" s="1">
        <v>186.06</v>
      </c>
    </row>
    <row r="1897" spans="1:4" x14ac:dyDescent="0.25">
      <c r="A1897" s="1" t="s">
        <v>159</v>
      </c>
      <c r="B1897" s="1" t="s">
        <v>73</v>
      </c>
      <c r="C1897" s="1">
        <v>399.13</v>
      </c>
      <c r="D1897" s="1">
        <v>60.08</v>
      </c>
    </row>
    <row r="1898" spans="1:4" x14ac:dyDescent="0.25">
      <c r="A1898" s="1" t="s">
        <v>159</v>
      </c>
      <c r="B1898" s="1" t="s">
        <v>68</v>
      </c>
      <c r="C1898" s="1">
        <v>649.5</v>
      </c>
      <c r="D1898" s="1">
        <v>223.09</v>
      </c>
    </row>
    <row r="1899" spans="1:4" x14ac:dyDescent="0.25">
      <c r="A1899" s="1" t="s">
        <v>159</v>
      </c>
      <c r="B1899" s="1" t="s">
        <v>77</v>
      </c>
      <c r="C1899" s="1">
        <v>671.28</v>
      </c>
      <c r="D1899" s="1">
        <v>167.1</v>
      </c>
    </row>
    <row r="1900" spans="1:4" x14ac:dyDescent="0.25">
      <c r="A1900" s="1" t="s">
        <v>159</v>
      </c>
      <c r="B1900" s="1" t="s">
        <v>71</v>
      </c>
      <c r="C1900" s="1">
        <v>747.8</v>
      </c>
      <c r="D1900" s="1">
        <v>196.68</v>
      </c>
    </row>
    <row r="1901" spans="1:4" x14ac:dyDescent="0.25">
      <c r="A1901" s="1" t="s">
        <v>159</v>
      </c>
      <c r="B1901" s="1" t="s">
        <v>78</v>
      </c>
      <c r="C1901" s="1">
        <v>152.03</v>
      </c>
      <c r="D1901" s="1">
        <v>89.36</v>
      </c>
    </row>
    <row r="1902" spans="1:4" x14ac:dyDescent="0.25">
      <c r="A1902" s="1" t="s">
        <v>159</v>
      </c>
      <c r="B1902" s="1" t="s">
        <v>72</v>
      </c>
      <c r="C1902" s="1">
        <v>543.05999999999995</v>
      </c>
      <c r="D1902" s="1">
        <v>422.33</v>
      </c>
    </row>
    <row r="1903" spans="1:4" x14ac:dyDescent="0.25">
      <c r="A1903" s="1" t="s">
        <v>159</v>
      </c>
      <c r="B1903" s="1" t="s">
        <v>70</v>
      </c>
      <c r="C1903" s="1">
        <v>476.82</v>
      </c>
      <c r="D1903" s="1">
        <v>207.62</v>
      </c>
    </row>
    <row r="1904" spans="1:4" x14ac:dyDescent="0.25">
      <c r="A1904" s="1" t="s">
        <v>159</v>
      </c>
      <c r="B1904" s="1" t="s">
        <v>69</v>
      </c>
      <c r="C1904" s="1">
        <v>330.99</v>
      </c>
      <c r="D1904" s="1">
        <v>253.21</v>
      </c>
    </row>
    <row r="1905" spans="1:4" x14ac:dyDescent="0.25">
      <c r="A1905" s="1" t="s">
        <v>160</v>
      </c>
      <c r="B1905" s="1" t="s">
        <v>75</v>
      </c>
      <c r="C1905" s="1">
        <v>254.17</v>
      </c>
      <c r="D1905" s="1">
        <v>81.709999999999994</v>
      </c>
    </row>
    <row r="1906" spans="1:4" x14ac:dyDescent="0.25">
      <c r="A1906" s="1" t="s">
        <v>160</v>
      </c>
      <c r="B1906" s="1" t="s">
        <v>74</v>
      </c>
      <c r="C1906" s="1">
        <v>3555.48</v>
      </c>
      <c r="D1906" s="1">
        <v>575.55999999999995</v>
      </c>
    </row>
    <row r="1907" spans="1:4" x14ac:dyDescent="0.25">
      <c r="A1907" s="1" t="s">
        <v>160</v>
      </c>
      <c r="B1907" s="1" t="s">
        <v>78</v>
      </c>
      <c r="C1907" s="1">
        <v>431.14</v>
      </c>
      <c r="D1907" s="1">
        <v>188.83</v>
      </c>
    </row>
    <row r="1908" spans="1:4" x14ac:dyDescent="0.25">
      <c r="A1908" s="1" t="s">
        <v>160</v>
      </c>
      <c r="B1908" s="1" t="s">
        <v>73</v>
      </c>
      <c r="C1908" s="1">
        <v>3447.27</v>
      </c>
      <c r="D1908" s="1">
        <v>362.66</v>
      </c>
    </row>
    <row r="1909" spans="1:4" x14ac:dyDescent="0.25">
      <c r="A1909" s="1" t="s">
        <v>160</v>
      </c>
      <c r="B1909" s="1" t="s">
        <v>68</v>
      </c>
      <c r="C1909" s="1">
        <v>4652.68</v>
      </c>
      <c r="D1909" s="1">
        <v>1038.96</v>
      </c>
    </row>
    <row r="1910" spans="1:4" x14ac:dyDescent="0.25">
      <c r="A1910" s="1" t="s">
        <v>160</v>
      </c>
      <c r="B1910" s="1" t="s">
        <v>71</v>
      </c>
      <c r="C1910" s="1">
        <v>5388.73</v>
      </c>
      <c r="D1910" s="1">
        <v>1076.3900000000001</v>
      </c>
    </row>
    <row r="1911" spans="1:4" x14ac:dyDescent="0.25">
      <c r="A1911" s="1" t="s">
        <v>160</v>
      </c>
      <c r="B1911" s="1" t="s">
        <v>69</v>
      </c>
      <c r="C1911" s="1">
        <v>1017.9</v>
      </c>
      <c r="D1911" s="1">
        <v>586.59</v>
      </c>
    </row>
    <row r="1912" spans="1:4" x14ac:dyDescent="0.25">
      <c r="A1912" s="1" t="s">
        <v>160</v>
      </c>
      <c r="B1912" s="1" t="s">
        <v>70</v>
      </c>
      <c r="C1912" s="1">
        <v>2573.1999999999998</v>
      </c>
      <c r="D1912" s="1">
        <v>888.93</v>
      </c>
    </row>
    <row r="1913" spans="1:4" x14ac:dyDescent="0.25">
      <c r="A1913" s="1" t="s">
        <v>160</v>
      </c>
      <c r="B1913" s="1" t="s">
        <v>72</v>
      </c>
      <c r="C1913" s="1">
        <v>1936.17</v>
      </c>
      <c r="D1913" s="1">
        <v>1030.4000000000001</v>
      </c>
    </row>
    <row r="1914" spans="1:4" x14ac:dyDescent="0.25">
      <c r="A1914" s="1" t="s">
        <v>160</v>
      </c>
      <c r="B1914" s="1" t="s">
        <v>76</v>
      </c>
      <c r="C1914" s="1">
        <v>4526.24</v>
      </c>
      <c r="D1914" s="1">
        <v>876.1</v>
      </c>
    </row>
    <row r="1915" spans="1:4" x14ac:dyDescent="0.25">
      <c r="A1915" s="1" t="s">
        <v>160</v>
      </c>
      <c r="B1915" s="1" t="s">
        <v>77</v>
      </c>
      <c r="C1915" s="1">
        <v>3525.4</v>
      </c>
      <c r="D1915" s="1">
        <v>751.99</v>
      </c>
    </row>
    <row r="1916" spans="1:4" x14ac:dyDescent="0.25">
      <c r="A1916" s="1" t="s">
        <v>161</v>
      </c>
      <c r="B1916" s="1" t="s">
        <v>75</v>
      </c>
      <c r="C1916" s="1">
        <v>648.24</v>
      </c>
      <c r="D1916" s="1">
        <v>193.43</v>
      </c>
    </row>
    <row r="1917" spans="1:4" x14ac:dyDescent="0.25">
      <c r="A1917" s="1" t="s">
        <v>161</v>
      </c>
      <c r="B1917" s="1" t="s">
        <v>74</v>
      </c>
      <c r="C1917" s="1">
        <v>9578.73</v>
      </c>
      <c r="D1917" s="1">
        <v>1482.7</v>
      </c>
    </row>
    <row r="1918" spans="1:4" x14ac:dyDescent="0.25">
      <c r="A1918" s="1" t="s">
        <v>161</v>
      </c>
      <c r="B1918" s="1" t="s">
        <v>76</v>
      </c>
      <c r="C1918" s="1">
        <v>13410.67</v>
      </c>
      <c r="D1918" s="1">
        <v>2463.1799999999998</v>
      </c>
    </row>
    <row r="1919" spans="1:4" x14ac:dyDescent="0.25">
      <c r="A1919" s="1" t="s">
        <v>161</v>
      </c>
      <c r="B1919" s="1" t="s">
        <v>72</v>
      </c>
      <c r="C1919" s="1">
        <v>4649.34</v>
      </c>
      <c r="D1919" s="1">
        <v>2442.77</v>
      </c>
    </row>
    <row r="1920" spans="1:4" x14ac:dyDescent="0.25">
      <c r="A1920" s="1" t="s">
        <v>161</v>
      </c>
      <c r="B1920" s="1" t="s">
        <v>71</v>
      </c>
      <c r="C1920" s="1">
        <v>10731.41</v>
      </c>
      <c r="D1920" s="1">
        <v>2311.9699999999998</v>
      </c>
    </row>
    <row r="1921" spans="1:4" x14ac:dyDescent="0.25">
      <c r="A1921" s="1" t="s">
        <v>161</v>
      </c>
      <c r="B1921" s="1" t="s">
        <v>69</v>
      </c>
      <c r="C1921" s="1">
        <v>2658.39</v>
      </c>
      <c r="D1921" s="1">
        <v>1501.7</v>
      </c>
    </row>
    <row r="1922" spans="1:4" x14ac:dyDescent="0.25">
      <c r="A1922" s="1" t="s">
        <v>161</v>
      </c>
      <c r="B1922" s="1" t="s">
        <v>70</v>
      </c>
      <c r="C1922" s="1">
        <v>5948.88</v>
      </c>
      <c r="D1922" s="1">
        <v>2102.7399999999998</v>
      </c>
    </row>
    <row r="1923" spans="1:4" x14ac:dyDescent="0.25">
      <c r="A1923" s="1" t="s">
        <v>161</v>
      </c>
      <c r="B1923" s="1" t="s">
        <v>78</v>
      </c>
      <c r="C1923" s="1">
        <v>993.58</v>
      </c>
      <c r="D1923" s="1">
        <v>427.27</v>
      </c>
    </row>
    <row r="1924" spans="1:4" x14ac:dyDescent="0.25">
      <c r="A1924" s="1" t="s">
        <v>161</v>
      </c>
      <c r="B1924" s="1" t="s">
        <v>73</v>
      </c>
      <c r="C1924" s="1">
        <v>8873.24</v>
      </c>
      <c r="D1924" s="1">
        <v>1016.24</v>
      </c>
    </row>
    <row r="1925" spans="1:4" x14ac:dyDescent="0.25">
      <c r="A1925" s="1" t="s">
        <v>161</v>
      </c>
      <c r="B1925" s="1" t="s">
        <v>77</v>
      </c>
      <c r="C1925" s="1">
        <v>9562.7900000000009</v>
      </c>
      <c r="D1925" s="1">
        <v>2043.57</v>
      </c>
    </row>
    <row r="1926" spans="1:4" x14ac:dyDescent="0.25">
      <c r="A1926" s="1" t="s">
        <v>161</v>
      </c>
      <c r="B1926" s="1" t="s">
        <v>68</v>
      </c>
      <c r="C1926" s="1">
        <v>9729.3799999999992</v>
      </c>
      <c r="D1926" s="1">
        <v>2237.3000000000002</v>
      </c>
    </row>
    <row r="1927" spans="1:4" x14ac:dyDescent="0.25">
      <c r="A1927" s="1" t="s">
        <v>162</v>
      </c>
      <c r="B1927" s="1" t="s">
        <v>74</v>
      </c>
      <c r="C1927" s="1">
        <v>11079.9</v>
      </c>
      <c r="D1927" s="1">
        <v>1802.21</v>
      </c>
    </row>
    <row r="1928" spans="1:4" x14ac:dyDescent="0.25">
      <c r="A1928" s="1" t="s">
        <v>162</v>
      </c>
      <c r="B1928" s="1" t="s">
        <v>75</v>
      </c>
      <c r="C1928" s="1">
        <v>850.24</v>
      </c>
      <c r="D1928" s="1">
        <v>281.81</v>
      </c>
    </row>
    <row r="1929" spans="1:4" x14ac:dyDescent="0.25">
      <c r="A1929" s="1" t="s">
        <v>162</v>
      </c>
      <c r="B1929" s="1" t="s">
        <v>76</v>
      </c>
      <c r="C1929" s="1">
        <v>19178.311000000002</v>
      </c>
      <c r="D1929" s="1">
        <v>3606.89</v>
      </c>
    </row>
    <row r="1930" spans="1:4" x14ac:dyDescent="0.25">
      <c r="A1930" s="1" t="s">
        <v>162</v>
      </c>
      <c r="B1930" s="1" t="s">
        <v>77</v>
      </c>
      <c r="C1930" s="1">
        <v>12225.36</v>
      </c>
      <c r="D1930" s="1">
        <v>2632.13</v>
      </c>
    </row>
    <row r="1931" spans="1:4" x14ac:dyDescent="0.25">
      <c r="A1931" s="1" t="s">
        <v>162</v>
      </c>
      <c r="B1931" s="1" t="s">
        <v>71</v>
      </c>
      <c r="C1931" s="1">
        <v>10138.73</v>
      </c>
      <c r="D1931" s="1">
        <v>2308.1999999999998</v>
      </c>
    </row>
    <row r="1932" spans="1:4" x14ac:dyDescent="0.25">
      <c r="A1932" s="1" t="s">
        <v>162</v>
      </c>
      <c r="B1932" s="1" t="s">
        <v>70</v>
      </c>
      <c r="C1932" s="1">
        <v>6988.3</v>
      </c>
      <c r="D1932" s="1">
        <v>2570.14</v>
      </c>
    </row>
    <row r="1933" spans="1:4" x14ac:dyDescent="0.25">
      <c r="A1933" s="1" t="s">
        <v>162</v>
      </c>
      <c r="B1933" s="1" t="s">
        <v>78</v>
      </c>
      <c r="C1933" s="1">
        <v>1257.82</v>
      </c>
      <c r="D1933" s="1">
        <v>559.87</v>
      </c>
    </row>
    <row r="1934" spans="1:4" x14ac:dyDescent="0.25">
      <c r="A1934" s="1" t="s">
        <v>162</v>
      </c>
      <c r="B1934" s="1" t="s">
        <v>73</v>
      </c>
      <c r="C1934" s="1">
        <v>9705.5300000000007</v>
      </c>
      <c r="D1934" s="1">
        <v>1205.1600000000001</v>
      </c>
    </row>
    <row r="1935" spans="1:4" x14ac:dyDescent="0.25">
      <c r="A1935" s="1" t="s">
        <v>162</v>
      </c>
      <c r="B1935" s="1" t="s">
        <v>72</v>
      </c>
      <c r="C1935" s="1">
        <v>5840.42</v>
      </c>
      <c r="D1935" s="1">
        <v>3226.5</v>
      </c>
    </row>
    <row r="1936" spans="1:4" x14ac:dyDescent="0.25">
      <c r="A1936" s="1" t="s">
        <v>162</v>
      </c>
      <c r="B1936" s="1" t="s">
        <v>68</v>
      </c>
      <c r="C1936" s="1">
        <v>9568.73</v>
      </c>
      <c r="D1936" s="1">
        <v>2281.9</v>
      </c>
    </row>
    <row r="1937" spans="1:4" x14ac:dyDescent="0.25">
      <c r="A1937" s="1" t="s">
        <v>162</v>
      </c>
      <c r="B1937" s="1" t="s">
        <v>69</v>
      </c>
      <c r="C1937" s="1">
        <v>3384.01</v>
      </c>
      <c r="D1937" s="1">
        <v>2088.2399999999998</v>
      </c>
    </row>
    <row r="1938" spans="1:4" x14ac:dyDescent="0.25">
      <c r="A1938" s="1" t="s">
        <v>163</v>
      </c>
      <c r="B1938" s="1" t="s">
        <v>74</v>
      </c>
      <c r="C1938" s="1">
        <v>7882.46</v>
      </c>
      <c r="D1938" s="1">
        <v>1303.3800000000001</v>
      </c>
    </row>
    <row r="1939" spans="1:4" x14ac:dyDescent="0.25">
      <c r="A1939" s="1" t="s">
        <v>163</v>
      </c>
      <c r="B1939" s="1" t="s">
        <v>75</v>
      </c>
      <c r="C1939" s="1">
        <v>809.63</v>
      </c>
      <c r="D1939" s="1">
        <v>278.88</v>
      </c>
    </row>
    <row r="1940" spans="1:4" x14ac:dyDescent="0.25">
      <c r="A1940" s="1" t="s">
        <v>163</v>
      </c>
      <c r="B1940" s="1" t="s">
        <v>73</v>
      </c>
      <c r="C1940" s="1">
        <v>9297.3799999999992</v>
      </c>
      <c r="D1940" s="1">
        <v>1156.49</v>
      </c>
    </row>
    <row r="1941" spans="1:4" x14ac:dyDescent="0.25">
      <c r="A1941" s="1" t="s">
        <v>163</v>
      </c>
      <c r="B1941" s="1" t="s">
        <v>68</v>
      </c>
      <c r="C1941" s="1">
        <v>10929.99</v>
      </c>
      <c r="D1941" s="1">
        <v>2703.35</v>
      </c>
    </row>
    <row r="1942" spans="1:4" x14ac:dyDescent="0.25">
      <c r="A1942" s="1" t="s">
        <v>163</v>
      </c>
      <c r="B1942" s="1" t="s">
        <v>77</v>
      </c>
      <c r="C1942" s="1">
        <v>11488.45</v>
      </c>
      <c r="D1942" s="1">
        <v>2408.2600000000002</v>
      </c>
    </row>
    <row r="1943" spans="1:4" x14ac:dyDescent="0.25">
      <c r="A1943" s="1" t="s">
        <v>163</v>
      </c>
      <c r="B1943" s="1" t="s">
        <v>71</v>
      </c>
      <c r="C1943" s="1">
        <v>10467.969999999999</v>
      </c>
      <c r="D1943" s="1">
        <v>2410.2600000000002</v>
      </c>
    </row>
    <row r="1944" spans="1:4" x14ac:dyDescent="0.25">
      <c r="A1944" s="1" t="s">
        <v>163</v>
      </c>
      <c r="B1944" s="1" t="s">
        <v>70</v>
      </c>
      <c r="C1944" s="1">
        <v>6072.76</v>
      </c>
      <c r="D1944" s="1">
        <v>2184.9699999999998</v>
      </c>
    </row>
    <row r="1945" spans="1:4" x14ac:dyDescent="0.25">
      <c r="A1945" s="1" t="s">
        <v>163</v>
      </c>
      <c r="B1945" s="1" t="s">
        <v>78</v>
      </c>
      <c r="C1945" s="1">
        <v>1468.65</v>
      </c>
      <c r="D1945" s="1">
        <v>642.86</v>
      </c>
    </row>
    <row r="1946" spans="1:4" x14ac:dyDescent="0.25">
      <c r="A1946" s="1" t="s">
        <v>163</v>
      </c>
      <c r="B1946" s="1" t="s">
        <v>72</v>
      </c>
      <c r="C1946" s="1">
        <v>6785</v>
      </c>
      <c r="D1946" s="1">
        <v>3948.77</v>
      </c>
    </row>
    <row r="1947" spans="1:4" x14ac:dyDescent="0.25">
      <c r="A1947" s="1" t="s">
        <v>163</v>
      </c>
      <c r="B1947" s="1" t="s">
        <v>76</v>
      </c>
      <c r="C1947" s="1">
        <v>17290.82</v>
      </c>
      <c r="D1947" s="1">
        <v>3256.61</v>
      </c>
    </row>
    <row r="1948" spans="1:4" x14ac:dyDescent="0.25">
      <c r="A1948" s="1" t="s">
        <v>163</v>
      </c>
      <c r="B1948" s="1" t="s">
        <v>69</v>
      </c>
      <c r="C1948" s="1">
        <v>4093.32</v>
      </c>
      <c r="D1948" s="1">
        <v>2757.78</v>
      </c>
    </row>
    <row r="1949" spans="1:4" x14ac:dyDescent="0.25">
      <c r="A1949" s="1" t="s">
        <v>164</v>
      </c>
      <c r="B1949" s="1" t="s">
        <v>75</v>
      </c>
      <c r="C1949" s="1">
        <v>1825.52</v>
      </c>
      <c r="D1949" s="1">
        <v>710.47</v>
      </c>
    </row>
    <row r="1950" spans="1:4" x14ac:dyDescent="0.25">
      <c r="A1950" s="1" t="s">
        <v>164</v>
      </c>
      <c r="B1950" s="1" t="s">
        <v>74</v>
      </c>
      <c r="C1950" s="1">
        <v>12682.5</v>
      </c>
      <c r="D1950" s="1">
        <v>2452.7199999999998</v>
      </c>
    </row>
    <row r="1951" spans="1:4" x14ac:dyDescent="0.25">
      <c r="A1951" s="1" t="s">
        <v>164</v>
      </c>
      <c r="B1951" s="1" t="s">
        <v>73</v>
      </c>
      <c r="C1951" s="1">
        <v>16255.79</v>
      </c>
      <c r="D1951" s="1">
        <v>2310.81</v>
      </c>
    </row>
    <row r="1952" spans="1:4" x14ac:dyDescent="0.25">
      <c r="A1952" s="1" t="s">
        <v>164</v>
      </c>
      <c r="B1952" s="1" t="s">
        <v>68</v>
      </c>
      <c r="C1952" s="1">
        <v>19831.039000000001</v>
      </c>
      <c r="D1952" s="1">
        <v>5734.76</v>
      </c>
    </row>
    <row r="1953" spans="1:4" x14ac:dyDescent="0.25">
      <c r="A1953" s="1" t="s">
        <v>164</v>
      </c>
      <c r="B1953" s="1" t="s">
        <v>77</v>
      </c>
      <c r="C1953" s="1">
        <v>19326.210999999999</v>
      </c>
      <c r="D1953" s="1">
        <v>4783.99</v>
      </c>
    </row>
    <row r="1954" spans="1:4" x14ac:dyDescent="0.25">
      <c r="A1954" s="1" t="s">
        <v>164</v>
      </c>
      <c r="B1954" s="1" t="s">
        <v>71</v>
      </c>
      <c r="C1954" s="1">
        <v>21207.789000000001</v>
      </c>
      <c r="D1954" s="1">
        <v>5169.38</v>
      </c>
    </row>
    <row r="1955" spans="1:4" x14ac:dyDescent="0.25">
      <c r="A1955" s="1" t="s">
        <v>164</v>
      </c>
      <c r="B1955" s="1" t="s">
        <v>69</v>
      </c>
      <c r="C1955" s="1">
        <v>7736.06</v>
      </c>
      <c r="D1955" s="1">
        <v>5950.61</v>
      </c>
    </row>
    <row r="1956" spans="1:4" x14ac:dyDescent="0.25">
      <c r="A1956" s="1" t="s">
        <v>164</v>
      </c>
      <c r="B1956" s="1" t="s">
        <v>70</v>
      </c>
      <c r="C1956" s="1">
        <v>10818.69</v>
      </c>
      <c r="D1956" s="1">
        <v>4162.66</v>
      </c>
    </row>
    <row r="1957" spans="1:4" x14ac:dyDescent="0.25">
      <c r="A1957" s="1" t="s">
        <v>164</v>
      </c>
      <c r="B1957" s="1" t="s">
        <v>78</v>
      </c>
      <c r="C1957" s="1">
        <v>3338.67</v>
      </c>
      <c r="D1957" s="1">
        <v>1715.24</v>
      </c>
    </row>
    <row r="1958" spans="1:4" x14ac:dyDescent="0.25">
      <c r="A1958" s="1" t="s">
        <v>164</v>
      </c>
      <c r="B1958" s="1" t="s">
        <v>72</v>
      </c>
      <c r="C1958" s="1">
        <v>13054.5</v>
      </c>
      <c r="D1958" s="1">
        <v>8475.86</v>
      </c>
    </row>
    <row r="1959" spans="1:4" x14ac:dyDescent="0.25">
      <c r="A1959" s="1" t="s">
        <v>164</v>
      </c>
      <c r="B1959" s="1" t="s">
        <v>76</v>
      </c>
      <c r="C1959" s="1">
        <v>17980.48</v>
      </c>
      <c r="D1959" s="1">
        <v>3629.54</v>
      </c>
    </row>
    <row r="1960" spans="1:4" x14ac:dyDescent="0.25">
      <c r="A1960" s="1" t="s">
        <v>165</v>
      </c>
      <c r="B1960" s="1" t="s">
        <v>75</v>
      </c>
      <c r="C1960" s="1">
        <v>2385.27</v>
      </c>
      <c r="D1960" s="1">
        <v>920.3</v>
      </c>
    </row>
    <row r="1961" spans="1:4" x14ac:dyDescent="0.25">
      <c r="A1961" s="1" t="s">
        <v>165</v>
      </c>
      <c r="B1961" s="1" t="s">
        <v>74</v>
      </c>
      <c r="C1961" s="1">
        <v>17680.77</v>
      </c>
      <c r="D1961" s="1">
        <v>3565.98</v>
      </c>
    </row>
    <row r="1962" spans="1:4" x14ac:dyDescent="0.25">
      <c r="A1962" s="1" t="s">
        <v>165</v>
      </c>
      <c r="B1962" s="1" t="s">
        <v>78</v>
      </c>
      <c r="C1962" s="1">
        <v>4224.47</v>
      </c>
      <c r="D1962" s="1">
        <v>2293.71</v>
      </c>
    </row>
    <row r="1963" spans="1:4" x14ac:dyDescent="0.25">
      <c r="A1963" s="1" t="s">
        <v>165</v>
      </c>
      <c r="B1963" s="1" t="s">
        <v>68</v>
      </c>
      <c r="C1963" s="1">
        <v>19362.449000000001</v>
      </c>
      <c r="D1963" s="1">
        <v>5814.7</v>
      </c>
    </row>
    <row r="1964" spans="1:4" x14ac:dyDescent="0.25">
      <c r="A1964" s="1" t="s">
        <v>165</v>
      </c>
      <c r="B1964" s="1" t="s">
        <v>71</v>
      </c>
      <c r="C1964" s="1">
        <v>22893.131000000001</v>
      </c>
      <c r="D1964" s="1">
        <v>5849.07</v>
      </c>
    </row>
    <row r="1965" spans="1:4" x14ac:dyDescent="0.25">
      <c r="A1965" s="1" t="s">
        <v>165</v>
      </c>
      <c r="B1965" s="1" t="s">
        <v>69</v>
      </c>
      <c r="C1965" s="1">
        <v>8524.4500000000007</v>
      </c>
      <c r="D1965" s="1">
        <v>6846.89</v>
      </c>
    </row>
    <row r="1966" spans="1:4" x14ac:dyDescent="0.25">
      <c r="A1966" s="1" t="s">
        <v>165</v>
      </c>
      <c r="B1966" s="1" t="s">
        <v>76</v>
      </c>
      <c r="C1966" s="1">
        <v>26220.16</v>
      </c>
      <c r="D1966" s="1">
        <v>6021.25</v>
      </c>
    </row>
    <row r="1967" spans="1:4" x14ac:dyDescent="0.25">
      <c r="A1967" s="1" t="s">
        <v>165</v>
      </c>
      <c r="B1967" s="1" t="s">
        <v>73</v>
      </c>
      <c r="C1967" s="1">
        <v>16528.278999999999</v>
      </c>
      <c r="D1967" s="1">
        <v>2370.1</v>
      </c>
    </row>
    <row r="1968" spans="1:4" x14ac:dyDescent="0.25">
      <c r="A1968" s="1" t="s">
        <v>165</v>
      </c>
      <c r="B1968" s="1" t="s">
        <v>72</v>
      </c>
      <c r="C1968" s="1">
        <v>14627.38</v>
      </c>
      <c r="D1968" s="1">
        <v>9617.7099999999991</v>
      </c>
    </row>
    <row r="1969" spans="1:4" x14ac:dyDescent="0.25">
      <c r="A1969" s="1" t="s">
        <v>165</v>
      </c>
      <c r="B1969" s="1" t="s">
        <v>77</v>
      </c>
      <c r="C1969" s="1">
        <v>24153.311000000002</v>
      </c>
      <c r="D1969" s="1">
        <v>5711.3</v>
      </c>
    </row>
    <row r="1970" spans="1:4" x14ac:dyDescent="0.25">
      <c r="A1970" s="1" t="s">
        <v>165</v>
      </c>
      <c r="B1970" s="1" t="s">
        <v>70</v>
      </c>
      <c r="C1970" s="1">
        <v>14550</v>
      </c>
      <c r="D1970" s="1">
        <v>5859.25</v>
      </c>
    </row>
    <row r="1971" spans="1:4" x14ac:dyDescent="0.25">
      <c r="A1971" s="1" t="s">
        <v>166</v>
      </c>
      <c r="B1971" s="1" t="s">
        <v>74</v>
      </c>
      <c r="C1971" s="1">
        <v>15738.91</v>
      </c>
      <c r="D1971" s="1">
        <v>3262.02</v>
      </c>
    </row>
    <row r="1972" spans="1:4" x14ac:dyDescent="0.25">
      <c r="A1972" s="1" t="s">
        <v>166</v>
      </c>
      <c r="B1972" s="1" t="s">
        <v>78</v>
      </c>
      <c r="C1972" s="1">
        <v>3870.86</v>
      </c>
      <c r="D1972" s="1">
        <v>2107.56</v>
      </c>
    </row>
    <row r="1973" spans="1:4" x14ac:dyDescent="0.25">
      <c r="A1973" s="1" t="s">
        <v>166</v>
      </c>
      <c r="B1973" s="1" t="s">
        <v>75</v>
      </c>
      <c r="C1973" s="1">
        <v>2044.12</v>
      </c>
      <c r="D1973" s="1">
        <v>788.52</v>
      </c>
    </row>
    <row r="1974" spans="1:4" x14ac:dyDescent="0.25">
      <c r="A1974" s="1" t="s">
        <v>166</v>
      </c>
      <c r="B1974" s="1" t="s">
        <v>72</v>
      </c>
      <c r="C1974" s="1">
        <v>12509.79</v>
      </c>
      <c r="D1974" s="1">
        <v>8322.76</v>
      </c>
    </row>
    <row r="1975" spans="1:4" x14ac:dyDescent="0.25">
      <c r="A1975" s="1" t="s">
        <v>166</v>
      </c>
      <c r="B1975" s="1" t="s">
        <v>76</v>
      </c>
      <c r="C1975" s="1">
        <v>27844.811000000002</v>
      </c>
      <c r="D1975" s="1">
        <v>6303.03</v>
      </c>
    </row>
    <row r="1976" spans="1:4" x14ac:dyDescent="0.25">
      <c r="A1976" s="1" t="s">
        <v>166</v>
      </c>
      <c r="B1976" s="1" t="s">
        <v>68</v>
      </c>
      <c r="C1976" s="1">
        <v>16075.76</v>
      </c>
      <c r="D1976" s="1">
        <v>4883.71</v>
      </c>
    </row>
    <row r="1977" spans="1:4" x14ac:dyDescent="0.25">
      <c r="A1977" s="1" t="s">
        <v>166</v>
      </c>
      <c r="B1977" s="1" t="s">
        <v>69</v>
      </c>
      <c r="C1977" s="1">
        <v>7305.49</v>
      </c>
      <c r="D1977" s="1">
        <v>6022.43</v>
      </c>
    </row>
    <row r="1978" spans="1:4" x14ac:dyDescent="0.25">
      <c r="A1978" s="1" t="s">
        <v>166</v>
      </c>
      <c r="B1978" s="1" t="s">
        <v>70</v>
      </c>
      <c r="C1978" s="1">
        <v>12941.25</v>
      </c>
      <c r="D1978" s="1">
        <v>5225.71</v>
      </c>
    </row>
    <row r="1979" spans="1:4" x14ac:dyDescent="0.25">
      <c r="A1979" s="1" t="s">
        <v>166</v>
      </c>
      <c r="B1979" s="1" t="s">
        <v>73</v>
      </c>
      <c r="C1979" s="1">
        <v>14012.77</v>
      </c>
      <c r="D1979" s="1">
        <v>1986.01</v>
      </c>
    </row>
    <row r="1980" spans="1:4" x14ac:dyDescent="0.25">
      <c r="A1980" s="1" t="s">
        <v>166</v>
      </c>
      <c r="B1980" s="1" t="s">
        <v>77</v>
      </c>
      <c r="C1980" s="1">
        <v>21580.51</v>
      </c>
      <c r="D1980" s="1">
        <v>4941.51</v>
      </c>
    </row>
    <row r="1981" spans="1:4" x14ac:dyDescent="0.25">
      <c r="A1981" s="1" t="s">
        <v>166</v>
      </c>
      <c r="B1981" s="1" t="s">
        <v>71</v>
      </c>
      <c r="C1981" s="1">
        <v>18948.971000000001</v>
      </c>
      <c r="D1981" s="1">
        <v>4947.45</v>
      </c>
    </row>
    <row r="1982" spans="1:4" x14ac:dyDescent="0.25">
      <c r="A1982" s="1" t="s">
        <v>167</v>
      </c>
      <c r="B1982" s="1" t="s">
        <v>74</v>
      </c>
      <c r="C1982" s="1">
        <v>12256.79</v>
      </c>
      <c r="D1982" s="1">
        <v>2501.9299999999998</v>
      </c>
    </row>
    <row r="1983" spans="1:4" x14ac:dyDescent="0.25">
      <c r="A1983" s="1" t="s">
        <v>167</v>
      </c>
      <c r="B1983" s="1" t="s">
        <v>78</v>
      </c>
      <c r="C1983" s="1">
        <v>2974.75</v>
      </c>
      <c r="D1983" s="1">
        <v>1579.54</v>
      </c>
    </row>
    <row r="1984" spans="1:4" x14ac:dyDescent="0.25">
      <c r="A1984" s="1" t="s">
        <v>167</v>
      </c>
      <c r="B1984" s="1" t="s">
        <v>75</v>
      </c>
      <c r="C1984" s="1">
        <v>1537.1</v>
      </c>
      <c r="D1984" s="1">
        <v>580.41</v>
      </c>
    </row>
    <row r="1985" spans="1:4" x14ac:dyDescent="0.25">
      <c r="A1985" s="1" t="s">
        <v>167</v>
      </c>
      <c r="B1985" s="1" t="s">
        <v>76</v>
      </c>
      <c r="C1985" s="1">
        <v>21926.710999999999</v>
      </c>
      <c r="D1985" s="1">
        <v>4960.51</v>
      </c>
    </row>
    <row r="1986" spans="1:4" x14ac:dyDescent="0.25">
      <c r="A1986" s="1" t="s">
        <v>167</v>
      </c>
      <c r="B1986" s="1" t="s">
        <v>73</v>
      </c>
      <c r="C1986" s="1">
        <v>10596.2</v>
      </c>
      <c r="D1986" s="1">
        <v>1504.28</v>
      </c>
    </row>
    <row r="1987" spans="1:4" x14ac:dyDescent="0.25">
      <c r="A1987" s="1" t="s">
        <v>167</v>
      </c>
      <c r="B1987" s="1" t="s">
        <v>77</v>
      </c>
      <c r="C1987" s="1">
        <v>16292.01</v>
      </c>
      <c r="D1987" s="1">
        <v>3715.57</v>
      </c>
    </row>
    <row r="1988" spans="1:4" x14ac:dyDescent="0.25">
      <c r="A1988" s="1" t="s">
        <v>167</v>
      </c>
      <c r="B1988" s="1" t="s">
        <v>71</v>
      </c>
      <c r="C1988" s="1">
        <v>15011.95</v>
      </c>
      <c r="D1988" s="1">
        <v>3853.08</v>
      </c>
    </row>
    <row r="1989" spans="1:4" x14ac:dyDescent="0.25">
      <c r="A1989" s="1" t="s">
        <v>167</v>
      </c>
      <c r="B1989" s="1" t="s">
        <v>70</v>
      </c>
      <c r="C1989" s="1">
        <v>9870.75</v>
      </c>
      <c r="D1989" s="1">
        <v>3986.3</v>
      </c>
    </row>
    <row r="1990" spans="1:4" x14ac:dyDescent="0.25">
      <c r="A1990" s="1" t="s">
        <v>167</v>
      </c>
      <c r="B1990" s="1" t="s">
        <v>72</v>
      </c>
      <c r="C1990" s="1">
        <v>9239.7999999999993</v>
      </c>
      <c r="D1990" s="1">
        <v>6243.01</v>
      </c>
    </row>
    <row r="1991" spans="1:4" x14ac:dyDescent="0.25">
      <c r="A1991" s="1" t="s">
        <v>167</v>
      </c>
      <c r="B1991" s="1" t="s">
        <v>68</v>
      </c>
      <c r="C1991" s="1">
        <v>12486.44</v>
      </c>
      <c r="D1991" s="1">
        <v>3793.77</v>
      </c>
    </row>
    <row r="1992" spans="1:4" x14ac:dyDescent="0.25">
      <c r="A1992" s="1" t="s">
        <v>167</v>
      </c>
      <c r="B1992" s="1" t="s">
        <v>69</v>
      </c>
      <c r="C1992" s="1">
        <v>5458.48</v>
      </c>
      <c r="D1992" s="1">
        <v>4471.95</v>
      </c>
    </row>
  </sheetData>
  <dataConsolidate/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T2289"/>
  <sheetViews>
    <sheetView workbookViewId="0">
      <selection activeCell="F2" sqref="F2:I1849"/>
    </sheetView>
  </sheetViews>
  <sheetFormatPr defaultRowHeight="15" x14ac:dyDescent="0.25"/>
  <cols>
    <col min="1" max="1" width="13.7109375" customWidth="1"/>
    <col min="5" max="5" width="4.42578125" style="43" customWidth="1"/>
    <col min="6" max="6" width="13.42578125" customWidth="1"/>
    <col min="10" max="10" width="4.5703125" style="43" customWidth="1"/>
    <col min="11" max="11" width="14.28515625" customWidth="1"/>
    <col min="15" max="15" width="4.42578125" style="43" customWidth="1"/>
    <col min="16" max="16" width="13.85546875" bestFit="1" customWidth="1"/>
    <col min="20" max="20" width="4.7109375" style="43" customWidth="1"/>
  </cols>
  <sheetData>
    <row r="1" spans="1:20" x14ac:dyDescent="0.25">
      <c r="A1" s="31" t="s">
        <v>105</v>
      </c>
      <c r="B1" s="32" t="s">
        <v>1</v>
      </c>
      <c r="C1" s="32" t="s">
        <v>2</v>
      </c>
      <c r="D1" s="33" t="s">
        <v>2</v>
      </c>
      <c r="E1" s="42"/>
      <c r="F1" s="34" t="s">
        <v>106</v>
      </c>
      <c r="G1" s="35" t="s">
        <v>1</v>
      </c>
      <c r="H1" s="35" t="s">
        <v>2</v>
      </c>
      <c r="I1" s="36" t="s">
        <v>2</v>
      </c>
      <c r="J1" s="44"/>
      <c r="K1" s="37" t="s">
        <v>117</v>
      </c>
      <c r="L1" s="37" t="s">
        <v>35</v>
      </c>
      <c r="M1" s="38" t="s">
        <v>38</v>
      </c>
      <c r="N1" s="38"/>
      <c r="O1" s="42"/>
      <c r="P1" s="39" t="s">
        <v>107</v>
      </c>
      <c r="Q1" s="40" t="s">
        <v>35</v>
      </c>
      <c r="R1" s="40" t="s">
        <v>31</v>
      </c>
      <c r="S1" s="41"/>
      <c r="T1" s="42"/>
    </row>
    <row r="2" spans="1:20" x14ac:dyDescent="0.25">
      <c r="A2" s="7">
        <v>44260</v>
      </c>
      <c r="B2" s="1" t="s">
        <v>75</v>
      </c>
      <c r="C2" s="1">
        <v>436.39</v>
      </c>
      <c r="D2" s="1">
        <v>357.23</v>
      </c>
      <c r="F2" s="7">
        <v>44260</v>
      </c>
      <c r="G2" s="1" t="s">
        <v>75</v>
      </c>
      <c r="H2" s="1">
        <v>486.05</v>
      </c>
      <c r="I2" s="1">
        <v>235.51</v>
      </c>
      <c r="J2" s="44"/>
      <c r="K2" s="7">
        <v>44319</v>
      </c>
      <c r="L2" s="1">
        <v>13009</v>
      </c>
      <c r="M2" s="1">
        <v>50443.223135745997</v>
      </c>
      <c r="N2" s="14"/>
      <c r="O2" s="42"/>
      <c r="P2" s="7">
        <v>44319</v>
      </c>
      <c r="Q2" s="1">
        <v>16028</v>
      </c>
      <c r="R2" s="1">
        <v>60675.030534664002</v>
      </c>
      <c r="S2" s="14"/>
      <c r="T2" s="42"/>
    </row>
    <row r="3" spans="1:20" x14ac:dyDescent="0.25">
      <c r="A3" s="7">
        <v>44260</v>
      </c>
      <c r="B3" s="1" t="s">
        <v>74</v>
      </c>
      <c r="C3" s="1">
        <v>1197.25</v>
      </c>
      <c r="D3" s="1">
        <v>478.44</v>
      </c>
      <c r="F3" s="7">
        <v>44260</v>
      </c>
      <c r="G3" s="1" t="s">
        <v>74</v>
      </c>
      <c r="H3" s="1">
        <v>1300.6400000000001</v>
      </c>
      <c r="I3" s="1">
        <v>387.32</v>
      </c>
      <c r="J3" s="44"/>
      <c r="K3" s="7">
        <v>44319.041666666664</v>
      </c>
      <c r="L3" s="1">
        <v>8080</v>
      </c>
      <c r="M3" s="1">
        <v>32831.761349439003</v>
      </c>
      <c r="N3" s="14"/>
      <c r="O3" s="42"/>
      <c r="P3" s="7">
        <v>44319.041666666664</v>
      </c>
      <c r="Q3" s="1">
        <v>10092</v>
      </c>
      <c r="R3" s="1">
        <v>39642.608649342001</v>
      </c>
      <c r="S3" s="14"/>
      <c r="T3" s="42"/>
    </row>
    <row r="4" spans="1:20" x14ac:dyDescent="0.25">
      <c r="A4" s="7">
        <v>44260</v>
      </c>
      <c r="B4" s="1" t="s">
        <v>68</v>
      </c>
      <c r="C4" s="1">
        <v>1203.72</v>
      </c>
      <c r="D4" s="1">
        <v>862.62</v>
      </c>
      <c r="F4" s="7">
        <v>44260</v>
      </c>
      <c r="G4" s="1" t="s">
        <v>68</v>
      </c>
      <c r="H4" s="1">
        <v>1497.86</v>
      </c>
      <c r="I4" s="1">
        <v>668.64</v>
      </c>
      <c r="J4" s="44"/>
      <c r="K4" s="7">
        <v>44319.083333333336</v>
      </c>
      <c r="L4" s="1">
        <v>5188</v>
      </c>
      <c r="M4" s="1">
        <v>21431.268666299002</v>
      </c>
      <c r="N4" s="14"/>
      <c r="O4" s="42"/>
      <c r="P4" s="7">
        <v>44319.083333333336</v>
      </c>
      <c r="Q4" s="1">
        <v>6434</v>
      </c>
      <c r="R4" s="1">
        <v>25833.215722072</v>
      </c>
      <c r="S4" s="14"/>
      <c r="T4" s="42"/>
    </row>
    <row r="5" spans="1:20" x14ac:dyDescent="0.25">
      <c r="A5" s="7">
        <v>44260</v>
      </c>
      <c r="B5" s="1" t="s">
        <v>77</v>
      </c>
      <c r="C5" s="1">
        <v>2401.39</v>
      </c>
      <c r="D5" s="1">
        <v>993.83</v>
      </c>
      <c r="F5" s="7">
        <v>44260</v>
      </c>
      <c r="G5" s="1" t="s">
        <v>77</v>
      </c>
      <c r="H5" s="1">
        <v>2556.58</v>
      </c>
      <c r="I5" s="1">
        <v>782.71</v>
      </c>
      <c r="J5" s="44"/>
      <c r="K5" s="7">
        <v>44319.125</v>
      </c>
      <c r="L5" s="1">
        <v>4858</v>
      </c>
      <c r="M5" s="1">
        <v>18713.142059674999</v>
      </c>
      <c r="N5" s="14"/>
      <c r="O5" s="42"/>
      <c r="P5" s="7">
        <v>44319.125</v>
      </c>
      <c r="Q5" s="1">
        <v>5927</v>
      </c>
      <c r="R5" s="1">
        <v>22617.171403953998</v>
      </c>
      <c r="S5" s="14"/>
      <c r="T5" s="42"/>
    </row>
    <row r="6" spans="1:20" x14ac:dyDescent="0.25">
      <c r="A6" s="7">
        <v>44260</v>
      </c>
      <c r="B6" s="1" t="s">
        <v>71</v>
      </c>
      <c r="C6" s="1">
        <v>924.44</v>
      </c>
      <c r="D6" s="1">
        <v>601.95000000000005</v>
      </c>
      <c r="F6" s="7">
        <v>44260</v>
      </c>
      <c r="G6" s="1" t="s">
        <v>71</v>
      </c>
      <c r="H6" s="1">
        <v>1267.21</v>
      </c>
      <c r="I6" s="1">
        <v>478.36</v>
      </c>
      <c r="J6" s="44"/>
      <c r="K6" s="7">
        <v>44319.166666666664</v>
      </c>
      <c r="L6" s="1">
        <v>6143</v>
      </c>
      <c r="M6" s="1">
        <v>22895.560298345001</v>
      </c>
      <c r="N6" s="14"/>
      <c r="O6" s="42"/>
      <c r="P6" s="7">
        <v>44319.166666666664</v>
      </c>
      <c r="Q6" s="1">
        <v>7667</v>
      </c>
      <c r="R6" s="1">
        <v>27670.450700411999</v>
      </c>
      <c r="S6" s="14"/>
      <c r="T6" s="42"/>
    </row>
    <row r="7" spans="1:20" x14ac:dyDescent="0.25">
      <c r="A7" s="7">
        <v>44260</v>
      </c>
      <c r="B7" s="1" t="s">
        <v>70</v>
      </c>
      <c r="C7" s="1">
        <v>1546.66</v>
      </c>
      <c r="D7" s="1">
        <v>900.82</v>
      </c>
      <c r="F7" s="7">
        <v>44260</v>
      </c>
      <c r="G7" s="1" t="s">
        <v>70</v>
      </c>
      <c r="H7" s="1">
        <v>1662.6</v>
      </c>
      <c r="I7" s="1">
        <v>775.18</v>
      </c>
      <c r="J7" s="44"/>
      <c r="K7" s="7">
        <v>44319.208333333336</v>
      </c>
      <c r="L7" s="1">
        <v>3679</v>
      </c>
      <c r="M7" s="1">
        <v>13011.765415181</v>
      </c>
      <c r="N7" s="14"/>
      <c r="O7" s="42"/>
      <c r="P7" s="7">
        <v>44319.208333333336</v>
      </c>
      <c r="Q7" s="1">
        <v>4592</v>
      </c>
      <c r="R7" s="1">
        <v>15967.825896066</v>
      </c>
      <c r="S7" s="14"/>
      <c r="T7" s="42"/>
    </row>
    <row r="8" spans="1:20" x14ac:dyDescent="0.25">
      <c r="A8" s="7">
        <v>44260</v>
      </c>
      <c r="B8" s="1" t="s">
        <v>69</v>
      </c>
      <c r="C8" s="1">
        <v>1685.82</v>
      </c>
      <c r="D8" s="1">
        <v>1783.51</v>
      </c>
      <c r="F8" s="7">
        <v>44260</v>
      </c>
      <c r="G8" s="1" t="s">
        <v>69</v>
      </c>
      <c r="H8" s="1">
        <v>1664.66</v>
      </c>
      <c r="I8" s="1">
        <v>1472.15</v>
      </c>
      <c r="J8" s="44"/>
      <c r="K8" s="7">
        <v>44319.25</v>
      </c>
      <c r="L8" s="1">
        <v>4345</v>
      </c>
      <c r="M8" s="1">
        <v>14633.703661862</v>
      </c>
      <c r="N8" s="14"/>
      <c r="O8" s="42"/>
      <c r="P8" s="7">
        <v>44319.25</v>
      </c>
      <c r="Q8" s="1">
        <v>5431</v>
      </c>
      <c r="R8" s="1">
        <v>18110.888578595001</v>
      </c>
      <c r="S8" s="14"/>
      <c r="T8" s="42"/>
    </row>
    <row r="9" spans="1:20" x14ac:dyDescent="0.25">
      <c r="A9" s="7">
        <v>44260</v>
      </c>
      <c r="B9" s="1" t="s">
        <v>78</v>
      </c>
      <c r="C9" s="1">
        <v>873.37</v>
      </c>
      <c r="D9" s="1">
        <v>669.09</v>
      </c>
      <c r="F9" s="7">
        <v>44260</v>
      </c>
      <c r="G9" s="1" t="s">
        <v>78</v>
      </c>
      <c r="H9" s="1">
        <v>830.22</v>
      </c>
      <c r="I9" s="1">
        <v>481.72</v>
      </c>
      <c r="J9" s="45"/>
      <c r="K9" s="7">
        <v>44319.291666666664</v>
      </c>
      <c r="L9" s="1">
        <v>6620</v>
      </c>
      <c r="M9" s="1">
        <v>22830.516252155001</v>
      </c>
      <c r="N9" s="17"/>
      <c r="O9" s="46"/>
      <c r="P9" s="7">
        <v>44319.291666666664</v>
      </c>
      <c r="Q9" s="1">
        <v>8144</v>
      </c>
      <c r="R9" s="1">
        <v>27508.447600675001</v>
      </c>
      <c r="S9" s="17"/>
      <c r="T9" s="46"/>
    </row>
    <row r="10" spans="1:20" x14ac:dyDescent="0.25">
      <c r="A10" s="7">
        <v>44260</v>
      </c>
      <c r="B10" s="1" t="s">
        <v>76</v>
      </c>
      <c r="C10" s="1">
        <v>1951.98</v>
      </c>
      <c r="D10" s="1">
        <v>699.11</v>
      </c>
      <c r="F10" s="7">
        <v>44260</v>
      </c>
      <c r="G10" s="1" t="s">
        <v>76</v>
      </c>
      <c r="H10" s="1">
        <v>2137.86</v>
      </c>
      <c r="I10" s="1">
        <v>561.35</v>
      </c>
      <c r="J10" s="44"/>
      <c r="K10" s="7">
        <v>44319.333333333336</v>
      </c>
      <c r="L10" s="1">
        <v>9321</v>
      </c>
      <c r="M10" s="1">
        <v>32913.716333436998</v>
      </c>
      <c r="P10" s="7">
        <v>44319.333333333336</v>
      </c>
      <c r="Q10" s="1">
        <v>11472</v>
      </c>
      <c r="R10" s="1">
        <v>39926.320567766001</v>
      </c>
    </row>
    <row r="11" spans="1:20" x14ac:dyDescent="0.25">
      <c r="A11" s="7">
        <v>44260</v>
      </c>
      <c r="B11" s="1" t="s">
        <v>72</v>
      </c>
      <c r="C11" s="1">
        <v>3250.29</v>
      </c>
      <c r="D11" s="1">
        <v>2671.65</v>
      </c>
      <c r="F11" s="7">
        <v>44260</v>
      </c>
      <c r="G11" s="1" t="s">
        <v>72</v>
      </c>
      <c r="H11" s="1">
        <v>2990.97</v>
      </c>
      <c r="I11" s="1">
        <v>2232.27</v>
      </c>
      <c r="J11" s="44"/>
      <c r="K11" s="7">
        <v>44319.375</v>
      </c>
      <c r="L11" s="1">
        <v>11512</v>
      </c>
      <c r="M11" s="1">
        <v>42042.953637468003</v>
      </c>
      <c r="P11" s="7">
        <v>44319.375</v>
      </c>
      <c r="Q11" s="1">
        <v>14212</v>
      </c>
      <c r="R11" s="1">
        <v>50904.234658727</v>
      </c>
    </row>
    <row r="12" spans="1:20" x14ac:dyDescent="0.25">
      <c r="A12" s="7">
        <v>44260</v>
      </c>
      <c r="B12" s="1" t="s">
        <v>73</v>
      </c>
      <c r="C12" s="1">
        <v>989.85</v>
      </c>
      <c r="D12" s="1">
        <v>299.5</v>
      </c>
      <c r="F12" s="7">
        <v>44260</v>
      </c>
      <c r="G12" s="1" t="s">
        <v>73</v>
      </c>
      <c r="H12" s="1">
        <v>1233.93</v>
      </c>
      <c r="I12" s="1">
        <v>257.2</v>
      </c>
      <c r="J12" s="44"/>
      <c r="K12" s="7">
        <v>44319.416666666664</v>
      </c>
      <c r="L12" s="1">
        <v>13381</v>
      </c>
      <c r="M12" s="1">
        <v>49247.836934943</v>
      </c>
      <c r="P12" s="7">
        <v>44319.416666666664</v>
      </c>
      <c r="Q12" s="1">
        <v>16573</v>
      </c>
      <c r="R12" s="1">
        <v>60136.970997785</v>
      </c>
    </row>
    <row r="13" spans="1:20" x14ac:dyDescent="0.25">
      <c r="A13" s="7">
        <v>44260.041666666664</v>
      </c>
      <c r="B13" s="1" t="s">
        <v>75</v>
      </c>
      <c r="C13" s="1">
        <v>225.45</v>
      </c>
      <c r="D13" s="1">
        <v>200.69</v>
      </c>
      <c r="F13" s="7">
        <v>44260.041666666664</v>
      </c>
      <c r="G13" s="1" t="s">
        <v>75</v>
      </c>
      <c r="H13" s="1">
        <v>270.58</v>
      </c>
      <c r="I13" s="1">
        <v>125.76</v>
      </c>
      <c r="J13" s="44"/>
      <c r="K13" s="7">
        <v>44319.458333333336</v>
      </c>
      <c r="L13" s="1">
        <v>14370</v>
      </c>
      <c r="M13" s="1">
        <v>53615.710927091997</v>
      </c>
      <c r="P13" s="7">
        <v>44319.458333333336</v>
      </c>
      <c r="Q13" s="1">
        <v>17721</v>
      </c>
      <c r="R13" s="1">
        <v>64884.870329826001</v>
      </c>
    </row>
    <row r="14" spans="1:20" x14ac:dyDescent="0.25">
      <c r="A14" s="7">
        <v>44260.041666666664</v>
      </c>
      <c r="B14" s="1" t="s">
        <v>78</v>
      </c>
      <c r="C14" s="1">
        <v>447.29</v>
      </c>
      <c r="D14" s="1">
        <v>345.01</v>
      </c>
      <c r="F14" s="7">
        <v>44260.041666666664</v>
      </c>
      <c r="G14" s="1" t="s">
        <v>78</v>
      </c>
      <c r="H14" s="1">
        <v>415.62</v>
      </c>
      <c r="I14" s="1">
        <v>257.86</v>
      </c>
      <c r="J14" s="44"/>
      <c r="K14" s="7">
        <v>44319.5</v>
      </c>
      <c r="L14" s="1">
        <v>14504</v>
      </c>
      <c r="M14" s="1">
        <v>54562.314589513</v>
      </c>
      <c r="P14" s="7">
        <v>44319.5</v>
      </c>
      <c r="Q14" s="1">
        <v>18019</v>
      </c>
      <c r="R14" s="1">
        <v>66404.223524544999</v>
      </c>
    </row>
    <row r="15" spans="1:20" x14ac:dyDescent="0.25">
      <c r="A15" s="7">
        <v>44260.041666666664</v>
      </c>
      <c r="B15" s="1" t="s">
        <v>74</v>
      </c>
      <c r="C15" s="1">
        <v>526.09</v>
      </c>
      <c r="D15" s="1">
        <v>205.16</v>
      </c>
      <c r="F15" s="7">
        <v>44260.041666666664</v>
      </c>
      <c r="G15" s="1" t="s">
        <v>74</v>
      </c>
      <c r="H15" s="1">
        <v>625.75</v>
      </c>
      <c r="I15" s="1">
        <v>160.33000000000001</v>
      </c>
      <c r="J15" s="44"/>
      <c r="K15" s="7">
        <v>44319.541666666664</v>
      </c>
      <c r="L15" s="1">
        <v>13483</v>
      </c>
      <c r="M15" s="1">
        <v>51020.050632856997</v>
      </c>
      <c r="P15" s="7">
        <v>44319.541666666664</v>
      </c>
      <c r="Q15" s="1">
        <v>16688</v>
      </c>
      <c r="R15" s="1">
        <v>62082.878003120997</v>
      </c>
    </row>
    <row r="16" spans="1:20" x14ac:dyDescent="0.25">
      <c r="A16" s="7">
        <v>44260.041666666664</v>
      </c>
      <c r="B16" s="1" t="s">
        <v>76</v>
      </c>
      <c r="C16" s="1">
        <v>853.91</v>
      </c>
      <c r="D16" s="1">
        <v>301.77</v>
      </c>
      <c r="F16" s="7">
        <v>44260.041666666664</v>
      </c>
      <c r="G16" s="1" t="s">
        <v>76</v>
      </c>
      <c r="H16" s="1">
        <v>913.69</v>
      </c>
      <c r="I16" s="1">
        <v>260.97000000000003</v>
      </c>
      <c r="J16" s="44"/>
      <c r="K16" s="7">
        <v>44319.583333333336</v>
      </c>
      <c r="L16" s="1">
        <v>15088</v>
      </c>
      <c r="M16" s="1">
        <v>56464.017513514002</v>
      </c>
      <c r="P16" s="7">
        <v>44319.583333333336</v>
      </c>
      <c r="Q16" s="1">
        <v>18530</v>
      </c>
      <c r="R16" s="1">
        <v>68559.452756521001</v>
      </c>
    </row>
    <row r="17" spans="1:18" x14ac:dyDescent="0.25">
      <c r="A17" s="7">
        <v>44260.041666666664</v>
      </c>
      <c r="B17" s="1" t="s">
        <v>72</v>
      </c>
      <c r="C17" s="1">
        <v>1359.07</v>
      </c>
      <c r="D17" s="1">
        <v>1174.33</v>
      </c>
      <c r="F17" s="7">
        <v>44260.041666666664</v>
      </c>
      <c r="G17" s="1" t="s">
        <v>72</v>
      </c>
      <c r="H17" s="1">
        <v>1295.46</v>
      </c>
      <c r="I17" s="1">
        <v>975.98</v>
      </c>
      <c r="J17" s="44"/>
      <c r="K17" s="7">
        <v>44319.625</v>
      </c>
      <c r="L17" s="1">
        <v>15548</v>
      </c>
      <c r="M17" s="1">
        <v>58199.892037397003</v>
      </c>
      <c r="P17" s="7">
        <v>44319.625</v>
      </c>
      <c r="Q17" s="1">
        <v>19148</v>
      </c>
      <c r="R17" s="1">
        <v>70730.259676289003</v>
      </c>
    </row>
    <row r="18" spans="1:18" x14ac:dyDescent="0.25">
      <c r="A18" s="7">
        <v>44260.041666666664</v>
      </c>
      <c r="B18" s="1" t="s">
        <v>68</v>
      </c>
      <c r="C18" s="1">
        <v>491.04</v>
      </c>
      <c r="D18" s="1">
        <v>375.74</v>
      </c>
      <c r="F18" s="7">
        <v>44260.041666666664</v>
      </c>
      <c r="G18" s="1" t="s">
        <v>68</v>
      </c>
      <c r="H18" s="1">
        <v>650.52</v>
      </c>
      <c r="I18" s="1">
        <v>283.06</v>
      </c>
      <c r="J18" s="44"/>
      <c r="K18" s="7">
        <v>44319.666666666664</v>
      </c>
      <c r="L18" s="1">
        <v>14379</v>
      </c>
      <c r="M18" s="1">
        <v>54742.379357899998</v>
      </c>
      <c r="P18" s="7">
        <v>44319.666666666664</v>
      </c>
      <c r="Q18" s="1">
        <v>17784</v>
      </c>
      <c r="R18" s="1">
        <v>66504.307792181993</v>
      </c>
    </row>
    <row r="19" spans="1:18" x14ac:dyDescent="0.25">
      <c r="A19" s="7">
        <v>44260.041666666664</v>
      </c>
      <c r="B19" s="1" t="s">
        <v>77</v>
      </c>
      <c r="C19" s="1">
        <v>981.01</v>
      </c>
      <c r="D19" s="1">
        <v>392.23</v>
      </c>
      <c r="F19" s="7">
        <v>44260.041666666664</v>
      </c>
      <c r="G19" s="1" t="s">
        <v>77</v>
      </c>
      <c r="H19" s="1">
        <v>1074.52</v>
      </c>
      <c r="I19" s="1">
        <v>323.77999999999997</v>
      </c>
      <c r="J19" s="44"/>
      <c r="K19" s="7">
        <v>44319.708333333336</v>
      </c>
      <c r="L19" s="1">
        <v>13048</v>
      </c>
      <c r="M19" s="1">
        <v>50652.708356982999</v>
      </c>
      <c r="P19" s="7">
        <v>44319.708333333336</v>
      </c>
      <c r="Q19" s="1">
        <v>16037</v>
      </c>
      <c r="R19" s="1">
        <v>61571.613638479997</v>
      </c>
    </row>
    <row r="20" spans="1:18" x14ac:dyDescent="0.25">
      <c r="A20" s="7">
        <v>44260.041666666664</v>
      </c>
      <c r="B20" s="1" t="s">
        <v>71</v>
      </c>
      <c r="C20" s="1">
        <v>376.64</v>
      </c>
      <c r="D20" s="1">
        <v>250.7</v>
      </c>
      <c r="F20" s="7">
        <v>44260.041666666664</v>
      </c>
      <c r="G20" s="1" t="s">
        <v>71</v>
      </c>
      <c r="H20" s="1">
        <v>537.57000000000005</v>
      </c>
      <c r="I20" s="1">
        <v>199.67</v>
      </c>
      <c r="J20" s="44"/>
      <c r="K20" s="7">
        <v>44319.75</v>
      </c>
      <c r="L20" s="1">
        <v>11512</v>
      </c>
      <c r="M20" s="1">
        <v>44735.342808622001</v>
      </c>
      <c r="P20" s="7">
        <v>44319.75</v>
      </c>
      <c r="Q20" s="1">
        <v>14256</v>
      </c>
      <c r="R20" s="1">
        <v>54421.231720871998</v>
      </c>
    </row>
    <row r="21" spans="1:18" x14ac:dyDescent="0.25">
      <c r="A21" s="7">
        <v>44260.041666666664</v>
      </c>
      <c r="B21" s="1" t="s">
        <v>69</v>
      </c>
      <c r="C21" s="1">
        <v>681.79</v>
      </c>
      <c r="D21" s="1">
        <v>777.34</v>
      </c>
      <c r="F21" s="7">
        <v>44260.041666666664</v>
      </c>
      <c r="G21" s="1" t="s">
        <v>69</v>
      </c>
      <c r="H21" s="1">
        <v>702</v>
      </c>
      <c r="I21" s="1">
        <v>624.57000000000005</v>
      </c>
      <c r="J21" s="44"/>
      <c r="K21" s="7">
        <v>44319.791666666664</v>
      </c>
      <c r="L21" s="1">
        <v>17197</v>
      </c>
      <c r="M21" s="1">
        <v>65508.666905165002</v>
      </c>
      <c r="P21" s="7">
        <v>44319.791666666664</v>
      </c>
      <c r="Q21" s="1">
        <v>21355</v>
      </c>
      <c r="R21" s="1">
        <v>80252.731518740999</v>
      </c>
    </row>
    <row r="22" spans="1:18" x14ac:dyDescent="0.25">
      <c r="A22" s="7">
        <v>44260.041666666664</v>
      </c>
      <c r="B22" s="1" t="s">
        <v>70</v>
      </c>
      <c r="C22" s="1">
        <v>626.03</v>
      </c>
      <c r="D22" s="1">
        <v>370.29</v>
      </c>
      <c r="F22" s="7">
        <v>44260.041666666664</v>
      </c>
      <c r="G22" s="1" t="s">
        <v>70</v>
      </c>
      <c r="H22" s="1">
        <v>712.1</v>
      </c>
      <c r="I22" s="1">
        <v>296.20999999999998</v>
      </c>
      <c r="J22" s="44"/>
      <c r="K22" s="7">
        <v>44319.833333333336</v>
      </c>
      <c r="L22" s="1">
        <v>17518</v>
      </c>
      <c r="M22" s="1">
        <v>66484.487708258996</v>
      </c>
      <c r="P22" s="7">
        <v>44319.833333333336</v>
      </c>
      <c r="Q22" s="1">
        <v>21401</v>
      </c>
      <c r="R22" s="1">
        <v>80042.785826456005</v>
      </c>
    </row>
    <row r="23" spans="1:18" x14ac:dyDescent="0.25">
      <c r="A23" s="7">
        <v>44260.041666666664</v>
      </c>
      <c r="B23" s="1" t="s">
        <v>73</v>
      </c>
      <c r="C23" s="1">
        <v>397.43</v>
      </c>
      <c r="D23" s="1">
        <v>124.92</v>
      </c>
      <c r="F23" s="7">
        <v>44260.041666666664</v>
      </c>
      <c r="G23" s="1" t="s">
        <v>73</v>
      </c>
      <c r="H23" s="1">
        <v>502.75</v>
      </c>
      <c r="I23" s="1">
        <v>114.21</v>
      </c>
      <c r="J23" s="44"/>
      <c r="K23" s="7">
        <v>44319.875</v>
      </c>
      <c r="L23" s="1">
        <v>18461</v>
      </c>
      <c r="M23" s="1">
        <v>70832.142564756999</v>
      </c>
      <c r="P23" s="7">
        <v>44319.875</v>
      </c>
      <c r="Q23" s="1">
        <v>22581</v>
      </c>
      <c r="R23" s="1">
        <v>84896.167506359998</v>
      </c>
    </row>
    <row r="24" spans="1:18" x14ac:dyDescent="0.25">
      <c r="A24" s="7">
        <v>44260.083333333336</v>
      </c>
      <c r="B24" s="1" t="s">
        <v>74</v>
      </c>
      <c r="C24" s="1">
        <v>470.47</v>
      </c>
      <c r="D24" s="1">
        <v>123.25</v>
      </c>
      <c r="F24" s="7">
        <v>44260.083333333336</v>
      </c>
      <c r="G24" s="1" t="s">
        <v>74</v>
      </c>
      <c r="H24" s="1">
        <v>540.51</v>
      </c>
      <c r="I24" s="1">
        <v>98.52</v>
      </c>
      <c r="J24" s="44"/>
      <c r="K24" s="7">
        <v>44319.916666666664</v>
      </c>
      <c r="L24" s="1">
        <v>19631</v>
      </c>
      <c r="M24" s="1">
        <v>74445.282451178005</v>
      </c>
      <c r="P24" s="7">
        <v>44319.916666666664</v>
      </c>
      <c r="Q24" s="1">
        <v>24127</v>
      </c>
      <c r="R24" s="1">
        <v>89209.184444112005</v>
      </c>
    </row>
    <row r="25" spans="1:18" x14ac:dyDescent="0.25">
      <c r="A25" s="7">
        <v>44260.083333333336</v>
      </c>
      <c r="B25" s="1" t="s">
        <v>78</v>
      </c>
      <c r="C25" s="1">
        <v>300.54000000000002</v>
      </c>
      <c r="D25" s="1">
        <v>217.26</v>
      </c>
      <c r="F25" s="7">
        <v>44260.083333333336</v>
      </c>
      <c r="G25" s="1" t="s">
        <v>78</v>
      </c>
      <c r="H25" s="1">
        <v>269.64</v>
      </c>
      <c r="I25" s="1">
        <v>148.51</v>
      </c>
      <c r="J25" s="44"/>
      <c r="K25" s="7">
        <v>44319.958333333336</v>
      </c>
      <c r="L25" s="1">
        <v>18190</v>
      </c>
      <c r="M25" s="1">
        <v>68496.201447719999</v>
      </c>
      <c r="P25" s="7">
        <v>44319.958333333336</v>
      </c>
      <c r="Q25" s="1">
        <v>22106</v>
      </c>
      <c r="R25" s="1">
        <v>81336.098155713</v>
      </c>
    </row>
    <row r="26" spans="1:18" x14ac:dyDescent="0.25">
      <c r="A26" s="7">
        <v>44260.083333333336</v>
      </c>
      <c r="B26" s="1" t="s">
        <v>75</v>
      </c>
      <c r="C26" s="1">
        <v>206.86</v>
      </c>
      <c r="D26" s="1">
        <v>147.01</v>
      </c>
      <c r="F26" s="7">
        <v>44260.083333333336</v>
      </c>
      <c r="G26" s="1" t="s">
        <v>75</v>
      </c>
      <c r="H26" s="1">
        <v>237.96</v>
      </c>
      <c r="I26" s="1">
        <v>100.79</v>
      </c>
      <c r="J26" s="44"/>
      <c r="K26" s="7">
        <v>44320</v>
      </c>
      <c r="L26" s="1">
        <v>13234</v>
      </c>
      <c r="M26" s="1">
        <v>51648.177098237</v>
      </c>
      <c r="P26" s="7">
        <v>44320</v>
      </c>
      <c r="Q26" s="1">
        <v>16164</v>
      </c>
      <c r="R26" s="1">
        <v>61323.259380497002</v>
      </c>
    </row>
    <row r="27" spans="1:18" x14ac:dyDescent="0.25">
      <c r="A27" s="7">
        <v>44260.083333333336</v>
      </c>
      <c r="B27" s="1" t="s">
        <v>76</v>
      </c>
      <c r="C27" s="1">
        <v>976.52</v>
      </c>
      <c r="D27" s="1">
        <v>252.03</v>
      </c>
      <c r="F27" s="7">
        <v>44260.083333333336</v>
      </c>
      <c r="G27" s="1" t="s">
        <v>76</v>
      </c>
      <c r="H27" s="1">
        <v>1136.79</v>
      </c>
      <c r="I27" s="1">
        <v>217.07</v>
      </c>
      <c r="J27" s="44"/>
      <c r="K27" s="9">
        <v>44320.041666666664</v>
      </c>
      <c r="L27" s="1">
        <v>8721</v>
      </c>
      <c r="M27" s="1">
        <v>35178.541726697003</v>
      </c>
      <c r="P27" s="7">
        <v>44320.041666666664</v>
      </c>
      <c r="Q27" s="1">
        <v>10610</v>
      </c>
      <c r="R27" s="1">
        <v>41760.176506509</v>
      </c>
    </row>
    <row r="28" spans="1:18" x14ac:dyDescent="0.25">
      <c r="A28" s="7">
        <v>44260.083333333336</v>
      </c>
      <c r="B28" s="1" t="s">
        <v>73</v>
      </c>
      <c r="C28" s="1">
        <v>240.05</v>
      </c>
      <c r="D28" s="1">
        <v>58.93</v>
      </c>
      <c r="F28" s="7">
        <v>44260.083333333336</v>
      </c>
      <c r="G28" s="1" t="s">
        <v>73</v>
      </c>
      <c r="H28" s="1">
        <v>320.33999999999997</v>
      </c>
      <c r="I28" s="1">
        <v>57.61</v>
      </c>
      <c r="J28" s="44"/>
      <c r="K28" s="9">
        <v>44320.083333333336</v>
      </c>
      <c r="L28" s="1">
        <v>5406</v>
      </c>
      <c r="M28" s="1">
        <v>22226.900260408001</v>
      </c>
      <c r="P28" s="7">
        <v>44320.083333333336</v>
      </c>
      <c r="Q28" s="1">
        <v>6669</v>
      </c>
      <c r="R28" s="1">
        <v>26855.671668461</v>
      </c>
    </row>
    <row r="29" spans="1:18" x14ac:dyDescent="0.25">
      <c r="A29" s="7">
        <v>44260.083333333336</v>
      </c>
      <c r="B29" s="1" t="s">
        <v>68</v>
      </c>
      <c r="C29" s="1">
        <v>276.52999999999997</v>
      </c>
      <c r="D29" s="1">
        <v>197.83</v>
      </c>
      <c r="F29" s="7">
        <v>44260.083333333336</v>
      </c>
      <c r="G29" s="1" t="s">
        <v>68</v>
      </c>
      <c r="H29" s="1">
        <v>378.21</v>
      </c>
      <c r="I29" s="1">
        <v>149.28</v>
      </c>
      <c r="J29" s="44"/>
      <c r="K29" s="9">
        <v>44320.125</v>
      </c>
      <c r="L29" s="1">
        <v>4928</v>
      </c>
      <c r="M29" s="1">
        <v>19480.507121216</v>
      </c>
      <c r="P29" s="7">
        <v>44320.125</v>
      </c>
      <c r="Q29" s="1">
        <v>6099</v>
      </c>
      <c r="R29" s="1">
        <v>23476.402407550999</v>
      </c>
    </row>
    <row r="30" spans="1:18" x14ac:dyDescent="0.25">
      <c r="A30" s="7">
        <v>44260.083333333336</v>
      </c>
      <c r="B30" s="1" t="s">
        <v>71</v>
      </c>
      <c r="C30" s="1">
        <v>283.45999999999998</v>
      </c>
      <c r="D30" s="1">
        <v>145.12</v>
      </c>
      <c r="F30" s="7">
        <v>44260.083333333336</v>
      </c>
      <c r="G30" s="1" t="s">
        <v>71</v>
      </c>
      <c r="H30" s="1">
        <v>406.74</v>
      </c>
      <c r="I30" s="1">
        <v>120.63</v>
      </c>
      <c r="J30" s="44"/>
      <c r="K30" s="9">
        <v>44320.166666666664</v>
      </c>
      <c r="L30" s="1">
        <v>5836</v>
      </c>
      <c r="M30" s="1">
        <v>22374.569966668001</v>
      </c>
      <c r="P30" s="7">
        <v>44320.166666666664</v>
      </c>
      <c r="Q30" s="1">
        <v>7184</v>
      </c>
      <c r="R30" s="1">
        <v>26837.969077751</v>
      </c>
    </row>
    <row r="31" spans="1:18" x14ac:dyDescent="0.25">
      <c r="A31" s="7">
        <v>44260.083333333336</v>
      </c>
      <c r="B31" s="1" t="s">
        <v>69</v>
      </c>
      <c r="C31" s="1">
        <v>444.62</v>
      </c>
      <c r="D31" s="1">
        <v>440.22</v>
      </c>
      <c r="F31" s="7">
        <v>44260.083333333336</v>
      </c>
      <c r="G31" s="1" t="s">
        <v>69</v>
      </c>
      <c r="H31" s="1">
        <v>380.38</v>
      </c>
      <c r="I31" s="1">
        <v>337.03</v>
      </c>
      <c r="J31" s="44"/>
      <c r="K31" s="9">
        <v>44320.208333333336</v>
      </c>
      <c r="L31" s="1">
        <v>3434</v>
      </c>
      <c r="M31" s="1">
        <v>12604.490136267999</v>
      </c>
      <c r="P31" s="7">
        <v>44320.208333333336</v>
      </c>
      <c r="Q31" s="1">
        <v>4210</v>
      </c>
      <c r="R31" s="1">
        <v>15218.598323793</v>
      </c>
    </row>
    <row r="32" spans="1:18" x14ac:dyDescent="0.25">
      <c r="A32" s="7">
        <v>44260.083333333336</v>
      </c>
      <c r="B32" s="1" t="s">
        <v>72</v>
      </c>
      <c r="C32" s="1">
        <v>861.65</v>
      </c>
      <c r="D32" s="1">
        <v>597.16999999999996</v>
      </c>
      <c r="F32" s="7">
        <v>44260.083333333336</v>
      </c>
      <c r="G32" s="1" t="s">
        <v>72</v>
      </c>
      <c r="H32" s="1">
        <v>740.98</v>
      </c>
      <c r="I32" s="1">
        <v>476.95</v>
      </c>
      <c r="J32" s="44"/>
      <c r="K32" s="9">
        <v>44320.25</v>
      </c>
      <c r="L32" s="1">
        <v>4129</v>
      </c>
      <c r="M32" s="1">
        <v>14569.819339619</v>
      </c>
      <c r="P32" s="7">
        <v>44320.25</v>
      </c>
      <c r="Q32" s="1">
        <v>5079</v>
      </c>
      <c r="R32" s="1">
        <v>17615.947711845001</v>
      </c>
    </row>
    <row r="33" spans="1:18" x14ac:dyDescent="0.25">
      <c r="A33" s="7">
        <v>44260.083333333336</v>
      </c>
      <c r="B33" s="1" t="s">
        <v>77</v>
      </c>
      <c r="C33" s="1">
        <v>783.54</v>
      </c>
      <c r="D33" s="1">
        <v>266.17</v>
      </c>
      <c r="F33" s="7">
        <v>44260.083333333336</v>
      </c>
      <c r="G33" s="1" t="s">
        <v>77</v>
      </c>
      <c r="H33" s="1">
        <v>750.51</v>
      </c>
      <c r="I33" s="1">
        <v>207.56</v>
      </c>
      <c r="J33" s="44"/>
      <c r="K33" s="9">
        <v>44320.291666666664</v>
      </c>
      <c r="L33" s="1">
        <v>6406</v>
      </c>
      <c r="M33" s="1">
        <v>22811.556169478001</v>
      </c>
      <c r="P33" s="7">
        <v>44320.291666666664</v>
      </c>
      <c r="Q33" s="1">
        <v>7966</v>
      </c>
      <c r="R33" s="1">
        <v>27638.426073997001</v>
      </c>
    </row>
    <row r="34" spans="1:18" x14ac:dyDescent="0.25">
      <c r="A34" s="7">
        <v>44260.083333333336</v>
      </c>
      <c r="B34" s="1" t="s">
        <v>70</v>
      </c>
      <c r="C34" s="1">
        <v>424.9</v>
      </c>
      <c r="D34" s="1">
        <v>237.55</v>
      </c>
      <c r="F34" s="7">
        <v>44260.083333333336</v>
      </c>
      <c r="G34" s="1" t="s">
        <v>70</v>
      </c>
      <c r="H34" s="1">
        <v>513.05999999999995</v>
      </c>
      <c r="I34" s="1">
        <v>205.42</v>
      </c>
      <c r="J34" s="44"/>
      <c r="K34" s="9">
        <v>44320.333333333336</v>
      </c>
      <c r="L34" s="1">
        <v>9299</v>
      </c>
      <c r="M34" s="1">
        <v>33577.107603869001</v>
      </c>
      <c r="P34" s="7">
        <v>44320.333333333336</v>
      </c>
      <c r="Q34" s="1">
        <v>11494</v>
      </c>
      <c r="R34" s="1">
        <v>40582.943446431003</v>
      </c>
    </row>
    <row r="35" spans="1:18" x14ac:dyDescent="0.25">
      <c r="A35" s="7">
        <v>44260.125</v>
      </c>
      <c r="B35" s="1" t="s">
        <v>74</v>
      </c>
      <c r="C35" s="1">
        <v>1300.02</v>
      </c>
      <c r="D35" s="1">
        <v>292.33</v>
      </c>
      <c r="F35" s="7">
        <v>44260.125</v>
      </c>
      <c r="G35" s="1" t="s">
        <v>74</v>
      </c>
      <c r="H35" s="1">
        <v>1624.65</v>
      </c>
      <c r="I35" s="1">
        <v>244.64</v>
      </c>
      <c r="J35" s="44"/>
      <c r="K35" s="9">
        <v>44320.375</v>
      </c>
      <c r="L35" s="1">
        <v>11860</v>
      </c>
      <c r="M35" s="1">
        <v>43531.099657674</v>
      </c>
      <c r="P35" s="7">
        <v>44320.375</v>
      </c>
      <c r="Q35" s="1">
        <v>14631</v>
      </c>
      <c r="R35" s="1">
        <v>52625.913369312999</v>
      </c>
    </row>
    <row r="36" spans="1:18" x14ac:dyDescent="0.25">
      <c r="A36" s="7">
        <v>44260.125</v>
      </c>
      <c r="B36" s="1" t="s">
        <v>75</v>
      </c>
      <c r="C36" s="1">
        <v>482.7</v>
      </c>
      <c r="D36" s="1">
        <v>283.85000000000002</v>
      </c>
      <c r="F36" s="7">
        <v>44260.125</v>
      </c>
      <c r="G36" s="1" t="s">
        <v>75</v>
      </c>
      <c r="H36" s="1">
        <v>428.33</v>
      </c>
      <c r="I36" s="1">
        <v>173.46</v>
      </c>
      <c r="J36" s="44"/>
      <c r="K36" s="9">
        <v>44320.416666666664</v>
      </c>
      <c r="L36" s="1">
        <v>13446</v>
      </c>
      <c r="M36" s="1">
        <v>49890.272709892997</v>
      </c>
      <c r="P36" s="7">
        <v>44320.416666666664</v>
      </c>
      <c r="Q36" s="1">
        <v>16604</v>
      </c>
      <c r="R36" s="1">
        <v>60653.725832962999</v>
      </c>
    </row>
    <row r="37" spans="1:18" x14ac:dyDescent="0.25">
      <c r="A37" s="7">
        <v>44260.125</v>
      </c>
      <c r="B37" s="1" t="s">
        <v>76</v>
      </c>
      <c r="C37" s="1">
        <v>3050.26</v>
      </c>
      <c r="D37" s="1">
        <v>694.85</v>
      </c>
      <c r="F37" s="7">
        <v>44260.125</v>
      </c>
      <c r="G37" s="1" t="s">
        <v>76</v>
      </c>
      <c r="H37" s="1">
        <v>4067.51</v>
      </c>
      <c r="I37" s="1">
        <v>645.33000000000004</v>
      </c>
      <c r="J37" s="44"/>
      <c r="K37" s="9">
        <v>44320.458333333336</v>
      </c>
      <c r="L37" s="1">
        <v>14323</v>
      </c>
      <c r="M37" s="1">
        <v>53494.759384333003</v>
      </c>
      <c r="P37" s="7">
        <v>44320.458333333336</v>
      </c>
      <c r="Q37" s="1">
        <v>17554</v>
      </c>
      <c r="R37" s="1">
        <v>64809.828096030004</v>
      </c>
    </row>
    <row r="38" spans="1:18" x14ac:dyDescent="0.25">
      <c r="A38" s="7">
        <v>44260.125</v>
      </c>
      <c r="B38" s="1" t="s">
        <v>73</v>
      </c>
      <c r="C38" s="1">
        <v>790.14</v>
      </c>
      <c r="D38" s="1">
        <v>122.36</v>
      </c>
      <c r="F38" s="7">
        <v>44260.125</v>
      </c>
      <c r="G38" s="1" t="s">
        <v>73</v>
      </c>
      <c r="H38" s="1">
        <v>1174.72</v>
      </c>
      <c r="I38" s="1">
        <v>134.09</v>
      </c>
      <c r="J38" s="44"/>
      <c r="K38" s="9">
        <v>44320.5</v>
      </c>
      <c r="L38" s="1">
        <v>14485</v>
      </c>
      <c r="M38" s="1">
        <v>54774.830823502998</v>
      </c>
      <c r="P38" s="7">
        <v>44320.5</v>
      </c>
      <c r="Q38" s="1">
        <v>17881</v>
      </c>
      <c r="R38" s="1">
        <v>66482.928628167007</v>
      </c>
    </row>
    <row r="39" spans="1:18" x14ac:dyDescent="0.25">
      <c r="A39" s="7">
        <v>44260.125</v>
      </c>
      <c r="B39" s="1" t="s">
        <v>68</v>
      </c>
      <c r="C39" s="1">
        <v>786</v>
      </c>
      <c r="D39" s="1">
        <v>335.79</v>
      </c>
      <c r="F39" s="7">
        <v>44260.125</v>
      </c>
      <c r="G39" s="1" t="s">
        <v>68</v>
      </c>
      <c r="H39" s="1">
        <v>1077.53</v>
      </c>
      <c r="I39" s="1">
        <v>287.92</v>
      </c>
      <c r="J39" s="44"/>
      <c r="K39" s="9">
        <v>44320.541666666664</v>
      </c>
      <c r="L39" s="1">
        <v>13512</v>
      </c>
      <c r="M39" s="1">
        <v>51341.999419521999</v>
      </c>
      <c r="P39" s="7">
        <v>44320.541666666664</v>
      </c>
      <c r="Q39" s="1">
        <v>16606</v>
      </c>
      <c r="R39" s="1">
        <v>61849.012638982</v>
      </c>
    </row>
    <row r="40" spans="1:18" x14ac:dyDescent="0.25">
      <c r="A40" s="7">
        <v>44260.125</v>
      </c>
      <c r="B40" s="1" t="s">
        <v>77</v>
      </c>
      <c r="C40" s="1">
        <v>2940.48</v>
      </c>
      <c r="D40" s="1">
        <v>979.1</v>
      </c>
      <c r="F40" s="7">
        <v>44260.125</v>
      </c>
      <c r="G40" s="1" t="s">
        <v>77</v>
      </c>
      <c r="H40" s="1">
        <v>2069.6999999999998</v>
      </c>
      <c r="I40" s="1">
        <v>522.66</v>
      </c>
      <c r="J40" s="44"/>
      <c r="K40" s="9">
        <v>44320.583333333336</v>
      </c>
      <c r="L40" s="1">
        <v>15019</v>
      </c>
      <c r="M40" s="1">
        <v>56952.084893412</v>
      </c>
      <c r="P40" s="7">
        <v>44320.583333333336</v>
      </c>
      <c r="Q40" s="1">
        <v>18477</v>
      </c>
      <c r="R40" s="1">
        <v>68543.324328700997</v>
      </c>
    </row>
    <row r="41" spans="1:18" x14ac:dyDescent="0.25">
      <c r="A41" s="7">
        <v>44260.125</v>
      </c>
      <c r="B41" s="1" t="s">
        <v>71</v>
      </c>
      <c r="C41" s="1">
        <v>962.96</v>
      </c>
      <c r="D41" s="1">
        <v>320.93</v>
      </c>
      <c r="F41" s="7">
        <v>44260.125</v>
      </c>
      <c r="G41" s="1" t="s">
        <v>71</v>
      </c>
      <c r="H41" s="1">
        <v>1374.9</v>
      </c>
      <c r="I41" s="1">
        <v>303.87</v>
      </c>
      <c r="J41" s="44"/>
      <c r="K41" s="9">
        <v>44320.625</v>
      </c>
      <c r="L41" s="1">
        <v>15199</v>
      </c>
      <c r="M41" s="1">
        <v>58108.786379067998</v>
      </c>
      <c r="P41" s="7">
        <v>44320.625</v>
      </c>
      <c r="Q41" s="1">
        <v>18880</v>
      </c>
      <c r="R41" s="1">
        <v>70362.959884342999</v>
      </c>
    </row>
    <row r="42" spans="1:18" x14ac:dyDescent="0.25">
      <c r="A42" s="7">
        <v>44260.125</v>
      </c>
      <c r="B42" s="1" t="s">
        <v>70</v>
      </c>
      <c r="C42" s="1">
        <v>1353.7</v>
      </c>
      <c r="D42" s="1">
        <v>601.83000000000004</v>
      </c>
      <c r="F42" s="7">
        <v>44260.125</v>
      </c>
      <c r="G42" s="1" t="s">
        <v>70</v>
      </c>
      <c r="H42" s="1">
        <v>1578.15</v>
      </c>
      <c r="I42" s="1">
        <v>554.07000000000005</v>
      </c>
      <c r="J42" s="44"/>
      <c r="K42" s="9">
        <v>44320.666666666664</v>
      </c>
      <c r="L42" s="1">
        <v>14278</v>
      </c>
      <c r="M42" s="1">
        <v>55023.126821912003</v>
      </c>
      <c r="P42" s="7">
        <v>44320.666666666664</v>
      </c>
      <c r="Q42" s="1">
        <v>17551</v>
      </c>
      <c r="R42" s="1">
        <v>66201.957780826997</v>
      </c>
    </row>
    <row r="43" spans="1:18" x14ac:dyDescent="0.25">
      <c r="A43" s="7">
        <v>44260.125</v>
      </c>
      <c r="B43" s="1" t="s">
        <v>69</v>
      </c>
      <c r="C43" s="1">
        <v>1289.72</v>
      </c>
      <c r="D43" s="1">
        <v>1023.65</v>
      </c>
      <c r="F43" s="7">
        <v>44260.125</v>
      </c>
      <c r="G43" s="1" t="s">
        <v>69</v>
      </c>
      <c r="H43" s="1">
        <v>727.43</v>
      </c>
      <c r="I43" s="1">
        <v>584.83000000000004</v>
      </c>
      <c r="J43" s="44"/>
      <c r="K43" s="9">
        <v>44320.708333333336</v>
      </c>
      <c r="L43" s="1">
        <v>13466</v>
      </c>
      <c r="M43" s="1">
        <v>53003.467997341002</v>
      </c>
      <c r="P43" s="7">
        <v>44320.708333333336</v>
      </c>
      <c r="Q43" s="1">
        <v>16620</v>
      </c>
      <c r="R43" s="1">
        <v>63779.785626587996</v>
      </c>
    </row>
    <row r="44" spans="1:18" x14ac:dyDescent="0.25">
      <c r="A44" s="7">
        <v>44260.125</v>
      </c>
      <c r="B44" s="1" t="s">
        <v>78</v>
      </c>
      <c r="C44" s="1">
        <v>671.94</v>
      </c>
      <c r="D44" s="1">
        <v>393.96</v>
      </c>
      <c r="F44" s="7">
        <v>44260.125</v>
      </c>
      <c r="G44" s="1" t="s">
        <v>78</v>
      </c>
      <c r="H44" s="1">
        <v>452.13</v>
      </c>
      <c r="I44" s="1">
        <v>232.98</v>
      </c>
      <c r="J44" s="44"/>
      <c r="K44" s="9">
        <v>44320.75</v>
      </c>
      <c r="L44" s="1">
        <v>12172</v>
      </c>
      <c r="M44" s="1">
        <v>47408.967652772</v>
      </c>
      <c r="P44" s="7">
        <v>44320.75</v>
      </c>
      <c r="Q44" s="1">
        <v>14971</v>
      </c>
      <c r="R44" s="1">
        <v>57189.872607267003</v>
      </c>
    </row>
    <row r="45" spans="1:18" x14ac:dyDescent="0.25">
      <c r="A45" s="7">
        <v>44260.125</v>
      </c>
      <c r="B45" s="1" t="s">
        <v>72</v>
      </c>
      <c r="C45" s="1">
        <v>2428.79</v>
      </c>
      <c r="D45" s="1">
        <v>1297.25</v>
      </c>
      <c r="F45" s="7">
        <v>44260.125</v>
      </c>
      <c r="G45" s="1" t="s">
        <v>72</v>
      </c>
      <c r="H45" s="1">
        <v>1564.13</v>
      </c>
      <c r="I45" s="1">
        <v>790.04</v>
      </c>
      <c r="J45" s="44"/>
      <c r="K45" s="9">
        <v>44320.791666666664</v>
      </c>
      <c r="L45" s="1">
        <v>18014</v>
      </c>
      <c r="M45" s="1">
        <v>69005.875405953004</v>
      </c>
      <c r="P45" s="7">
        <v>44320.791666666664</v>
      </c>
      <c r="Q45" s="1">
        <v>22170</v>
      </c>
      <c r="R45" s="1">
        <v>83330.995996190002</v>
      </c>
    </row>
    <row r="46" spans="1:18" x14ac:dyDescent="0.25">
      <c r="A46" s="7">
        <v>44260.166666666664</v>
      </c>
      <c r="B46" s="1" t="s">
        <v>75</v>
      </c>
      <c r="C46" s="1">
        <v>256.01</v>
      </c>
      <c r="D46" s="1">
        <v>198.72</v>
      </c>
      <c r="F46" s="7">
        <v>44260.166666666664</v>
      </c>
      <c r="G46" s="1" t="s">
        <v>75</v>
      </c>
      <c r="H46" s="1">
        <v>256.97000000000003</v>
      </c>
      <c r="I46" s="1">
        <v>115.56</v>
      </c>
      <c r="J46" s="44"/>
      <c r="K46" s="9">
        <v>44320.833333333336</v>
      </c>
      <c r="L46" s="1">
        <v>18353</v>
      </c>
      <c r="M46" s="1">
        <v>69701.662831548994</v>
      </c>
      <c r="P46" s="7">
        <v>44320.833333333336</v>
      </c>
      <c r="Q46" s="1">
        <v>22508</v>
      </c>
      <c r="R46" s="1">
        <v>83978.385656093</v>
      </c>
    </row>
    <row r="47" spans="1:18" x14ac:dyDescent="0.25">
      <c r="A47" s="7">
        <v>44260.166666666664</v>
      </c>
      <c r="B47" s="1" t="s">
        <v>74</v>
      </c>
      <c r="C47" s="1">
        <v>1144.71</v>
      </c>
      <c r="D47" s="1">
        <v>359.7</v>
      </c>
      <c r="F47" s="7">
        <v>44260.166666666664</v>
      </c>
      <c r="G47" s="1" t="s">
        <v>74</v>
      </c>
      <c r="H47" s="1">
        <v>1337.21</v>
      </c>
      <c r="I47" s="1">
        <v>268.2</v>
      </c>
      <c r="J47" s="44"/>
      <c r="K47" s="9">
        <v>44320.875</v>
      </c>
      <c r="L47" s="1">
        <v>19333</v>
      </c>
      <c r="M47" s="1">
        <v>73743.058682792005</v>
      </c>
      <c r="P47" s="7">
        <v>44320.875</v>
      </c>
      <c r="Q47" s="1">
        <v>23706</v>
      </c>
      <c r="R47" s="1">
        <v>88624.969268749002</v>
      </c>
    </row>
    <row r="48" spans="1:18" x14ac:dyDescent="0.25">
      <c r="A48" s="7">
        <v>44260.166666666664</v>
      </c>
      <c r="B48" s="1" t="s">
        <v>71</v>
      </c>
      <c r="C48" s="1">
        <v>1202.98</v>
      </c>
      <c r="D48" s="1">
        <v>443.67</v>
      </c>
      <c r="F48" s="7">
        <v>44260.166666666664</v>
      </c>
      <c r="G48" s="1" t="s">
        <v>71</v>
      </c>
      <c r="H48" s="1">
        <v>1642.82</v>
      </c>
      <c r="I48" s="1">
        <v>352.99</v>
      </c>
      <c r="J48" s="44"/>
      <c r="K48" s="9">
        <v>44320.916666666664</v>
      </c>
      <c r="L48" s="1">
        <v>20365</v>
      </c>
      <c r="M48" s="1">
        <v>76735.408547243002</v>
      </c>
      <c r="P48" s="7">
        <v>44320.916666666664</v>
      </c>
      <c r="Q48" s="1">
        <v>25017</v>
      </c>
      <c r="R48" s="1">
        <v>92162.054078503003</v>
      </c>
    </row>
    <row r="49" spans="1:18" x14ac:dyDescent="0.25">
      <c r="A49" s="7">
        <v>44260.166666666664</v>
      </c>
      <c r="B49" s="1" t="s">
        <v>77</v>
      </c>
      <c r="C49" s="1">
        <v>2132.87</v>
      </c>
      <c r="D49" s="1">
        <v>839.7</v>
      </c>
      <c r="F49" s="7">
        <v>44260.166666666664</v>
      </c>
      <c r="G49" s="1" t="s">
        <v>77</v>
      </c>
      <c r="H49" s="1">
        <v>1658.91</v>
      </c>
      <c r="I49" s="1">
        <v>450.21</v>
      </c>
      <c r="J49" s="44"/>
      <c r="K49" s="9">
        <v>44320.958333333336</v>
      </c>
      <c r="L49" s="1">
        <v>18559</v>
      </c>
      <c r="M49" s="1">
        <v>69324.842820439997</v>
      </c>
      <c r="P49" s="7">
        <v>44320.958333333336</v>
      </c>
      <c r="Q49" s="1">
        <v>22812</v>
      </c>
      <c r="R49" s="1">
        <v>83098.381273924999</v>
      </c>
    </row>
    <row r="50" spans="1:18" x14ac:dyDescent="0.25">
      <c r="A50" s="7">
        <v>44260.166666666664</v>
      </c>
      <c r="B50" s="1" t="s">
        <v>69</v>
      </c>
      <c r="C50" s="1">
        <v>1049.8399999999999</v>
      </c>
      <c r="D50" s="1">
        <v>972.7</v>
      </c>
      <c r="F50" s="7">
        <v>44260.166666666664</v>
      </c>
      <c r="G50" s="1" t="s">
        <v>69</v>
      </c>
      <c r="H50" s="1">
        <v>672.72</v>
      </c>
      <c r="I50" s="1">
        <v>526.29999999999995</v>
      </c>
      <c r="J50" s="44"/>
      <c r="K50" s="58">
        <v>44321</v>
      </c>
      <c r="L50" s="1">
        <v>13212</v>
      </c>
      <c r="M50" s="1">
        <v>50289.443080404002</v>
      </c>
      <c r="P50" s="7">
        <v>44321</v>
      </c>
      <c r="Q50" s="1">
        <v>16219</v>
      </c>
      <c r="R50" s="1">
        <v>60408.324749473999</v>
      </c>
    </row>
    <row r="51" spans="1:18" x14ac:dyDescent="0.25">
      <c r="A51" s="7">
        <v>44260.166666666664</v>
      </c>
      <c r="B51" s="1" t="s">
        <v>70</v>
      </c>
      <c r="C51" s="1">
        <v>1132.7</v>
      </c>
      <c r="D51" s="1">
        <v>632.13</v>
      </c>
      <c r="F51" s="7">
        <v>44260.166666666664</v>
      </c>
      <c r="G51" s="1" t="s">
        <v>70</v>
      </c>
      <c r="H51" s="1">
        <v>1360.27</v>
      </c>
      <c r="I51" s="1">
        <v>527.83000000000004</v>
      </c>
      <c r="J51" s="44"/>
      <c r="K51" s="9">
        <v>44321.041666666664</v>
      </c>
      <c r="L51" s="1">
        <v>8514</v>
      </c>
      <c r="M51" s="1">
        <v>33759.472561495</v>
      </c>
      <c r="P51" s="7">
        <v>44321.041666666664</v>
      </c>
      <c r="Q51" s="1">
        <v>10459</v>
      </c>
      <c r="R51" s="1">
        <v>40672.788044718996</v>
      </c>
    </row>
    <row r="52" spans="1:18" x14ac:dyDescent="0.25">
      <c r="A52" s="7">
        <v>44260.166666666664</v>
      </c>
      <c r="B52" s="1" t="s">
        <v>78</v>
      </c>
      <c r="C52" s="1">
        <v>520.65</v>
      </c>
      <c r="D52" s="1">
        <v>388.28</v>
      </c>
      <c r="F52" s="7">
        <v>44260.166666666664</v>
      </c>
      <c r="G52" s="1" t="s">
        <v>78</v>
      </c>
      <c r="H52" s="1">
        <v>417.75</v>
      </c>
      <c r="I52" s="1">
        <v>222.27</v>
      </c>
      <c r="J52" s="44"/>
      <c r="K52" s="9">
        <v>44321.083333333336</v>
      </c>
      <c r="L52" s="1">
        <v>5521</v>
      </c>
      <c r="M52" s="1">
        <v>22158.782143009001</v>
      </c>
      <c r="P52" s="7">
        <v>44321.083333333336</v>
      </c>
      <c r="Q52" s="1">
        <v>6770</v>
      </c>
      <c r="R52" s="1">
        <v>26690.120145769</v>
      </c>
    </row>
    <row r="53" spans="1:18" x14ac:dyDescent="0.25">
      <c r="A53" s="7">
        <v>44260.166666666664</v>
      </c>
      <c r="B53" s="1" t="s">
        <v>72</v>
      </c>
      <c r="C53" s="1">
        <v>1919.33</v>
      </c>
      <c r="D53" s="1">
        <v>1185.5</v>
      </c>
      <c r="F53" s="7">
        <v>44260.166666666664</v>
      </c>
      <c r="G53" s="1" t="s">
        <v>72</v>
      </c>
      <c r="H53" s="1">
        <v>1402.16</v>
      </c>
      <c r="I53" s="1">
        <v>730.98</v>
      </c>
      <c r="J53" s="44"/>
      <c r="K53" s="9">
        <v>44321.125</v>
      </c>
      <c r="L53" s="1">
        <v>5315</v>
      </c>
      <c r="M53" s="1">
        <v>19981.931225032</v>
      </c>
      <c r="P53" s="7">
        <v>44321.125</v>
      </c>
      <c r="Q53" s="1">
        <v>6527</v>
      </c>
      <c r="R53" s="1">
        <v>24104.607127935</v>
      </c>
    </row>
    <row r="54" spans="1:18" x14ac:dyDescent="0.25">
      <c r="A54" s="7">
        <v>44260.166666666664</v>
      </c>
      <c r="B54" s="1" t="s">
        <v>76</v>
      </c>
      <c r="C54" s="1">
        <v>1774.39</v>
      </c>
      <c r="D54" s="1">
        <v>579.58000000000004</v>
      </c>
      <c r="F54" s="7">
        <v>44260.166666666664</v>
      </c>
      <c r="G54" s="1" t="s">
        <v>76</v>
      </c>
      <c r="H54" s="1">
        <v>2473.0700000000002</v>
      </c>
      <c r="I54" s="1">
        <v>507.97</v>
      </c>
      <c r="J54" s="44"/>
      <c r="K54" s="9">
        <v>44321.166666666664</v>
      </c>
      <c r="L54" s="1">
        <v>6487</v>
      </c>
      <c r="M54" s="1">
        <v>23540.179242327999</v>
      </c>
      <c r="P54" s="7">
        <v>44321.166666666664</v>
      </c>
      <c r="Q54" s="1">
        <v>8044</v>
      </c>
      <c r="R54" s="1">
        <v>28523.149572475999</v>
      </c>
    </row>
    <row r="55" spans="1:18" x14ac:dyDescent="0.25">
      <c r="A55" s="7">
        <v>44260.166666666664</v>
      </c>
      <c r="B55" s="1" t="s">
        <v>73</v>
      </c>
      <c r="C55" s="1">
        <v>741.5</v>
      </c>
      <c r="D55" s="1">
        <v>146.02000000000001</v>
      </c>
      <c r="F55" s="7">
        <v>44260.166666666664</v>
      </c>
      <c r="G55" s="1" t="s">
        <v>73</v>
      </c>
      <c r="H55" s="1">
        <v>1074.48</v>
      </c>
      <c r="I55" s="1">
        <v>135.47</v>
      </c>
      <c r="J55" s="44"/>
      <c r="K55" s="9">
        <v>44321.208333333336</v>
      </c>
      <c r="L55" s="1">
        <v>3859</v>
      </c>
      <c r="M55" s="1">
        <v>13601.430749923</v>
      </c>
      <c r="P55" s="7">
        <v>44321.208333333336</v>
      </c>
      <c r="Q55" s="1">
        <v>4817</v>
      </c>
      <c r="R55" s="1">
        <v>16402.072544096001</v>
      </c>
    </row>
    <row r="56" spans="1:18" x14ac:dyDescent="0.25">
      <c r="A56" s="7">
        <v>44260.166666666664</v>
      </c>
      <c r="B56" s="1" t="s">
        <v>68</v>
      </c>
      <c r="C56" s="1">
        <v>928.67</v>
      </c>
      <c r="D56" s="1">
        <v>423.03</v>
      </c>
      <c r="F56" s="7">
        <v>44260.166666666664</v>
      </c>
      <c r="G56" s="1" t="s">
        <v>68</v>
      </c>
      <c r="H56" s="1">
        <v>1193.94</v>
      </c>
      <c r="I56" s="1">
        <v>339.41</v>
      </c>
      <c r="J56" s="44"/>
      <c r="K56" s="9">
        <v>44321.25</v>
      </c>
      <c r="L56" s="1">
        <v>4727</v>
      </c>
      <c r="M56" s="1">
        <v>15856.482777589001</v>
      </c>
      <c r="P56" s="7">
        <v>44321.25</v>
      </c>
      <c r="Q56" s="1">
        <v>5860</v>
      </c>
      <c r="R56" s="1">
        <v>19258.691370111999</v>
      </c>
    </row>
    <row r="57" spans="1:18" x14ac:dyDescent="0.25">
      <c r="A57" s="7">
        <v>44260.208333333336</v>
      </c>
      <c r="B57" s="1" t="s">
        <v>75</v>
      </c>
      <c r="C57" s="1">
        <v>94.57</v>
      </c>
      <c r="D57" s="1">
        <v>70.58</v>
      </c>
      <c r="F57" s="7">
        <v>44260.208333333336</v>
      </c>
      <c r="G57" s="1" t="s">
        <v>75</v>
      </c>
      <c r="H57" s="1">
        <v>100.31</v>
      </c>
      <c r="I57" s="1">
        <v>42.2</v>
      </c>
      <c r="J57" s="44"/>
      <c r="K57" s="9">
        <v>44321.291666666664</v>
      </c>
      <c r="L57" s="1">
        <v>7322</v>
      </c>
      <c r="M57" s="1">
        <v>24784.917235585999</v>
      </c>
      <c r="P57" s="7">
        <v>44321.291666666664</v>
      </c>
      <c r="Q57" s="1">
        <v>8944</v>
      </c>
      <c r="R57" s="1">
        <v>30077.997739292001</v>
      </c>
    </row>
    <row r="58" spans="1:18" x14ac:dyDescent="0.25">
      <c r="A58" s="7">
        <v>44260.208333333336</v>
      </c>
      <c r="B58" s="1" t="s">
        <v>74</v>
      </c>
      <c r="C58" s="1">
        <v>601.29999999999995</v>
      </c>
      <c r="D58" s="1">
        <v>130.86000000000001</v>
      </c>
      <c r="F58" s="7">
        <v>44260.208333333336</v>
      </c>
      <c r="G58" s="1" t="s">
        <v>74</v>
      </c>
      <c r="H58" s="1">
        <v>648.83000000000004</v>
      </c>
      <c r="I58" s="1">
        <v>94.49</v>
      </c>
      <c r="J58" s="44"/>
      <c r="K58" s="9">
        <v>44321.333333333336</v>
      </c>
      <c r="L58" s="1">
        <v>10054</v>
      </c>
      <c r="M58" s="1">
        <v>35059.324197392998</v>
      </c>
      <c r="P58" s="7">
        <v>44321.333333333336</v>
      </c>
      <c r="Q58" s="1">
        <v>12272</v>
      </c>
      <c r="R58" s="1">
        <v>42320.372728558003</v>
      </c>
    </row>
    <row r="59" spans="1:18" x14ac:dyDescent="0.25">
      <c r="A59" s="7">
        <v>44260.208333333336</v>
      </c>
      <c r="B59" s="1" t="s">
        <v>72</v>
      </c>
      <c r="C59" s="1">
        <v>708.45</v>
      </c>
      <c r="D59" s="1">
        <v>392.21</v>
      </c>
      <c r="F59" s="7">
        <v>44260.208333333336</v>
      </c>
      <c r="G59" s="1" t="s">
        <v>72</v>
      </c>
      <c r="H59" s="1">
        <v>617.45000000000005</v>
      </c>
      <c r="I59" s="1">
        <v>296.42</v>
      </c>
      <c r="J59" s="44"/>
      <c r="K59" s="9">
        <v>44321.375</v>
      </c>
      <c r="L59" s="1">
        <v>12303</v>
      </c>
      <c r="M59" s="1">
        <v>44240.863049414998</v>
      </c>
      <c r="P59" s="7">
        <v>44321.375</v>
      </c>
      <c r="Q59" s="1">
        <v>15062</v>
      </c>
      <c r="R59" s="1">
        <v>53649.774978661997</v>
      </c>
    </row>
    <row r="60" spans="1:18" x14ac:dyDescent="0.25">
      <c r="A60" s="7">
        <v>44260.208333333336</v>
      </c>
      <c r="B60" s="1" t="s">
        <v>77</v>
      </c>
      <c r="C60" s="1">
        <v>980.24</v>
      </c>
      <c r="D60" s="1">
        <v>310.91000000000003</v>
      </c>
      <c r="F60" s="7">
        <v>44260.208333333336</v>
      </c>
      <c r="G60" s="1" t="s">
        <v>77</v>
      </c>
      <c r="H60" s="1">
        <v>871.34</v>
      </c>
      <c r="I60" s="1">
        <v>228.88</v>
      </c>
      <c r="J60" s="44"/>
      <c r="K60" s="9">
        <v>44321.416666666664</v>
      </c>
      <c r="L60" s="1">
        <v>13651</v>
      </c>
      <c r="M60" s="1">
        <v>50202.466421605001</v>
      </c>
      <c r="P60" s="7">
        <v>44321.416666666664</v>
      </c>
      <c r="Q60" s="1">
        <v>16936</v>
      </c>
      <c r="R60" s="1">
        <v>61286.693974066999</v>
      </c>
    </row>
    <row r="61" spans="1:18" x14ac:dyDescent="0.25">
      <c r="A61" s="7">
        <v>44260.208333333336</v>
      </c>
      <c r="B61" s="1" t="s">
        <v>69</v>
      </c>
      <c r="C61" s="1">
        <v>329.95</v>
      </c>
      <c r="D61" s="1">
        <v>264.02999999999997</v>
      </c>
      <c r="F61" s="7">
        <v>44260.208333333336</v>
      </c>
      <c r="G61" s="1" t="s">
        <v>69</v>
      </c>
      <c r="H61" s="1">
        <v>283.22000000000003</v>
      </c>
      <c r="I61" s="1">
        <v>190.23</v>
      </c>
      <c r="J61" s="44"/>
      <c r="K61" s="9">
        <v>44321.458333333336</v>
      </c>
      <c r="L61" s="1">
        <v>14395</v>
      </c>
      <c r="M61" s="1">
        <v>53637.433616998998</v>
      </c>
      <c r="P61" s="7">
        <v>44321.458333333336</v>
      </c>
      <c r="Q61" s="1">
        <v>17806</v>
      </c>
      <c r="R61" s="1">
        <v>65184.436097628997</v>
      </c>
    </row>
    <row r="62" spans="1:18" x14ac:dyDescent="0.25">
      <c r="A62" s="7">
        <v>44260.208333333336</v>
      </c>
      <c r="B62" s="1" t="s">
        <v>70</v>
      </c>
      <c r="C62" s="1">
        <v>507.59</v>
      </c>
      <c r="D62" s="1">
        <v>221.59</v>
      </c>
      <c r="F62" s="7">
        <v>44260.208333333336</v>
      </c>
      <c r="G62" s="1" t="s">
        <v>70</v>
      </c>
      <c r="H62" s="1">
        <v>550.04999999999995</v>
      </c>
      <c r="I62" s="1">
        <v>191.71</v>
      </c>
      <c r="J62" s="44"/>
      <c r="K62" s="9">
        <v>44321.5</v>
      </c>
      <c r="L62" s="1">
        <v>14635</v>
      </c>
      <c r="M62" s="1">
        <v>55052.132440143003</v>
      </c>
      <c r="P62" s="7">
        <v>44321.5</v>
      </c>
      <c r="Q62" s="1">
        <v>17905</v>
      </c>
      <c r="R62" s="1">
        <v>66586.018865416001</v>
      </c>
    </row>
    <row r="63" spans="1:18" x14ac:dyDescent="0.25">
      <c r="A63" s="7">
        <v>44260.208333333336</v>
      </c>
      <c r="B63" s="1" t="s">
        <v>78</v>
      </c>
      <c r="C63" s="1">
        <v>215.98</v>
      </c>
      <c r="D63" s="1">
        <v>128.21</v>
      </c>
      <c r="F63" s="7">
        <v>44260.208333333336</v>
      </c>
      <c r="G63" s="1" t="s">
        <v>78</v>
      </c>
      <c r="H63" s="1">
        <v>198.55</v>
      </c>
      <c r="I63" s="1">
        <v>100.07</v>
      </c>
      <c r="J63" s="44"/>
      <c r="K63" s="9">
        <v>44321.541666666664</v>
      </c>
      <c r="L63" s="1">
        <v>13642</v>
      </c>
      <c r="M63" s="1">
        <v>51374.756998643003</v>
      </c>
      <c r="P63" s="7">
        <v>44321.541666666664</v>
      </c>
      <c r="Q63" s="1">
        <v>16730</v>
      </c>
      <c r="R63" s="1">
        <v>62320.091233854</v>
      </c>
    </row>
    <row r="64" spans="1:18" x14ac:dyDescent="0.25">
      <c r="A64" s="7">
        <v>44260.208333333336</v>
      </c>
      <c r="B64" s="1" t="s">
        <v>76</v>
      </c>
      <c r="C64" s="1">
        <v>622.39</v>
      </c>
      <c r="D64" s="1">
        <v>174.82</v>
      </c>
      <c r="F64" s="7">
        <v>44260.208333333336</v>
      </c>
      <c r="G64" s="1" t="s">
        <v>76</v>
      </c>
      <c r="H64" s="1">
        <v>724.21</v>
      </c>
      <c r="I64" s="1">
        <v>152.78</v>
      </c>
      <c r="J64" s="44"/>
      <c r="K64" s="9">
        <v>44321.583333333336</v>
      </c>
      <c r="L64" s="1">
        <v>15056</v>
      </c>
      <c r="M64" s="1">
        <v>56445.703304602001</v>
      </c>
      <c r="P64" s="7">
        <v>44321.583333333336</v>
      </c>
      <c r="Q64" s="1">
        <v>18445</v>
      </c>
      <c r="R64" s="1">
        <v>68452.739379014994</v>
      </c>
    </row>
    <row r="65" spans="1:20" x14ac:dyDescent="0.25">
      <c r="A65" s="7">
        <v>44260.208333333336</v>
      </c>
      <c r="B65" s="1" t="s">
        <v>73</v>
      </c>
      <c r="C65" s="1">
        <v>574.47</v>
      </c>
      <c r="D65" s="1">
        <v>67.290000000000006</v>
      </c>
      <c r="F65" s="7">
        <v>44260.208333333336</v>
      </c>
      <c r="G65" s="1" t="s">
        <v>73</v>
      </c>
      <c r="H65" s="1">
        <v>577.05999999999995</v>
      </c>
      <c r="I65" s="1">
        <v>59.83</v>
      </c>
      <c r="J65" s="44"/>
      <c r="K65" s="9">
        <v>44321.625</v>
      </c>
      <c r="L65" s="1">
        <v>15496</v>
      </c>
      <c r="M65" s="1">
        <v>57684.569596196001</v>
      </c>
      <c r="P65" s="7">
        <v>44321.625</v>
      </c>
      <c r="Q65" s="1">
        <v>19059</v>
      </c>
      <c r="R65" s="1">
        <v>70422.770856575997</v>
      </c>
    </row>
    <row r="66" spans="1:20" x14ac:dyDescent="0.25">
      <c r="A66" s="7">
        <v>44260.208333333336</v>
      </c>
      <c r="B66" s="1" t="s">
        <v>68</v>
      </c>
      <c r="C66" s="1">
        <v>784.26</v>
      </c>
      <c r="D66" s="1">
        <v>251.45</v>
      </c>
      <c r="F66" s="7">
        <v>44260.208333333336</v>
      </c>
      <c r="G66" s="1" t="s">
        <v>68</v>
      </c>
      <c r="H66" s="1">
        <v>913.25</v>
      </c>
      <c r="I66" s="1">
        <v>213.78</v>
      </c>
      <c r="J66" s="44"/>
      <c r="K66" s="9">
        <v>44321.666666666664</v>
      </c>
      <c r="L66" s="1">
        <v>14326</v>
      </c>
      <c r="M66" s="1">
        <v>54430.661029624003</v>
      </c>
      <c r="P66" s="7">
        <v>44321.666666666664</v>
      </c>
      <c r="Q66" s="1">
        <v>17554</v>
      </c>
      <c r="R66" s="1">
        <v>65760.435760516993</v>
      </c>
    </row>
    <row r="67" spans="1:20" x14ac:dyDescent="0.25">
      <c r="A67" s="7">
        <v>44260.208333333336</v>
      </c>
      <c r="B67" s="1" t="s">
        <v>71</v>
      </c>
      <c r="C67" s="1">
        <v>971.05</v>
      </c>
      <c r="D67" s="1">
        <v>247.87</v>
      </c>
      <c r="F67" s="7">
        <v>44260.208333333336</v>
      </c>
      <c r="G67" s="1" t="s">
        <v>71</v>
      </c>
      <c r="H67" s="1">
        <v>1097.74</v>
      </c>
      <c r="I67" s="1">
        <v>206.08</v>
      </c>
      <c r="J67" s="44"/>
      <c r="K67" s="9">
        <v>44321.708333333336</v>
      </c>
      <c r="L67" s="1">
        <v>12957</v>
      </c>
      <c r="M67" s="1">
        <v>50532.758380911</v>
      </c>
      <c r="P67" s="7">
        <v>44321.708333333336</v>
      </c>
      <c r="Q67" s="1">
        <v>15938</v>
      </c>
      <c r="R67" s="1">
        <v>61369.628378640002</v>
      </c>
    </row>
    <row r="68" spans="1:20" x14ac:dyDescent="0.25">
      <c r="A68" s="7">
        <v>44260.25</v>
      </c>
      <c r="B68" s="1" t="s">
        <v>75</v>
      </c>
      <c r="C68" s="1">
        <v>127.14</v>
      </c>
      <c r="D68" s="1">
        <v>49.37</v>
      </c>
      <c r="F68" s="7">
        <v>44260.25</v>
      </c>
      <c r="G68" s="1" t="s">
        <v>75</v>
      </c>
      <c r="H68" s="1">
        <v>116.61</v>
      </c>
      <c r="I68" s="1">
        <v>30.83</v>
      </c>
      <c r="J68" s="44"/>
      <c r="K68" s="9">
        <v>44321.75</v>
      </c>
      <c r="L68" s="1">
        <v>11735</v>
      </c>
      <c r="M68" s="1">
        <v>45411.668758653002</v>
      </c>
      <c r="P68" s="7">
        <v>44321.75</v>
      </c>
      <c r="Q68" s="1">
        <v>14502</v>
      </c>
      <c r="R68" s="1">
        <v>55340.576225853001</v>
      </c>
    </row>
    <row r="69" spans="1:20" x14ac:dyDescent="0.25">
      <c r="A69" s="7">
        <v>44260.25</v>
      </c>
      <c r="B69" s="1" t="s">
        <v>74</v>
      </c>
      <c r="C69" s="1">
        <v>1666.71</v>
      </c>
      <c r="D69" s="1">
        <v>282.57</v>
      </c>
      <c r="F69" s="7">
        <v>44260.25</v>
      </c>
      <c r="G69" s="1" t="s">
        <v>74</v>
      </c>
      <c r="H69" s="1">
        <v>1808.18</v>
      </c>
      <c r="I69" s="1">
        <v>222.71</v>
      </c>
      <c r="J69" s="44"/>
      <c r="K69" s="9">
        <v>44321.791666666664</v>
      </c>
      <c r="L69" s="1">
        <v>17711</v>
      </c>
      <c r="M69" s="1">
        <v>67280.042338525993</v>
      </c>
      <c r="P69" s="7">
        <v>44321.791666666664</v>
      </c>
      <c r="Q69" s="1">
        <v>21854</v>
      </c>
      <c r="R69" s="1">
        <v>81952.542698175006</v>
      </c>
    </row>
    <row r="70" spans="1:20" x14ac:dyDescent="0.25">
      <c r="A70" s="7">
        <v>44260.25</v>
      </c>
      <c r="B70" s="1" t="s">
        <v>72</v>
      </c>
      <c r="C70" s="1">
        <v>1409.06</v>
      </c>
      <c r="D70" s="1">
        <v>561.08000000000004</v>
      </c>
      <c r="F70" s="7">
        <v>44260.25</v>
      </c>
      <c r="G70" s="1" t="s">
        <v>72</v>
      </c>
      <c r="H70" s="1">
        <v>1023.46</v>
      </c>
      <c r="I70" s="1">
        <v>404.65</v>
      </c>
      <c r="J70" s="44"/>
      <c r="K70" s="9">
        <v>44321.833333333336</v>
      </c>
      <c r="L70" s="1">
        <v>18082</v>
      </c>
      <c r="M70" s="1">
        <v>68416.00086041</v>
      </c>
      <c r="P70" s="7">
        <v>44321.833333333336</v>
      </c>
      <c r="Q70" s="1">
        <v>22399</v>
      </c>
      <c r="R70" s="1">
        <v>83168.173733336007</v>
      </c>
    </row>
    <row r="71" spans="1:20" x14ac:dyDescent="0.25">
      <c r="A71" s="7">
        <v>44260.25</v>
      </c>
      <c r="B71" s="1" t="s">
        <v>73</v>
      </c>
      <c r="C71" s="1">
        <v>1485.57</v>
      </c>
      <c r="D71" s="1">
        <v>162.22</v>
      </c>
      <c r="F71" s="7">
        <v>44260.25</v>
      </c>
      <c r="G71" s="1" t="s">
        <v>73</v>
      </c>
      <c r="H71" s="1">
        <v>1549.17</v>
      </c>
      <c r="I71" s="1">
        <v>136.44999999999999</v>
      </c>
      <c r="J71" s="44"/>
      <c r="K71" s="9">
        <v>44321.875</v>
      </c>
      <c r="L71" s="1">
        <v>18982</v>
      </c>
      <c r="M71" s="1">
        <v>72545.323333143999</v>
      </c>
      <c r="P71" s="7">
        <v>44321.875</v>
      </c>
      <c r="Q71" s="1">
        <v>23343</v>
      </c>
      <c r="R71" s="1">
        <v>87761.990665827005</v>
      </c>
    </row>
    <row r="72" spans="1:20" x14ac:dyDescent="0.25">
      <c r="A72" s="7">
        <v>44260.25</v>
      </c>
      <c r="B72" s="1" t="s">
        <v>68</v>
      </c>
      <c r="C72" s="1">
        <v>2145.12</v>
      </c>
      <c r="D72" s="1">
        <v>613.21</v>
      </c>
      <c r="F72" s="7">
        <v>44260.25</v>
      </c>
      <c r="G72" s="1" t="s">
        <v>68</v>
      </c>
      <c r="H72" s="1">
        <v>2371.17</v>
      </c>
      <c r="I72" s="1">
        <v>492.72</v>
      </c>
      <c r="J72" s="44"/>
      <c r="K72" s="9">
        <v>44321.916666666664</v>
      </c>
      <c r="L72" s="1">
        <v>20081</v>
      </c>
      <c r="M72" s="1">
        <v>75527.368456747994</v>
      </c>
      <c r="P72" s="7">
        <v>44321.916666666664</v>
      </c>
      <c r="Q72" s="1">
        <v>24688</v>
      </c>
      <c r="R72" s="1">
        <v>91592.762958892999</v>
      </c>
    </row>
    <row r="73" spans="1:20" x14ac:dyDescent="0.25">
      <c r="A73" s="7">
        <v>44260.25</v>
      </c>
      <c r="B73" s="1" t="s">
        <v>77</v>
      </c>
      <c r="C73" s="1">
        <v>2607.83</v>
      </c>
      <c r="D73" s="1">
        <v>797.89</v>
      </c>
      <c r="F73" s="7">
        <v>44260.25</v>
      </c>
      <c r="G73" s="1" t="s">
        <v>77</v>
      </c>
      <c r="H73" s="1">
        <v>2020.98</v>
      </c>
      <c r="I73" s="1">
        <v>476.7</v>
      </c>
      <c r="J73" s="44"/>
      <c r="K73" s="9">
        <v>44321.958333333336</v>
      </c>
      <c r="L73" s="1">
        <v>18434</v>
      </c>
      <c r="M73" s="1">
        <v>68994.290018123997</v>
      </c>
      <c r="P73" s="7">
        <v>44321.958333333336</v>
      </c>
      <c r="Q73" s="1">
        <v>22600</v>
      </c>
      <c r="R73" s="1">
        <v>82759.156612548002</v>
      </c>
    </row>
    <row r="74" spans="1:20" x14ac:dyDescent="0.25">
      <c r="A74" s="7">
        <v>44260.25</v>
      </c>
      <c r="B74" s="1" t="s">
        <v>71</v>
      </c>
      <c r="C74" s="1">
        <v>2719.77</v>
      </c>
      <c r="D74" s="1">
        <v>643.52</v>
      </c>
      <c r="F74" s="7">
        <v>44260.25</v>
      </c>
      <c r="G74" s="1" t="s">
        <v>71</v>
      </c>
      <c r="H74" s="1">
        <v>2932.82</v>
      </c>
      <c r="I74" s="1">
        <v>495.71</v>
      </c>
      <c r="J74" s="44"/>
      <c r="K74" s="58"/>
      <c r="L74" s="1"/>
      <c r="M74" s="1"/>
      <c r="N74" s="8"/>
      <c r="O74" s="8"/>
      <c r="P74" s="7"/>
      <c r="Q74" s="1"/>
      <c r="R74" s="1"/>
      <c r="S74" s="8"/>
      <c r="T74" s="8"/>
    </row>
    <row r="75" spans="1:20" x14ac:dyDescent="0.25">
      <c r="A75" s="7">
        <v>44260.25</v>
      </c>
      <c r="B75" s="1" t="s">
        <v>70</v>
      </c>
      <c r="C75" s="1">
        <v>1047.5</v>
      </c>
      <c r="D75" s="1">
        <v>382.43</v>
      </c>
      <c r="F75" s="7">
        <v>44260.25</v>
      </c>
      <c r="G75" s="1" t="s">
        <v>70</v>
      </c>
      <c r="H75" s="1">
        <v>1024.08</v>
      </c>
      <c r="I75" s="1">
        <v>324.89999999999998</v>
      </c>
      <c r="J75" s="44"/>
      <c r="K75" s="9"/>
      <c r="L75" s="1"/>
      <c r="M75" s="1"/>
      <c r="P75" s="7"/>
      <c r="Q75" s="1"/>
      <c r="R75" s="1"/>
    </row>
    <row r="76" spans="1:20" x14ac:dyDescent="0.25">
      <c r="A76" s="7">
        <v>44260.25</v>
      </c>
      <c r="B76" s="1" t="s">
        <v>69</v>
      </c>
      <c r="C76" s="1">
        <v>683.89</v>
      </c>
      <c r="D76" s="1">
        <v>371.06</v>
      </c>
      <c r="F76" s="7">
        <v>44260.25</v>
      </c>
      <c r="G76" s="1" t="s">
        <v>69</v>
      </c>
      <c r="H76" s="1">
        <v>468.16</v>
      </c>
      <c r="I76" s="1">
        <v>251.42</v>
      </c>
      <c r="J76" s="44"/>
      <c r="K76" s="9"/>
      <c r="L76" s="1"/>
      <c r="M76" s="1"/>
      <c r="P76" s="7"/>
      <c r="Q76" s="1"/>
      <c r="R76" s="1"/>
    </row>
    <row r="77" spans="1:20" x14ac:dyDescent="0.25">
      <c r="A77" s="7">
        <v>44260.25</v>
      </c>
      <c r="B77" s="1" t="s">
        <v>78</v>
      </c>
      <c r="C77" s="1">
        <v>391.53</v>
      </c>
      <c r="D77" s="1">
        <v>184.98</v>
      </c>
      <c r="F77" s="7">
        <v>44260.25</v>
      </c>
      <c r="G77" s="1" t="s">
        <v>78</v>
      </c>
      <c r="H77" s="1">
        <v>272.88</v>
      </c>
      <c r="I77" s="1">
        <v>123.02</v>
      </c>
      <c r="J77" s="44"/>
      <c r="K77" s="9"/>
      <c r="L77" s="1"/>
      <c r="M77" s="1"/>
      <c r="P77" s="7"/>
      <c r="Q77" s="1"/>
      <c r="R77" s="1"/>
    </row>
    <row r="78" spans="1:20" x14ac:dyDescent="0.25">
      <c r="A78" s="7">
        <v>44260.25</v>
      </c>
      <c r="B78" s="1" t="s">
        <v>76</v>
      </c>
      <c r="C78" s="1">
        <v>1804.51</v>
      </c>
      <c r="D78" s="1">
        <v>379.13</v>
      </c>
      <c r="F78" s="7">
        <v>44260.25</v>
      </c>
      <c r="G78" s="1" t="s">
        <v>76</v>
      </c>
      <c r="H78" s="1">
        <v>2064.87</v>
      </c>
      <c r="I78" s="1">
        <v>332.88</v>
      </c>
      <c r="J78" s="44"/>
      <c r="K78" s="9"/>
      <c r="L78" s="1"/>
      <c r="M78" s="1"/>
      <c r="P78" s="7"/>
      <c r="Q78" s="1"/>
      <c r="R78" s="1"/>
    </row>
    <row r="79" spans="1:20" x14ac:dyDescent="0.25">
      <c r="A79" s="7">
        <v>44260.291666666664</v>
      </c>
      <c r="B79" s="1" t="s">
        <v>74</v>
      </c>
      <c r="C79" s="1">
        <v>3239.06</v>
      </c>
      <c r="D79" s="1">
        <v>613.85</v>
      </c>
      <c r="F79" s="7">
        <v>44260.291666666664</v>
      </c>
      <c r="G79" s="1" t="s">
        <v>74</v>
      </c>
      <c r="H79" s="1">
        <v>3423.46</v>
      </c>
      <c r="I79" s="1">
        <v>459.09</v>
      </c>
      <c r="J79" s="44"/>
      <c r="K79" s="9"/>
      <c r="L79" s="1"/>
      <c r="M79" s="1"/>
      <c r="P79" s="7"/>
      <c r="Q79" s="1"/>
      <c r="R79" s="1"/>
    </row>
    <row r="80" spans="1:20" x14ac:dyDescent="0.25">
      <c r="A80" s="7">
        <v>44260.291666666664</v>
      </c>
      <c r="B80" s="1" t="s">
        <v>78</v>
      </c>
      <c r="C80" s="1">
        <v>579.04999999999995</v>
      </c>
      <c r="D80" s="1">
        <v>265.95999999999998</v>
      </c>
      <c r="F80" s="7">
        <v>44260.291666666664</v>
      </c>
      <c r="G80" s="1" t="s">
        <v>78</v>
      </c>
      <c r="H80" s="1">
        <v>399.59</v>
      </c>
      <c r="I80" s="1">
        <v>148.97</v>
      </c>
      <c r="J80" s="44"/>
      <c r="K80" s="9"/>
      <c r="L80" s="1"/>
      <c r="M80" s="1"/>
      <c r="P80" s="7"/>
      <c r="Q80" s="1"/>
      <c r="R80" s="1"/>
    </row>
    <row r="81" spans="1:18" x14ac:dyDescent="0.25">
      <c r="A81" s="7">
        <v>44260.291666666664</v>
      </c>
      <c r="B81" s="1" t="s">
        <v>75</v>
      </c>
      <c r="C81" s="1">
        <v>251.77</v>
      </c>
      <c r="D81" s="1">
        <v>73.260000000000005</v>
      </c>
      <c r="F81" s="7">
        <v>44260.291666666664</v>
      </c>
      <c r="G81" s="1" t="s">
        <v>75</v>
      </c>
      <c r="H81" s="1">
        <v>229.54</v>
      </c>
      <c r="I81" s="1">
        <v>49.47</v>
      </c>
      <c r="J81" s="44"/>
      <c r="K81" s="9"/>
      <c r="L81" s="1"/>
      <c r="M81" s="1"/>
      <c r="P81" s="7"/>
      <c r="Q81" s="1"/>
      <c r="R81" s="1"/>
    </row>
    <row r="82" spans="1:18" x14ac:dyDescent="0.25">
      <c r="A82" s="7">
        <v>44260.291666666664</v>
      </c>
      <c r="B82" s="1" t="s">
        <v>76</v>
      </c>
      <c r="C82" s="1">
        <v>3860.64</v>
      </c>
      <c r="D82" s="1">
        <v>773.74</v>
      </c>
      <c r="F82" s="7">
        <v>44260.291666666664</v>
      </c>
      <c r="G82" s="1" t="s">
        <v>76</v>
      </c>
      <c r="H82" s="1">
        <v>4425.54</v>
      </c>
      <c r="I82" s="1">
        <v>714.6</v>
      </c>
      <c r="J82" s="44"/>
      <c r="K82" s="9"/>
      <c r="L82" s="1"/>
      <c r="M82" s="1"/>
      <c r="P82" s="7"/>
      <c r="Q82" s="1"/>
      <c r="R82" s="1"/>
    </row>
    <row r="83" spans="1:18" x14ac:dyDescent="0.25">
      <c r="A83" s="7">
        <v>44260.291666666664</v>
      </c>
      <c r="B83" s="1" t="s">
        <v>73</v>
      </c>
      <c r="C83" s="1">
        <v>2954.35</v>
      </c>
      <c r="D83" s="1">
        <v>377.3</v>
      </c>
      <c r="F83" s="7">
        <v>44260.291666666664</v>
      </c>
      <c r="G83" s="1" t="s">
        <v>73</v>
      </c>
      <c r="H83" s="1">
        <v>3216.14</v>
      </c>
      <c r="I83" s="1">
        <v>325.77999999999997</v>
      </c>
      <c r="J83" s="44"/>
      <c r="K83" s="9"/>
      <c r="L83" s="1"/>
      <c r="M83" s="1"/>
      <c r="P83" s="7"/>
      <c r="Q83" s="1"/>
      <c r="R83" s="1"/>
    </row>
    <row r="84" spans="1:18" x14ac:dyDescent="0.25">
      <c r="A84" s="7">
        <v>44260.291666666664</v>
      </c>
      <c r="B84" s="1" t="s">
        <v>68</v>
      </c>
      <c r="C84" s="1">
        <v>3847.48</v>
      </c>
      <c r="D84" s="1">
        <v>1282.22</v>
      </c>
      <c r="F84" s="7">
        <v>44260.291666666664</v>
      </c>
      <c r="G84" s="1" t="s">
        <v>68</v>
      </c>
      <c r="H84" s="1">
        <v>4306.18</v>
      </c>
      <c r="I84" s="1">
        <v>985.69</v>
      </c>
      <c r="J84" s="44"/>
      <c r="K84" s="9"/>
      <c r="L84" s="1"/>
      <c r="M84" s="1"/>
      <c r="P84" s="7"/>
      <c r="Q84" s="1"/>
      <c r="R84" s="1"/>
    </row>
    <row r="85" spans="1:18" x14ac:dyDescent="0.25">
      <c r="A85" s="7">
        <v>44260.291666666664</v>
      </c>
      <c r="B85" s="1" t="s">
        <v>71</v>
      </c>
      <c r="C85" s="1">
        <v>4657.05</v>
      </c>
      <c r="D85" s="1">
        <v>1338.09</v>
      </c>
      <c r="F85" s="7">
        <v>44260.291666666664</v>
      </c>
      <c r="G85" s="1" t="s">
        <v>71</v>
      </c>
      <c r="H85" s="1">
        <v>5190.51</v>
      </c>
      <c r="I85" s="1">
        <v>1038.23</v>
      </c>
      <c r="J85" s="44"/>
      <c r="K85" s="9"/>
      <c r="L85" s="1"/>
      <c r="M85" s="1"/>
      <c r="P85" s="7"/>
      <c r="Q85" s="1"/>
      <c r="R85" s="1"/>
    </row>
    <row r="86" spans="1:18" x14ac:dyDescent="0.25">
      <c r="A86" s="7">
        <v>44260.291666666664</v>
      </c>
      <c r="B86" s="1" t="s">
        <v>70</v>
      </c>
      <c r="C86" s="1">
        <v>2158.2399999999998</v>
      </c>
      <c r="D86" s="1">
        <v>796.22</v>
      </c>
      <c r="F86" s="7">
        <v>44260.291666666664</v>
      </c>
      <c r="G86" s="1" t="s">
        <v>70</v>
      </c>
      <c r="H86" s="1">
        <v>2090.0700000000002</v>
      </c>
      <c r="I86" s="1">
        <v>672.58</v>
      </c>
      <c r="J86" s="44"/>
      <c r="K86" s="9"/>
      <c r="L86" s="1"/>
      <c r="M86" s="1"/>
      <c r="P86" s="7"/>
      <c r="Q86" s="1"/>
      <c r="R86" s="1"/>
    </row>
    <row r="87" spans="1:18" x14ac:dyDescent="0.25">
      <c r="A87" s="7">
        <v>44260.291666666664</v>
      </c>
      <c r="B87" s="1" t="s">
        <v>72</v>
      </c>
      <c r="C87" s="1">
        <v>2962.2</v>
      </c>
      <c r="D87" s="1">
        <v>1227.27</v>
      </c>
      <c r="F87" s="7">
        <v>44260.291666666664</v>
      </c>
      <c r="G87" s="1" t="s">
        <v>72</v>
      </c>
      <c r="H87" s="1">
        <v>2110.87</v>
      </c>
      <c r="I87" s="1">
        <v>838.11</v>
      </c>
      <c r="J87" s="44"/>
      <c r="K87" s="9"/>
      <c r="L87" s="1"/>
      <c r="M87" s="1"/>
      <c r="P87" s="7"/>
      <c r="Q87" s="1"/>
      <c r="R87" s="1"/>
    </row>
    <row r="88" spans="1:18" x14ac:dyDescent="0.25">
      <c r="A88" s="7">
        <v>44260.291666666664</v>
      </c>
      <c r="B88" s="1" t="s">
        <v>77</v>
      </c>
      <c r="C88" s="1">
        <v>4173.8900000000003</v>
      </c>
      <c r="D88" s="1">
        <v>1164.8</v>
      </c>
      <c r="F88" s="7">
        <v>44260.291666666664</v>
      </c>
      <c r="G88" s="1" t="s">
        <v>77</v>
      </c>
      <c r="H88" s="1">
        <v>3234.67</v>
      </c>
      <c r="I88" s="1">
        <v>745.46</v>
      </c>
      <c r="J88" s="44"/>
      <c r="K88" s="9"/>
      <c r="L88" s="1"/>
      <c r="M88" s="1"/>
      <c r="P88" s="7"/>
      <c r="Q88" s="1"/>
      <c r="R88" s="1"/>
    </row>
    <row r="89" spans="1:18" x14ac:dyDescent="0.25">
      <c r="A89" s="7">
        <v>44260.291666666664</v>
      </c>
      <c r="B89" s="1" t="s">
        <v>69</v>
      </c>
      <c r="C89" s="1">
        <v>1382.28</v>
      </c>
      <c r="D89" s="1">
        <v>762.55</v>
      </c>
      <c r="F89" s="7">
        <v>44260.291666666664</v>
      </c>
      <c r="G89" s="1" t="s">
        <v>69</v>
      </c>
      <c r="H89" s="1">
        <v>836.57</v>
      </c>
      <c r="I89" s="1">
        <v>475.15</v>
      </c>
      <c r="J89" s="44"/>
      <c r="K89" s="9"/>
      <c r="L89" s="1"/>
      <c r="M89" s="1"/>
      <c r="P89" s="7"/>
      <c r="Q89" s="1"/>
      <c r="R89" s="1"/>
    </row>
    <row r="90" spans="1:18" x14ac:dyDescent="0.25">
      <c r="A90" s="7">
        <v>44260.333333333336</v>
      </c>
      <c r="B90" s="1" t="s">
        <v>75</v>
      </c>
      <c r="C90" s="1">
        <v>463.57</v>
      </c>
      <c r="D90" s="1">
        <v>160</v>
      </c>
      <c r="F90" s="7">
        <v>44260.333333333336</v>
      </c>
      <c r="G90" s="1" t="s">
        <v>75</v>
      </c>
      <c r="H90" s="1">
        <v>425.23</v>
      </c>
      <c r="I90" s="1">
        <v>98.99</v>
      </c>
      <c r="J90" s="44"/>
      <c r="K90" s="9"/>
      <c r="L90" s="1"/>
      <c r="M90" s="1"/>
      <c r="P90" s="7"/>
      <c r="Q90" s="1"/>
      <c r="R90" s="1"/>
    </row>
    <row r="91" spans="1:18" x14ac:dyDescent="0.25">
      <c r="A91" s="7">
        <v>44260.333333333336</v>
      </c>
      <c r="B91" s="1" t="s">
        <v>74</v>
      </c>
      <c r="C91" s="1">
        <v>4866.78</v>
      </c>
      <c r="D91" s="1">
        <v>1088.43</v>
      </c>
      <c r="F91" s="7">
        <v>44260.333333333336</v>
      </c>
      <c r="G91" s="1" t="s">
        <v>74</v>
      </c>
      <c r="H91" s="1">
        <v>5117.2700000000004</v>
      </c>
      <c r="I91" s="1">
        <v>824.29</v>
      </c>
      <c r="J91" s="44"/>
      <c r="K91" s="9"/>
      <c r="L91" s="1"/>
      <c r="M91" s="1"/>
      <c r="P91" s="7"/>
      <c r="Q91" s="1"/>
      <c r="R91" s="1"/>
    </row>
    <row r="92" spans="1:18" x14ac:dyDescent="0.25">
      <c r="A92" s="7">
        <v>44260.333333333336</v>
      </c>
      <c r="B92" s="1" t="s">
        <v>78</v>
      </c>
      <c r="C92" s="1">
        <v>981.79</v>
      </c>
      <c r="D92" s="1">
        <v>495.86</v>
      </c>
      <c r="F92" s="7">
        <v>44260.333333333336</v>
      </c>
      <c r="G92" s="1" t="s">
        <v>78</v>
      </c>
      <c r="H92" s="1">
        <v>679.15</v>
      </c>
      <c r="I92" s="1">
        <v>279.29000000000002</v>
      </c>
      <c r="J92" s="44"/>
      <c r="K92" s="9"/>
      <c r="L92" s="1"/>
      <c r="M92" s="1"/>
      <c r="P92" s="7"/>
      <c r="Q92" s="1"/>
      <c r="R92" s="1"/>
    </row>
    <row r="93" spans="1:18" x14ac:dyDescent="0.25">
      <c r="A93" s="7">
        <v>44260.333333333336</v>
      </c>
      <c r="B93" s="1" t="s">
        <v>76</v>
      </c>
      <c r="C93" s="1">
        <v>6120.69</v>
      </c>
      <c r="D93" s="1">
        <v>1395.25</v>
      </c>
      <c r="F93" s="7">
        <v>44260.333333333336</v>
      </c>
      <c r="G93" s="1" t="s">
        <v>76</v>
      </c>
      <c r="H93" s="1">
        <v>7116.05</v>
      </c>
      <c r="I93" s="1">
        <v>1266.6400000000001</v>
      </c>
      <c r="J93" s="44"/>
      <c r="K93" s="9"/>
      <c r="L93" s="1"/>
      <c r="M93" s="1"/>
      <c r="P93" s="7"/>
      <c r="Q93" s="1"/>
      <c r="R93" s="1"/>
    </row>
    <row r="94" spans="1:18" x14ac:dyDescent="0.25">
      <c r="A94" s="7">
        <v>44260.333333333336</v>
      </c>
      <c r="B94" s="1" t="s">
        <v>68</v>
      </c>
      <c r="C94" s="1">
        <v>5606.93</v>
      </c>
      <c r="D94" s="1">
        <v>2121.3200000000002</v>
      </c>
      <c r="F94" s="7">
        <v>44260.333333333336</v>
      </c>
      <c r="G94" s="1" t="s">
        <v>68</v>
      </c>
      <c r="H94" s="1">
        <v>6408.35</v>
      </c>
      <c r="I94" s="1">
        <v>1683.35</v>
      </c>
      <c r="J94" s="44"/>
      <c r="K94" s="9"/>
      <c r="L94" s="1"/>
      <c r="M94" s="1"/>
      <c r="P94" s="7"/>
      <c r="Q94" s="1"/>
      <c r="R94" s="1"/>
    </row>
    <row r="95" spans="1:18" x14ac:dyDescent="0.25">
      <c r="A95" s="7">
        <v>44260.333333333336</v>
      </c>
      <c r="B95" s="1" t="s">
        <v>71</v>
      </c>
      <c r="C95" s="1">
        <v>6503.21</v>
      </c>
      <c r="D95" s="1">
        <v>2178.8200000000002</v>
      </c>
      <c r="F95" s="7">
        <v>44260.333333333336</v>
      </c>
      <c r="G95" s="1" t="s">
        <v>71</v>
      </c>
      <c r="H95" s="1">
        <v>7445.94</v>
      </c>
      <c r="I95" s="1">
        <v>1731.28</v>
      </c>
      <c r="J95" s="44"/>
      <c r="K95" s="9"/>
      <c r="L95" s="1"/>
      <c r="M95" s="1"/>
      <c r="P95" s="7"/>
      <c r="Q95" s="1"/>
      <c r="R95" s="1"/>
    </row>
    <row r="96" spans="1:18" x14ac:dyDescent="0.25">
      <c r="A96" s="7">
        <v>44260.333333333336</v>
      </c>
      <c r="B96" s="1" t="s">
        <v>72</v>
      </c>
      <c r="C96" s="1">
        <v>5228.3900000000003</v>
      </c>
      <c r="D96" s="1">
        <v>2505.96</v>
      </c>
      <c r="F96" s="7">
        <v>44260.333333333336</v>
      </c>
      <c r="G96" s="1" t="s">
        <v>72</v>
      </c>
      <c r="H96" s="1">
        <v>3927.74</v>
      </c>
      <c r="I96" s="1">
        <v>1727.53</v>
      </c>
      <c r="J96" s="44"/>
      <c r="K96" s="9"/>
      <c r="L96" s="1"/>
      <c r="M96" s="1"/>
      <c r="P96" s="7"/>
      <c r="Q96" s="1"/>
      <c r="R96" s="1"/>
    </row>
    <row r="97" spans="1:18" x14ac:dyDescent="0.25">
      <c r="A97" s="7">
        <v>44260.333333333336</v>
      </c>
      <c r="B97" s="1" t="s">
        <v>73</v>
      </c>
      <c r="C97" s="1">
        <v>4481.42</v>
      </c>
      <c r="D97" s="1">
        <v>661.71</v>
      </c>
      <c r="F97" s="7">
        <v>44260.333333333336</v>
      </c>
      <c r="G97" s="1" t="s">
        <v>73</v>
      </c>
      <c r="H97" s="1">
        <v>5019.12</v>
      </c>
      <c r="I97" s="1">
        <v>584.25</v>
      </c>
      <c r="J97" s="44"/>
      <c r="K97" s="9"/>
      <c r="L97" s="1"/>
      <c r="M97" s="1"/>
      <c r="P97" s="7"/>
      <c r="Q97" s="1"/>
      <c r="R97" s="1"/>
    </row>
    <row r="98" spans="1:18" x14ac:dyDescent="0.25">
      <c r="A98" s="7">
        <v>44260.333333333336</v>
      </c>
      <c r="B98" s="1" t="s">
        <v>77</v>
      </c>
      <c r="C98" s="1">
        <v>6570.58</v>
      </c>
      <c r="D98" s="1">
        <v>2007.12</v>
      </c>
      <c r="F98" s="7">
        <v>44260.333333333336</v>
      </c>
      <c r="G98" s="1" t="s">
        <v>77</v>
      </c>
      <c r="H98" s="1">
        <v>5120.17</v>
      </c>
      <c r="I98" s="1">
        <v>1280.01</v>
      </c>
      <c r="J98" s="44"/>
      <c r="K98" s="58"/>
      <c r="L98" s="1"/>
      <c r="M98" s="1"/>
      <c r="P98" s="7"/>
      <c r="Q98" s="1"/>
      <c r="R98" s="1"/>
    </row>
    <row r="99" spans="1:18" x14ac:dyDescent="0.25">
      <c r="A99" s="7">
        <v>44260.333333333336</v>
      </c>
      <c r="B99" s="1" t="s">
        <v>69</v>
      </c>
      <c r="C99" s="1">
        <v>2478.42</v>
      </c>
      <c r="D99" s="1">
        <v>1674.62</v>
      </c>
      <c r="F99" s="7">
        <v>44260.333333333336</v>
      </c>
      <c r="G99" s="1" t="s">
        <v>69</v>
      </c>
      <c r="H99" s="1">
        <v>1543.82</v>
      </c>
      <c r="I99" s="1">
        <v>1018.34</v>
      </c>
      <c r="J99" s="44"/>
      <c r="K99" s="9"/>
      <c r="L99" s="1"/>
      <c r="M99" s="1"/>
      <c r="P99" s="7"/>
      <c r="Q99" s="1"/>
      <c r="R99" s="1"/>
    </row>
    <row r="100" spans="1:18" x14ac:dyDescent="0.25">
      <c r="A100" s="7">
        <v>44260.333333333336</v>
      </c>
      <c r="B100" s="1" t="s">
        <v>70</v>
      </c>
      <c r="C100" s="1">
        <v>3607.5</v>
      </c>
      <c r="D100" s="1">
        <v>1538.78</v>
      </c>
      <c r="F100" s="7">
        <v>44260.333333333336</v>
      </c>
      <c r="G100" s="1" t="s">
        <v>70</v>
      </c>
      <c r="H100" s="1">
        <v>3529.09</v>
      </c>
      <c r="I100" s="1">
        <v>1295.24</v>
      </c>
      <c r="J100" s="44"/>
      <c r="K100" s="9"/>
      <c r="L100" s="1"/>
      <c r="M100" s="1"/>
      <c r="P100" s="7"/>
      <c r="Q100" s="1"/>
      <c r="R100" s="1"/>
    </row>
    <row r="101" spans="1:18" x14ac:dyDescent="0.25">
      <c r="A101" s="7">
        <v>44260.375</v>
      </c>
      <c r="B101" s="1" t="s">
        <v>75</v>
      </c>
      <c r="C101" s="1">
        <v>713.22</v>
      </c>
      <c r="D101" s="1">
        <v>298.81</v>
      </c>
      <c r="F101" s="7">
        <v>44260.375</v>
      </c>
      <c r="G101" s="1" t="s">
        <v>75</v>
      </c>
      <c r="H101" s="1">
        <v>664.45</v>
      </c>
      <c r="I101" s="1">
        <v>185.15</v>
      </c>
      <c r="J101" s="44"/>
      <c r="K101" s="9"/>
      <c r="L101" s="1"/>
      <c r="M101" s="1"/>
      <c r="P101" s="7"/>
      <c r="Q101" s="1"/>
      <c r="R101" s="1"/>
    </row>
    <row r="102" spans="1:18" x14ac:dyDescent="0.25">
      <c r="A102" s="7">
        <v>44260.375</v>
      </c>
      <c r="B102" s="1" t="s">
        <v>74</v>
      </c>
      <c r="C102" s="1">
        <v>6186.77</v>
      </c>
      <c r="D102" s="1">
        <v>1596.71</v>
      </c>
      <c r="F102" s="7">
        <v>44260.375</v>
      </c>
      <c r="G102" s="1" t="s">
        <v>74</v>
      </c>
      <c r="H102" s="1">
        <v>6684.67</v>
      </c>
      <c r="I102" s="1">
        <v>1245.8900000000001</v>
      </c>
      <c r="J102" s="44"/>
      <c r="K102" s="9"/>
      <c r="L102" s="1"/>
      <c r="M102" s="1"/>
      <c r="P102" s="7"/>
      <c r="Q102" s="1"/>
      <c r="R102" s="1"/>
    </row>
    <row r="103" spans="1:18" x14ac:dyDescent="0.25">
      <c r="A103" s="7">
        <v>44260.375</v>
      </c>
      <c r="B103" s="1" t="s">
        <v>76</v>
      </c>
      <c r="C103" s="1">
        <v>8226.2099999999991</v>
      </c>
      <c r="D103" s="1">
        <v>2149.2199999999998</v>
      </c>
      <c r="F103" s="7">
        <v>44260.375</v>
      </c>
      <c r="G103" s="1" t="s">
        <v>76</v>
      </c>
      <c r="H103" s="1">
        <v>9791.9500000000007</v>
      </c>
      <c r="I103" s="1">
        <v>1977.66</v>
      </c>
      <c r="J103" s="44"/>
      <c r="K103" s="9"/>
      <c r="L103" s="1"/>
      <c r="M103" s="1"/>
      <c r="P103" s="7"/>
      <c r="Q103" s="1"/>
      <c r="R103" s="1"/>
    </row>
    <row r="104" spans="1:18" x14ac:dyDescent="0.25">
      <c r="A104" s="7">
        <v>44260.375</v>
      </c>
      <c r="B104" s="1" t="s">
        <v>72</v>
      </c>
      <c r="C104" s="1">
        <v>8119.75</v>
      </c>
      <c r="D104" s="1">
        <v>4628.51</v>
      </c>
      <c r="F104" s="7">
        <v>44260.375</v>
      </c>
      <c r="G104" s="1" t="s">
        <v>72</v>
      </c>
      <c r="H104" s="1">
        <v>6433.39</v>
      </c>
      <c r="I104" s="1">
        <v>3432.88</v>
      </c>
      <c r="J104" s="44"/>
      <c r="K104" s="9"/>
      <c r="L104" s="1"/>
      <c r="M104" s="1"/>
      <c r="P104" s="7"/>
      <c r="Q104" s="1"/>
      <c r="R104" s="1"/>
    </row>
    <row r="105" spans="1:18" x14ac:dyDescent="0.25">
      <c r="A105" s="7">
        <v>44260.375</v>
      </c>
      <c r="B105" s="1" t="s">
        <v>68</v>
      </c>
      <c r="C105" s="1">
        <v>7112.37</v>
      </c>
      <c r="D105" s="1">
        <v>3041.5</v>
      </c>
      <c r="F105" s="7">
        <v>44260.375</v>
      </c>
      <c r="G105" s="1" t="s">
        <v>68</v>
      </c>
      <c r="H105" s="1">
        <v>8303.85</v>
      </c>
      <c r="I105" s="1">
        <v>2480.7199999999998</v>
      </c>
      <c r="J105" s="44"/>
      <c r="K105" s="9"/>
      <c r="L105" s="1"/>
      <c r="M105" s="1"/>
      <c r="P105" s="7"/>
      <c r="Q105" s="1"/>
      <c r="R105" s="1"/>
    </row>
    <row r="106" spans="1:18" x14ac:dyDescent="0.25">
      <c r="A106" s="7">
        <v>44260.375</v>
      </c>
      <c r="B106" s="1" t="s">
        <v>77</v>
      </c>
      <c r="C106" s="1">
        <v>9129.39</v>
      </c>
      <c r="D106" s="1">
        <v>3038.72</v>
      </c>
      <c r="F106" s="7">
        <v>44260.375</v>
      </c>
      <c r="G106" s="1" t="s">
        <v>77</v>
      </c>
      <c r="H106" s="1">
        <v>7464.8</v>
      </c>
      <c r="I106" s="1">
        <v>2101.9499999999998</v>
      </c>
      <c r="J106" s="44"/>
      <c r="K106" s="9"/>
      <c r="L106" s="1"/>
      <c r="M106" s="1"/>
      <c r="P106" s="7"/>
      <c r="Q106" s="1"/>
      <c r="R106" s="1"/>
    </row>
    <row r="107" spans="1:18" x14ac:dyDescent="0.25">
      <c r="A107" s="7">
        <v>44260.375</v>
      </c>
      <c r="B107" s="1" t="s">
        <v>70</v>
      </c>
      <c r="C107" s="1">
        <v>5226.7</v>
      </c>
      <c r="D107" s="1">
        <v>2501.09</v>
      </c>
      <c r="F107" s="7">
        <v>44260.375</v>
      </c>
      <c r="G107" s="1" t="s">
        <v>70</v>
      </c>
      <c r="H107" s="1">
        <v>5291.44</v>
      </c>
      <c r="I107" s="1">
        <v>2119.59</v>
      </c>
      <c r="J107" s="44"/>
      <c r="K107" s="9"/>
      <c r="L107" s="1"/>
      <c r="M107" s="1"/>
      <c r="P107" s="7"/>
      <c r="Q107" s="1"/>
      <c r="R107" s="1"/>
    </row>
    <row r="108" spans="1:18" x14ac:dyDescent="0.25">
      <c r="A108" s="7">
        <v>44260.375</v>
      </c>
      <c r="B108" s="1" t="s">
        <v>69</v>
      </c>
      <c r="C108" s="1">
        <v>3957.88</v>
      </c>
      <c r="D108" s="1">
        <v>3309.34</v>
      </c>
      <c r="F108" s="7">
        <v>44260.375</v>
      </c>
      <c r="G108" s="1" t="s">
        <v>69</v>
      </c>
      <c r="H108" s="1">
        <v>2740.94</v>
      </c>
      <c r="I108" s="1">
        <v>2229.75</v>
      </c>
      <c r="J108" s="44"/>
      <c r="K108" s="9"/>
      <c r="L108" s="1"/>
      <c r="M108" s="1"/>
      <c r="P108" s="7"/>
      <c r="Q108" s="1"/>
      <c r="R108" s="1"/>
    </row>
    <row r="109" spans="1:18" x14ac:dyDescent="0.25">
      <c r="A109" s="7">
        <v>44260.375</v>
      </c>
      <c r="B109" s="1" t="s">
        <v>78</v>
      </c>
      <c r="C109" s="1">
        <v>1560.26</v>
      </c>
      <c r="D109" s="1">
        <v>933.05</v>
      </c>
      <c r="F109" s="7">
        <v>44260.375</v>
      </c>
      <c r="G109" s="1" t="s">
        <v>78</v>
      </c>
      <c r="H109" s="1">
        <v>1174.1600000000001</v>
      </c>
      <c r="I109" s="1">
        <v>574.57000000000005</v>
      </c>
      <c r="J109" s="44"/>
      <c r="K109" s="9"/>
      <c r="L109" s="1"/>
      <c r="M109" s="1"/>
      <c r="P109" s="7"/>
      <c r="Q109" s="1"/>
      <c r="R109" s="1"/>
    </row>
    <row r="110" spans="1:18" x14ac:dyDescent="0.25">
      <c r="A110" s="7">
        <v>44260.375</v>
      </c>
      <c r="B110" s="1" t="s">
        <v>73</v>
      </c>
      <c r="C110" s="1">
        <v>5738.37</v>
      </c>
      <c r="D110" s="1">
        <v>1003.88</v>
      </c>
      <c r="F110" s="7">
        <v>44260.375</v>
      </c>
      <c r="G110" s="1" t="s">
        <v>73</v>
      </c>
      <c r="H110" s="1">
        <v>6629.99</v>
      </c>
      <c r="I110" s="1">
        <v>881.35</v>
      </c>
      <c r="J110" s="44"/>
      <c r="K110" s="9"/>
      <c r="L110" s="1"/>
      <c r="M110" s="1"/>
      <c r="P110" s="7"/>
      <c r="Q110" s="1"/>
      <c r="R110" s="1"/>
    </row>
    <row r="111" spans="1:18" x14ac:dyDescent="0.25">
      <c r="A111" s="7">
        <v>44260.375</v>
      </c>
      <c r="B111" s="1" t="s">
        <v>71</v>
      </c>
      <c r="C111" s="1">
        <v>7911.34</v>
      </c>
      <c r="D111" s="1">
        <v>2988.63</v>
      </c>
      <c r="F111" s="7">
        <v>44260.375</v>
      </c>
      <c r="G111" s="1" t="s">
        <v>71</v>
      </c>
      <c r="H111" s="1">
        <v>9234.7999999999993</v>
      </c>
      <c r="I111" s="1">
        <v>2421.06</v>
      </c>
      <c r="J111" s="44"/>
      <c r="K111" s="9"/>
      <c r="L111" s="1"/>
      <c r="M111" s="1"/>
      <c r="P111" s="7"/>
      <c r="Q111" s="1"/>
      <c r="R111" s="1"/>
    </row>
    <row r="112" spans="1:18" x14ac:dyDescent="0.25">
      <c r="A112" s="7">
        <v>44260.416666666664</v>
      </c>
      <c r="B112" s="1" t="s">
        <v>74</v>
      </c>
      <c r="C112" s="1">
        <v>6998.66</v>
      </c>
      <c r="D112" s="1">
        <v>2039.16</v>
      </c>
      <c r="F112" s="7">
        <v>44260.416666666664</v>
      </c>
      <c r="G112" s="1" t="s">
        <v>74</v>
      </c>
      <c r="H112" s="1">
        <v>7751.31</v>
      </c>
      <c r="I112" s="1">
        <v>1657.33</v>
      </c>
      <c r="J112" s="44"/>
      <c r="K112" s="9"/>
      <c r="L112" s="1"/>
      <c r="M112" s="1"/>
      <c r="P112" s="7"/>
      <c r="Q112" s="1"/>
      <c r="R112" s="1"/>
    </row>
    <row r="113" spans="1:18" x14ac:dyDescent="0.25">
      <c r="A113" s="7">
        <v>44260.416666666664</v>
      </c>
      <c r="B113" s="1" t="s">
        <v>75</v>
      </c>
      <c r="C113" s="1">
        <v>933.49</v>
      </c>
      <c r="D113" s="1">
        <v>490.39</v>
      </c>
      <c r="F113" s="7">
        <v>44260.416666666664</v>
      </c>
      <c r="G113" s="1" t="s">
        <v>75</v>
      </c>
      <c r="H113" s="1">
        <v>889.31</v>
      </c>
      <c r="I113" s="1">
        <v>318.02999999999997</v>
      </c>
      <c r="J113" s="44"/>
      <c r="K113" s="9"/>
      <c r="L113" s="1"/>
      <c r="M113" s="1"/>
      <c r="P113" s="7"/>
      <c r="Q113" s="1"/>
      <c r="R113" s="1"/>
    </row>
    <row r="114" spans="1:18" x14ac:dyDescent="0.25">
      <c r="A114" s="7">
        <v>44260.416666666664</v>
      </c>
      <c r="B114" s="1" t="s">
        <v>72</v>
      </c>
      <c r="C114" s="1">
        <v>10901.3</v>
      </c>
      <c r="D114" s="1">
        <v>7122.22</v>
      </c>
      <c r="F114" s="7">
        <v>44260.416666666664</v>
      </c>
      <c r="G114" s="1" t="s">
        <v>72</v>
      </c>
      <c r="H114" s="1">
        <v>9045.16</v>
      </c>
      <c r="I114" s="1">
        <v>5647.8</v>
      </c>
      <c r="J114" s="44"/>
      <c r="K114" s="9"/>
      <c r="L114" s="1"/>
      <c r="M114" s="1"/>
      <c r="P114" s="7"/>
      <c r="Q114" s="1"/>
      <c r="R114" s="1"/>
    </row>
    <row r="115" spans="1:18" x14ac:dyDescent="0.25">
      <c r="A115" s="7">
        <v>44260.416666666664</v>
      </c>
      <c r="B115" s="1" t="s">
        <v>71</v>
      </c>
      <c r="C115" s="1">
        <v>8583.58</v>
      </c>
      <c r="D115" s="1">
        <v>3495.76</v>
      </c>
      <c r="F115" s="7">
        <v>44260.416666666664</v>
      </c>
      <c r="G115" s="1" t="s">
        <v>71</v>
      </c>
      <c r="H115" s="1">
        <v>10332.9</v>
      </c>
      <c r="I115" s="1">
        <v>2917.37</v>
      </c>
      <c r="J115" s="44"/>
      <c r="K115" s="9"/>
      <c r="L115" s="1"/>
      <c r="M115" s="1"/>
      <c r="P115" s="7"/>
      <c r="Q115" s="1"/>
      <c r="R115" s="1"/>
    </row>
    <row r="116" spans="1:18" x14ac:dyDescent="0.25">
      <c r="A116" s="7">
        <v>44260.416666666664</v>
      </c>
      <c r="B116" s="1" t="s">
        <v>77</v>
      </c>
      <c r="C116" s="1">
        <v>10902.77</v>
      </c>
      <c r="D116" s="1">
        <v>3836.63</v>
      </c>
      <c r="F116" s="7">
        <v>44260.416666666664</v>
      </c>
      <c r="G116" s="1" t="s">
        <v>77</v>
      </c>
      <c r="H116" s="1">
        <v>9172.6</v>
      </c>
      <c r="I116" s="1">
        <v>2806.79</v>
      </c>
      <c r="J116" s="44"/>
      <c r="K116" s="9"/>
      <c r="L116" s="1"/>
      <c r="M116" s="1"/>
      <c r="P116" s="7"/>
      <c r="Q116" s="1"/>
      <c r="R116" s="1"/>
    </row>
    <row r="117" spans="1:18" x14ac:dyDescent="0.25">
      <c r="A117" s="7">
        <v>44260.416666666664</v>
      </c>
      <c r="B117" s="1" t="s">
        <v>69</v>
      </c>
      <c r="C117" s="1">
        <v>5538.38</v>
      </c>
      <c r="D117" s="1">
        <v>5419.9</v>
      </c>
      <c r="F117" s="7">
        <v>44260.416666666664</v>
      </c>
      <c r="G117" s="1" t="s">
        <v>69</v>
      </c>
      <c r="H117" s="1">
        <v>4132.4399999999996</v>
      </c>
      <c r="I117" s="1">
        <v>3891.63</v>
      </c>
      <c r="J117" s="44"/>
      <c r="K117" s="9"/>
      <c r="L117" s="1"/>
      <c r="M117" s="1"/>
      <c r="P117" s="7"/>
      <c r="Q117" s="1"/>
      <c r="R117" s="1"/>
    </row>
    <row r="118" spans="1:18" x14ac:dyDescent="0.25">
      <c r="A118" s="7">
        <v>44260.416666666664</v>
      </c>
      <c r="B118" s="1" t="s">
        <v>70</v>
      </c>
      <c r="C118" s="1">
        <v>6372.1</v>
      </c>
      <c r="D118" s="1">
        <v>3146.09</v>
      </c>
      <c r="F118" s="7">
        <v>44260.416666666664</v>
      </c>
      <c r="G118" s="1" t="s">
        <v>70</v>
      </c>
      <c r="H118" s="1">
        <v>6457.65</v>
      </c>
      <c r="I118" s="1">
        <v>2760.24</v>
      </c>
      <c r="J118" s="44"/>
      <c r="K118" s="9"/>
      <c r="L118" s="1"/>
      <c r="M118" s="1"/>
      <c r="P118" s="7"/>
      <c r="Q118" s="1"/>
      <c r="R118" s="1"/>
    </row>
    <row r="119" spans="1:18" x14ac:dyDescent="0.25">
      <c r="A119" s="7">
        <v>44260.416666666664</v>
      </c>
      <c r="B119" s="1" t="s">
        <v>78</v>
      </c>
      <c r="C119" s="1">
        <v>2137.7600000000002</v>
      </c>
      <c r="D119" s="1">
        <v>1429.34</v>
      </c>
      <c r="F119" s="7">
        <v>44260.416666666664</v>
      </c>
      <c r="G119" s="1" t="s">
        <v>78</v>
      </c>
      <c r="H119" s="1">
        <v>1677.42</v>
      </c>
      <c r="I119" s="1">
        <v>993.91</v>
      </c>
      <c r="J119" s="44"/>
      <c r="K119" s="9"/>
      <c r="L119" s="1"/>
      <c r="M119" s="1"/>
      <c r="P119" s="7"/>
      <c r="Q119" s="1"/>
      <c r="R119" s="1"/>
    </row>
    <row r="120" spans="1:18" x14ac:dyDescent="0.25">
      <c r="A120" s="7">
        <v>44260.416666666664</v>
      </c>
      <c r="B120" s="1" t="s">
        <v>76</v>
      </c>
      <c r="C120" s="1">
        <v>9809.7999999999993</v>
      </c>
      <c r="D120" s="1">
        <v>2743.81</v>
      </c>
      <c r="F120" s="7">
        <v>44260.416666666664</v>
      </c>
      <c r="G120" s="1" t="s">
        <v>76</v>
      </c>
      <c r="H120" s="1">
        <v>11813.19</v>
      </c>
      <c r="I120" s="1">
        <v>2662.91</v>
      </c>
      <c r="J120" s="44"/>
      <c r="K120" s="9"/>
      <c r="L120" s="1"/>
      <c r="M120" s="1"/>
      <c r="P120" s="7"/>
      <c r="Q120" s="1"/>
      <c r="R120" s="1"/>
    </row>
    <row r="121" spans="1:18" x14ac:dyDescent="0.25">
      <c r="A121" s="7">
        <v>44260.416666666664</v>
      </c>
      <c r="B121" s="1" t="s">
        <v>73</v>
      </c>
      <c r="C121" s="1">
        <v>6561.83</v>
      </c>
      <c r="D121" s="1">
        <v>1264.55</v>
      </c>
      <c r="F121" s="7">
        <v>44260.416666666664</v>
      </c>
      <c r="G121" s="1" t="s">
        <v>73</v>
      </c>
      <c r="H121" s="1">
        <v>7607.27</v>
      </c>
      <c r="I121" s="1">
        <v>1119.7</v>
      </c>
      <c r="J121" s="44"/>
      <c r="K121" s="9"/>
      <c r="L121" s="1"/>
      <c r="M121" s="1"/>
      <c r="P121" s="7"/>
      <c r="Q121" s="1"/>
      <c r="R121" s="1"/>
    </row>
    <row r="122" spans="1:18" x14ac:dyDescent="0.25">
      <c r="A122" s="7">
        <v>44260.416666666664</v>
      </c>
      <c r="B122" s="1" t="s">
        <v>68</v>
      </c>
      <c r="C122" s="1">
        <v>7940.17</v>
      </c>
      <c r="D122" s="1">
        <v>3746.14</v>
      </c>
      <c r="F122" s="7">
        <v>44260.416666666664</v>
      </c>
      <c r="G122" s="1" t="s">
        <v>68</v>
      </c>
      <c r="H122" s="1">
        <v>9438.19</v>
      </c>
      <c r="I122" s="1">
        <v>3138.39</v>
      </c>
      <c r="J122" s="44"/>
      <c r="K122" s="58"/>
      <c r="L122" s="1"/>
      <c r="M122" s="1"/>
      <c r="P122" s="7"/>
      <c r="Q122" s="1"/>
      <c r="R122" s="1"/>
    </row>
    <row r="123" spans="1:18" x14ac:dyDescent="0.25">
      <c r="A123" s="7">
        <v>44260.458333333336</v>
      </c>
      <c r="B123" s="1" t="s">
        <v>75</v>
      </c>
      <c r="C123" s="1">
        <v>1062.29</v>
      </c>
      <c r="D123" s="1">
        <v>647.41999999999996</v>
      </c>
      <c r="F123" s="7">
        <v>44260.458333333336</v>
      </c>
      <c r="G123" s="1" t="s">
        <v>75</v>
      </c>
      <c r="H123" s="1">
        <v>996.78</v>
      </c>
      <c r="I123" s="1">
        <v>416.51</v>
      </c>
      <c r="J123" s="44"/>
      <c r="K123" s="9"/>
      <c r="L123" s="1"/>
      <c r="M123" s="1"/>
      <c r="P123" s="7"/>
      <c r="Q123" s="1"/>
      <c r="R123" s="1"/>
    </row>
    <row r="124" spans="1:18" x14ac:dyDescent="0.25">
      <c r="A124" s="7">
        <v>44260.458333333336</v>
      </c>
      <c r="B124" s="1" t="s">
        <v>74</v>
      </c>
      <c r="C124" s="1">
        <v>7077.57</v>
      </c>
      <c r="D124" s="1">
        <v>2182.36</v>
      </c>
      <c r="F124" s="7">
        <v>44260.458333333336</v>
      </c>
      <c r="G124" s="1" t="s">
        <v>74</v>
      </c>
      <c r="H124" s="1">
        <v>7835.44</v>
      </c>
      <c r="I124" s="1">
        <v>1783.93</v>
      </c>
      <c r="J124" s="44"/>
      <c r="K124" s="9"/>
      <c r="L124" s="1"/>
      <c r="M124" s="1"/>
      <c r="P124" s="7"/>
      <c r="Q124" s="1"/>
      <c r="R124" s="1"/>
    </row>
    <row r="125" spans="1:18" x14ac:dyDescent="0.25">
      <c r="A125" s="7">
        <v>44260.458333333336</v>
      </c>
      <c r="B125" s="1" t="s">
        <v>73</v>
      </c>
      <c r="C125" s="1">
        <v>6529.12</v>
      </c>
      <c r="D125" s="1">
        <v>1278.26</v>
      </c>
      <c r="F125" s="7">
        <v>44260.458333333336</v>
      </c>
      <c r="G125" s="1" t="s">
        <v>73</v>
      </c>
      <c r="H125" s="1">
        <v>7635.43</v>
      </c>
      <c r="I125" s="1">
        <v>1210.42</v>
      </c>
      <c r="J125" s="44"/>
      <c r="K125" s="9"/>
      <c r="L125" s="1"/>
      <c r="M125" s="1"/>
      <c r="P125" s="7"/>
      <c r="Q125" s="1"/>
      <c r="R125" s="1"/>
    </row>
    <row r="126" spans="1:18" x14ac:dyDescent="0.25">
      <c r="A126" s="7">
        <v>44260.458333333336</v>
      </c>
      <c r="B126" s="1" t="s">
        <v>77</v>
      </c>
      <c r="C126" s="1">
        <v>11204.89</v>
      </c>
      <c r="D126" s="1">
        <v>4092.3</v>
      </c>
      <c r="F126" s="7">
        <v>44260.458333333336</v>
      </c>
      <c r="G126" s="1" t="s">
        <v>77</v>
      </c>
      <c r="H126" s="1">
        <v>9674.8700000000008</v>
      </c>
      <c r="I126" s="1">
        <v>3045.91</v>
      </c>
      <c r="J126" s="44"/>
      <c r="K126" s="9"/>
      <c r="L126" s="1"/>
      <c r="M126" s="1"/>
      <c r="P126" s="7"/>
      <c r="Q126" s="1"/>
      <c r="R126" s="1"/>
    </row>
    <row r="127" spans="1:18" x14ac:dyDescent="0.25">
      <c r="A127" s="7">
        <v>44260.458333333336</v>
      </c>
      <c r="B127" s="1" t="s">
        <v>71</v>
      </c>
      <c r="C127" s="1">
        <v>8320.7800000000007</v>
      </c>
      <c r="D127" s="1">
        <v>3580.59</v>
      </c>
      <c r="F127" s="7">
        <v>44260.458333333336</v>
      </c>
      <c r="G127" s="1" t="s">
        <v>71</v>
      </c>
      <c r="H127" s="1">
        <v>10140.790000000001</v>
      </c>
      <c r="I127" s="1">
        <v>2978.62</v>
      </c>
      <c r="J127" s="44"/>
      <c r="K127" s="9"/>
      <c r="L127" s="1"/>
      <c r="M127" s="1"/>
      <c r="P127" s="7"/>
      <c r="Q127" s="1"/>
      <c r="R127" s="1"/>
    </row>
    <row r="128" spans="1:18" x14ac:dyDescent="0.25">
      <c r="A128" s="7">
        <v>44260.458333333336</v>
      </c>
      <c r="B128" s="1" t="s">
        <v>69</v>
      </c>
      <c r="C128" s="1">
        <v>6286.71</v>
      </c>
      <c r="D128" s="1">
        <v>6594.36</v>
      </c>
      <c r="F128" s="7">
        <v>44260.458333333336</v>
      </c>
      <c r="G128" s="1" t="s">
        <v>69</v>
      </c>
      <c r="H128" s="1">
        <v>4834.91</v>
      </c>
      <c r="I128" s="1">
        <v>5049.75</v>
      </c>
      <c r="J128" s="44"/>
      <c r="K128" s="9"/>
      <c r="L128" s="1"/>
      <c r="M128" s="1"/>
      <c r="P128" s="7"/>
      <c r="Q128" s="1"/>
      <c r="R128" s="1"/>
    </row>
    <row r="129" spans="1:18" x14ac:dyDescent="0.25">
      <c r="A129" s="7">
        <v>44260.458333333336</v>
      </c>
      <c r="B129" s="1" t="s">
        <v>70</v>
      </c>
      <c r="C129" s="1">
        <v>6571.46</v>
      </c>
      <c r="D129" s="1">
        <v>3437.78</v>
      </c>
      <c r="F129" s="7">
        <v>44260.458333333336</v>
      </c>
      <c r="G129" s="1" t="s">
        <v>70</v>
      </c>
      <c r="H129" s="1">
        <v>6787.29</v>
      </c>
      <c r="I129" s="1">
        <v>3032.93</v>
      </c>
      <c r="J129" s="44"/>
      <c r="K129" s="9"/>
      <c r="L129" s="1"/>
      <c r="M129" s="1"/>
      <c r="P129" s="7"/>
      <c r="Q129" s="1"/>
      <c r="R129" s="1"/>
    </row>
    <row r="130" spans="1:18" x14ac:dyDescent="0.25">
      <c r="A130" s="7">
        <v>44260.458333333336</v>
      </c>
      <c r="B130" s="1" t="s">
        <v>78</v>
      </c>
      <c r="C130" s="1">
        <v>2405.4499999999998</v>
      </c>
      <c r="D130" s="1">
        <v>1732.23</v>
      </c>
      <c r="F130" s="7">
        <v>44260.458333333336</v>
      </c>
      <c r="G130" s="1" t="s">
        <v>78</v>
      </c>
      <c r="H130" s="1">
        <v>1946.59</v>
      </c>
      <c r="I130" s="1">
        <v>1233.92</v>
      </c>
      <c r="J130" s="44"/>
      <c r="K130" s="9"/>
      <c r="L130" s="1"/>
      <c r="M130" s="1"/>
      <c r="P130" s="7"/>
      <c r="Q130" s="1"/>
      <c r="R130" s="1"/>
    </row>
    <row r="131" spans="1:18" x14ac:dyDescent="0.25">
      <c r="A131" s="7">
        <v>44260.458333333336</v>
      </c>
      <c r="B131" s="1" t="s">
        <v>72</v>
      </c>
      <c r="C131" s="1">
        <v>12164.09</v>
      </c>
      <c r="D131" s="1">
        <v>8613.23</v>
      </c>
      <c r="F131" s="7">
        <v>44260.458333333336</v>
      </c>
      <c r="G131" s="1" t="s">
        <v>72</v>
      </c>
      <c r="H131" s="1">
        <v>10301.280000000001</v>
      </c>
      <c r="I131" s="1">
        <v>7063.09</v>
      </c>
      <c r="J131" s="44"/>
      <c r="K131" s="9"/>
      <c r="L131" s="1"/>
      <c r="M131" s="1"/>
      <c r="P131" s="7"/>
      <c r="Q131" s="1"/>
      <c r="R131" s="1"/>
    </row>
    <row r="132" spans="1:18" x14ac:dyDescent="0.25">
      <c r="A132" s="7">
        <v>44260.458333333336</v>
      </c>
      <c r="B132" s="1" t="s">
        <v>76</v>
      </c>
      <c r="C132" s="1">
        <v>9998.31</v>
      </c>
      <c r="D132" s="1">
        <v>3064.34</v>
      </c>
      <c r="F132" s="7">
        <v>44260.458333333336</v>
      </c>
      <c r="G132" s="1" t="s">
        <v>76</v>
      </c>
      <c r="H132" s="1">
        <v>12012.72</v>
      </c>
      <c r="I132" s="1">
        <v>2917.42</v>
      </c>
      <c r="J132" s="44"/>
      <c r="K132" s="9"/>
      <c r="L132" s="1"/>
      <c r="M132" s="1"/>
      <c r="P132" s="7"/>
      <c r="Q132" s="1"/>
      <c r="R132" s="1"/>
    </row>
    <row r="133" spans="1:18" x14ac:dyDescent="0.25">
      <c r="A133" s="7">
        <v>44260.458333333336</v>
      </c>
      <c r="B133" s="1" t="s">
        <v>68</v>
      </c>
      <c r="C133" s="1">
        <v>7785.2</v>
      </c>
      <c r="D133" s="1">
        <v>3957.31</v>
      </c>
      <c r="F133" s="7">
        <v>44260.458333333336</v>
      </c>
      <c r="G133" s="1" t="s">
        <v>68</v>
      </c>
      <c r="H133" s="1">
        <v>9392.9599999999991</v>
      </c>
      <c r="I133" s="1">
        <v>3323.11</v>
      </c>
      <c r="J133" s="44"/>
      <c r="K133" s="9"/>
      <c r="L133" s="1"/>
      <c r="M133" s="1"/>
      <c r="P133" s="7"/>
      <c r="Q133" s="1"/>
      <c r="R133" s="1"/>
    </row>
    <row r="134" spans="1:18" x14ac:dyDescent="0.25">
      <c r="A134" s="7">
        <v>44260.5</v>
      </c>
      <c r="B134" s="1" t="s">
        <v>75</v>
      </c>
      <c r="C134" s="1">
        <v>1098.18</v>
      </c>
      <c r="D134" s="1">
        <v>677.73</v>
      </c>
      <c r="F134" s="7">
        <v>44260.5</v>
      </c>
      <c r="G134" s="1" t="s">
        <v>75</v>
      </c>
      <c r="H134" s="1">
        <v>1034.67</v>
      </c>
      <c r="I134" s="1">
        <v>453.92</v>
      </c>
      <c r="J134" s="44"/>
      <c r="K134" s="9"/>
      <c r="L134" s="1"/>
      <c r="M134" s="1"/>
      <c r="P134" s="7"/>
      <c r="Q134" s="1"/>
      <c r="R134" s="1"/>
    </row>
    <row r="135" spans="1:18" x14ac:dyDescent="0.25">
      <c r="A135" s="7">
        <v>44260.5</v>
      </c>
      <c r="B135" s="1" t="s">
        <v>78</v>
      </c>
      <c r="C135" s="1">
        <v>2412.56</v>
      </c>
      <c r="D135" s="1">
        <v>1806.71</v>
      </c>
      <c r="F135" s="7">
        <v>44260.5</v>
      </c>
      <c r="G135" s="1" t="s">
        <v>78</v>
      </c>
      <c r="H135" s="1">
        <v>1963.99</v>
      </c>
      <c r="I135" s="1">
        <v>1276.4000000000001</v>
      </c>
      <c r="J135" s="44"/>
      <c r="K135" s="9"/>
      <c r="L135" s="1"/>
      <c r="M135" s="1"/>
      <c r="P135" s="7"/>
      <c r="Q135" s="1"/>
      <c r="R135" s="1"/>
    </row>
    <row r="136" spans="1:18" x14ac:dyDescent="0.25">
      <c r="A136" s="7">
        <v>44260.5</v>
      </c>
      <c r="B136" s="1" t="s">
        <v>74</v>
      </c>
      <c r="C136" s="1">
        <v>6514.9</v>
      </c>
      <c r="D136" s="1">
        <v>2072.17</v>
      </c>
      <c r="F136" s="7">
        <v>44260.5</v>
      </c>
      <c r="G136" s="1" t="s">
        <v>74</v>
      </c>
      <c r="H136" s="1">
        <v>7178.81</v>
      </c>
      <c r="I136" s="1">
        <v>1682.38</v>
      </c>
      <c r="J136" s="44"/>
      <c r="K136" s="9"/>
      <c r="L136" s="1"/>
      <c r="M136" s="1"/>
      <c r="P136" s="7"/>
      <c r="Q136" s="1"/>
      <c r="R136" s="1"/>
    </row>
    <row r="137" spans="1:18" x14ac:dyDescent="0.25">
      <c r="A137" s="7">
        <v>44260.5</v>
      </c>
      <c r="B137" s="1" t="s">
        <v>73</v>
      </c>
      <c r="C137" s="1">
        <v>6026.56</v>
      </c>
      <c r="D137" s="1">
        <v>1196.9100000000001</v>
      </c>
      <c r="F137" s="7">
        <v>44260.5</v>
      </c>
      <c r="G137" s="1" t="s">
        <v>73</v>
      </c>
      <c r="H137" s="1">
        <v>7047.93</v>
      </c>
      <c r="I137" s="1">
        <v>1096.04</v>
      </c>
      <c r="J137" s="44"/>
      <c r="K137" s="9"/>
      <c r="L137" s="1"/>
      <c r="M137" s="1"/>
      <c r="P137" s="7"/>
      <c r="Q137" s="1"/>
      <c r="R137" s="1"/>
    </row>
    <row r="138" spans="1:18" x14ac:dyDescent="0.25">
      <c r="A138" s="7">
        <v>44260.5</v>
      </c>
      <c r="B138" s="1" t="s">
        <v>71</v>
      </c>
      <c r="C138" s="1">
        <v>7604.87</v>
      </c>
      <c r="D138" s="1">
        <v>3279.13</v>
      </c>
      <c r="F138" s="7">
        <v>44260.5</v>
      </c>
      <c r="G138" s="1" t="s">
        <v>71</v>
      </c>
      <c r="H138" s="1">
        <v>9233.16</v>
      </c>
      <c r="I138" s="1">
        <v>2744.9</v>
      </c>
      <c r="J138" s="44"/>
      <c r="K138" s="9"/>
      <c r="L138" s="1"/>
      <c r="M138" s="1"/>
      <c r="P138" s="7"/>
      <c r="Q138" s="1"/>
      <c r="R138" s="1"/>
    </row>
    <row r="139" spans="1:18" x14ac:dyDescent="0.25">
      <c r="A139" s="7">
        <v>44260.5</v>
      </c>
      <c r="B139" s="1" t="s">
        <v>68</v>
      </c>
      <c r="C139" s="1">
        <v>7121.48</v>
      </c>
      <c r="D139" s="1">
        <v>3704.86</v>
      </c>
      <c r="F139" s="7">
        <v>44260.5</v>
      </c>
      <c r="G139" s="1" t="s">
        <v>68</v>
      </c>
      <c r="H139" s="1">
        <v>8535.75</v>
      </c>
      <c r="I139" s="1">
        <v>3145.58</v>
      </c>
      <c r="J139" s="44"/>
      <c r="K139" s="9"/>
      <c r="L139" s="1"/>
      <c r="M139" s="1"/>
      <c r="P139" s="7"/>
      <c r="Q139" s="1"/>
      <c r="R139" s="1"/>
    </row>
    <row r="140" spans="1:18" x14ac:dyDescent="0.25">
      <c r="A140" s="7">
        <v>44260.5</v>
      </c>
      <c r="B140" s="1" t="s">
        <v>77</v>
      </c>
      <c r="C140" s="1">
        <v>10461.530000000001</v>
      </c>
      <c r="D140" s="1">
        <v>3860.53</v>
      </c>
      <c r="F140" s="7">
        <v>44260.5</v>
      </c>
      <c r="G140" s="1" t="s">
        <v>77</v>
      </c>
      <c r="H140" s="1">
        <v>9044.98</v>
      </c>
      <c r="I140" s="1">
        <v>2891.94</v>
      </c>
      <c r="J140" s="44"/>
      <c r="K140" s="9"/>
      <c r="L140" s="1"/>
      <c r="M140" s="1"/>
      <c r="P140" s="7"/>
      <c r="Q140" s="1"/>
      <c r="R140" s="1"/>
    </row>
    <row r="141" spans="1:18" x14ac:dyDescent="0.25">
      <c r="A141" s="7">
        <v>44260.5</v>
      </c>
      <c r="B141" s="1" t="s">
        <v>70</v>
      </c>
      <c r="C141" s="1">
        <v>6220.02</v>
      </c>
      <c r="D141" s="1">
        <v>3296.18</v>
      </c>
      <c r="F141" s="7">
        <v>44260.5</v>
      </c>
      <c r="G141" s="1" t="s">
        <v>70</v>
      </c>
      <c r="H141" s="1">
        <v>6466.31</v>
      </c>
      <c r="I141" s="1">
        <v>2938.95</v>
      </c>
      <c r="J141" s="44"/>
      <c r="K141" s="9"/>
      <c r="L141" s="1"/>
      <c r="M141" s="1"/>
      <c r="P141" s="7"/>
      <c r="Q141" s="1"/>
      <c r="R141" s="1"/>
    </row>
    <row r="142" spans="1:18" x14ac:dyDescent="0.25">
      <c r="A142" s="7">
        <v>44260.5</v>
      </c>
      <c r="B142" s="1" t="s">
        <v>76</v>
      </c>
      <c r="C142" s="1">
        <v>9259.66</v>
      </c>
      <c r="D142" s="1">
        <v>2925.88</v>
      </c>
      <c r="F142" s="7">
        <v>44260.5</v>
      </c>
      <c r="G142" s="1" t="s">
        <v>76</v>
      </c>
      <c r="H142" s="1">
        <v>11174.52</v>
      </c>
      <c r="I142" s="1">
        <v>2808.45</v>
      </c>
      <c r="J142" s="44"/>
      <c r="K142" s="9"/>
      <c r="L142" s="1"/>
      <c r="M142" s="1"/>
      <c r="P142" s="7"/>
      <c r="Q142" s="1"/>
      <c r="R142" s="1"/>
    </row>
    <row r="143" spans="1:18" x14ac:dyDescent="0.25">
      <c r="A143" s="7">
        <v>44260.5</v>
      </c>
      <c r="B143" s="1" t="s">
        <v>72</v>
      </c>
      <c r="C143" s="1">
        <v>11884.9</v>
      </c>
      <c r="D143" s="1">
        <v>8633.77</v>
      </c>
      <c r="F143" s="7">
        <v>44260.5</v>
      </c>
      <c r="G143" s="1" t="s">
        <v>72</v>
      </c>
      <c r="H143" s="1">
        <v>10127</v>
      </c>
      <c r="I143" s="1">
        <v>7236.3</v>
      </c>
      <c r="J143" s="44"/>
      <c r="K143" s="9"/>
      <c r="L143" s="1"/>
      <c r="M143" s="1"/>
      <c r="P143" s="7"/>
      <c r="Q143" s="1"/>
      <c r="R143" s="1"/>
    </row>
    <row r="144" spans="1:18" x14ac:dyDescent="0.25">
      <c r="A144" s="7">
        <v>44260.5</v>
      </c>
      <c r="B144" s="1" t="s">
        <v>69</v>
      </c>
      <c r="C144" s="1">
        <v>6134.69</v>
      </c>
      <c r="D144" s="1">
        <v>6750.54</v>
      </c>
      <c r="F144" s="7">
        <v>44260.5</v>
      </c>
      <c r="G144" s="1" t="s">
        <v>69</v>
      </c>
      <c r="H144" s="1">
        <v>4818.0200000000004</v>
      </c>
      <c r="I144" s="1">
        <v>5246.97</v>
      </c>
      <c r="J144" s="44"/>
      <c r="K144" s="9"/>
      <c r="L144" s="1"/>
      <c r="M144" s="1"/>
      <c r="P144" s="7"/>
      <c r="Q144" s="1"/>
      <c r="R144" s="1"/>
    </row>
    <row r="145" spans="1:18" x14ac:dyDescent="0.25">
      <c r="A145" s="7">
        <v>44260.541666666664</v>
      </c>
      <c r="B145" s="1" t="s">
        <v>75</v>
      </c>
      <c r="C145" s="1">
        <v>930.49</v>
      </c>
      <c r="D145" s="1">
        <v>586.11</v>
      </c>
      <c r="F145" s="7">
        <v>44260.541666666664</v>
      </c>
      <c r="G145" s="1" t="s">
        <v>75</v>
      </c>
      <c r="H145" s="1">
        <v>893.39</v>
      </c>
      <c r="I145" s="1">
        <v>397.42</v>
      </c>
      <c r="J145" s="44"/>
      <c r="K145" s="9"/>
      <c r="L145" s="1"/>
      <c r="M145" s="1"/>
      <c r="P145" s="7"/>
      <c r="Q145" s="1"/>
      <c r="R145" s="1"/>
    </row>
    <row r="146" spans="1:18" x14ac:dyDescent="0.25">
      <c r="A146" s="7">
        <v>44260.541666666664</v>
      </c>
      <c r="B146" s="1" t="s">
        <v>74</v>
      </c>
      <c r="C146" s="1">
        <v>5451.01</v>
      </c>
      <c r="D146" s="1">
        <v>1678.41</v>
      </c>
      <c r="F146" s="7">
        <v>44260.541666666664</v>
      </c>
      <c r="G146" s="1" t="s">
        <v>74</v>
      </c>
      <c r="H146" s="1">
        <v>6422.99</v>
      </c>
      <c r="I146" s="1">
        <v>1417.31</v>
      </c>
      <c r="J146" s="44"/>
      <c r="K146" s="58"/>
      <c r="L146" s="1"/>
      <c r="M146" s="1"/>
      <c r="P146" s="7"/>
      <c r="Q146" s="1"/>
      <c r="R146" s="1"/>
    </row>
    <row r="147" spans="1:18" x14ac:dyDescent="0.25">
      <c r="A147" s="7">
        <v>44260.541666666664</v>
      </c>
      <c r="B147" s="1" t="s">
        <v>78</v>
      </c>
      <c r="C147" s="1">
        <v>2353.94</v>
      </c>
      <c r="D147" s="1">
        <v>1661.36</v>
      </c>
      <c r="F147" s="7">
        <v>44260.541666666664</v>
      </c>
      <c r="G147" s="1" t="s">
        <v>78</v>
      </c>
      <c r="H147" s="1">
        <v>1841.46</v>
      </c>
      <c r="I147" s="1">
        <v>1161.55</v>
      </c>
      <c r="J147" s="44"/>
      <c r="K147" s="9"/>
      <c r="L147" s="1"/>
      <c r="M147" s="1"/>
      <c r="P147" s="7"/>
      <c r="Q147" s="1"/>
      <c r="R147" s="1"/>
    </row>
    <row r="148" spans="1:18" x14ac:dyDescent="0.25">
      <c r="A148" s="7">
        <v>44260.541666666664</v>
      </c>
      <c r="B148" s="1" t="s">
        <v>76</v>
      </c>
      <c r="C148" s="1">
        <v>7903.82</v>
      </c>
      <c r="D148" s="1">
        <v>2604.23</v>
      </c>
      <c r="F148" s="7">
        <v>44260.541666666664</v>
      </c>
      <c r="G148" s="1" t="s">
        <v>76</v>
      </c>
      <c r="H148" s="1">
        <v>9986.0499999999993</v>
      </c>
      <c r="I148" s="1">
        <v>2439.7199999999998</v>
      </c>
      <c r="J148" s="44"/>
      <c r="K148" s="9"/>
      <c r="L148" s="1"/>
      <c r="M148" s="1"/>
      <c r="P148" s="7"/>
      <c r="Q148" s="1"/>
      <c r="R148" s="1"/>
    </row>
    <row r="149" spans="1:18" x14ac:dyDescent="0.25">
      <c r="A149" s="7">
        <v>44260.541666666664</v>
      </c>
      <c r="B149" s="1" t="s">
        <v>68</v>
      </c>
      <c r="C149" s="1">
        <v>5680.73</v>
      </c>
      <c r="D149" s="1">
        <v>2918.36</v>
      </c>
      <c r="F149" s="7">
        <v>44260.541666666664</v>
      </c>
      <c r="G149" s="1" t="s">
        <v>68</v>
      </c>
      <c r="H149" s="1">
        <v>6840.4</v>
      </c>
      <c r="I149" s="1">
        <v>2536.09</v>
      </c>
      <c r="J149" s="44"/>
      <c r="K149" s="9"/>
      <c r="L149" s="1"/>
      <c r="M149" s="1"/>
      <c r="P149" s="7"/>
      <c r="Q149" s="1"/>
      <c r="R149" s="1"/>
    </row>
    <row r="150" spans="1:18" x14ac:dyDescent="0.25">
      <c r="A150" s="7">
        <v>44260.541666666664</v>
      </c>
      <c r="B150" s="1" t="s">
        <v>71</v>
      </c>
      <c r="C150" s="1">
        <v>6118.84</v>
      </c>
      <c r="D150" s="1">
        <v>2586.56</v>
      </c>
      <c r="F150" s="7">
        <v>44260.541666666664</v>
      </c>
      <c r="G150" s="1" t="s">
        <v>71</v>
      </c>
      <c r="H150" s="1">
        <v>7478.24</v>
      </c>
      <c r="I150" s="1">
        <v>2212.19</v>
      </c>
      <c r="J150" s="44"/>
      <c r="K150" s="9"/>
      <c r="L150" s="1"/>
      <c r="M150" s="1"/>
      <c r="P150" s="7"/>
      <c r="Q150" s="1"/>
      <c r="R150" s="1"/>
    </row>
    <row r="151" spans="1:18" x14ac:dyDescent="0.25">
      <c r="A151" s="7">
        <v>44260.541666666664</v>
      </c>
      <c r="B151" s="1" t="s">
        <v>69</v>
      </c>
      <c r="C151" s="1">
        <v>5571.39</v>
      </c>
      <c r="D151" s="1">
        <v>5851.4</v>
      </c>
      <c r="F151" s="7">
        <v>44260.541666666664</v>
      </c>
      <c r="G151" s="1" t="s">
        <v>69</v>
      </c>
      <c r="H151" s="1">
        <v>4300.2</v>
      </c>
      <c r="I151" s="1">
        <v>4553.9799999999996</v>
      </c>
      <c r="J151" s="44"/>
      <c r="K151" s="9"/>
      <c r="L151" s="1"/>
      <c r="M151" s="1"/>
      <c r="P151" s="7"/>
      <c r="Q151" s="1"/>
      <c r="R151" s="1"/>
    </row>
    <row r="152" spans="1:18" x14ac:dyDescent="0.25">
      <c r="A152" s="7">
        <v>44260.541666666664</v>
      </c>
      <c r="B152" s="1" t="s">
        <v>72</v>
      </c>
      <c r="C152" s="1">
        <v>10283.59</v>
      </c>
      <c r="D152" s="1">
        <v>7500</v>
      </c>
      <c r="F152" s="7">
        <v>44260.541666666664</v>
      </c>
      <c r="G152" s="1" t="s">
        <v>72</v>
      </c>
      <c r="H152" s="1">
        <v>8564.41</v>
      </c>
      <c r="I152" s="1">
        <v>6175.52</v>
      </c>
      <c r="J152" s="44"/>
      <c r="K152" s="9"/>
      <c r="L152" s="1"/>
      <c r="M152" s="1"/>
      <c r="P152" s="7"/>
      <c r="Q152" s="1"/>
      <c r="R152" s="1"/>
    </row>
    <row r="153" spans="1:18" x14ac:dyDescent="0.25">
      <c r="A153" s="7">
        <v>44260.541666666664</v>
      </c>
      <c r="B153" s="1" t="s">
        <v>73</v>
      </c>
      <c r="C153" s="1">
        <v>4689.3500000000004</v>
      </c>
      <c r="D153" s="1">
        <v>901.97</v>
      </c>
      <c r="F153" s="7">
        <v>44260.541666666664</v>
      </c>
      <c r="G153" s="1" t="s">
        <v>73</v>
      </c>
      <c r="H153" s="1">
        <v>5616.59</v>
      </c>
      <c r="I153" s="1">
        <v>843.27</v>
      </c>
      <c r="J153" s="44"/>
      <c r="K153" s="9"/>
      <c r="L153" s="1"/>
      <c r="M153" s="1"/>
      <c r="P153" s="7"/>
      <c r="Q153" s="1"/>
      <c r="R153" s="1"/>
    </row>
    <row r="154" spans="1:18" x14ac:dyDescent="0.25">
      <c r="A154" s="7">
        <v>44260.541666666664</v>
      </c>
      <c r="B154" s="1" t="s">
        <v>77</v>
      </c>
      <c r="C154" s="1">
        <v>11470.84</v>
      </c>
      <c r="D154" s="1">
        <v>4264.29</v>
      </c>
      <c r="F154" s="7">
        <v>44260.541666666664</v>
      </c>
      <c r="G154" s="1" t="s">
        <v>77</v>
      </c>
      <c r="H154" s="1">
        <v>9250.4699999999993</v>
      </c>
      <c r="I154" s="1">
        <v>2892.28</v>
      </c>
      <c r="J154" s="44"/>
      <c r="K154" s="9"/>
      <c r="L154" s="1"/>
      <c r="M154" s="1"/>
      <c r="P154" s="7"/>
      <c r="Q154" s="1"/>
      <c r="R154" s="1"/>
    </row>
    <row r="155" spans="1:18" x14ac:dyDescent="0.25">
      <c r="A155" s="7">
        <v>44260.541666666664</v>
      </c>
      <c r="B155" s="1" t="s">
        <v>70</v>
      </c>
      <c r="C155" s="1">
        <v>5073.54</v>
      </c>
      <c r="D155" s="1">
        <v>2620.88</v>
      </c>
      <c r="F155" s="7">
        <v>44260.541666666664</v>
      </c>
      <c r="G155" s="1" t="s">
        <v>70</v>
      </c>
      <c r="H155" s="1">
        <v>5280.75</v>
      </c>
      <c r="I155" s="1">
        <v>2348.7800000000002</v>
      </c>
      <c r="J155" s="44"/>
      <c r="K155" s="9"/>
      <c r="L155" s="1"/>
      <c r="M155" s="1"/>
      <c r="P155" s="7"/>
      <c r="Q155" s="1"/>
      <c r="R155" s="1"/>
    </row>
    <row r="156" spans="1:18" x14ac:dyDescent="0.25">
      <c r="A156" s="7">
        <v>44260.583333333336</v>
      </c>
      <c r="B156" s="1" t="s">
        <v>75</v>
      </c>
      <c r="C156" s="1">
        <v>1015.87</v>
      </c>
      <c r="D156" s="1">
        <v>663.48</v>
      </c>
      <c r="F156" s="7">
        <v>44260.583333333336</v>
      </c>
      <c r="G156" s="1" t="s">
        <v>75</v>
      </c>
      <c r="H156" s="1">
        <v>972.2</v>
      </c>
      <c r="I156" s="1">
        <v>446.88</v>
      </c>
      <c r="J156" s="44"/>
      <c r="K156" s="9"/>
      <c r="L156" s="1"/>
      <c r="M156" s="1"/>
      <c r="P156" s="7"/>
      <c r="Q156" s="1"/>
      <c r="R156" s="1"/>
    </row>
    <row r="157" spans="1:18" x14ac:dyDescent="0.25">
      <c r="A157" s="7">
        <v>44260.583333333336</v>
      </c>
      <c r="B157" s="1" t="s">
        <v>74</v>
      </c>
      <c r="C157" s="1">
        <v>6016.77</v>
      </c>
      <c r="D157" s="1">
        <v>1849.16</v>
      </c>
      <c r="F157" s="7">
        <v>44260.583333333336</v>
      </c>
      <c r="G157" s="1" t="s">
        <v>74</v>
      </c>
      <c r="H157" s="1">
        <v>6835.92</v>
      </c>
      <c r="I157" s="1">
        <v>1545.56</v>
      </c>
      <c r="J157" s="44"/>
      <c r="K157" s="9"/>
      <c r="L157" s="1"/>
      <c r="M157" s="1"/>
      <c r="P157" s="7"/>
      <c r="Q157" s="1"/>
      <c r="R157" s="1"/>
    </row>
    <row r="158" spans="1:18" x14ac:dyDescent="0.25">
      <c r="A158" s="7">
        <v>44260.583333333336</v>
      </c>
      <c r="B158" s="1" t="s">
        <v>78</v>
      </c>
      <c r="C158" s="1">
        <v>2360.42</v>
      </c>
      <c r="D158" s="1">
        <v>1694.33</v>
      </c>
      <c r="F158" s="7">
        <v>44260.583333333336</v>
      </c>
      <c r="G158" s="1" t="s">
        <v>78</v>
      </c>
      <c r="H158" s="1">
        <v>1848.42</v>
      </c>
      <c r="I158" s="1">
        <v>1207.2</v>
      </c>
      <c r="J158" s="44"/>
      <c r="K158" s="9"/>
      <c r="L158" s="1"/>
      <c r="M158" s="1"/>
      <c r="P158" s="7"/>
      <c r="Q158" s="1"/>
      <c r="R158" s="1"/>
    </row>
    <row r="159" spans="1:18" x14ac:dyDescent="0.25">
      <c r="A159" s="7">
        <v>44260.583333333336</v>
      </c>
      <c r="B159" s="1" t="s">
        <v>76</v>
      </c>
      <c r="C159" s="1">
        <v>7976.09</v>
      </c>
      <c r="D159" s="1">
        <v>2584.0700000000002</v>
      </c>
      <c r="F159" s="7">
        <v>44260.583333333336</v>
      </c>
      <c r="G159" s="1" t="s">
        <v>76</v>
      </c>
      <c r="H159" s="1">
        <v>9974.4500000000007</v>
      </c>
      <c r="I159" s="1">
        <v>2488.79</v>
      </c>
      <c r="J159" s="44"/>
      <c r="K159" s="9"/>
      <c r="L159" s="1"/>
      <c r="M159" s="1"/>
      <c r="P159" s="7"/>
      <c r="Q159" s="1"/>
      <c r="R159" s="1"/>
    </row>
    <row r="160" spans="1:18" x14ac:dyDescent="0.25">
      <c r="A160" s="7">
        <v>44260.583333333336</v>
      </c>
      <c r="B160" s="1" t="s">
        <v>72</v>
      </c>
      <c r="C160" s="1">
        <v>11281.67</v>
      </c>
      <c r="D160" s="1">
        <v>7985.6</v>
      </c>
      <c r="F160" s="7">
        <v>44260.583333333336</v>
      </c>
      <c r="G160" s="1" t="s">
        <v>72</v>
      </c>
      <c r="H160" s="1">
        <v>9305.56</v>
      </c>
      <c r="I160" s="1">
        <v>6628.08</v>
      </c>
      <c r="J160" s="44"/>
      <c r="K160" s="9"/>
      <c r="L160" s="1"/>
      <c r="M160" s="1"/>
      <c r="P160" s="7"/>
      <c r="Q160" s="1"/>
      <c r="R160" s="1"/>
    </row>
    <row r="161" spans="1:18" x14ac:dyDescent="0.25">
      <c r="A161" s="7">
        <v>44260.583333333336</v>
      </c>
      <c r="B161" s="1" t="s">
        <v>68</v>
      </c>
      <c r="C161" s="1">
        <v>6463.4</v>
      </c>
      <c r="D161" s="1">
        <v>3003.45</v>
      </c>
      <c r="F161" s="7">
        <v>44260.583333333336</v>
      </c>
      <c r="G161" s="1" t="s">
        <v>68</v>
      </c>
      <c r="H161" s="1">
        <v>7804.57</v>
      </c>
      <c r="I161" s="1">
        <v>2641.42</v>
      </c>
      <c r="J161" s="44"/>
      <c r="K161" s="9"/>
      <c r="L161" s="1"/>
      <c r="M161" s="1"/>
      <c r="P161" s="7"/>
      <c r="Q161" s="1"/>
      <c r="R161" s="1"/>
    </row>
    <row r="162" spans="1:18" x14ac:dyDescent="0.25">
      <c r="A162" s="7">
        <v>44260.583333333336</v>
      </c>
      <c r="B162" s="1" t="s">
        <v>69</v>
      </c>
      <c r="C162" s="1">
        <v>5929.21</v>
      </c>
      <c r="D162" s="1">
        <v>6058.93</v>
      </c>
      <c r="F162" s="7">
        <v>44260.583333333336</v>
      </c>
      <c r="G162" s="1" t="s">
        <v>69</v>
      </c>
      <c r="H162" s="1">
        <v>4415.42</v>
      </c>
      <c r="I162" s="1">
        <v>4714.08</v>
      </c>
      <c r="J162" s="44"/>
      <c r="K162" s="9"/>
      <c r="L162" s="1"/>
      <c r="M162" s="1"/>
      <c r="P162" s="7"/>
      <c r="Q162" s="1"/>
      <c r="R162" s="1"/>
    </row>
    <row r="163" spans="1:18" x14ac:dyDescent="0.25">
      <c r="A163" s="7">
        <v>44260.583333333336</v>
      </c>
      <c r="B163" s="1" t="s">
        <v>70</v>
      </c>
      <c r="C163" s="1">
        <v>5647.07</v>
      </c>
      <c r="D163" s="1">
        <v>2894.25</v>
      </c>
      <c r="F163" s="7">
        <v>44260.583333333336</v>
      </c>
      <c r="G163" s="1" t="s">
        <v>70</v>
      </c>
      <c r="H163" s="1">
        <v>5817.38</v>
      </c>
      <c r="I163" s="1">
        <v>2586.9899999999998</v>
      </c>
      <c r="J163" s="44"/>
      <c r="K163" s="9"/>
      <c r="L163" s="1"/>
      <c r="M163" s="1"/>
      <c r="P163" s="7"/>
      <c r="Q163" s="1"/>
      <c r="R163" s="1"/>
    </row>
    <row r="164" spans="1:18" x14ac:dyDescent="0.25">
      <c r="A164" s="7">
        <v>44260.583333333336</v>
      </c>
      <c r="B164" s="1" t="s">
        <v>73</v>
      </c>
      <c r="C164" s="1">
        <v>5086.16</v>
      </c>
      <c r="D164" s="1">
        <v>960.77</v>
      </c>
      <c r="F164" s="7">
        <v>44260.583333333336</v>
      </c>
      <c r="G164" s="1" t="s">
        <v>73</v>
      </c>
      <c r="H164" s="1">
        <v>6162.17</v>
      </c>
      <c r="I164" s="1">
        <v>874.75</v>
      </c>
      <c r="J164" s="44"/>
      <c r="K164" s="9"/>
      <c r="L164" s="1"/>
      <c r="M164" s="1"/>
      <c r="P164" s="7"/>
      <c r="Q164" s="1"/>
      <c r="R164" s="1"/>
    </row>
    <row r="165" spans="1:18" x14ac:dyDescent="0.25">
      <c r="A165" s="7">
        <v>44260.583333333336</v>
      </c>
      <c r="B165" s="1" t="s">
        <v>77</v>
      </c>
      <c r="C165" s="1">
        <v>9833.2199999999993</v>
      </c>
      <c r="D165" s="1">
        <v>3567.74</v>
      </c>
      <c r="F165" s="7">
        <v>44260.583333333336</v>
      </c>
      <c r="G165" s="1" t="s">
        <v>77</v>
      </c>
      <c r="H165" s="1">
        <v>8277.6299999999992</v>
      </c>
      <c r="I165" s="1">
        <v>2655.01</v>
      </c>
      <c r="J165" s="44"/>
      <c r="K165" s="9"/>
      <c r="L165" s="1"/>
      <c r="M165" s="1"/>
      <c r="P165" s="7"/>
      <c r="Q165" s="1"/>
      <c r="R165" s="1"/>
    </row>
    <row r="166" spans="1:18" x14ac:dyDescent="0.25">
      <c r="A166" s="7">
        <v>44260.583333333336</v>
      </c>
      <c r="B166" s="1" t="s">
        <v>71</v>
      </c>
      <c r="C166" s="1">
        <v>6686.09</v>
      </c>
      <c r="D166" s="1">
        <v>2676.57</v>
      </c>
      <c r="F166" s="7">
        <v>44260.583333333336</v>
      </c>
      <c r="G166" s="1" t="s">
        <v>71</v>
      </c>
      <c r="H166" s="1">
        <v>8149.28</v>
      </c>
      <c r="I166" s="1">
        <v>2286.59</v>
      </c>
      <c r="J166" s="44"/>
      <c r="K166" s="9"/>
      <c r="L166" s="1"/>
      <c r="M166" s="1"/>
      <c r="P166" s="7"/>
      <c r="Q166" s="1"/>
      <c r="R166" s="1"/>
    </row>
    <row r="167" spans="1:18" x14ac:dyDescent="0.25">
      <c r="A167" s="7">
        <v>44260.625</v>
      </c>
      <c r="B167" s="1" t="s">
        <v>74</v>
      </c>
      <c r="C167" s="1">
        <v>5946.9</v>
      </c>
      <c r="D167" s="1">
        <v>1880.14</v>
      </c>
      <c r="F167" s="7">
        <v>44260.625</v>
      </c>
      <c r="G167" s="1" t="s">
        <v>74</v>
      </c>
      <c r="H167" s="1">
        <v>6724.04</v>
      </c>
      <c r="I167" s="1">
        <v>1528.92</v>
      </c>
      <c r="J167" s="44"/>
      <c r="K167" s="9"/>
      <c r="L167" s="1"/>
      <c r="M167" s="1"/>
      <c r="P167" s="7"/>
      <c r="Q167" s="1"/>
      <c r="R167" s="1"/>
    </row>
    <row r="168" spans="1:18" x14ac:dyDescent="0.25">
      <c r="A168" s="7">
        <v>44260.625</v>
      </c>
      <c r="B168" s="1" t="s">
        <v>75</v>
      </c>
      <c r="C168" s="1">
        <v>1028.04</v>
      </c>
      <c r="D168" s="1">
        <v>652.98</v>
      </c>
      <c r="F168" s="7">
        <v>44260.625</v>
      </c>
      <c r="G168" s="1" t="s">
        <v>75</v>
      </c>
      <c r="H168" s="1">
        <v>968.95</v>
      </c>
      <c r="I168" s="1">
        <v>456.04</v>
      </c>
      <c r="J168" s="44"/>
      <c r="K168" s="9"/>
      <c r="L168" s="1"/>
      <c r="M168" s="1"/>
      <c r="P168" s="7"/>
      <c r="Q168" s="1"/>
      <c r="R168" s="1"/>
    </row>
    <row r="169" spans="1:18" x14ac:dyDescent="0.25">
      <c r="A169" s="7">
        <v>44260.625</v>
      </c>
      <c r="B169" s="1" t="s">
        <v>76</v>
      </c>
      <c r="C169" s="1">
        <v>8008.23</v>
      </c>
      <c r="D169" s="1">
        <v>2581.1799999999998</v>
      </c>
      <c r="F169" s="7">
        <v>44260.625</v>
      </c>
      <c r="G169" s="1" t="s">
        <v>76</v>
      </c>
      <c r="H169" s="1">
        <v>9941.9699999999993</v>
      </c>
      <c r="I169" s="1">
        <v>2500.04</v>
      </c>
      <c r="J169" s="44"/>
      <c r="K169" s="9"/>
      <c r="L169" s="1"/>
      <c r="M169" s="1"/>
      <c r="P169" s="7"/>
      <c r="Q169" s="1"/>
      <c r="R169" s="1"/>
    </row>
    <row r="170" spans="1:18" x14ac:dyDescent="0.25">
      <c r="A170" s="7">
        <v>44260.625</v>
      </c>
      <c r="B170" s="1" t="s">
        <v>72</v>
      </c>
      <c r="C170" s="1">
        <v>10998.39</v>
      </c>
      <c r="D170" s="1">
        <v>7816.72</v>
      </c>
      <c r="F170" s="7">
        <v>44260.625</v>
      </c>
      <c r="G170" s="1" t="s">
        <v>72</v>
      </c>
      <c r="H170" s="1">
        <v>9198.61</v>
      </c>
      <c r="I170" s="1">
        <v>6449.92</v>
      </c>
      <c r="J170" s="44"/>
      <c r="L170" s="1"/>
      <c r="M170" s="1"/>
      <c r="P170" s="7"/>
      <c r="Q170" s="1"/>
      <c r="R170" s="1"/>
    </row>
    <row r="171" spans="1:18" x14ac:dyDescent="0.25">
      <c r="A171" s="7">
        <v>44260.625</v>
      </c>
      <c r="B171" s="1" t="s">
        <v>73</v>
      </c>
      <c r="C171" s="1">
        <v>5298.8</v>
      </c>
      <c r="D171" s="1">
        <v>1015.36</v>
      </c>
      <c r="F171" s="7">
        <v>44260.625</v>
      </c>
      <c r="G171" s="1" t="s">
        <v>73</v>
      </c>
      <c r="H171" s="1">
        <v>6353.25</v>
      </c>
      <c r="I171" s="1">
        <v>929.13</v>
      </c>
      <c r="J171" s="44"/>
      <c r="L171" s="1"/>
      <c r="M171" s="1"/>
      <c r="P171" s="7"/>
      <c r="Q171" s="1"/>
      <c r="R171" s="1"/>
    </row>
    <row r="172" spans="1:18" x14ac:dyDescent="0.25">
      <c r="A172" s="7">
        <v>44260.625</v>
      </c>
      <c r="B172" s="1" t="s">
        <v>77</v>
      </c>
      <c r="C172" s="1">
        <v>9858.81</v>
      </c>
      <c r="D172" s="1">
        <v>3654.19</v>
      </c>
      <c r="F172" s="7">
        <v>44260.625</v>
      </c>
      <c r="G172" s="1" t="s">
        <v>77</v>
      </c>
      <c r="H172" s="1">
        <v>8395.2099999999991</v>
      </c>
      <c r="I172" s="1">
        <v>2701.98</v>
      </c>
      <c r="J172" s="44"/>
      <c r="L172" s="1"/>
      <c r="M172" s="1"/>
      <c r="P172" s="7"/>
      <c r="Q172" s="1"/>
      <c r="R172" s="1"/>
    </row>
    <row r="173" spans="1:18" x14ac:dyDescent="0.25">
      <c r="A173" s="7">
        <v>44260.625</v>
      </c>
      <c r="B173" s="1" t="s">
        <v>71</v>
      </c>
      <c r="C173" s="1">
        <v>6846.61</v>
      </c>
      <c r="D173" s="1">
        <v>2788.03</v>
      </c>
      <c r="F173" s="7">
        <v>44260.625</v>
      </c>
      <c r="G173" s="1" t="s">
        <v>71</v>
      </c>
      <c r="H173" s="1">
        <v>8435.52</v>
      </c>
      <c r="I173" s="1">
        <v>2368.12</v>
      </c>
      <c r="J173" s="44"/>
      <c r="L173" s="1"/>
      <c r="M173" s="1"/>
      <c r="P173" s="7"/>
      <c r="Q173" s="1"/>
      <c r="R173" s="1"/>
    </row>
    <row r="174" spans="1:18" x14ac:dyDescent="0.25">
      <c r="A174" s="7">
        <v>44260.625</v>
      </c>
      <c r="B174" s="1" t="s">
        <v>69</v>
      </c>
      <c r="C174" s="1">
        <v>5708.09</v>
      </c>
      <c r="D174" s="1">
        <v>5966.47</v>
      </c>
      <c r="F174" s="7">
        <v>44260.625</v>
      </c>
      <c r="G174" s="1" t="s">
        <v>69</v>
      </c>
      <c r="H174" s="1">
        <v>4344.33</v>
      </c>
      <c r="I174" s="1">
        <v>4618.3999999999996</v>
      </c>
      <c r="J174" s="44"/>
      <c r="L174" s="1"/>
      <c r="M174" s="1"/>
      <c r="P174" s="7"/>
      <c r="Q174" s="1"/>
      <c r="R174" s="1"/>
    </row>
    <row r="175" spans="1:18" x14ac:dyDescent="0.25">
      <c r="A175" s="7">
        <v>44260.625</v>
      </c>
      <c r="B175" s="1" t="s">
        <v>70</v>
      </c>
      <c r="C175" s="1">
        <v>5578.98</v>
      </c>
      <c r="D175" s="1">
        <v>2934.94</v>
      </c>
      <c r="F175" s="7">
        <v>44260.625</v>
      </c>
      <c r="G175" s="1" t="s">
        <v>70</v>
      </c>
      <c r="H175" s="1">
        <v>5942.69</v>
      </c>
      <c r="I175" s="1">
        <v>2661.35</v>
      </c>
      <c r="J175" s="44"/>
      <c r="L175" s="1"/>
      <c r="M175" s="1"/>
      <c r="P175" s="7"/>
      <c r="Q175" s="1"/>
      <c r="R175" s="1"/>
    </row>
    <row r="176" spans="1:18" x14ac:dyDescent="0.25">
      <c r="A176" s="7">
        <v>44260.625</v>
      </c>
      <c r="B176" s="1" t="s">
        <v>78</v>
      </c>
      <c r="C176" s="1">
        <v>2291</v>
      </c>
      <c r="D176" s="1">
        <v>1659.7</v>
      </c>
      <c r="F176" s="7">
        <v>44260.625</v>
      </c>
      <c r="G176" s="1" t="s">
        <v>78</v>
      </c>
      <c r="H176" s="1">
        <v>1814.5</v>
      </c>
      <c r="I176" s="1">
        <v>1148.52</v>
      </c>
      <c r="J176" s="44"/>
      <c r="L176" s="1"/>
      <c r="M176" s="1"/>
      <c r="P176" s="7"/>
      <c r="Q176" s="1"/>
      <c r="R176" s="1"/>
    </row>
    <row r="177" spans="1:18" x14ac:dyDescent="0.25">
      <c r="A177" s="7">
        <v>44260.625</v>
      </c>
      <c r="B177" s="1" t="s">
        <v>68</v>
      </c>
      <c r="C177" s="1">
        <v>6654.45</v>
      </c>
      <c r="D177" s="1">
        <v>3160.95</v>
      </c>
      <c r="F177" s="7">
        <v>44260.625</v>
      </c>
      <c r="G177" s="1" t="s">
        <v>68</v>
      </c>
      <c r="H177" s="1">
        <v>8085.78</v>
      </c>
      <c r="I177" s="1">
        <v>2652.37</v>
      </c>
      <c r="J177" s="44"/>
      <c r="L177" s="1"/>
      <c r="M177" s="1"/>
      <c r="P177" s="7"/>
      <c r="Q177" s="1"/>
      <c r="R177" s="1"/>
    </row>
    <row r="178" spans="1:18" x14ac:dyDescent="0.25">
      <c r="A178" s="7">
        <v>44260.666666666664</v>
      </c>
      <c r="B178" s="1" t="s">
        <v>74</v>
      </c>
      <c r="C178" s="1">
        <v>5604.29</v>
      </c>
      <c r="D178" s="1">
        <v>1771.84</v>
      </c>
      <c r="F178" s="7">
        <v>44260.666666666664</v>
      </c>
      <c r="G178" s="1" t="s">
        <v>74</v>
      </c>
      <c r="H178" s="1">
        <v>6369.24</v>
      </c>
      <c r="I178" s="1">
        <v>1458.77</v>
      </c>
      <c r="J178" s="44"/>
      <c r="L178" s="1"/>
      <c r="M178" s="1"/>
      <c r="P178" s="7"/>
      <c r="Q178" s="1"/>
      <c r="R178" s="1"/>
    </row>
    <row r="179" spans="1:18" x14ac:dyDescent="0.25">
      <c r="A179" s="7">
        <v>44260.666666666664</v>
      </c>
      <c r="B179" s="1" t="s">
        <v>75</v>
      </c>
      <c r="C179" s="1">
        <v>938.6</v>
      </c>
      <c r="D179" s="1">
        <v>613.44000000000005</v>
      </c>
      <c r="F179" s="7">
        <v>44260.666666666664</v>
      </c>
      <c r="G179" s="1" t="s">
        <v>75</v>
      </c>
      <c r="H179" s="1">
        <v>897.57</v>
      </c>
      <c r="I179" s="1">
        <v>422.13</v>
      </c>
      <c r="J179" s="44"/>
      <c r="L179" s="1"/>
      <c r="M179" s="1"/>
      <c r="P179" s="7"/>
      <c r="Q179" s="1"/>
      <c r="R179" s="1"/>
    </row>
    <row r="180" spans="1:18" x14ac:dyDescent="0.25">
      <c r="A180" s="7">
        <v>44260.666666666664</v>
      </c>
      <c r="B180" s="1" t="s">
        <v>73</v>
      </c>
      <c r="C180" s="1">
        <v>5103.3500000000004</v>
      </c>
      <c r="D180" s="1">
        <v>1025.51</v>
      </c>
      <c r="F180" s="7">
        <v>44260.666666666664</v>
      </c>
      <c r="G180" s="1" t="s">
        <v>73</v>
      </c>
      <c r="H180" s="1">
        <v>6099.69</v>
      </c>
      <c r="I180" s="1">
        <v>940.32</v>
      </c>
      <c r="J180" s="44"/>
      <c r="L180" s="1"/>
      <c r="M180" s="1"/>
      <c r="P180" s="7"/>
      <c r="Q180" s="1"/>
      <c r="R180" s="1"/>
    </row>
    <row r="181" spans="1:18" x14ac:dyDescent="0.25">
      <c r="A181" s="7">
        <v>44260.666666666664</v>
      </c>
      <c r="B181" s="1" t="s">
        <v>71</v>
      </c>
      <c r="C181" s="1">
        <v>6419</v>
      </c>
      <c r="D181" s="1">
        <v>2748.39</v>
      </c>
      <c r="F181" s="7">
        <v>44260.666666666664</v>
      </c>
      <c r="G181" s="1" t="s">
        <v>71</v>
      </c>
      <c r="H181" s="1">
        <v>7928.19</v>
      </c>
      <c r="I181" s="1">
        <v>2282.71</v>
      </c>
      <c r="J181" s="44"/>
      <c r="L181" s="1"/>
      <c r="M181" s="1"/>
      <c r="P181" s="7"/>
      <c r="Q181" s="1"/>
      <c r="R181" s="1"/>
    </row>
    <row r="182" spans="1:18" x14ac:dyDescent="0.25">
      <c r="A182" s="7">
        <v>44260.666666666664</v>
      </c>
      <c r="B182" s="1" t="s">
        <v>77</v>
      </c>
      <c r="C182" s="1">
        <v>9603.56</v>
      </c>
      <c r="D182" s="1">
        <v>3598</v>
      </c>
      <c r="F182" s="7">
        <v>44260.666666666664</v>
      </c>
      <c r="G182" s="1" t="s">
        <v>77</v>
      </c>
      <c r="H182" s="1">
        <v>8199.61</v>
      </c>
      <c r="I182" s="1">
        <v>2627.41</v>
      </c>
      <c r="J182" s="44"/>
      <c r="L182" s="1"/>
      <c r="M182" s="1"/>
      <c r="P182" s="7"/>
      <c r="Q182" s="1"/>
      <c r="R182" s="1"/>
    </row>
    <row r="183" spans="1:18" x14ac:dyDescent="0.25">
      <c r="A183" s="7">
        <v>44260.666666666664</v>
      </c>
      <c r="B183" s="1" t="s">
        <v>70</v>
      </c>
      <c r="C183" s="1">
        <v>5147.3500000000004</v>
      </c>
      <c r="D183" s="1">
        <v>2731.37</v>
      </c>
      <c r="F183" s="7">
        <v>44260.666666666664</v>
      </c>
      <c r="G183" s="1" t="s">
        <v>70</v>
      </c>
      <c r="H183" s="1">
        <v>5493.26</v>
      </c>
      <c r="I183" s="1">
        <v>2485.27</v>
      </c>
      <c r="J183" s="44"/>
      <c r="L183" s="1"/>
      <c r="M183" s="1"/>
      <c r="P183" s="7"/>
      <c r="Q183" s="1"/>
      <c r="R183" s="1"/>
    </row>
    <row r="184" spans="1:18" x14ac:dyDescent="0.25">
      <c r="A184" s="7">
        <v>44260.666666666664</v>
      </c>
      <c r="B184" s="1" t="s">
        <v>78</v>
      </c>
      <c r="C184" s="1">
        <v>2075.67</v>
      </c>
      <c r="D184" s="1">
        <v>1518.99</v>
      </c>
      <c r="F184" s="7">
        <v>44260.666666666664</v>
      </c>
      <c r="G184" s="1" t="s">
        <v>78</v>
      </c>
      <c r="H184" s="1">
        <v>1647.83</v>
      </c>
      <c r="I184" s="1">
        <v>1049.42</v>
      </c>
      <c r="J184" s="44"/>
      <c r="L184" s="1"/>
      <c r="M184" s="1"/>
      <c r="P184" s="7"/>
      <c r="Q184" s="1"/>
      <c r="R184" s="1"/>
    </row>
    <row r="185" spans="1:18" x14ac:dyDescent="0.25">
      <c r="A185" s="7">
        <v>44260.666666666664</v>
      </c>
      <c r="B185" s="1" t="s">
        <v>76</v>
      </c>
      <c r="C185" s="1">
        <v>7585.55</v>
      </c>
      <c r="D185" s="1">
        <v>2522.7600000000002</v>
      </c>
      <c r="F185" s="7">
        <v>44260.666666666664</v>
      </c>
      <c r="G185" s="1" t="s">
        <v>76</v>
      </c>
      <c r="H185" s="1">
        <v>9349.77</v>
      </c>
      <c r="I185" s="1">
        <v>2386.0700000000002</v>
      </c>
      <c r="J185" s="44"/>
      <c r="L185" s="1"/>
      <c r="M185" s="1"/>
      <c r="P185" s="7"/>
      <c r="Q185" s="1"/>
      <c r="R185" s="1"/>
    </row>
    <row r="186" spans="1:18" x14ac:dyDescent="0.25">
      <c r="A186" s="7">
        <v>44260.666666666664</v>
      </c>
      <c r="B186" s="1" t="s">
        <v>72</v>
      </c>
      <c r="C186" s="1">
        <v>10107.299999999999</v>
      </c>
      <c r="D186" s="1">
        <v>7285.15</v>
      </c>
      <c r="F186" s="7">
        <v>44260.666666666664</v>
      </c>
      <c r="G186" s="1" t="s">
        <v>72</v>
      </c>
      <c r="H186" s="1">
        <v>8544.2999999999993</v>
      </c>
      <c r="I186" s="1">
        <v>5968.04</v>
      </c>
      <c r="J186" s="44"/>
      <c r="L186" s="1"/>
      <c r="M186" s="1"/>
      <c r="P186" s="7"/>
      <c r="Q186" s="1"/>
      <c r="R186" s="1"/>
    </row>
    <row r="187" spans="1:18" x14ac:dyDescent="0.25">
      <c r="A187" s="7">
        <v>44260.666666666664</v>
      </c>
      <c r="B187" s="1" t="s">
        <v>68</v>
      </c>
      <c r="C187" s="1">
        <v>6227.27</v>
      </c>
      <c r="D187" s="1">
        <v>3068.41</v>
      </c>
      <c r="F187" s="7">
        <v>44260.666666666664</v>
      </c>
      <c r="G187" s="1" t="s">
        <v>68</v>
      </c>
      <c r="H187" s="1">
        <v>7556.74</v>
      </c>
      <c r="I187" s="1">
        <v>2557.71</v>
      </c>
      <c r="J187" s="44"/>
      <c r="L187" s="1"/>
      <c r="M187" s="1"/>
      <c r="P187" s="7"/>
      <c r="Q187" s="1"/>
      <c r="R187" s="1"/>
    </row>
    <row r="188" spans="1:18" x14ac:dyDescent="0.25">
      <c r="A188" s="7">
        <v>44260.666666666664</v>
      </c>
      <c r="B188" s="1" t="s">
        <v>69</v>
      </c>
      <c r="C188" s="1">
        <v>5170.49</v>
      </c>
      <c r="D188" s="1">
        <v>5492.6</v>
      </c>
      <c r="F188" s="7">
        <v>44260.666666666664</v>
      </c>
      <c r="G188" s="1" t="s">
        <v>69</v>
      </c>
      <c r="H188" s="1">
        <v>3967.61</v>
      </c>
      <c r="I188" s="1">
        <v>4268.5600000000004</v>
      </c>
      <c r="J188" s="44"/>
      <c r="L188" s="1"/>
      <c r="M188" s="1"/>
      <c r="P188" s="7"/>
      <c r="Q188" s="1"/>
      <c r="R188" s="1"/>
    </row>
    <row r="189" spans="1:18" x14ac:dyDescent="0.25">
      <c r="A189" s="7">
        <v>44260.708333333336</v>
      </c>
      <c r="B189" s="1" t="s">
        <v>75</v>
      </c>
      <c r="C189" s="1">
        <v>926.08</v>
      </c>
      <c r="D189" s="1">
        <v>580.16</v>
      </c>
      <c r="F189" s="7">
        <v>44260.708333333336</v>
      </c>
      <c r="G189" s="1" t="s">
        <v>75</v>
      </c>
      <c r="H189" s="1">
        <v>867.31</v>
      </c>
      <c r="I189" s="1">
        <v>385</v>
      </c>
      <c r="J189" s="44"/>
      <c r="L189" s="1"/>
      <c r="M189" s="1"/>
      <c r="P189" s="7"/>
      <c r="Q189" s="1"/>
      <c r="R189" s="1"/>
    </row>
    <row r="190" spans="1:18" x14ac:dyDescent="0.25">
      <c r="A190" s="7">
        <v>44260.708333333336</v>
      </c>
      <c r="B190" s="1" t="s">
        <v>74</v>
      </c>
      <c r="C190" s="1">
        <v>5904.79</v>
      </c>
      <c r="D190" s="1">
        <v>1836.43</v>
      </c>
      <c r="F190" s="7">
        <v>44260.708333333336</v>
      </c>
      <c r="G190" s="1" t="s">
        <v>74</v>
      </c>
      <c r="H190" s="1">
        <v>6723.47</v>
      </c>
      <c r="I190" s="1">
        <v>1521.11</v>
      </c>
      <c r="J190" s="44"/>
      <c r="L190" s="1"/>
      <c r="M190" s="1"/>
      <c r="P190" s="7"/>
      <c r="Q190" s="1"/>
      <c r="R190" s="1"/>
    </row>
    <row r="191" spans="1:18" x14ac:dyDescent="0.25">
      <c r="A191" s="7">
        <v>44260.708333333336</v>
      </c>
      <c r="B191" s="1" t="s">
        <v>68</v>
      </c>
      <c r="C191" s="1">
        <v>6232.96</v>
      </c>
      <c r="D191" s="1">
        <v>3221.32</v>
      </c>
      <c r="F191" s="7">
        <v>44260.708333333336</v>
      </c>
      <c r="G191" s="1" t="s">
        <v>68</v>
      </c>
      <c r="H191" s="1">
        <v>7509.95</v>
      </c>
      <c r="I191" s="1">
        <v>2696.95</v>
      </c>
      <c r="J191" s="44"/>
      <c r="L191" s="1"/>
      <c r="M191" s="1"/>
      <c r="P191" s="7"/>
      <c r="Q191" s="1"/>
      <c r="R191" s="1"/>
    </row>
    <row r="192" spans="1:18" x14ac:dyDescent="0.25">
      <c r="A192" s="7">
        <v>44260.708333333336</v>
      </c>
      <c r="B192" s="1" t="s">
        <v>77</v>
      </c>
      <c r="C192" s="1">
        <v>10780.93</v>
      </c>
      <c r="D192" s="1">
        <v>4166.1099999999997</v>
      </c>
      <c r="F192" s="7">
        <v>44260.708333333336</v>
      </c>
      <c r="G192" s="1" t="s">
        <v>77</v>
      </c>
      <c r="H192" s="1">
        <v>8905.65</v>
      </c>
      <c r="I192" s="1">
        <v>2848.63</v>
      </c>
      <c r="J192" s="44"/>
      <c r="L192" s="1"/>
      <c r="M192" s="1"/>
      <c r="P192" s="7"/>
      <c r="Q192" s="1"/>
      <c r="R192" s="1"/>
    </row>
    <row r="193" spans="1:18" x14ac:dyDescent="0.25">
      <c r="A193" s="7">
        <v>44260.708333333336</v>
      </c>
      <c r="B193" s="1" t="s">
        <v>71</v>
      </c>
      <c r="C193" s="1">
        <v>6280.85</v>
      </c>
      <c r="D193" s="1">
        <v>2960.04</v>
      </c>
      <c r="F193" s="7">
        <v>44260.708333333336</v>
      </c>
      <c r="G193" s="1" t="s">
        <v>71</v>
      </c>
      <c r="H193" s="1">
        <v>7776.17</v>
      </c>
      <c r="I193" s="1">
        <v>2384.79</v>
      </c>
      <c r="J193" s="44"/>
      <c r="L193" s="1"/>
      <c r="M193" s="1"/>
      <c r="P193" s="7"/>
      <c r="Q193" s="1"/>
      <c r="R193" s="1"/>
    </row>
    <row r="194" spans="1:18" x14ac:dyDescent="0.25">
      <c r="A194" s="7">
        <v>44260.708333333336</v>
      </c>
      <c r="B194" s="1" t="s">
        <v>70</v>
      </c>
      <c r="C194" s="1">
        <v>5258.96</v>
      </c>
      <c r="D194" s="1">
        <v>2822.03</v>
      </c>
      <c r="F194" s="7">
        <v>44260.708333333336</v>
      </c>
      <c r="G194" s="1" t="s">
        <v>70</v>
      </c>
      <c r="H194" s="1">
        <v>5473.84</v>
      </c>
      <c r="I194" s="1">
        <v>2454.5300000000002</v>
      </c>
      <c r="J194" s="44"/>
      <c r="L194" s="1"/>
      <c r="M194" s="1"/>
      <c r="P194" s="7"/>
      <c r="Q194" s="1"/>
      <c r="R194" s="1"/>
    </row>
    <row r="195" spans="1:18" x14ac:dyDescent="0.25">
      <c r="A195" s="7">
        <v>44260.708333333336</v>
      </c>
      <c r="B195" s="1" t="s">
        <v>78</v>
      </c>
      <c r="C195" s="1">
        <v>2167.02</v>
      </c>
      <c r="D195" s="1">
        <v>1490.86</v>
      </c>
      <c r="F195" s="7">
        <v>44260.708333333336</v>
      </c>
      <c r="G195" s="1" t="s">
        <v>78</v>
      </c>
      <c r="H195" s="1">
        <v>1700.29</v>
      </c>
      <c r="I195" s="1">
        <v>1021.49</v>
      </c>
      <c r="J195" s="44"/>
      <c r="L195" s="1"/>
      <c r="M195" s="1"/>
      <c r="P195" s="7"/>
      <c r="Q195" s="1"/>
      <c r="R195" s="1"/>
    </row>
    <row r="196" spans="1:18" x14ac:dyDescent="0.25">
      <c r="A196" s="7">
        <v>44260.708333333336</v>
      </c>
      <c r="B196" s="1" t="s">
        <v>72</v>
      </c>
      <c r="C196" s="1">
        <v>10096.799999999999</v>
      </c>
      <c r="D196" s="1">
        <v>7116.55</v>
      </c>
      <c r="F196" s="7">
        <v>44260.708333333336</v>
      </c>
      <c r="G196" s="1" t="s">
        <v>72</v>
      </c>
      <c r="H196" s="1">
        <v>8365.92</v>
      </c>
      <c r="I196" s="1">
        <v>5654.19</v>
      </c>
      <c r="J196" s="44"/>
      <c r="L196" s="1"/>
      <c r="M196" s="1"/>
      <c r="P196" s="7"/>
      <c r="Q196" s="1"/>
      <c r="R196" s="1"/>
    </row>
    <row r="197" spans="1:18" x14ac:dyDescent="0.25">
      <c r="A197" s="7">
        <v>44260.708333333336</v>
      </c>
      <c r="B197" s="1" t="s">
        <v>76</v>
      </c>
      <c r="C197" s="1">
        <v>7930.02</v>
      </c>
      <c r="D197" s="1">
        <v>2680.98</v>
      </c>
      <c r="F197" s="7">
        <v>44260.708333333336</v>
      </c>
      <c r="G197" s="1" t="s">
        <v>76</v>
      </c>
      <c r="H197" s="1">
        <v>9703.4</v>
      </c>
      <c r="I197" s="1">
        <v>2501.9299999999998</v>
      </c>
      <c r="J197" s="44"/>
      <c r="L197" s="1"/>
      <c r="M197" s="1"/>
      <c r="P197" s="7"/>
      <c r="Q197" s="1"/>
      <c r="R197" s="1"/>
    </row>
    <row r="198" spans="1:18" x14ac:dyDescent="0.25">
      <c r="A198" s="7">
        <v>44260.708333333336</v>
      </c>
      <c r="B198" s="1" t="s">
        <v>73</v>
      </c>
      <c r="C198" s="1">
        <v>5256.44</v>
      </c>
      <c r="D198" s="1">
        <v>1100.3699999999999</v>
      </c>
      <c r="F198" s="7">
        <v>44260.708333333336</v>
      </c>
      <c r="G198" s="1" t="s">
        <v>73</v>
      </c>
      <c r="H198" s="1">
        <v>6222.34</v>
      </c>
      <c r="I198" s="1">
        <v>970.17</v>
      </c>
      <c r="J198" s="44"/>
      <c r="L198" s="1"/>
      <c r="M198" s="1"/>
      <c r="P198" s="7"/>
      <c r="Q198" s="1"/>
      <c r="R198" s="1"/>
    </row>
    <row r="199" spans="1:18" x14ac:dyDescent="0.25">
      <c r="A199" s="7">
        <v>44260.708333333336</v>
      </c>
      <c r="B199" s="1" t="s">
        <v>69</v>
      </c>
      <c r="C199" s="1">
        <v>5125.3100000000004</v>
      </c>
      <c r="D199" s="1">
        <v>5163.84</v>
      </c>
      <c r="F199" s="7">
        <v>44260.708333333336</v>
      </c>
      <c r="G199" s="1" t="s">
        <v>69</v>
      </c>
      <c r="H199" s="1">
        <v>3882.19</v>
      </c>
      <c r="I199" s="1">
        <v>3894.64</v>
      </c>
      <c r="J199" s="44"/>
      <c r="L199" s="1"/>
      <c r="M199" s="1"/>
      <c r="P199" s="7"/>
      <c r="Q199" s="1"/>
      <c r="R199" s="1"/>
    </row>
    <row r="200" spans="1:18" x14ac:dyDescent="0.25">
      <c r="A200" s="7">
        <v>44260.75</v>
      </c>
      <c r="B200" s="1" t="s">
        <v>75</v>
      </c>
      <c r="C200" s="1">
        <v>697.79</v>
      </c>
      <c r="D200" s="1">
        <v>360.07</v>
      </c>
      <c r="F200" s="7">
        <v>44260.75</v>
      </c>
      <c r="G200" s="1" t="s">
        <v>75</v>
      </c>
      <c r="H200" s="1">
        <v>648.07000000000005</v>
      </c>
      <c r="I200" s="1">
        <v>248.37</v>
      </c>
      <c r="J200" s="44"/>
      <c r="L200" s="1"/>
      <c r="M200" s="1"/>
      <c r="P200" s="7"/>
      <c r="Q200" s="1"/>
      <c r="R200" s="1"/>
    </row>
    <row r="201" spans="1:18" x14ac:dyDescent="0.25">
      <c r="A201" s="7">
        <v>44260.75</v>
      </c>
      <c r="B201" s="1" t="s">
        <v>74</v>
      </c>
      <c r="C201" s="1">
        <v>4593.55</v>
      </c>
      <c r="D201" s="1">
        <v>1253.68</v>
      </c>
      <c r="F201" s="7">
        <v>44260.75</v>
      </c>
      <c r="G201" s="1" t="s">
        <v>74</v>
      </c>
      <c r="H201" s="1">
        <v>5528.53</v>
      </c>
      <c r="I201" s="1">
        <v>1042.1099999999999</v>
      </c>
      <c r="J201" s="44"/>
      <c r="L201" s="1"/>
      <c r="M201" s="1"/>
      <c r="P201" s="7"/>
      <c r="Q201" s="1"/>
      <c r="R201" s="1"/>
    </row>
    <row r="202" spans="1:18" x14ac:dyDescent="0.25">
      <c r="A202" s="7">
        <v>44260.75</v>
      </c>
      <c r="B202" s="1" t="s">
        <v>78</v>
      </c>
      <c r="C202" s="1">
        <v>1655.39</v>
      </c>
      <c r="D202" s="1">
        <v>951.09</v>
      </c>
      <c r="F202" s="7">
        <v>44260.75</v>
      </c>
      <c r="G202" s="1" t="s">
        <v>78</v>
      </c>
      <c r="H202" s="1">
        <v>1223.3599999999999</v>
      </c>
      <c r="I202" s="1">
        <v>635.45000000000005</v>
      </c>
      <c r="J202" s="44"/>
      <c r="L202" s="1"/>
      <c r="M202" s="1"/>
      <c r="P202" s="7"/>
      <c r="Q202" s="1"/>
      <c r="R202" s="1"/>
    </row>
    <row r="203" spans="1:18" x14ac:dyDescent="0.25">
      <c r="A203" s="7">
        <v>44260.75</v>
      </c>
      <c r="B203" s="1" t="s">
        <v>72</v>
      </c>
      <c r="C203" s="1">
        <v>6998.98</v>
      </c>
      <c r="D203" s="1">
        <v>4197.62</v>
      </c>
      <c r="F203" s="7">
        <v>44260.75</v>
      </c>
      <c r="G203" s="1" t="s">
        <v>72</v>
      </c>
      <c r="H203" s="1">
        <v>5485.85</v>
      </c>
      <c r="I203" s="1">
        <v>3241.69</v>
      </c>
      <c r="J203" s="44"/>
      <c r="L203" s="1"/>
      <c r="M203" s="1"/>
      <c r="P203" s="7"/>
      <c r="Q203" s="1"/>
      <c r="R203" s="1"/>
    </row>
    <row r="204" spans="1:18" x14ac:dyDescent="0.25">
      <c r="A204" s="7">
        <v>44260.75</v>
      </c>
      <c r="B204" s="1" t="s">
        <v>68</v>
      </c>
      <c r="C204" s="1">
        <v>5147.2700000000004</v>
      </c>
      <c r="D204" s="1">
        <v>2519.62</v>
      </c>
      <c r="F204" s="7">
        <v>44260.75</v>
      </c>
      <c r="G204" s="1" t="s">
        <v>68</v>
      </c>
      <c r="H204" s="1">
        <v>6098.68</v>
      </c>
      <c r="I204" s="1">
        <v>2042.17</v>
      </c>
      <c r="J204" s="44"/>
      <c r="L204" s="1"/>
      <c r="M204" s="1"/>
      <c r="P204" s="7"/>
      <c r="Q204" s="1"/>
      <c r="R204" s="1"/>
    </row>
    <row r="205" spans="1:18" x14ac:dyDescent="0.25">
      <c r="A205" s="7">
        <v>44260.75</v>
      </c>
      <c r="B205" s="1" t="s">
        <v>69</v>
      </c>
      <c r="C205" s="1">
        <v>3585.93</v>
      </c>
      <c r="D205" s="1">
        <v>2913.93</v>
      </c>
      <c r="F205" s="7">
        <v>44260.75</v>
      </c>
      <c r="G205" s="1" t="s">
        <v>69</v>
      </c>
      <c r="H205" s="1">
        <v>2512.23</v>
      </c>
      <c r="I205" s="1">
        <v>2112.14</v>
      </c>
      <c r="J205" s="44"/>
      <c r="L205" s="1"/>
      <c r="M205" s="1"/>
      <c r="P205" s="7"/>
      <c r="Q205" s="1"/>
      <c r="R205" s="1"/>
    </row>
    <row r="206" spans="1:18" x14ac:dyDescent="0.25">
      <c r="A206" s="7">
        <v>44260.75</v>
      </c>
      <c r="B206" s="1" t="s">
        <v>70</v>
      </c>
      <c r="C206" s="1">
        <v>3941.63</v>
      </c>
      <c r="D206" s="1">
        <v>1854.68</v>
      </c>
      <c r="F206" s="7">
        <v>44260.75</v>
      </c>
      <c r="G206" s="1" t="s">
        <v>70</v>
      </c>
      <c r="H206" s="1">
        <v>3961.63</v>
      </c>
      <c r="I206" s="1">
        <v>1659.26</v>
      </c>
      <c r="J206" s="44"/>
      <c r="L206" s="1"/>
      <c r="M206" s="1"/>
      <c r="P206" s="7"/>
      <c r="Q206" s="1"/>
      <c r="R206" s="1"/>
    </row>
    <row r="207" spans="1:18" x14ac:dyDescent="0.25">
      <c r="A207" s="7">
        <v>44260.75</v>
      </c>
      <c r="B207" s="1" t="s">
        <v>76</v>
      </c>
      <c r="C207" s="1">
        <v>6267.6</v>
      </c>
      <c r="D207" s="1">
        <v>1889.81</v>
      </c>
      <c r="F207" s="7">
        <v>44260.75</v>
      </c>
      <c r="G207" s="1" t="s">
        <v>76</v>
      </c>
      <c r="H207" s="1">
        <v>7945.36</v>
      </c>
      <c r="I207" s="1">
        <v>1773.92</v>
      </c>
      <c r="J207" s="44"/>
      <c r="L207" s="1"/>
      <c r="M207" s="1"/>
      <c r="P207" s="7"/>
      <c r="Q207" s="1"/>
      <c r="R207" s="1"/>
    </row>
    <row r="208" spans="1:18" x14ac:dyDescent="0.25">
      <c r="A208" s="7">
        <v>44260.75</v>
      </c>
      <c r="B208" s="1" t="s">
        <v>73</v>
      </c>
      <c r="C208" s="1">
        <v>4124.8999999999996</v>
      </c>
      <c r="D208" s="1">
        <v>753.28</v>
      </c>
      <c r="F208" s="7">
        <v>44260.75</v>
      </c>
      <c r="G208" s="1" t="s">
        <v>73</v>
      </c>
      <c r="H208" s="1">
        <v>4661.6099999999997</v>
      </c>
      <c r="I208" s="1">
        <v>683.11</v>
      </c>
      <c r="J208" s="44"/>
      <c r="L208" s="1"/>
      <c r="M208" s="1"/>
      <c r="P208" s="7"/>
      <c r="Q208" s="1"/>
      <c r="R208" s="1"/>
    </row>
    <row r="209" spans="1:18" x14ac:dyDescent="0.25">
      <c r="A209" s="7">
        <v>44260.75</v>
      </c>
      <c r="B209" s="1" t="s">
        <v>71</v>
      </c>
      <c r="C209" s="1">
        <v>4821.57</v>
      </c>
      <c r="D209" s="1">
        <v>2094.27</v>
      </c>
      <c r="F209" s="7">
        <v>44260.75</v>
      </c>
      <c r="G209" s="1" t="s">
        <v>77</v>
      </c>
      <c r="H209" s="1">
        <v>7246.06</v>
      </c>
      <c r="I209" s="1">
        <v>2042.7</v>
      </c>
      <c r="J209" s="44"/>
      <c r="L209" s="1"/>
      <c r="M209" s="1"/>
      <c r="P209" s="7"/>
      <c r="Q209" s="1"/>
      <c r="R209" s="1"/>
    </row>
    <row r="210" spans="1:18" x14ac:dyDescent="0.25">
      <c r="A210" s="7">
        <v>44260.75</v>
      </c>
      <c r="B210" s="1" t="s">
        <v>77</v>
      </c>
      <c r="C210" s="1">
        <v>9653.76</v>
      </c>
      <c r="D210" s="1">
        <v>3374.73</v>
      </c>
      <c r="F210" s="7">
        <v>44260.75</v>
      </c>
      <c r="G210" s="1" t="s">
        <v>71</v>
      </c>
      <c r="H210" s="1">
        <v>5760.03</v>
      </c>
      <c r="I210" s="1">
        <v>1710.13</v>
      </c>
      <c r="J210" s="44"/>
      <c r="L210" s="1"/>
      <c r="M210" s="1"/>
      <c r="P210" s="7"/>
      <c r="Q210" s="1"/>
      <c r="R210" s="1"/>
    </row>
    <row r="211" spans="1:18" x14ac:dyDescent="0.25">
      <c r="A211" s="7">
        <v>44260.791666666664</v>
      </c>
      <c r="B211" s="1" t="s">
        <v>74</v>
      </c>
      <c r="C211" s="1">
        <v>14057.87</v>
      </c>
      <c r="D211" s="1">
        <v>3751.16</v>
      </c>
      <c r="F211" s="7">
        <v>44260.791666666664</v>
      </c>
      <c r="G211" s="1" t="s">
        <v>74</v>
      </c>
      <c r="H211" s="1">
        <v>17103.938999999998</v>
      </c>
      <c r="I211" s="1">
        <v>2956.39</v>
      </c>
      <c r="J211" s="44"/>
      <c r="L211" s="1"/>
      <c r="M211" s="1"/>
      <c r="P211" s="7"/>
      <c r="Q211" s="1"/>
      <c r="R211" s="1"/>
    </row>
    <row r="212" spans="1:18" x14ac:dyDescent="0.25">
      <c r="A212" s="7">
        <v>44260.791666666664</v>
      </c>
      <c r="B212" s="1" t="s">
        <v>78</v>
      </c>
      <c r="C212" s="1">
        <v>5159.87</v>
      </c>
      <c r="D212" s="1">
        <v>3296.53</v>
      </c>
      <c r="F212" s="7">
        <v>44260.791666666664</v>
      </c>
      <c r="G212" s="1" t="s">
        <v>78</v>
      </c>
      <c r="H212" s="1">
        <v>3581.47</v>
      </c>
      <c r="I212" s="1">
        <v>1941.93</v>
      </c>
      <c r="J212" s="44"/>
      <c r="L212" s="1"/>
      <c r="M212" s="1"/>
      <c r="P212" s="7"/>
      <c r="Q212" s="1"/>
      <c r="R212" s="1"/>
    </row>
    <row r="213" spans="1:18" x14ac:dyDescent="0.25">
      <c r="A213" s="7">
        <v>44260.791666666664</v>
      </c>
      <c r="B213" s="1" t="s">
        <v>75</v>
      </c>
      <c r="C213" s="1">
        <v>2357.9299999999998</v>
      </c>
      <c r="D213" s="1">
        <v>1301.5</v>
      </c>
      <c r="F213" s="7">
        <v>44260.791666666664</v>
      </c>
      <c r="G213" s="1" t="s">
        <v>75</v>
      </c>
      <c r="H213" s="1">
        <v>2176.79</v>
      </c>
      <c r="I213" s="1">
        <v>818.88</v>
      </c>
      <c r="J213" s="44"/>
      <c r="L213" s="1"/>
      <c r="M213" s="1"/>
      <c r="P213" s="7"/>
      <c r="Q213" s="1"/>
      <c r="R213" s="1"/>
    </row>
    <row r="214" spans="1:18" x14ac:dyDescent="0.25">
      <c r="A214" s="7">
        <v>44260.791666666664</v>
      </c>
      <c r="B214" s="1" t="s">
        <v>72</v>
      </c>
      <c r="C214" s="1">
        <v>22191.07</v>
      </c>
      <c r="D214" s="1">
        <v>13462.77</v>
      </c>
      <c r="F214" s="7">
        <v>44260.791666666664</v>
      </c>
      <c r="G214" s="1" t="s">
        <v>72</v>
      </c>
      <c r="H214" s="1">
        <v>16028.55</v>
      </c>
      <c r="I214" s="1">
        <v>9346.41</v>
      </c>
      <c r="J214" s="44"/>
      <c r="L214" s="1"/>
      <c r="M214" s="1"/>
      <c r="P214" s="7"/>
      <c r="Q214" s="1"/>
      <c r="R214" s="1"/>
    </row>
    <row r="215" spans="1:18" x14ac:dyDescent="0.25">
      <c r="A215" s="7">
        <v>44260.791666666664</v>
      </c>
      <c r="B215" s="1" t="s">
        <v>68</v>
      </c>
      <c r="C215" s="1">
        <v>15470.77</v>
      </c>
      <c r="D215" s="1">
        <v>6938.7</v>
      </c>
      <c r="F215" s="7">
        <v>44260.791666666664</v>
      </c>
      <c r="G215" s="1" t="s">
        <v>68</v>
      </c>
      <c r="H215" s="1">
        <v>18998.891</v>
      </c>
      <c r="I215" s="1">
        <v>5482.53</v>
      </c>
      <c r="J215" s="44"/>
      <c r="L215" s="1"/>
      <c r="M215" s="1"/>
      <c r="P215" s="7"/>
      <c r="Q215" s="1"/>
      <c r="R215" s="1"/>
    </row>
    <row r="216" spans="1:18" x14ac:dyDescent="0.25">
      <c r="A216" s="7">
        <v>44260.791666666664</v>
      </c>
      <c r="B216" s="1" t="s">
        <v>71</v>
      </c>
      <c r="C216" s="1">
        <v>16305.23</v>
      </c>
      <c r="D216" s="1">
        <v>6361.18</v>
      </c>
      <c r="F216" s="7">
        <v>44260.791666666664</v>
      </c>
      <c r="G216" s="1" t="s">
        <v>71</v>
      </c>
      <c r="H216" s="1">
        <v>20617.84</v>
      </c>
      <c r="I216" s="1">
        <v>5017.16</v>
      </c>
      <c r="J216" s="44"/>
      <c r="L216" s="1"/>
      <c r="M216" s="1"/>
      <c r="P216" s="7"/>
      <c r="Q216" s="1"/>
      <c r="R216" s="1"/>
    </row>
    <row r="217" spans="1:18" x14ac:dyDescent="0.25">
      <c r="A217" s="7">
        <v>44260.791666666664</v>
      </c>
      <c r="B217" s="1" t="s">
        <v>69</v>
      </c>
      <c r="C217" s="1">
        <v>11855.34</v>
      </c>
      <c r="D217" s="1">
        <v>9917.77</v>
      </c>
      <c r="F217" s="7">
        <v>44260.791666666664</v>
      </c>
      <c r="G217" s="1" t="s">
        <v>69</v>
      </c>
      <c r="H217" s="1">
        <v>7375.21</v>
      </c>
      <c r="I217" s="1">
        <v>6254.85</v>
      </c>
      <c r="J217" s="44"/>
      <c r="L217" s="1"/>
      <c r="M217" s="1"/>
      <c r="P217" s="7"/>
      <c r="Q217" s="1"/>
      <c r="R217" s="1"/>
    </row>
    <row r="218" spans="1:18" x14ac:dyDescent="0.25">
      <c r="A218" s="7">
        <v>44260.791666666664</v>
      </c>
      <c r="B218" s="1" t="s">
        <v>76</v>
      </c>
      <c r="C218" s="1">
        <v>21575.68</v>
      </c>
      <c r="D218" s="1">
        <v>6070.8</v>
      </c>
      <c r="F218" s="7">
        <v>44260.791666666664</v>
      </c>
      <c r="G218" s="1" t="s">
        <v>76</v>
      </c>
      <c r="H218" s="1">
        <v>27739.99</v>
      </c>
      <c r="I218" s="1">
        <v>5531.39</v>
      </c>
      <c r="J218" s="44"/>
      <c r="L218" s="1"/>
      <c r="M218" s="1"/>
      <c r="P218" s="7"/>
      <c r="Q218" s="1"/>
      <c r="R218" s="1"/>
    </row>
    <row r="219" spans="1:18" x14ac:dyDescent="0.25">
      <c r="A219" s="7">
        <v>44260.791666666664</v>
      </c>
      <c r="B219" s="1" t="s">
        <v>73</v>
      </c>
      <c r="C219" s="1">
        <v>12808.02</v>
      </c>
      <c r="D219" s="1">
        <v>2229.9499999999998</v>
      </c>
      <c r="F219" s="7">
        <v>44260.791666666664</v>
      </c>
      <c r="G219" s="1" t="s">
        <v>73</v>
      </c>
      <c r="H219" s="1">
        <v>15561.13</v>
      </c>
      <c r="I219" s="1">
        <v>1988.29</v>
      </c>
      <c r="J219" s="44"/>
      <c r="L219" s="1"/>
      <c r="M219" s="1"/>
      <c r="P219" s="7"/>
      <c r="Q219" s="1"/>
      <c r="R219" s="1"/>
    </row>
    <row r="220" spans="1:18" x14ac:dyDescent="0.25">
      <c r="A220" s="7">
        <v>44260.791666666664</v>
      </c>
      <c r="B220" s="1" t="s">
        <v>77</v>
      </c>
      <c r="C220" s="1">
        <v>28169.811000000002</v>
      </c>
      <c r="D220" s="1">
        <v>9616.48</v>
      </c>
      <c r="F220" s="7">
        <v>44260.791666666664</v>
      </c>
      <c r="G220" s="1" t="s">
        <v>77</v>
      </c>
      <c r="H220" s="1">
        <v>20185.789000000001</v>
      </c>
      <c r="I220" s="1">
        <v>5391.58</v>
      </c>
      <c r="J220" s="44"/>
      <c r="L220" s="1"/>
      <c r="M220" s="1"/>
      <c r="P220" s="7"/>
      <c r="Q220" s="1"/>
      <c r="R220" s="1"/>
    </row>
    <row r="221" spans="1:18" x14ac:dyDescent="0.25">
      <c r="A221" s="7">
        <v>44260.791666666664</v>
      </c>
      <c r="B221" s="1" t="s">
        <v>70</v>
      </c>
      <c r="C221" s="1">
        <v>13525.48</v>
      </c>
      <c r="D221" s="1">
        <v>6350.78</v>
      </c>
      <c r="F221" s="7">
        <v>44260.791666666664</v>
      </c>
      <c r="G221" s="1" t="s">
        <v>70</v>
      </c>
      <c r="H221" s="1">
        <v>13703.04</v>
      </c>
      <c r="I221" s="1">
        <v>5232.3599999999997</v>
      </c>
      <c r="J221" s="44"/>
      <c r="L221" s="1"/>
      <c r="M221" s="1"/>
      <c r="P221" s="7"/>
      <c r="Q221" s="1"/>
      <c r="R221" s="1"/>
    </row>
    <row r="222" spans="1:18" x14ac:dyDescent="0.25">
      <c r="A222" s="7">
        <v>44260.833333333336</v>
      </c>
      <c r="B222" s="1" t="s">
        <v>74</v>
      </c>
      <c r="C222" s="1">
        <v>12290.75</v>
      </c>
      <c r="D222" s="1">
        <v>3356.76</v>
      </c>
      <c r="F222" s="7">
        <v>44260.833333333336</v>
      </c>
      <c r="G222" s="1" t="s">
        <v>74</v>
      </c>
      <c r="H222" s="1">
        <v>14713.1</v>
      </c>
      <c r="I222" s="1">
        <v>2609.0300000000002</v>
      </c>
      <c r="J222" s="44"/>
      <c r="L222" s="1"/>
      <c r="M222" s="1"/>
      <c r="P222" s="7"/>
      <c r="Q222" s="1"/>
      <c r="R222" s="1"/>
    </row>
    <row r="223" spans="1:18" x14ac:dyDescent="0.25">
      <c r="A223" s="7">
        <v>44260.833333333336</v>
      </c>
      <c r="B223" s="1" t="s">
        <v>78</v>
      </c>
      <c r="C223" s="1">
        <v>4186.07</v>
      </c>
      <c r="D223" s="1">
        <v>2787.03</v>
      </c>
      <c r="F223" s="7">
        <v>44260.833333333336</v>
      </c>
      <c r="G223" s="1" t="s">
        <v>78</v>
      </c>
      <c r="H223" s="1">
        <v>3078.25</v>
      </c>
      <c r="I223" s="1">
        <v>1658.54</v>
      </c>
      <c r="J223" s="44"/>
      <c r="L223" s="1"/>
      <c r="M223" s="1"/>
      <c r="P223" s="7"/>
      <c r="Q223" s="1"/>
      <c r="R223" s="1"/>
    </row>
    <row r="224" spans="1:18" x14ac:dyDescent="0.25">
      <c r="A224" s="7">
        <v>44260.833333333336</v>
      </c>
      <c r="B224" s="1" t="s">
        <v>75</v>
      </c>
      <c r="C224" s="1">
        <v>1843.96</v>
      </c>
      <c r="D224" s="1">
        <v>1059.3800000000001</v>
      </c>
      <c r="F224" s="7">
        <v>44260.833333333336</v>
      </c>
      <c r="G224" s="1" t="s">
        <v>75</v>
      </c>
      <c r="H224" s="1">
        <v>1774.29</v>
      </c>
      <c r="I224" s="1">
        <v>643.41999999999996</v>
      </c>
      <c r="J224" s="44"/>
      <c r="L224" s="1"/>
      <c r="M224" s="1"/>
      <c r="P224" s="7"/>
      <c r="Q224" s="1"/>
      <c r="R224" s="1"/>
    </row>
    <row r="225" spans="1:18" x14ac:dyDescent="0.25">
      <c r="A225" s="7">
        <v>44260.833333333336</v>
      </c>
      <c r="B225" s="1" t="s">
        <v>76</v>
      </c>
      <c r="C225" s="1">
        <v>18521.43</v>
      </c>
      <c r="D225" s="1">
        <v>5285.27</v>
      </c>
      <c r="F225" s="7">
        <v>44260.833333333336</v>
      </c>
      <c r="G225" s="1" t="s">
        <v>76</v>
      </c>
      <c r="H225" s="1">
        <v>23024.6</v>
      </c>
      <c r="I225" s="1">
        <v>4594.33</v>
      </c>
      <c r="J225" s="44"/>
      <c r="L225" s="1"/>
      <c r="M225" s="1"/>
      <c r="P225" s="7"/>
      <c r="Q225" s="1"/>
      <c r="R225" s="1"/>
    </row>
    <row r="226" spans="1:18" x14ac:dyDescent="0.25">
      <c r="A226" s="7">
        <v>44260.833333333336</v>
      </c>
      <c r="B226" s="1" t="s">
        <v>73</v>
      </c>
      <c r="C226" s="1">
        <v>10975.99</v>
      </c>
      <c r="D226" s="1">
        <v>2067.73</v>
      </c>
      <c r="F226" s="7">
        <v>44260.833333333336</v>
      </c>
      <c r="G226" s="1" t="s">
        <v>73</v>
      </c>
      <c r="H226" s="1">
        <v>12918.71</v>
      </c>
      <c r="I226" s="1">
        <v>1701.91</v>
      </c>
      <c r="J226" s="44"/>
      <c r="L226" s="1"/>
      <c r="M226" s="1"/>
      <c r="P226" s="7"/>
      <c r="Q226" s="1"/>
      <c r="R226" s="1"/>
    </row>
    <row r="227" spans="1:18" x14ac:dyDescent="0.25">
      <c r="A227" s="7">
        <v>44260.833333333336</v>
      </c>
      <c r="B227" s="1" t="s">
        <v>68</v>
      </c>
      <c r="C227" s="1">
        <v>13533.05</v>
      </c>
      <c r="D227" s="1">
        <v>6347.48</v>
      </c>
      <c r="F227" s="7">
        <v>44260.833333333336</v>
      </c>
      <c r="G227" s="1" t="s">
        <v>68</v>
      </c>
      <c r="H227" s="1">
        <v>16678.150000000001</v>
      </c>
      <c r="I227" s="1">
        <v>4936.42</v>
      </c>
      <c r="J227" s="44"/>
      <c r="L227" s="1"/>
      <c r="M227" s="1"/>
      <c r="P227" s="7"/>
      <c r="Q227" s="1"/>
      <c r="R227" s="1"/>
    </row>
    <row r="228" spans="1:18" x14ac:dyDescent="0.25">
      <c r="A228" s="7">
        <v>44260.833333333336</v>
      </c>
      <c r="B228" s="1" t="s">
        <v>71</v>
      </c>
      <c r="C228" s="1">
        <v>14266.56</v>
      </c>
      <c r="D228" s="1">
        <v>5812.43</v>
      </c>
      <c r="F228" s="7">
        <v>44260.833333333336</v>
      </c>
      <c r="G228" s="1" t="s">
        <v>71</v>
      </c>
      <c r="H228" s="1">
        <v>17844.539000000001</v>
      </c>
      <c r="I228" s="1">
        <v>4345.29</v>
      </c>
      <c r="J228" s="44"/>
      <c r="L228" s="1"/>
      <c r="M228" s="1"/>
      <c r="P228" s="7"/>
      <c r="Q228" s="1"/>
      <c r="R228" s="1"/>
    </row>
    <row r="229" spans="1:18" x14ac:dyDescent="0.25">
      <c r="A229" s="7">
        <v>44260.833333333336</v>
      </c>
      <c r="B229" s="1" t="s">
        <v>70</v>
      </c>
      <c r="C229" s="1">
        <v>10634.83</v>
      </c>
      <c r="D229" s="1">
        <v>5129.0200000000004</v>
      </c>
      <c r="F229" s="7">
        <v>44260.833333333336</v>
      </c>
      <c r="G229" s="1" t="s">
        <v>70</v>
      </c>
      <c r="H229" s="1">
        <v>10631.29</v>
      </c>
      <c r="I229" s="1">
        <v>4179.26</v>
      </c>
      <c r="J229" s="44"/>
      <c r="L229" s="1"/>
      <c r="M229" s="1"/>
      <c r="P229" s="7"/>
      <c r="Q229" s="1"/>
      <c r="R229" s="1"/>
    </row>
    <row r="230" spans="1:18" x14ac:dyDescent="0.25">
      <c r="A230" s="7">
        <v>44260.833333333336</v>
      </c>
      <c r="B230" s="1" t="s">
        <v>72</v>
      </c>
      <c r="C230" s="1">
        <v>17463.859</v>
      </c>
      <c r="D230" s="1">
        <v>11195.36</v>
      </c>
      <c r="F230" s="7">
        <v>44260.833333333336</v>
      </c>
      <c r="G230" s="1" t="s">
        <v>72</v>
      </c>
      <c r="H230" s="1">
        <v>13315.09</v>
      </c>
      <c r="I230" s="1">
        <v>7903.32</v>
      </c>
      <c r="J230" s="44"/>
      <c r="L230" s="1"/>
      <c r="M230" s="1"/>
      <c r="P230" s="7"/>
      <c r="Q230" s="1"/>
      <c r="R230" s="1"/>
    </row>
    <row r="231" spans="1:18" x14ac:dyDescent="0.25">
      <c r="A231" s="7">
        <v>44260.833333333336</v>
      </c>
      <c r="B231" s="1" t="s">
        <v>77</v>
      </c>
      <c r="C231" s="1">
        <v>22272.23</v>
      </c>
      <c r="D231" s="1">
        <v>7663.33</v>
      </c>
      <c r="F231" s="7">
        <v>44260.833333333336</v>
      </c>
      <c r="G231" s="1" t="s">
        <v>77</v>
      </c>
      <c r="H231" s="1">
        <v>17512.460999999999</v>
      </c>
      <c r="I231" s="1">
        <v>4608.5</v>
      </c>
      <c r="J231" s="44"/>
      <c r="L231" s="1"/>
      <c r="M231" s="1"/>
      <c r="P231" s="7"/>
      <c r="Q231" s="1"/>
      <c r="R231" s="1"/>
    </row>
    <row r="232" spans="1:18" x14ac:dyDescent="0.25">
      <c r="A232" s="7">
        <v>44260.833333333336</v>
      </c>
      <c r="B232" s="1" t="s">
        <v>69</v>
      </c>
      <c r="C232" s="1">
        <v>9648.27</v>
      </c>
      <c r="D232" s="1">
        <v>8742.06</v>
      </c>
      <c r="F232" s="7">
        <v>44260.833333333336</v>
      </c>
      <c r="G232" s="1" t="s">
        <v>69</v>
      </c>
      <c r="H232" s="1">
        <v>6555.23</v>
      </c>
      <c r="I232" s="1">
        <v>5612.52</v>
      </c>
      <c r="J232" s="44"/>
      <c r="L232" s="1"/>
      <c r="M232" s="1"/>
      <c r="P232" s="7"/>
      <c r="Q232" s="1"/>
      <c r="R232" s="1"/>
    </row>
    <row r="233" spans="1:18" x14ac:dyDescent="0.25">
      <c r="A233" s="7">
        <v>44260.875</v>
      </c>
      <c r="B233" s="1" t="s">
        <v>75</v>
      </c>
      <c r="C233" s="1">
        <v>1829.71</v>
      </c>
      <c r="D233" s="1">
        <v>1036.3699999999999</v>
      </c>
      <c r="F233" s="7">
        <v>44260.875</v>
      </c>
      <c r="G233" s="1" t="s">
        <v>75</v>
      </c>
      <c r="H233" s="1">
        <v>1724.94</v>
      </c>
      <c r="I233" s="1">
        <v>644.61</v>
      </c>
      <c r="J233" s="44"/>
      <c r="L233" s="1"/>
      <c r="M233" s="1"/>
      <c r="P233" s="7"/>
      <c r="Q233" s="1"/>
      <c r="R233" s="1"/>
    </row>
    <row r="234" spans="1:18" x14ac:dyDescent="0.25">
      <c r="A234" s="7">
        <v>44260.875</v>
      </c>
      <c r="B234" s="1" t="s">
        <v>74</v>
      </c>
      <c r="C234" s="1">
        <v>10766.66</v>
      </c>
      <c r="D234" s="1">
        <v>2992.51</v>
      </c>
      <c r="F234" s="7">
        <v>44260.875</v>
      </c>
      <c r="G234" s="1" t="s">
        <v>74</v>
      </c>
      <c r="H234" s="1">
        <v>12810.06</v>
      </c>
      <c r="I234" s="1">
        <v>2313.8200000000002</v>
      </c>
      <c r="J234" s="44"/>
      <c r="L234" s="1"/>
      <c r="M234" s="1"/>
      <c r="P234" s="7"/>
      <c r="Q234" s="1"/>
      <c r="R234" s="1"/>
    </row>
    <row r="235" spans="1:18" x14ac:dyDescent="0.25">
      <c r="A235" s="7">
        <v>44260.875</v>
      </c>
      <c r="B235" s="1" t="s">
        <v>77</v>
      </c>
      <c r="C235" s="1">
        <v>20362.618999999999</v>
      </c>
      <c r="D235" s="1">
        <v>7071.11</v>
      </c>
      <c r="F235" s="7">
        <v>44260.875</v>
      </c>
      <c r="G235" s="1" t="s">
        <v>77</v>
      </c>
      <c r="H235" s="1">
        <v>16733.400000000001</v>
      </c>
      <c r="I235" s="1">
        <v>4531.53</v>
      </c>
      <c r="J235" s="44"/>
      <c r="L235" s="1"/>
      <c r="M235" s="1"/>
      <c r="P235" s="7"/>
      <c r="Q235" s="1"/>
      <c r="R235" s="1"/>
    </row>
    <row r="236" spans="1:18" x14ac:dyDescent="0.25">
      <c r="A236" s="7">
        <v>44260.875</v>
      </c>
      <c r="B236" s="1" t="s">
        <v>71</v>
      </c>
      <c r="C236" s="1">
        <v>12641.21</v>
      </c>
      <c r="D236" s="1">
        <v>5162.43</v>
      </c>
      <c r="F236" s="7">
        <v>44260.875</v>
      </c>
      <c r="G236" s="1" t="s">
        <v>71</v>
      </c>
      <c r="H236" s="1">
        <v>15496.02</v>
      </c>
      <c r="I236" s="1">
        <v>3859.69</v>
      </c>
      <c r="J236" s="44"/>
      <c r="L236" s="1"/>
      <c r="M236" s="1"/>
      <c r="P236" s="7"/>
      <c r="Q236" s="1"/>
      <c r="R236" s="1"/>
    </row>
    <row r="237" spans="1:18" x14ac:dyDescent="0.25">
      <c r="A237" s="7">
        <v>44260.875</v>
      </c>
      <c r="B237" s="1" t="s">
        <v>70</v>
      </c>
      <c r="C237" s="1">
        <v>9742.67</v>
      </c>
      <c r="D237" s="1">
        <v>4792.04</v>
      </c>
      <c r="F237" s="7">
        <v>44260.875</v>
      </c>
      <c r="G237" s="1" t="s">
        <v>70</v>
      </c>
      <c r="H237" s="1">
        <v>9507.65</v>
      </c>
      <c r="I237" s="1">
        <v>3807.43</v>
      </c>
      <c r="J237" s="44"/>
      <c r="L237" s="1"/>
      <c r="M237" s="1"/>
      <c r="P237" s="7"/>
      <c r="Q237" s="1"/>
      <c r="R237" s="1"/>
    </row>
    <row r="238" spans="1:18" x14ac:dyDescent="0.25">
      <c r="A238" s="7">
        <v>44260.875</v>
      </c>
      <c r="B238" s="1" t="s">
        <v>78</v>
      </c>
      <c r="C238" s="1">
        <v>4133.6000000000004</v>
      </c>
      <c r="D238" s="1">
        <v>2596.48</v>
      </c>
      <c r="F238" s="7">
        <v>44260.875</v>
      </c>
      <c r="G238" s="1" t="s">
        <v>78</v>
      </c>
      <c r="H238" s="1">
        <v>3214.82</v>
      </c>
      <c r="I238" s="1">
        <v>1616.16</v>
      </c>
      <c r="J238" s="44"/>
      <c r="L238" s="1"/>
      <c r="M238" s="1"/>
      <c r="P238" s="7"/>
      <c r="Q238" s="1"/>
      <c r="R238" s="1"/>
    </row>
    <row r="239" spans="1:18" x14ac:dyDescent="0.25">
      <c r="A239" s="7">
        <v>44260.875</v>
      </c>
      <c r="B239" s="1" t="s">
        <v>76</v>
      </c>
      <c r="C239" s="1">
        <v>16866.650000000001</v>
      </c>
      <c r="D239" s="1">
        <v>4803.38</v>
      </c>
      <c r="F239" s="7">
        <v>44260.875</v>
      </c>
      <c r="G239" s="1" t="s">
        <v>76</v>
      </c>
      <c r="H239" s="1">
        <v>20439</v>
      </c>
      <c r="I239" s="1">
        <v>4190.2700000000004</v>
      </c>
      <c r="J239" s="44"/>
      <c r="L239" s="1"/>
      <c r="M239" s="1"/>
      <c r="P239" s="7"/>
      <c r="Q239" s="1"/>
      <c r="R239" s="1"/>
    </row>
    <row r="240" spans="1:18" x14ac:dyDescent="0.25">
      <c r="A240" s="7">
        <v>44260.875</v>
      </c>
      <c r="B240" s="1" t="s">
        <v>72</v>
      </c>
      <c r="C240" s="1">
        <v>15902.79</v>
      </c>
      <c r="D240" s="1">
        <v>10020.42</v>
      </c>
      <c r="F240" s="7">
        <v>44260.875</v>
      </c>
      <c r="G240" s="1" t="s">
        <v>72</v>
      </c>
      <c r="H240" s="1">
        <v>12417.88</v>
      </c>
      <c r="I240" s="1">
        <v>7292.59</v>
      </c>
      <c r="J240" s="44"/>
      <c r="L240" s="1"/>
      <c r="M240" s="1"/>
      <c r="P240" s="7"/>
      <c r="Q240" s="1"/>
      <c r="R240" s="1"/>
    </row>
    <row r="241" spans="1:18" x14ac:dyDescent="0.25">
      <c r="A241" s="7">
        <v>44260.875</v>
      </c>
      <c r="B241" s="1" t="s">
        <v>73</v>
      </c>
      <c r="C241" s="1">
        <v>10265.68</v>
      </c>
      <c r="D241" s="1">
        <v>1858.8</v>
      </c>
      <c r="F241" s="7">
        <v>44260.875</v>
      </c>
      <c r="G241" s="1" t="s">
        <v>73</v>
      </c>
      <c r="H241" s="1">
        <v>11641.04</v>
      </c>
      <c r="I241" s="1">
        <v>1532.53</v>
      </c>
      <c r="J241" s="44"/>
      <c r="L241" s="1"/>
      <c r="M241" s="1"/>
      <c r="P241" s="7"/>
      <c r="Q241" s="1"/>
      <c r="R241" s="1"/>
    </row>
    <row r="242" spans="1:18" x14ac:dyDescent="0.25">
      <c r="A242" s="7">
        <v>44260.875</v>
      </c>
      <c r="B242" s="1" t="s">
        <v>68</v>
      </c>
      <c r="C242" s="1">
        <v>12425.36</v>
      </c>
      <c r="D242" s="1">
        <v>5751.23</v>
      </c>
      <c r="F242" s="7">
        <v>44260.875</v>
      </c>
      <c r="G242" s="1" t="s">
        <v>68</v>
      </c>
      <c r="H242" s="1">
        <v>15232.4</v>
      </c>
      <c r="I242" s="1">
        <v>4373.57</v>
      </c>
      <c r="J242" s="44"/>
      <c r="L242" s="1"/>
      <c r="M242" s="1"/>
      <c r="P242" s="7"/>
      <c r="Q242" s="1"/>
      <c r="R242" s="1"/>
    </row>
    <row r="243" spans="1:18" x14ac:dyDescent="0.25">
      <c r="A243" s="7">
        <v>44260.875</v>
      </c>
      <c r="B243" s="1" t="s">
        <v>69</v>
      </c>
      <c r="C243" s="1">
        <v>8650.9</v>
      </c>
      <c r="D243" s="1">
        <v>7652.66</v>
      </c>
      <c r="F243" s="7">
        <v>44260.875</v>
      </c>
      <c r="G243" s="1" t="s">
        <v>69</v>
      </c>
      <c r="H243" s="1">
        <v>6323.44</v>
      </c>
      <c r="I243" s="1">
        <v>5192.08</v>
      </c>
      <c r="J243" s="44"/>
      <c r="L243" s="1"/>
      <c r="M243" s="1"/>
      <c r="P243" s="7"/>
      <c r="Q243" s="1"/>
      <c r="R243" s="1"/>
    </row>
    <row r="244" spans="1:18" x14ac:dyDescent="0.25">
      <c r="A244" s="7">
        <v>44260.916666666664</v>
      </c>
      <c r="B244" s="1" t="s">
        <v>75</v>
      </c>
      <c r="C244" s="1">
        <v>1660.79</v>
      </c>
      <c r="D244" s="1">
        <v>1017.86</v>
      </c>
      <c r="F244" s="7">
        <v>44260.916666666664</v>
      </c>
      <c r="G244" s="1" t="s">
        <v>75</v>
      </c>
      <c r="H244" s="1">
        <v>1555.26</v>
      </c>
      <c r="I244" s="1">
        <v>640.49</v>
      </c>
      <c r="J244" s="44"/>
      <c r="L244" s="1"/>
      <c r="M244" s="1"/>
      <c r="P244" s="7"/>
      <c r="Q244" s="1"/>
      <c r="R244" s="1"/>
    </row>
    <row r="245" spans="1:18" x14ac:dyDescent="0.25">
      <c r="A245" s="7">
        <v>44260.916666666664</v>
      </c>
      <c r="B245" s="1" t="s">
        <v>74</v>
      </c>
      <c r="C245" s="1">
        <v>7272.77</v>
      </c>
      <c r="D245" s="1">
        <v>2262.06</v>
      </c>
      <c r="F245" s="7">
        <v>44260.916666666664</v>
      </c>
      <c r="G245" s="1" t="s">
        <v>74</v>
      </c>
      <c r="H245" s="1">
        <v>8531.26</v>
      </c>
      <c r="I245" s="1">
        <v>1786.36</v>
      </c>
      <c r="J245" s="44"/>
      <c r="L245" s="1"/>
      <c r="M245" s="1"/>
      <c r="P245" s="7"/>
      <c r="Q245" s="1"/>
      <c r="R245" s="1"/>
    </row>
    <row r="246" spans="1:18" x14ac:dyDescent="0.25">
      <c r="A246" s="7">
        <v>44260.916666666664</v>
      </c>
      <c r="B246" s="1" t="s">
        <v>72</v>
      </c>
      <c r="C246" s="1">
        <v>14395</v>
      </c>
      <c r="D246" s="1">
        <v>9479.83</v>
      </c>
      <c r="F246" s="7">
        <v>44260.916666666664</v>
      </c>
      <c r="G246" s="1" t="s">
        <v>72</v>
      </c>
      <c r="H246" s="1">
        <v>11871.38</v>
      </c>
      <c r="I246" s="1">
        <v>7149.32</v>
      </c>
      <c r="J246" s="44"/>
      <c r="L246" s="1"/>
      <c r="M246" s="1"/>
      <c r="P246" s="7"/>
      <c r="Q246" s="1"/>
      <c r="R246" s="1"/>
    </row>
    <row r="247" spans="1:18" x14ac:dyDescent="0.25">
      <c r="A247" s="7">
        <v>44260.916666666664</v>
      </c>
      <c r="B247" s="1" t="s">
        <v>77</v>
      </c>
      <c r="C247" s="1">
        <v>15923.58</v>
      </c>
      <c r="D247" s="1">
        <v>5708.67</v>
      </c>
      <c r="F247" s="7">
        <v>44260.916666666664</v>
      </c>
      <c r="G247" s="1" t="s">
        <v>77</v>
      </c>
      <c r="H247" s="1">
        <v>14031.35</v>
      </c>
      <c r="I247" s="1">
        <v>3963.25</v>
      </c>
      <c r="J247" s="44"/>
      <c r="L247" s="1"/>
      <c r="M247" s="1"/>
      <c r="P247" s="7"/>
      <c r="Q247" s="1"/>
      <c r="R247" s="1"/>
    </row>
    <row r="248" spans="1:18" x14ac:dyDescent="0.25">
      <c r="A248" s="7">
        <v>44260.916666666664</v>
      </c>
      <c r="B248" s="1" t="s">
        <v>71</v>
      </c>
      <c r="C248" s="1">
        <v>8436.3799999999992</v>
      </c>
      <c r="D248" s="1">
        <v>3759.16</v>
      </c>
      <c r="F248" s="7">
        <v>44260.916666666664</v>
      </c>
      <c r="G248" s="1" t="s">
        <v>71</v>
      </c>
      <c r="H248" s="1">
        <v>10485.18</v>
      </c>
      <c r="I248" s="1">
        <v>2862.27</v>
      </c>
      <c r="J248" s="44"/>
      <c r="L248" s="1"/>
      <c r="M248" s="1"/>
      <c r="P248" s="7"/>
      <c r="Q248" s="1"/>
      <c r="R248" s="1"/>
    </row>
    <row r="249" spans="1:18" x14ac:dyDescent="0.25">
      <c r="A249" s="7">
        <v>44260.916666666664</v>
      </c>
      <c r="B249" s="1" t="s">
        <v>69</v>
      </c>
      <c r="C249" s="1">
        <v>8160.02</v>
      </c>
      <c r="D249" s="1">
        <v>7445.9</v>
      </c>
      <c r="F249" s="7">
        <v>44260.916666666664</v>
      </c>
      <c r="G249" s="1" t="s">
        <v>69</v>
      </c>
      <c r="H249" s="1">
        <v>6314.26</v>
      </c>
      <c r="I249" s="1">
        <v>5302.18</v>
      </c>
      <c r="J249" s="44"/>
      <c r="L249" s="1"/>
      <c r="M249" s="1"/>
      <c r="P249" s="7"/>
      <c r="Q249" s="1"/>
      <c r="R249" s="1"/>
    </row>
    <row r="250" spans="1:18" x14ac:dyDescent="0.25">
      <c r="A250" s="7">
        <v>44260.916666666664</v>
      </c>
      <c r="B250" s="1" t="s">
        <v>70</v>
      </c>
      <c r="C250" s="1">
        <v>7876.73</v>
      </c>
      <c r="D250" s="1">
        <v>3990</v>
      </c>
      <c r="F250" s="7">
        <v>44260.916666666664</v>
      </c>
      <c r="G250" s="1" t="s">
        <v>70</v>
      </c>
      <c r="H250" s="1">
        <v>7915.06</v>
      </c>
      <c r="I250" s="1">
        <v>3322.82</v>
      </c>
      <c r="J250" s="44"/>
      <c r="L250" s="1"/>
      <c r="M250" s="1"/>
      <c r="P250" s="7"/>
      <c r="Q250" s="1"/>
      <c r="R250" s="1"/>
    </row>
    <row r="251" spans="1:18" x14ac:dyDescent="0.25">
      <c r="A251" s="7">
        <v>44260.916666666664</v>
      </c>
      <c r="B251" s="1" t="s">
        <v>78</v>
      </c>
      <c r="C251" s="1">
        <v>3598.82</v>
      </c>
      <c r="D251" s="1">
        <v>2364.09</v>
      </c>
      <c r="F251" s="7">
        <v>44260.916666666664</v>
      </c>
      <c r="G251" s="1" t="s">
        <v>78</v>
      </c>
      <c r="H251" s="1">
        <v>2887.86</v>
      </c>
      <c r="I251" s="1">
        <v>1511.87</v>
      </c>
      <c r="J251" s="44"/>
      <c r="L251" s="1"/>
      <c r="M251" s="1"/>
      <c r="P251" s="7"/>
      <c r="Q251" s="1"/>
      <c r="R251" s="1"/>
    </row>
    <row r="252" spans="1:18" x14ac:dyDescent="0.25">
      <c r="A252" s="7">
        <v>44260.916666666664</v>
      </c>
      <c r="B252" s="1" t="s">
        <v>76</v>
      </c>
      <c r="C252" s="1">
        <v>12565.21</v>
      </c>
      <c r="D252" s="1">
        <v>3882.51</v>
      </c>
      <c r="F252" s="7">
        <v>44260.916666666664</v>
      </c>
      <c r="G252" s="1" t="s">
        <v>76</v>
      </c>
      <c r="H252" s="1">
        <v>15047.06</v>
      </c>
      <c r="I252" s="1">
        <v>3379.38</v>
      </c>
      <c r="J252" s="44"/>
      <c r="L252" s="1"/>
      <c r="M252" s="1"/>
      <c r="P252" s="7"/>
      <c r="Q252" s="1"/>
      <c r="R252" s="1"/>
    </row>
    <row r="253" spans="1:18" x14ac:dyDescent="0.25">
      <c r="A253" s="7">
        <v>44260.916666666664</v>
      </c>
      <c r="B253" s="1" t="s">
        <v>73</v>
      </c>
      <c r="C253" s="1">
        <v>7730.26</v>
      </c>
      <c r="D253" s="1">
        <v>1515.01</v>
      </c>
      <c r="F253" s="7">
        <v>44260.916666666664</v>
      </c>
      <c r="G253" s="1" t="s">
        <v>73</v>
      </c>
      <c r="H253" s="1">
        <v>9056.49</v>
      </c>
      <c r="I253" s="1">
        <v>1318.04</v>
      </c>
      <c r="J253" s="44"/>
      <c r="L253" s="1"/>
      <c r="M253" s="1"/>
      <c r="P253" s="7"/>
      <c r="Q253" s="1"/>
      <c r="R253" s="1"/>
    </row>
    <row r="254" spans="1:18" x14ac:dyDescent="0.25">
      <c r="A254" s="7">
        <v>44260.916666666664</v>
      </c>
      <c r="B254" s="1" t="s">
        <v>68</v>
      </c>
      <c r="C254" s="1">
        <v>9226.33</v>
      </c>
      <c r="D254" s="1">
        <v>4523.62</v>
      </c>
      <c r="F254" s="7">
        <v>44260.916666666664</v>
      </c>
      <c r="G254" s="1" t="s">
        <v>68</v>
      </c>
      <c r="H254" s="1">
        <v>11450.88</v>
      </c>
      <c r="I254" s="1">
        <v>3558.31</v>
      </c>
      <c r="J254" s="44"/>
      <c r="L254" s="1"/>
      <c r="M254" s="1"/>
      <c r="P254" s="7"/>
      <c r="Q254" s="1"/>
      <c r="R254" s="1"/>
    </row>
    <row r="255" spans="1:18" x14ac:dyDescent="0.25">
      <c r="A255" s="7">
        <v>44260.958333333336</v>
      </c>
      <c r="B255" s="1" t="s">
        <v>75</v>
      </c>
      <c r="C255" s="1">
        <v>1004.15</v>
      </c>
      <c r="D255" s="1">
        <v>725.49</v>
      </c>
      <c r="F255" s="7">
        <v>44260.958333333336</v>
      </c>
      <c r="G255" s="1" t="s">
        <v>75</v>
      </c>
      <c r="H255" s="1">
        <v>952.27</v>
      </c>
      <c r="I255" s="1">
        <v>440.18</v>
      </c>
      <c r="J255" s="44"/>
      <c r="L255" s="1"/>
      <c r="M255" s="1"/>
      <c r="P255" s="7"/>
      <c r="Q255" s="1"/>
      <c r="R255" s="1"/>
    </row>
    <row r="256" spans="1:18" x14ac:dyDescent="0.25">
      <c r="A256" s="7">
        <v>44260.958333333336</v>
      </c>
      <c r="B256" s="1" t="s">
        <v>74</v>
      </c>
      <c r="C256" s="1">
        <v>3144.42</v>
      </c>
      <c r="D256" s="1">
        <v>1146.81</v>
      </c>
      <c r="F256" s="7">
        <v>44260.958333333336</v>
      </c>
      <c r="G256" s="1" t="s">
        <v>74</v>
      </c>
      <c r="H256" s="1">
        <v>3611.14</v>
      </c>
      <c r="I256" s="1">
        <v>904.89</v>
      </c>
      <c r="J256" s="44"/>
      <c r="L256" s="1"/>
      <c r="M256" s="1"/>
      <c r="P256" s="7"/>
      <c r="Q256" s="1"/>
      <c r="R256" s="1"/>
    </row>
    <row r="257" spans="1:18" x14ac:dyDescent="0.25">
      <c r="A257" s="7">
        <v>44260.958333333336</v>
      </c>
      <c r="B257" s="1" t="s">
        <v>72</v>
      </c>
      <c r="C257" s="1">
        <v>7960.4</v>
      </c>
      <c r="D257" s="1">
        <v>5728.33</v>
      </c>
      <c r="F257" s="7">
        <v>44260.958333333336</v>
      </c>
      <c r="G257" s="1" t="s">
        <v>72</v>
      </c>
      <c r="H257" s="1">
        <v>7104.64</v>
      </c>
      <c r="I257" s="1">
        <v>4461.3100000000004</v>
      </c>
      <c r="J257" s="44"/>
      <c r="L257" s="1"/>
      <c r="M257" s="1"/>
      <c r="P257" s="7"/>
      <c r="Q257" s="1"/>
      <c r="R257" s="1"/>
    </row>
    <row r="258" spans="1:18" x14ac:dyDescent="0.25">
      <c r="A258" s="7">
        <v>44260.958333333336</v>
      </c>
      <c r="B258" s="1" t="s">
        <v>68</v>
      </c>
      <c r="C258" s="1">
        <v>4057.44</v>
      </c>
      <c r="D258" s="1">
        <v>2382.63</v>
      </c>
      <c r="F258" s="7">
        <v>44260.958333333336</v>
      </c>
      <c r="G258" s="1" t="s">
        <v>68</v>
      </c>
      <c r="H258" s="1">
        <v>5001.82</v>
      </c>
      <c r="I258" s="1">
        <v>1894.11</v>
      </c>
      <c r="J258" s="44"/>
      <c r="L258" s="1"/>
      <c r="M258" s="1"/>
      <c r="P258" s="7"/>
      <c r="Q258" s="1"/>
      <c r="R258" s="1"/>
    </row>
    <row r="259" spans="1:18" x14ac:dyDescent="0.25">
      <c r="A259" s="7">
        <v>44260.958333333336</v>
      </c>
      <c r="B259" s="1" t="s">
        <v>77</v>
      </c>
      <c r="C259" s="1">
        <v>7465.09</v>
      </c>
      <c r="D259" s="1">
        <v>2788.86</v>
      </c>
      <c r="F259" s="7">
        <v>44260.958333333336</v>
      </c>
      <c r="G259" s="1" t="s">
        <v>77</v>
      </c>
      <c r="H259" s="1">
        <v>7230.69</v>
      </c>
      <c r="I259" s="1">
        <v>2079.09</v>
      </c>
      <c r="J259" s="44"/>
      <c r="L259" s="1"/>
      <c r="M259" s="1"/>
      <c r="P259" s="7"/>
      <c r="Q259" s="1"/>
      <c r="R259" s="1"/>
    </row>
    <row r="260" spans="1:18" x14ac:dyDescent="0.25">
      <c r="A260" s="7">
        <v>44260.958333333336</v>
      </c>
      <c r="B260" s="1" t="s">
        <v>69</v>
      </c>
      <c r="C260" s="1">
        <v>4543.7</v>
      </c>
      <c r="D260" s="1">
        <v>4490.6899999999996</v>
      </c>
      <c r="F260" s="7">
        <v>44260.958333333336</v>
      </c>
      <c r="G260" s="1" t="s">
        <v>69</v>
      </c>
      <c r="H260" s="1">
        <v>4028.56</v>
      </c>
      <c r="I260" s="1">
        <v>3367.76</v>
      </c>
      <c r="J260" s="44"/>
      <c r="L260" s="1"/>
      <c r="M260" s="1"/>
      <c r="P260" s="7"/>
      <c r="Q260" s="1"/>
      <c r="R260" s="1"/>
    </row>
    <row r="261" spans="1:18" x14ac:dyDescent="0.25">
      <c r="A261" s="7">
        <v>44260.958333333336</v>
      </c>
      <c r="B261" s="1" t="s">
        <v>70</v>
      </c>
      <c r="C261" s="1">
        <v>3789.3</v>
      </c>
      <c r="D261" s="1">
        <v>2085.5100000000002</v>
      </c>
      <c r="F261" s="7">
        <v>44260.958333333336</v>
      </c>
      <c r="G261" s="1" t="s">
        <v>70</v>
      </c>
      <c r="H261" s="1">
        <v>3967.92</v>
      </c>
      <c r="I261" s="1">
        <v>1751.25</v>
      </c>
      <c r="J261" s="44"/>
      <c r="L261" s="1"/>
      <c r="M261" s="1"/>
      <c r="P261" s="7"/>
      <c r="Q261" s="1"/>
      <c r="R261" s="1"/>
    </row>
    <row r="262" spans="1:18" x14ac:dyDescent="0.25">
      <c r="A262" s="7">
        <v>44260.958333333336</v>
      </c>
      <c r="B262" s="1" t="s">
        <v>78</v>
      </c>
      <c r="C262" s="1">
        <v>2031.04</v>
      </c>
      <c r="D262" s="1">
        <v>1423.39</v>
      </c>
      <c r="F262" s="7">
        <v>44260.958333333336</v>
      </c>
      <c r="G262" s="1" t="s">
        <v>78</v>
      </c>
      <c r="H262" s="1">
        <v>1759.17</v>
      </c>
      <c r="I262" s="1">
        <v>993.75</v>
      </c>
      <c r="J262" s="44"/>
      <c r="L262" s="1"/>
      <c r="M262" s="1"/>
      <c r="P262" s="7"/>
      <c r="Q262" s="1"/>
      <c r="R262" s="1"/>
    </row>
    <row r="263" spans="1:18" x14ac:dyDescent="0.25">
      <c r="A263" s="7">
        <v>44260.958333333336</v>
      </c>
      <c r="B263" s="1" t="s">
        <v>76</v>
      </c>
      <c r="C263" s="1">
        <v>5967.26</v>
      </c>
      <c r="D263" s="1">
        <v>2002.97</v>
      </c>
      <c r="F263" s="7">
        <v>44260.958333333336</v>
      </c>
      <c r="G263" s="1" t="s">
        <v>76</v>
      </c>
      <c r="H263" s="1">
        <v>6673.03</v>
      </c>
      <c r="I263" s="1">
        <v>1701.8</v>
      </c>
      <c r="J263" s="44"/>
      <c r="L263" s="1"/>
      <c r="M263" s="1"/>
      <c r="P263" s="7"/>
      <c r="Q263" s="1"/>
      <c r="R263" s="1"/>
    </row>
    <row r="264" spans="1:18" x14ac:dyDescent="0.25">
      <c r="A264" s="7">
        <v>44260.958333333336</v>
      </c>
      <c r="B264" s="1" t="s">
        <v>73</v>
      </c>
      <c r="C264" s="1">
        <v>3377.22</v>
      </c>
      <c r="D264" s="1">
        <v>800.5</v>
      </c>
      <c r="F264" s="7">
        <v>44260.958333333336</v>
      </c>
      <c r="G264" s="1" t="s">
        <v>73</v>
      </c>
      <c r="H264" s="1">
        <v>4020.29</v>
      </c>
      <c r="I264" s="1">
        <v>693.45</v>
      </c>
      <c r="J264" s="44"/>
      <c r="L264" s="1"/>
      <c r="M264" s="1"/>
      <c r="P264" s="7"/>
      <c r="Q264" s="1"/>
      <c r="R264" s="1"/>
    </row>
    <row r="265" spans="1:18" x14ac:dyDescent="0.25">
      <c r="A265" s="7">
        <v>44260.958333333336</v>
      </c>
      <c r="B265" s="1" t="s">
        <v>71</v>
      </c>
      <c r="C265" s="1">
        <v>3787.29</v>
      </c>
      <c r="D265" s="1">
        <v>1865.55</v>
      </c>
      <c r="F265" s="7">
        <v>44260.958333333336</v>
      </c>
      <c r="G265" s="1" t="s">
        <v>71</v>
      </c>
      <c r="H265" s="1">
        <v>4723.3900000000003</v>
      </c>
      <c r="I265" s="1">
        <v>1458.19</v>
      </c>
      <c r="J265" s="44"/>
      <c r="L265" s="1"/>
      <c r="M265" s="1"/>
      <c r="P265" s="7"/>
      <c r="Q265" s="1"/>
      <c r="R265" s="1"/>
    </row>
    <row r="266" spans="1:18" x14ac:dyDescent="0.25">
      <c r="A266" s="7">
        <v>44291</v>
      </c>
      <c r="B266" s="1" t="s">
        <v>74</v>
      </c>
      <c r="C266" s="1">
        <v>1262.48</v>
      </c>
      <c r="D266" s="1">
        <v>450.55</v>
      </c>
      <c r="F266" s="7">
        <v>44291</v>
      </c>
      <c r="G266" s="1" t="s">
        <v>74</v>
      </c>
      <c r="H266" s="1">
        <v>1443.03</v>
      </c>
      <c r="I266" s="1">
        <v>364</v>
      </c>
      <c r="J266" s="44"/>
      <c r="L266" s="1"/>
      <c r="M266" s="1"/>
      <c r="P266" s="7"/>
      <c r="Q266" s="1"/>
      <c r="R266" s="1"/>
    </row>
    <row r="267" spans="1:18" x14ac:dyDescent="0.25">
      <c r="A267" s="7">
        <v>44291</v>
      </c>
      <c r="B267" s="1" t="s">
        <v>78</v>
      </c>
      <c r="C267" s="1">
        <v>892.03</v>
      </c>
      <c r="D267" s="1">
        <v>685</v>
      </c>
      <c r="F267" s="7">
        <v>44291</v>
      </c>
      <c r="G267" s="1" t="s">
        <v>78</v>
      </c>
      <c r="H267" s="1">
        <v>805.36</v>
      </c>
      <c r="I267" s="1">
        <v>481.61</v>
      </c>
      <c r="J267" s="44"/>
      <c r="L267" s="1"/>
      <c r="M267" s="1"/>
      <c r="P267" s="7"/>
      <c r="Q267" s="1"/>
      <c r="R267" s="1"/>
    </row>
    <row r="268" spans="1:18" x14ac:dyDescent="0.25">
      <c r="A268" s="7">
        <v>44291</v>
      </c>
      <c r="B268" s="1" t="s">
        <v>75</v>
      </c>
      <c r="C268" s="1">
        <v>521.19000000000005</v>
      </c>
      <c r="D268" s="1">
        <v>411.79</v>
      </c>
      <c r="F268" s="7">
        <v>44291</v>
      </c>
      <c r="G268" s="1" t="s">
        <v>75</v>
      </c>
      <c r="H268" s="1">
        <v>529.36</v>
      </c>
      <c r="I268" s="1">
        <v>262.17</v>
      </c>
      <c r="J268" s="44"/>
      <c r="L268" s="1"/>
      <c r="M268" s="1"/>
      <c r="P268" s="7"/>
      <c r="Q268" s="1"/>
      <c r="R268" s="1"/>
    </row>
    <row r="269" spans="1:18" x14ac:dyDescent="0.25">
      <c r="A269" s="7">
        <v>44291</v>
      </c>
      <c r="B269" s="1" t="s">
        <v>76</v>
      </c>
      <c r="C269" s="1">
        <v>2430.11</v>
      </c>
      <c r="D269" s="1">
        <v>861.01</v>
      </c>
      <c r="F269" s="7">
        <v>44291</v>
      </c>
      <c r="G269" s="1" t="s">
        <v>76</v>
      </c>
      <c r="H269" s="1">
        <v>2564.7600000000002</v>
      </c>
      <c r="I269" s="1">
        <v>741.04</v>
      </c>
      <c r="J269" s="44"/>
      <c r="L269" s="1"/>
      <c r="M269" s="1"/>
      <c r="P269" s="7"/>
      <c r="Q269" s="1"/>
      <c r="R269" s="1"/>
    </row>
    <row r="270" spans="1:18" x14ac:dyDescent="0.25">
      <c r="A270" s="7">
        <v>44291</v>
      </c>
      <c r="B270" s="1" t="s">
        <v>73</v>
      </c>
      <c r="C270" s="1">
        <v>1226.1199999999999</v>
      </c>
      <c r="D270" s="1">
        <v>341.4</v>
      </c>
      <c r="F270" s="7">
        <v>44291</v>
      </c>
      <c r="G270" s="1" t="s">
        <v>73</v>
      </c>
      <c r="H270" s="1">
        <v>1523.27</v>
      </c>
      <c r="I270" s="1">
        <v>307.73</v>
      </c>
      <c r="J270" s="44"/>
      <c r="L270" s="1"/>
      <c r="M270" s="1"/>
      <c r="P270" s="7"/>
      <c r="Q270" s="1"/>
      <c r="R270" s="1"/>
    </row>
    <row r="271" spans="1:18" x14ac:dyDescent="0.25">
      <c r="A271" s="7">
        <v>44291</v>
      </c>
      <c r="B271" s="1" t="s">
        <v>68</v>
      </c>
      <c r="C271" s="1">
        <v>1402.8</v>
      </c>
      <c r="D271" s="1">
        <v>987.61</v>
      </c>
      <c r="F271" s="7">
        <v>44291</v>
      </c>
      <c r="G271" s="1" t="s">
        <v>68</v>
      </c>
      <c r="H271" s="1">
        <v>1781.8</v>
      </c>
      <c r="I271" s="1">
        <v>775.61</v>
      </c>
      <c r="J271" s="44"/>
      <c r="L271" s="1"/>
      <c r="M271" s="1"/>
      <c r="P271" s="7"/>
      <c r="Q271" s="1"/>
      <c r="R271" s="1"/>
    </row>
    <row r="272" spans="1:18" x14ac:dyDescent="0.25">
      <c r="A272" s="7">
        <v>44291</v>
      </c>
      <c r="B272" s="1" t="s">
        <v>71</v>
      </c>
      <c r="C272" s="1">
        <v>1092.74</v>
      </c>
      <c r="D272" s="1">
        <v>744.99</v>
      </c>
      <c r="F272" s="7">
        <v>44291</v>
      </c>
      <c r="G272" s="1" t="s">
        <v>71</v>
      </c>
      <c r="H272" s="1">
        <v>1501.13</v>
      </c>
      <c r="I272" s="1">
        <v>568.49</v>
      </c>
      <c r="J272" s="44"/>
      <c r="L272" s="1"/>
      <c r="M272" s="1"/>
      <c r="P272" s="7"/>
      <c r="Q272" s="1"/>
      <c r="R272" s="1"/>
    </row>
    <row r="273" spans="1:18" x14ac:dyDescent="0.25">
      <c r="A273" s="7">
        <v>44291</v>
      </c>
      <c r="B273" s="1" t="s">
        <v>69</v>
      </c>
      <c r="C273" s="1">
        <v>2050.39</v>
      </c>
      <c r="D273" s="1">
        <v>2130.65</v>
      </c>
      <c r="F273" s="7">
        <v>44291</v>
      </c>
      <c r="G273" s="1" t="s">
        <v>69</v>
      </c>
      <c r="H273" s="1">
        <v>1933.88</v>
      </c>
      <c r="I273" s="1">
        <v>1682.32</v>
      </c>
      <c r="J273" s="44"/>
      <c r="L273" s="1"/>
      <c r="M273" s="1"/>
      <c r="P273" s="7"/>
      <c r="Q273" s="1"/>
      <c r="R273" s="1"/>
    </row>
    <row r="274" spans="1:18" x14ac:dyDescent="0.25">
      <c r="A274" s="7">
        <v>44291</v>
      </c>
      <c r="B274" s="1" t="s">
        <v>70</v>
      </c>
      <c r="C274" s="1">
        <v>1527.58</v>
      </c>
      <c r="D274" s="1">
        <v>931.93</v>
      </c>
      <c r="F274" s="7">
        <v>44291</v>
      </c>
      <c r="G274" s="1" t="s">
        <v>70</v>
      </c>
      <c r="H274" s="1">
        <v>1704.68</v>
      </c>
      <c r="I274" s="1">
        <v>800.04</v>
      </c>
      <c r="J274" s="44"/>
      <c r="L274" s="1"/>
      <c r="M274" s="1"/>
      <c r="P274" s="7"/>
      <c r="Q274" s="1"/>
      <c r="R274" s="1"/>
    </row>
    <row r="275" spans="1:18" x14ac:dyDescent="0.25">
      <c r="A275" s="7">
        <v>44291</v>
      </c>
      <c r="B275" s="1" t="s">
        <v>72</v>
      </c>
      <c r="C275" s="1">
        <v>3643.32</v>
      </c>
      <c r="D275" s="1">
        <v>2844.34</v>
      </c>
      <c r="F275" s="7">
        <v>44291</v>
      </c>
      <c r="G275" s="1" t="s">
        <v>72</v>
      </c>
      <c r="H275" s="1">
        <v>3401.08</v>
      </c>
      <c r="I275" s="1">
        <v>2325.08</v>
      </c>
      <c r="J275" s="44"/>
      <c r="L275" s="1"/>
      <c r="M275" s="1"/>
      <c r="P275" s="7"/>
      <c r="Q275" s="1"/>
      <c r="R275" s="1"/>
    </row>
    <row r="276" spans="1:18" x14ac:dyDescent="0.25">
      <c r="A276" s="7">
        <v>44291</v>
      </c>
      <c r="B276" s="1" t="s">
        <v>77</v>
      </c>
      <c r="C276" s="1">
        <v>2976.44</v>
      </c>
      <c r="D276" s="1">
        <v>1219.1300000000001</v>
      </c>
      <c r="F276" s="7">
        <v>44291</v>
      </c>
      <c r="G276" s="1" t="s">
        <v>77</v>
      </c>
      <c r="H276" s="1">
        <v>3061.21</v>
      </c>
      <c r="I276" s="1">
        <v>970.24</v>
      </c>
      <c r="J276" s="44"/>
      <c r="L276" s="1"/>
      <c r="M276" s="1"/>
      <c r="P276" s="7"/>
      <c r="Q276" s="1"/>
      <c r="R276" s="1"/>
    </row>
    <row r="277" spans="1:18" x14ac:dyDescent="0.25">
      <c r="A277" s="7">
        <v>44291.041666666664</v>
      </c>
      <c r="B277" s="1" t="s">
        <v>74</v>
      </c>
      <c r="C277" s="1">
        <v>593.44000000000005</v>
      </c>
      <c r="D277" s="1">
        <v>176.09</v>
      </c>
      <c r="F277" s="7">
        <v>44291.041666666664</v>
      </c>
      <c r="G277" s="1" t="s">
        <v>74</v>
      </c>
      <c r="H277" s="1">
        <v>684.56</v>
      </c>
      <c r="I277" s="1">
        <v>152.63999999999999</v>
      </c>
      <c r="J277" s="44"/>
      <c r="L277" s="1"/>
      <c r="M277" s="1"/>
      <c r="P277" s="7"/>
      <c r="Q277" s="1"/>
      <c r="R277" s="1"/>
    </row>
    <row r="278" spans="1:18" x14ac:dyDescent="0.25">
      <c r="A278" s="7">
        <v>44291.041666666664</v>
      </c>
      <c r="B278" s="1" t="s">
        <v>78</v>
      </c>
      <c r="C278" s="1">
        <v>405.67</v>
      </c>
      <c r="D278" s="1">
        <v>316.29000000000002</v>
      </c>
      <c r="F278" s="7">
        <v>44291.041666666664</v>
      </c>
      <c r="G278" s="1" t="s">
        <v>78</v>
      </c>
      <c r="H278" s="1">
        <v>398.63</v>
      </c>
      <c r="I278" s="1">
        <v>230.03</v>
      </c>
      <c r="J278" s="44"/>
      <c r="L278" s="1"/>
      <c r="M278" s="1"/>
      <c r="P278" s="7"/>
      <c r="Q278" s="1"/>
      <c r="R278" s="1"/>
    </row>
    <row r="279" spans="1:18" x14ac:dyDescent="0.25">
      <c r="A279" s="7">
        <v>44291.041666666664</v>
      </c>
      <c r="B279" s="1" t="s">
        <v>75</v>
      </c>
      <c r="C279" s="1">
        <v>295.19</v>
      </c>
      <c r="D279" s="1">
        <v>244.62</v>
      </c>
      <c r="F279" s="7">
        <v>44291.041666666664</v>
      </c>
      <c r="G279" s="1" t="s">
        <v>75</v>
      </c>
      <c r="H279" s="1">
        <v>299.35000000000002</v>
      </c>
      <c r="I279" s="1">
        <v>136.84</v>
      </c>
      <c r="J279" s="44"/>
      <c r="L279" s="1"/>
      <c r="M279" s="1"/>
      <c r="P279" s="7"/>
      <c r="Q279" s="1"/>
      <c r="R279" s="1"/>
    </row>
    <row r="280" spans="1:18" x14ac:dyDescent="0.25">
      <c r="A280" s="7">
        <v>44291.041666666664</v>
      </c>
      <c r="B280" s="1" t="s">
        <v>76</v>
      </c>
      <c r="C280" s="1">
        <v>1099.3699999999999</v>
      </c>
      <c r="D280" s="1">
        <v>405.76</v>
      </c>
      <c r="F280" s="7">
        <v>44291.041666666664</v>
      </c>
      <c r="G280" s="1" t="s">
        <v>76</v>
      </c>
      <c r="H280" s="1">
        <v>1222.6400000000001</v>
      </c>
      <c r="I280" s="1">
        <v>348.64</v>
      </c>
      <c r="J280" s="44"/>
      <c r="L280" s="1"/>
      <c r="M280" s="1"/>
      <c r="P280" s="7"/>
      <c r="Q280" s="1"/>
      <c r="R280" s="1"/>
    </row>
    <row r="281" spans="1:18" x14ac:dyDescent="0.25">
      <c r="A281" s="7">
        <v>44291.041666666664</v>
      </c>
      <c r="B281" s="1" t="s">
        <v>73</v>
      </c>
      <c r="C281" s="1">
        <v>501.7</v>
      </c>
      <c r="D281" s="1">
        <v>158.37</v>
      </c>
      <c r="F281" s="7">
        <v>44291.041666666664</v>
      </c>
      <c r="G281" s="1" t="s">
        <v>73</v>
      </c>
      <c r="H281" s="1">
        <v>623.09</v>
      </c>
      <c r="I281" s="1">
        <v>126.7</v>
      </c>
      <c r="J281" s="44"/>
      <c r="L281" s="1"/>
      <c r="M281" s="1"/>
      <c r="P281" s="7"/>
      <c r="Q281" s="1"/>
      <c r="R281" s="1"/>
    </row>
    <row r="282" spans="1:18" x14ac:dyDescent="0.25">
      <c r="A282" s="7">
        <v>44291.041666666664</v>
      </c>
      <c r="B282" s="1" t="s">
        <v>68</v>
      </c>
      <c r="C282" s="1">
        <v>557.45000000000005</v>
      </c>
      <c r="D282" s="1">
        <v>434.45</v>
      </c>
      <c r="F282" s="7">
        <v>44291.041666666664</v>
      </c>
      <c r="G282" s="1" t="s">
        <v>68</v>
      </c>
      <c r="H282" s="1">
        <v>710.47</v>
      </c>
      <c r="I282" s="1">
        <v>346.87</v>
      </c>
      <c r="J282" s="44"/>
      <c r="L282" s="1"/>
      <c r="M282" s="1"/>
      <c r="P282" s="7"/>
      <c r="Q282" s="1"/>
      <c r="R282" s="1"/>
    </row>
    <row r="283" spans="1:18" x14ac:dyDescent="0.25">
      <c r="A283" s="7">
        <v>44291.041666666664</v>
      </c>
      <c r="B283" s="1" t="s">
        <v>71</v>
      </c>
      <c r="C283" s="1">
        <v>414.17</v>
      </c>
      <c r="D283" s="1">
        <v>290.38</v>
      </c>
      <c r="F283" s="7">
        <v>44291.041666666664</v>
      </c>
      <c r="G283" s="1" t="s">
        <v>71</v>
      </c>
      <c r="H283" s="1">
        <v>592.08000000000004</v>
      </c>
      <c r="I283" s="1">
        <v>216.28</v>
      </c>
      <c r="J283" s="44"/>
      <c r="L283" s="1"/>
      <c r="M283" s="1"/>
      <c r="P283" s="7"/>
      <c r="Q283" s="1"/>
      <c r="R283" s="1"/>
    </row>
    <row r="284" spans="1:18" x14ac:dyDescent="0.25">
      <c r="A284" s="7">
        <v>44291.041666666664</v>
      </c>
      <c r="B284" s="1" t="s">
        <v>70</v>
      </c>
      <c r="C284" s="1">
        <v>713.02</v>
      </c>
      <c r="D284" s="1">
        <v>450.09</v>
      </c>
      <c r="F284" s="7">
        <v>44291.041666666664</v>
      </c>
      <c r="G284" s="1" t="s">
        <v>70</v>
      </c>
      <c r="H284" s="1">
        <v>822.7</v>
      </c>
      <c r="I284" s="1">
        <v>397.48</v>
      </c>
      <c r="J284" s="44"/>
      <c r="L284" s="1"/>
      <c r="M284" s="1"/>
      <c r="P284" s="7"/>
      <c r="Q284" s="1"/>
      <c r="R284" s="1"/>
    </row>
    <row r="285" spans="1:18" x14ac:dyDescent="0.25">
      <c r="A285" s="7">
        <v>44291.041666666664</v>
      </c>
      <c r="B285" s="1" t="s">
        <v>72</v>
      </c>
      <c r="C285" s="1">
        <v>1745.03</v>
      </c>
      <c r="D285" s="1">
        <v>1467.13</v>
      </c>
      <c r="F285" s="7">
        <v>44291.041666666664</v>
      </c>
      <c r="G285" s="1" t="s">
        <v>72</v>
      </c>
      <c r="H285" s="1">
        <v>1660.96</v>
      </c>
      <c r="I285" s="1">
        <v>1210.81</v>
      </c>
      <c r="J285" s="44"/>
      <c r="L285" s="1"/>
      <c r="M285" s="1"/>
      <c r="P285" s="7"/>
      <c r="Q285" s="1"/>
      <c r="R285" s="1"/>
    </row>
    <row r="286" spans="1:18" x14ac:dyDescent="0.25">
      <c r="A286" s="7">
        <v>44291.041666666664</v>
      </c>
      <c r="B286" s="1" t="s">
        <v>77</v>
      </c>
      <c r="C286" s="1">
        <v>1532.51</v>
      </c>
      <c r="D286" s="1">
        <v>640.37</v>
      </c>
      <c r="F286" s="7">
        <v>44291.041666666664</v>
      </c>
      <c r="G286" s="1" t="s">
        <v>77</v>
      </c>
      <c r="H286" s="1">
        <v>1546.19</v>
      </c>
      <c r="I286" s="1">
        <v>560.55999999999995</v>
      </c>
      <c r="J286" s="44"/>
      <c r="L286" s="1"/>
      <c r="M286" s="1"/>
      <c r="P286" s="7"/>
      <c r="Q286" s="1"/>
      <c r="R286" s="1"/>
    </row>
    <row r="287" spans="1:18" x14ac:dyDescent="0.25">
      <c r="A287" s="7">
        <v>44291.041666666664</v>
      </c>
      <c r="B287" s="1" t="s">
        <v>69</v>
      </c>
      <c r="C287" s="1">
        <v>929.58</v>
      </c>
      <c r="D287" s="1">
        <v>1070.94</v>
      </c>
      <c r="F287" s="7">
        <v>44291.041666666664</v>
      </c>
      <c r="G287" s="1" t="s">
        <v>69</v>
      </c>
      <c r="H287" s="1">
        <v>923.61</v>
      </c>
      <c r="I287" s="1">
        <v>851.3</v>
      </c>
      <c r="J287" s="44"/>
      <c r="L287" s="1"/>
      <c r="M287" s="1"/>
      <c r="P287" s="7"/>
      <c r="Q287" s="1"/>
      <c r="R287" s="1"/>
    </row>
    <row r="288" spans="1:18" x14ac:dyDescent="0.25">
      <c r="A288" s="7">
        <v>44291.083333333336</v>
      </c>
      <c r="B288" s="1" t="s">
        <v>75</v>
      </c>
      <c r="C288" s="1">
        <v>236.98</v>
      </c>
      <c r="D288" s="1">
        <v>180.5</v>
      </c>
      <c r="F288" s="7">
        <v>44291.083333333336</v>
      </c>
      <c r="G288" s="1" t="s">
        <v>75</v>
      </c>
      <c r="H288" s="1">
        <v>247.1</v>
      </c>
      <c r="I288" s="1">
        <v>110.84</v>
      </c>
      <c r="J288" s="44"/>
      <c r="L288" s="1"/>
      <c r="M288" s="1"/>
      <c r="P288" s="7"/>
      <c r="Q288" s="1"/>
      <c r="R288" s="1"/>
    </row>
    <row r="289" spans="1:18" x14ac:dyDescent="0.25">
      <c r="A289" s="7">
        <v>44291.083333333336</v>
      </c>
      <c r="B289" s="1" t="s">
        <v>74</v>
      </c>
      <c r="C289" s="1">
        <v>479.76</v>
      </c>
      <c r="D289" s="1">
        <v>105.07</v>
      </c>
      <c r="F289" s="7">
        <v>44291.083333333336</v>
      </c>
      <c r="G289" s="1" t="s">
        <v>74</v>
      </c>
      <c r="H289" s="1">
        <v>554.41999999999996</v>
      </c>
      <c r="I289" s="1">
        <v>91.71</v>
      </c>
      <c r="J289" s="44"/>
      <c r="L289" s="1"/>
      <c r="M289" s="1"/>
      <c r="P289" s="7"/>
      <c r="Q289" s="1"/>
      <c r="R289" s="1"/>
    </row>
    <row r="290" spans="1:18" x14ac:dyDescent="0.25">
      <c r="A290" s="7">
        <v>44291.083333333336</v>
      </c>
      <c r="B290" s="1" t="s">
        <v>76</v>
      </c>
      <c r="C290" s="1">
        <v>1279.17</v>
      </c>
      <c r="D290" s="1">
        <v>307.45999999999998</v>
      </c>
      <c r="F290" s="7">
        <v>44291.083333333336</v>
      </c>
      <c r="G290" s="1" t="s">
        <v>76</v>
      </c>
      <c r="H290" s="1">
        <v>1490.77</v>
      </c>
      <c r="I290" s="1">
        <v>277.88</v>
      </c>
      <c r="J290" s="44"/>
      <c r="L290" s="1"/>
      <c r="M290" s="1"/>
      <c r="P290" s="7"/>
      <c r="Q290" s="1"/>
      <c r="R290" s="1"/>
    </row>
    <row r="291" spans="1:18" x14ac:dyDescent="0.25">
      <c r="A291" s="7">
        <v>44291.083333333336</v>
      </c>
      <c r="B291" s="1" t="s">
        <v>68</v>
      </c>
      <c r="C291" s="1">
        <v>296.51</v>
      </c>
      <c r="D291" s="1">
        <v>214.57</v>
      </c>
      <c r="F291" s="7">
        <v>44291.083333333336</v>
      </c>
      <c r="G291" s="1" t="s">
        <v>68</v>
      </c>
      <c r="H291" s="1">
        <v>389.75</v>
      </c>
      <c r="I291" s="1">
        <v>166.2</v>
      </c>
      <c r="J291" s="44"/>
      <c r="L291" s="1"/>
      <c r="M291" s="1"/>
      <c r="P291" s="7"/>
      <c r="Q291" s="1"/>
      <c r="R291" s="1"/>
    </row>
    <row r="292" spans="1:18" x14ac:dyDescent="0.25">
      <c r="A292" s="7">
        <v>44291.083333333336</v>
      </c>
      <c r="B292" s="1" t="s">
        <v>77</v>
      </c>
      <c r="C292" s="1">
        <v>1033.7</v>
      </c>
      <c r="D292" s="1">
        <v>337.23</v>
      </c>
      <c r="F292" s="7">
        <v>44291.083333333336</v>
      </c>
      <c r="G292" s="1" t="s">
        <v>77</v>
      </c>
      <c r="H292" s="1">
        <v>963.56</v>
      </c>
      <c r="I292" s="1">
        <v>269.32</v>
      </c>
      <c r="J292" s="44"/>
      <c r="L292" s="1"/>
      <c r="M292" s="1"/>
      <c r="P292" s="7"/>
      <c r="Q292" s="1"/>
      <c r="R292" s="1"/>
    </row>
    <row r="293" spans="1:18" x14ac:dyDescent="0.25">
      <c r="A293" s="7">
        <v>44291.083333333336</v>
      </c>
      <c r="B293" s="1" t="s">
        <v>71</v>
      </c>
      <c r="C293" s="1">
        <v>297.7</v>
      </c>
      <c r="D293" s="1">
        <v>151.91</v>
      </c>
      <c r="F293" s="7">
        <v>44291.083333333336</v>
      </c>
      <c r="G293" s="1" t="s">
        <v>71</v>
      </c>
      <c r="H293" s="1">
        <v>438.71</v>
      </c>
      <c r="I293" s="1">
        <v>129.41</v>
      </c>
      <c r="J293" s="44"/>
      <c r="L293" s="1"/>
      <c r="M293" s="1"/>
      <c r="P293" s="7"/>
      <c r="Q293" s="1"/>
      <c r="R293" s="1"/>
    </row>
    <row r="294" spans="1:18" x14ac:dyDescent="0.25">
      <c r="A294" s="7">
        <v>44291.083333333336</v>
      </c>
      <c r="B294" s="1" t="s">
        <v>70</v>
      </c>
      <c r="C294" s="1">
        <v>580.95000000000005</v>
      </c>
      <c r="D294" s="1">
        <v>323.52</v>
      </c>
      <c r="F294" s="7">
        <v>44291.083333333336</v>
      </c>
      <c r="G294" s="1" t="s">
        <v>70</v>
      </c>
      <c r="H294" s="1">
        <v>652.29999999999995</v>
      </c>
      <c r="I294" s="1">
        <v>278.93</v>
      </c>
      <c r="J294" s="44"/>
      <c r="L294" s="1"/>
      <c r="M294" s="1"/>
      <c r="P294" s="7"/>
      <c r="Q294" s="1"/>
      <c r="R294" s="1"/>
    </row>
    <row r="295" spans="1:18" x14ac:dyDescent="0.25">
      <c r="A295" s="7">
        <v>44291.083333333336</v>
      </c>
      <c r="B295" s="1" t="s">
        <v>78</v>
      </c>
      <c r="C295" s="1">
        <v>290.79000000000002</v>
      </c>
      <c r="D295" s="1">
        <v>214.65</v>
      </c>
      <c r="F295" s="7">
        <v>44291.083333333336</v>
      </c>
      <c r="G295" s="1" t="s">
        <v>78</v>
      </c>
      <c r="H295" s="1">
        <v>276.14999999999998</v>
      </c>
      <c r="I295" s="1">
        <v>139.03</v>
      </c>
      <c r="J295" s="44"/>
      <c r="L295" s="1"/>
      <c r="M295" s="1"/>
      <c r="P295" s="7"/>
      <c r="Q295" s="1"/>
      <c r="R295" s="1"/>
    </row>
    <row r="296" spans="1:18" x14ac:dyDescent="0.25">
      <c r="A296" s="7">
        <v>44291.083333333336</v>
      </c>
      <c r="B296" s="1" t="s">
        <v>72</v>
      </c>
      <c r="C296" s="1">
        <v>993.51</v>
      </c>
      <c r="D296" s="1">
        <v>745.11</v>
      </c>
      <c r="F296" s="7">
        <v>44291.083333333336</v>
      </c>
      <c r="G296" s="1" t="s">
        <v>72</v>
      </c>
      <c r="H296" s="1">
        <v>889.14</v>
      </c>
      <c r="I296" s="1">
        <v>554.89</v>
      </c>
      <c r="J296" s="44"/>
      <c r="L296" s="1"/>
      <c r="M296" s="1"/>
      <c r="P296" s="7"/>
      <c r="Q296" s="1"/>
      <c r="R296" s="1"/>
    </row>
    <row r="297" spans="1:18" x14ac:dyDescent="0.25">
      <c r="A297" s="7">
        <v>44291.083333333336</v>
      </c>
      <c r="B297" s="1" t="s">
        <v>73</v>
      </c>
      <c r="C297" s="1">
        <v>300.11</v>
      </c>
      <c r="D297" s="1">
        <v>66.760000000000005</v>
      </c>
      <c r="F297" s="7">
        <v>44291.083333333336</v>
      </c>
      <c r="G297" s="1" t="s">
        <v>73</v>
      </c>
      <c r="H297" s="1">
        <v>376.49</v>
      </c>
      <c r="I297" s="1">
        <v>70.84</v>
      </c>
      <c r="J297" s="44"/>
      <c r="L297" s="1"/>
      <c r="M297" s="1"/>
      <c r="P297" s="7"/>
      <c r="Q297" s="1"/>
      <c r="R297" s="1"/>
    </row>
    <row r="298" spans="1:18" x14ac:dyDescent="0.25">
      <c r="A298" s="7">
        <v>44291.083333333336</v>
      </c>
      <c r="B298" s="1" t="s">
        <v>69</v>
      </c>
      <c r="C298" s="1">
        <v>529.16999999999996</v>
      </c>
      <c r="D298" s="1">
        <v>559.02</v>
      </c>
      <c r="F298" s="7">
        <v>44291.083333333336</v>
      </c>
      <c r="G298" s="1" t="s">
        <v>69</v>
      </c>
      <c r="H298" s="1">
        <v>482.19</v>
      </c>
      <c r="I298" s="1">
        <v>418.05</v>
      </c>
      <c r="J298" s="44"/>
      <c r="L298" s="1"/>
      <c r="M298" s="1"/>
      <c r="P298" s="7"/>
      <c r="Q298" s="1"/>
      <c r="R298" s="1"/>
    </row>
    <row r="299" spans="1:18" x14ac:dyDescent="0.25">
      <c r="A299" s="7">
        <v>44291.125</v>
      </c>
      <c r="B299" s="1" t="s">
        <v>75</v>
      </c>
      <c r="C299" s="1">
        <v>508.53</v>
      </c>
      <c r="D299" s="1">
        <v>310.27</v>
      </c>
      <c r="F299" s="7">
        <v>44291.125</v>
      </c>
      <c r="G299" s="1" t="s">
        <v>75</v>
      </c>
      <c r="H299" s="1">
        <v>459.44</v>
      </c>
      <c r="I299" s="1">
        <v>185.14</v>
      </c>
      <c r="J299" s="44"/>
      <c r="L299" s="1"/>
      <c r="M299" s="1"/>
      <c r="P299" s="7"/>
      <c r="Q299" s="1"/>
      <c r="R299" s="1"/>
    </row>
    <row r="300" spans="1:18" x14ac:dyDescent="0.25">
      <c r="A300" s="7">
        <v>44291.125</v>
      </c>
      <c r="B300" s="1" t="s">
        <v>74</v>
      </c>
      <c r="C300" s="1">
        <v>1313.25</v>
      </c>
      <c r="D300" s="1">
        <v>230.17</v>
      </c>
      <c r="F300" s="7">
        <v>44291.125</v>
      </c>
      <c r="G300" s="1" t="s">
        <v>74</v>
      </c>
      <c r="H300" s="1">
        <v>1667.52</v>
      </c>
      <c r="I300" s="1">
        <v>198.97</v>
      </c>
      <c r="J300" s="44"/>
      <c r="L300" s="1"/>
      <c r="M300" s="1"/>
      <c r="P300" s="7"/>
      <c r="Q300" s="1"/>
      <c r="R300" s="1"/>
    </row>
    <row r="301" spans="1:18" x14ac:dyDescent="0.25">
      <c r="A301" s="7">
        <v>44291.125</v>
      </c>
      <c r="B301" s="1" t="s">
        <v>77</v>
      </c>
      <c r="C301" s="1">
        <v>3203.51</v>
      </c>
      <c r="D301" s="1">
        <v>1092.01</v>
      </c>
      <c r="F301" s="7">
        <v>44291.125</v>
      </c>
      <c r="G301" s="1" t="s">
        <v>77</v>
      </c>
      <c r="H301" s="1">
        <v>2198.1799999999998</v>
      </c>
      <c r="I301" s="1">
        <v>579.61</v>
      </c>
      <c r="J301" s="44"/>
      <c r="L301" s="1"/>
      <c r="M301" s="1"/>
      <c r="P301" s="7"/>
      <c r="Q301" s="1"/>
      <c r="R301" s="1"/>
    </row>
    <row r="302" spans="1:18" x14ac:dyDescent="0.25">
      <c r="A302" s="7">
        <v>44291.125</v>
      </c>
      <c r="B302" s="1" t="s">
        <v>69</v>
      </c>
      <c r="C302" s="1">
        <v>1409.9</v>
      </c>
      <c r="D302" s="1">
        <v>1115.08</v>
      </c>
      <c r="F302" s="7">
        <v>44291.125</v>
      </c>
      <c r="G302" s="1" t="s">
        <v>69</v>
      </c>
      <c r="H302" s="1">
        <v>773.33</v>
      </c>
      <c r="I302" s="1">
        <v>621.77</v>
      </c>
      <c r="J302" s="44"/>
      <c r="L302" s="1"/>
      <c r="M302" s="1"/>
      <c r="P302" s="7"/>
      <c r="Q302" s="1"/>
      <c r="R302" s="1"/>
    </row>
    <row r="303" spans="1:18" x14ac:dyDescent="0.25">
      <c r="A303" s="7">
        <v>44291.125</v>
      </c>
      <c r="B303" s="1" t="s">
        <v>70</v>
      </c>
      <c r="C303" s="1">
        <v>1539.62</v>
      </c>
      <c r="D303" s="1">
        <v>718.5</v>
      </c>
      <c r="F303" s="7">
        <v>44291.125</v>
      </c>
      <c r="G303" s="1" t="s">
        <v>70</v>
      </c>
      <c r="H303" s="1">
        <v>1758.43</v>
      </c>
      <c r="I303" s="1">
        <v>605.42999999999995</v>
      </c>
      <c r="J303" s="44"/>
      <c r="L303" s="1"/>
      <c r="M303" s="1"/>
      <c r="P303" s="7"/>
      <c r="Q303" s="1"/>
      <c r="R303" s="1"/>
    </row>
    <row r="304" spans="1:18" x14ac:dyDescent="0.25">
      <c r="A304" s="7">
        <v>44291.125</v>
      </c>
      <c r="B304" s="1" t="s">
        <v>78</v>
      </c>
      <c r="C304" s="1">
        <v>759.55</v>
      </c>
      <c r="D304" s="1">
        <v>429.32</v>
      </c>
      <c r="F304" s="7">
        <v>44291.125</v>
      </c>
      <c r="G304" s="1" t="s">
        <v>78</v>
      </c>
      <c r="H304" s="1">
        <v>504.81</v>
      </c>
      <c r="I304" s="1">
        <v>249.72</v>
      </c>
      <c r="J304" s="44"/>
      <c r="L304" s="1"/>
      <c r="M304" s="1"/>
      <c r="P304" s="7"/>
      <c r="Q304" s="1"/>
      <c r="R304" s="1"/>
    </row>
    <row r="305" spans="1:18" x14ac:dyDescent="0.25">
      <c r="A305" s="7">
        <v>44291.125</v>
      </c>
      <c r="B305" s="1" t="s">
        <v>76</v>
      </c>
      <c r="C305" s="1">
        <v>3111.47</v>
      </c>
      <c r="D305" s="1">
        <v>746.85</v>
      </c>
      <c r="F305" s="7">
        <v>44291.125</v>
      </c>
      <c r="G305" s="1" t="s">
        <v>76</v>
      </c>
      <c r="H305" s="1">
        <v>4249.1000000000004</v>
      </c>
      <c r="I305" s="1">
        <v>671.29</v>
      </c>
      <c r="J305" s="44"/>
      <c r="L305" s="1"/>
      <c r="M305" s="1"/>
      <c r="P305" s="7"/>
      <c r="Q305" s="1"/>
      <c r="R305" s="1"/>
    </row>
    <row r="306" spans="1:18" x14ac:dyDescent="0.25">
      <c r="A306" s="7">
        <v>44291.125</v>
      </c>
      <c r="B306" s="1" t="s">
        <v>72</v>
      </c>
      <c r="C306" s="1">
        <v>2566.67</v>
      </c>
      <c r="D306" s="1">
        <v>1518.09</v>
      </c>
      <c r="F306" s="7">
        <v>44291.125</v>
      </c>
      <c r="G306" s="1" t="s">
        <v>72</v>
      </c>
      <c r="H306" s="1">
        <v>1602.04</v>
      </c>
      <c r="I306" s="1">
        <v>886.23</v>
      </c>
      <c r="J306" s="44"/>
      <c r="L306" s="1"/>
      <c r="M306" s="1"/>
      <c r="P306" s="7"/>
      <c r="Q306" s="1"/>
      <c r="R306" s="1"/>
    </row>
    <row r="307" spans="1:18" x14ac:dyDescent="0.25">
      <c r="A307" s="7">
        <v>44291.125</v>
      </c>
      <c r="B307" s="1" t="s">
        <v>73</v>
      </c>
      <c r="C307" s="1">
        <v>828.91</v>
      </c>
      <c r="D307" s="1">
        <v>127.51</v>
      </c>
      <c r="F307" s="7">
        <v>44291.125</v>
      </c>
      <c r="G307" s="1" t="s">
        <v>73</v>
      </c>
      <c r="H307" s="1">
        <v>1259.3</v>
      </c>
      <c r="I307" s="1">
        <v>132.43</v>
      </c>
      <c r="J307" s="44"/>
      <c r="L307" s="1"/>
      <c r="M307" s="1"/>
      <c r="P307" s="7"/>
      <c r="Q307" s="1"/>
      <c r="R307" s="1"/>
    </row>
    <row r="308" spans="1:18" x14ac:dyDescent="0.25">
      <c r="A308" s="7">
        <v>44291.125</v>
      </c>
      <c r="B308" s="1" t="s">
        <v>68</v>
      </c>
      <c r="C308" s="1">
        <v>773.88</v>
      </c>
      <c r="D308" s="1">
        <v>333.97</v>
      </c>
      <c r="F308" s="7">
        <v>44291.125</v>
      </c>
      <c r="G308" s="1" t="s">
        <v>68</v>
      </c>
      <c r="H308" s="1">
        <v>1074.0999999999999</v>
      </c>
      <c r="I308" s="1">
        <v>291.77</v>
      </c>
      <c r="J308" s="44"/>
      <c r="L308" s="1"/>
      <c r="M308" s="1"/>
      <c r="P308" s="7"/>
      <c r="Q308" s="1"/>
      <c r="R308" s="1"/>
    </row>
    <row r="309" spans="1:18" x14ac:dyDescent="0.25">
      <c r="A309" s="7">
        <v>44291.125</v>
      </c>
      <c r="B309" s="1" t="s">
        <v>71</v>
      </c>
      <c r="C309" s="1">
        <v>957.2</v>
      </c>
      <c r="D309" s="1">
        <v>286.25</v>
      </c>
      <c r="F309" s="7">
        <v>44291.125</v>
      </c>
      <c r="G309" s="1" t="s">
        <v>71</v>
      </c>
      <c r="H309" s="1">
        <v>1403.07</v>
      </c>
      <c r="I309" s="1">
        <v>292.22000000000003</v>
      </c>
      <c r="J309" s="44"/>
      <c r="L309" s="1"/>
      <c r="M309" s="1"/>
      <c r="P309" s="7"/>
      <c r="Q309" s="1"/>
      <c r="R309" s="1"/>
    </row>
    <row r="310" spans="1:18" x14ac:dyDescent="0.25">
      <c r="A310" s="7">
        <v>44291.166666666664</v>
      </c>
      <c r="B310" s="1" t="s">
        <v>75</v>
      </c>
      <c r="C310" s="1">
        <v>242.26</v>
      </c>
      <c r="D310" s="1">
        <v>199.59</v>
      </c>
      <c r="F310" s="7">
        <v>44291.166666666664</v>
      </c>
      <c r="G310" s="1" t="s">
        <v>75</v>
      </c>
      <c r="H310" s="1">
        <v>256.68</v>
      </c>
      <c r="I310" s="1">
        <v>115.14</v>
      </c>
      <c r="J310" s="44"/>
      <c r="L310" s="1"/>
      <c r="M310" s="1"/>
      <c r="P310" s="7"/>
      <c r="Q310" s="1"/>
      <c r="R310" s="1"/>
    </row>
    <row r="311" spans="1:18" x14ac:dyDescent="0.25">
      <c r="A311" s="7">
        <v>44291.166666666664</v>
      </c>
      <c r="B311" s="1" t="s">
        <v>74</v>
      </c>
      <c r="C311" s="1">
        <v>1004.72</v>
      </c>
      <c r="D311" s="1">
        <v>270.04000000000002</v>
      </c>
      <c r="F311" s="7">
        <v>44291.166666666664</v>
      </c>
      <c r="G311" s="1" t="s">
        <v>74</v>
      </c>
      <c r="H311" s="1">
        <v>1212.8900000000001</v>
      </c>
      <c r="I311" s="1">
        <v>193.9</v>
      </c>
      <c r="J311" s="44"/>
      <c r="L311" s="1"/>
      <c r="M311" s="1"/>
      <c r="P311" s="7"/>
      <c r="Q311" s="1"/>
      <c r="R311" s="1"/>
    </row>
    <row r="312" spans="1:18" x14ac:dyDescent="0.25">
      <c r="A312" s="7">
        <v>44291.166666666664</v>
      </c>
      <c r="B312" s="1" t="s">
        <v>72</v>
      </c>
      <c r="C312" s="1">
        <v>1849.43</v>
      </c>
      <c r="D312" s="1">
        <v>1257.0999999999999</v>
      </c>
      <c r="F312" s="7">
        <v>44291.166666666664</v>
      </c>
      <c r="G312" s="1" t="s">
        <v>72</v>
      </c>
      <c r="H312" s="1">
        <v>1343.67</v>
      </c>
      <c r="I312" s="1">
        <v>743.44</v>
      </c>
      <c r="J312" s="44"/>
      <c r="L312" s="1"/>
      <c r="M312" s="1"/>
      <c r="P312" s="7"/>
      <c r="Q312" s="1"/>
      <c r="R312" s="1"/>
    </row>
    <row r="313" spans="1:18" x14ac:dyDescent="0.25">
      <c r="A313" s="7">
        <v>44291.166666666664</v>
      </c>
      <c r="B313" s="1" t="s">
        <v>77</v>
      </c>
      <c r="C313" s="1">
        <v>1885.16</v>
      </c>
      <c r="D313" s="1">
        <v>760.23</v>
      </c>
      <c r="F313" s="7">
        <v>44291.166666666664</v>
      </c>
      <c r="G313" s="1" t="s">
        <v>77</v>
      </c>
      <c r="H313" s="1">
        <v>1477.01</v>
      </c>
      <c r="I313" s="1">
        <v>442.79</v>
      </c>
      <c r="J313" s="44"/>
      <c r="L313" s="1"/>
      <c r="M313" s="1"/>
      <c r="P313" s="7"/>
      <c r="Q313" s="1"/>
      <c r="R313" s="1"/>
    </row>
    <row r="314" spans="1:18" x14ac:dyDescent="0.25">
      <c r="A314" s="7">
        <v>44291.166666666664</v>
      </c>
      <c r="B314" s="1" t="s">
        <v>71</v>
      </c>
      <c r="C314" s="1">
        <v>1064.75</v>
      </c>
      <c r="D314" s="1">
        <v>386.88</v>
      </c>
      <c r="F314" s="7">
        <v>44291.166666666664</v>
      </c>
      <c r="G314" s="1" t="s">
        <v>71</v>
      </c>
      <c r="H314" s="1">
        <v>1488.1</v>
      </c>
      <c r="I314" s="1">
        <v>313.14999999999998</v>
      </c>
      <c r="J314" s="44"/>
      <c r="L314" s="1"/>
      <c r="M314" s="1"/>
      <c r="P314" s="7"/>
      <c r="Q314" s="1"/>
      <c r="R314" s="1"/>
    </row>
    <row r="315" spans="1:18" x14ac:dyDescent="0.25">
      <c r="A315" s="7">
        <v>44291.166666666664</v>
      </c>
      <c r="B315" s="1" t="s">
        <v>69</v>
      </c>
      <c r="C315" s="1">
        <v>1019.53</v>
      </c>
      <c r="D315" s="1">
        <v>939.89</v>
      </c>
      <c r="F315" s="7">
        <v>44291.166666666664</v>
      </c>
      <c r="G315" s="1" t="s">
        <v>69</v>
      </c>
      <c r="H315" s="1">
        <v>646.64</v>
      </c>
      <c r="I315" s="1">
        <v>517.99</v>
      </c>
      <c r="J315" s="44"/>
      <c r="L315" s="1"/>
      <c r="M315" s="1"/>
      <c r="P315" s="7"/>
      <c r="Q315" s="1"/>
      <c r="R315" s="1"/>
    </row>
    <row r="316" spans="1:18" x14ac:dyDescent="0.25">
      <c r="A316" s="7">
        <v>44291.166666666664</v>
      </c>
      <c r="B316" s="1" t="s">
        <v>70</v>
      </c>
      <c r="C316" s="1">
        <v>1110.5999999999999</v>
      </c>
      <c r="D316" s="1">
        <v>630.54</v>
      </c>
      <c r="F316" s="7">
        <v>44291.166666666664</v>
      </c>
      <c r="G316" s="1" t="s">
        <v>70</v>
      </c>
      <c r="H316" s="1">
        <v>1358.9</v>
      </c>
      <c r="I316" s="1">
        <v>527.96</v>
      </c>
      <c r="J316" s="44"/>
      <c r="L316" s="1"/>
      <c r="M316" s="1"/>
      <c r="P316" s="7"/>
      <c r="Q316" s="1"/>
      <c r="R316" s="1"/>
    </row>
    <row r="317" spans="1:18" x14ac:dyDescent="0.25">
      <c r="A317" s="7">
        <v>44291.166666666664</v>
      </c>
      <c r="B317" s="1" t="s">
        <v>78</v>
      </c>
      <c r="C317" s="1">
        <v>555.05999999999995</v>
      </c>
      <c r="D317" s="1">
        <v>390.66</v>
      </c>
      <c r="F317" s="7">
        <v>44291.166666666664</v>
      </c>
      <c r="G317" s="1" t="s">
        <v>78</v>
      </c>
      <c r="H317" s="1">
        <v>418.83</v>
      </c>
      <c r="I317" s="1">
        <v>228.64</v>
      </c>
      <c r="J317" s="44"/>
      <c r="L317" s="1"/>
      <c r="M317" s="1"/>
      <c r="P317" s="7"/>
      <c r="Q317" s="1"/>
      <c r="R317" s="1"/>
    </row>
    <row r="318" spans="1:18" x14ac:dyDescent="0.25">
      <c r="A318" s="7">
        <v>44291.166666666664</v>
      </c>
      <c r="B318" s="1" t="s">
        <v>76</v>
      </c>
      <c r="C318" s="1">
        <v>1580.06</v>
      </c>
      <c r="D318" s="1">
        <v>484.38</v>
      </c>
      <c r="F318" s="7">
        <v>44291.166666666664</v>
      </c>
      <c r="G318" s="1" t="s">
        <v>76</v>
      </c>
      <c r="H318" s="1">
        <v>2220.41</v>
      </c>
      <c r="I318" s="1">
        <v>411.24</v>
      </c>
      <c r="J318" s="44"/>
      <c r="L318" s="1"/>
      <c r="M318" s="1"/>
      <c r="P318" s="7"/>
      <c r="Q318" s="1"/>
      <c r="R318" s="1"/>
    </row>
    <row r="319" spans="1:18" x14ac:dyDescent="0.25">
      <c r="A319" s="7">
        <v>44291.166666666664</v>
      </c>
      <c r="B319" s="1" t="s">
        <v>73</v>
      </c>
      <c r="C319" s="1">
        <v>706.94</v>
      </c>
      <c r="D319" s="1">
        <v>123.66</v>
      </c>
      <c r="F319" s="7">
        <v>44291.166666666664</v>
      </c>
      <c r="G319" s="1" t="s">
        <v>73</v>
      </c>
      <c r="H319" s="1">
        <v>1019.69</v>
      </c>
      <c r="I319" s="1">
        <v>126.26</v>
      </c>
      <c r="J319" s="44"/>
      <c r="L319" s="1"/>
      <c r="M319" s="1"/>
      <c r="P319" s="7"/>
      <c r="Q319" s="1"/>
      <c r="R319" s="1"/>
    </row>
    <row r="320" spans="1:18" x14ac:dyDescent="0.25">
      <c r="A320" s="7">
        <v>44291.166666666664</v>
      </c>
      <c r="B320" s="1" t="s">
        <v>68</v>
      </c>
      <c r="C320" s="1">
        <v>842.26</v>
      </c>
      <c r="D320" s="1">
        <v>415.99</v>
      </c>
      <c r="F320" s="7">
        <v>44291.166666666664</v>
      </c>
      <c r="G320" s="1" t="s">
        <v>68</v>
      </c>
      <c r="H320" s="1">
        <v>1090.5899999999999</v>
      </c>
      <c r="I320" s="1">
        <v>326.18</v>
      </c>
      <c r="J320" s="44"/>
      <c r="L320" s="1"/>
      <c r="M320" s="1"/>
      <c r="P320" s="7"/>
      <c r="Q320" s="1"/>
      <c r="R320" s="1"/>
    </row>
    <row r="321" spans="1:18" x14ac:dyDescent="0.25">
      <c r="A321" s="7">
        <v>44291.208333333336</v>
      </c>
      <c r="B321" s="1" t="s">
        <v>74</v>
      </c>
      <c r="C321" s="1">
        <v>538.78</v>
      </c>
      <c r="D321" s="1">
        <v>113.48</v>
      </c>
      <c r="F321" s="7">
        <v>44291.208333333336</v>
      </c>
      <c r="G321" s="1" t="s">
        <v>74</v>
      </c>
      <c r="H321" s="1">
        <v>581.59</v>
      </c>
      <c r="I321" s="1">
        <v>85.48</v>
      </c>
      <c r="J321" s="44"/>
      <c r="L321" s="1"/>
      <c r="M321" s="1"/>
      <c r="P321" s="7"/>
      <c r="Q321" s="1"/>
      <c r="R321" s="1"/>
    </row>
    <row r="322" spans="1:18" x14ac:dyDescent="0.25">
      <c r="A322" s="7">
        <v>44291.208333333336</v>
      </c>
      <c r="B322" s="1" t="s">
        <v>78</v>
      </c>
      <c r="C322" s="1">
        <v>213.14</v>
      </c>
      <c r="D322" s="1">
        <v>118.79</v>
      </c>
      <c r="F322" s="7">
        <v>44291.208333333336</v>
      </c>
      <c r="G322" s="1" t="s">
        <v>78</v>
      </c>
      <c r="H322" s="1">
        <v>202.98</v>
      </c>
      <c r="I322" s="1">
        <v>94.39</v>
      </c>
      <c r="J322" s="44"/>
      <c r="L322" s="1"/>
      <c r="M322" s="1"/>
      <c r="P322" s="7"/>
      <c r="Q322" s="1"/>
      <c r="R322" s="1"/>
    </row>
    <row r="323" spans="1:18" x14ac:dyDescent="0.25">
      <c r="A323" s="7">
        <v>44291.208333333336</v>
      </c>
      <c r="B323" s="1" t="s">
        <v>75</v>
      </c>
      <c r="C323" s="1">
        <v>91.15</v>
      </c>
      <c r="D323" s="1">
        <v>61.62</v>
      </c>
      <c r="F323" s="7">
        <v>44291.208333333336</v>
      </c>
      <c r="G323" s="1" t="s">
        <v>75</v>
      </c>
      <c r="H323" s="1">
        <v>89.65</v>
      </c>
      <c r="I323" s="1">
        <v>32.200000000000003</v>
      </c>
      <c r="J323" s="44"/>
      <c r="L323" s="1"/>
      <c r="M323" s="1"/>
      <c r="P323" s="7"/>
      <c r="Q323" s="1"/>
      <c r="R323" s="1"/>
    </row>
    <row r="324" spans="1:18" x14ac:dyDescent="0.25">
      <c r="A324" s="7">
        <v>44291.208333333336</v>
      </c>
      <c r="B324" s="1" t="s">
        <v>76</v>
      </c>
      <c r="C324" s="1">
        <v>585.36</v>
      </c>
      <c r="D324" s="1">
        <v>151.93</v>
      </c>
      <c r="F324" s="7">
        <v>44291.208333333336</v>
      </c>
      <c r="G324" s="1" t="s">
        <v>76</v>
      </c>
      <c r="H324" s="1">
        <v>694.28</v>
      </c>
      <c r="I324" s="1">
        <v>119.02</v>
      </c>
      <c r="J324" s="44"/>
      <c r="L324" s="1"/>
      <c r="M324" s="1"/>
      <c r="P324" s="7"/>
      <c r="Q324" s="1"/>
      <c r="R324" s="1"/>
    </row>
    <row r="325" spans="1:18" x14ac:dyDescent="0.25">
      <c r="A325" s="7">
        <v>44291.208333333336</v>
      </c>
      <c r="B325" s="1" t="s">
        <v>73</v>
      </c>
      <c r="C325" s="1">
        <v>580.62</v>
      </c>
      <c r="D325" s="1">
        <v>63.89</v>
      </c>
      <c r="F325" s="7">
        <v>44291.208333333336</v>
      </c>
      <c r="G325" s="1" t="s">
        <v>73</v>
      </c>
      <c r="H325" s="1">
        <v>594.76</v>
      </c>
      <c r="I325" s="1">
        <v>52.65</v>
      </c>
      <c r="J325" s="44"/>
      <c r="L325" s="1"/>
      <c r="M325" s="1"/>
      <c r="P325" s="7"/>
      <c r="Q325" s="1"/>
      <c r="R325" s="1"/>
    </row>
    <row r="326" spans="1:18" x14ac:dyDescent="0.25">
      <c r="A326" s="7">
        <v>44291.208333333336</v>
      </c>
      <c r="B326" s="1" t="s">
        <v>71</v>
      </c>
      <c r="C326" s="1">
        <v>1004.13</v>
      </c>
      <c r="D326" s="1">
        <v>248.65</v>
      </c>
      <c r="F326" s="7">
        <v>44291.208333333336</v>
      </c>
      <c r="G326" s="1" t="s">
        <v>71</v>
      </c>
      <c r="H326" s="1">
        <v>1101.8499999999999</v>
      </c>
      <c r="I326" s="1">
        <v>206.25</v>
      </c>
      <c r="J326" s="44"/>
      <c r="L326" s="1"/>
      <c r="M326" s="1"/>
      <c r="P326" s="7"/>
      <c r="Q326" s="1"/>
      <c r="R326" s="1"/>
    </row>
    <row r="327" spans="1:18" x14ac:dyDescent="0.25">
      <c r="A327" s="7">
        <v>44291.208333333336</v>
      </c>
      <c r="B327" s="1" t="s">
        <v>68</v>
      </c>
      <c r="C327" s="1">
        <v>806.54</v>
      </c>
      <c r="D327" s="1">
        <v>265.33</v>
      </c>
      <c r="F327" s="7">
        <v>44291.208333333336</v>
      </c>
      <c r="G327" s="1" t="s">
        <v>68</v>
      </c>
      <c r="H327" s="1">
        <v>930.53</v>
      </c>
      <c r="I327" s="1">
        <v>216.66</v>
      </c>
      <c r="J327" s="44"/>
      <c r="L327" s="1"/>
      <c r="M327" s="1"/>
      <c r="P327" s="7"/>
      <c r="Q327" s="1"/>
      <c r="R327" s="1"/>
    </row>
    <row r="328" spans="1:18" x14ac:dyDescent="0.25">
      <c r="A328" s="7">
        <v>44291.208333333336</v>
      </c>
      <c r="B328" s="1" t="s">
        <v>77</v>
      </c>
      <c r="C328" s="1">
        <v>919.67</v>
      </c>
      <c r="D328" s="1">
        <v>300.12</v>
      </c>
      <c r="F328" s="7">
        <v>44291.208333333336</v>
      </c>
      <c r="G328" s="1" t="s">
        <v>77</v>
      </c>
      <c r="H328" s="1">
        <v>824.59</v>
      </c>
      <c r="I328" s="1">
        <v>213.71</v>
      </c>
      <c r="J328" s="44"/>
      <c r="L328" s="1"/>
      <c r="M328" s="1"/>
      <c r="P328" s="7"/>
      <c r="Q328" s="1"/>
      <c r="R328" s="1"/>
    </row>
    <row r="329" spans="1:18" x14ac:dyDescent="0.25">
      <c r="A329" s="7">
        <v>44291.208333333336</v>
      </c>
      <c r="B329" s="1" t="s">
        <v>70</v>
      </c>
      <c r="C329" s="1">
        <v>489.95</v>
      </c>
      <c r="D329" s="1">
        <v>219.87</v>
      </c>
      <c r="F329" s="7">
        <v>44291.208333333336</v>
      </c>
      <c r="G329" s="1" t="s">
        <v>70</v>
      </c>
      <c r="H329" s="1">
        <v>557.65</v>
      </c>
      <c r="I329" s="1">
        <v>194.27</v>
      </c>
      <c r="J329" s="44"/>
      <c r="L329" s="1"/>
      <c r="M329" s="1"/>
      <c r="P329" s="7"/>
      <c r="Q329" s="1"/>
      <c r="R329" s="1"/>
    </row>
    <row r="330" spans="1:18" x14ac:dyDescent="0.25">
      <c r="A330" s="7">
        <v>44291.208333333336</v>
      </c>
      <c r="B330" s="1" t="s">
        <v>72</v>
      </c>
      <c r="C330" s="1">
        <v>703.89</v>
      </c>
      <c r="D330" s="1">
        <v>394.42</v>
      </c>
      <c r="F330" s="7">
        <v>44291.208333333336</v>
      </c>
      <c r="G330" s="1" t="s">
        <v>72</v>
      </c>
      <c r="H330" s="1">
        <v>617.41</v>
      </c>
      <c r="I330" s="1">
        <v>294.38</v>
      </c>
      <c r="J330" s="44"/>
      <c r="L330" s="1"/>
      <c r="M330" s="1"/>
      <c r="P330" s="7"/>
      <c r="Q330" s="1"/>
      <c r="R330" s="1"/>
    </row>
    <row r="331" spans="1:18" x14ac:dyDescent="0.25">
      <c r="A331" s="7">
        <v>44291.208333333336</v>
      </c>
      <c r="B331" s="1" t="s">
        <v>69</v>
      </c>
      <c r="C331" s="1">
        <v>325.04000000000002</v>
      </c>
      <c r="D331" s="1">
        <v>261.58999999999997</v>
      </c>
      <c r="F331" s="7">
        <v>44291.208333333336</v>
      </c>
      <c r="G331" s="1" t="s">
        <v>69</v>
      </c>
      <c r="H331" s="1">
        <v>276.2</v>
      </c>
      <c r="I331" s="1">
        <v>177.59</v>
      </c>
      <c r="J331" s="44"/>
      <c r="L331" s="1"/>
      <c r="M331" s="1"/>
      <c r="P331" s="7"/>
      <c r="Q331" s="1"/>
      <c r="R331" s="1"/>
    </row>
    <row r="332" spans="1:18" x14ac:dyDescent="0.25">
      <c r="A332" s="7">
        <v>44291.25</v>
      </c>
      <c r="B332" s="1" t="s">
        <v>75</v>
      </c>
      <c r="C332" s="1">
        <v>108.81</v>
      </c>
      <c r="D332" s="1">
        <v>42.61</v>
      </c>
      <c r="F332" s="7">
        <v>44291.25</v>
      </c>
      <c r="G332" s="1" t="s">
        <v>75</v>
      </c>
      <c r="H332" s="1">
        <v>114.42</v>
      </c>
      <c r="I332" s="1">
        <v>28.92</v>
      </c>
      <c r="J332" s="44"/>
      <c r="L332" s="1"/>
      <c r="M332" s="1"/>
      <c r="P332" s="7"/>
      <c r="Q332" s="1"/>
      <c r="R332" s="1"/>
    </row>
    <row r="333" spans="1:18" x14ac:dyDescent="0.25">
      <c r="A333" s="7">
        <v>44291.25</v>
      </c>
      <c r="B333" s="1" t="s">
        <v>74</v>
      </c>
      <c r="C333" s="1">
        <v>1556.69</v>
      </c>
      <c r="D333" s="1">
        <v>235.44</v>
      </c>
      <c r="F333" s="7">
        <v>44291.25</v>
      </c>
      <c r="G333" s="1" t="s">
        <v>74</v>
      </c>
      <c r="H333" s="1">
        <v>1695.29</v>
      </c>
      <c r="I333" s="1">
        <v>190.24</v>
      </c>
      <c r="J333" s="44"/>
      <c r="L333" s="1"/>
      <c r="M333" s="1"/>
      <c r="P333" s="7"/>
      <c r="Q333" s="1"/>
      <c r="R333" s="1"/>
    </row>
    <row r="334" spans="1:18" x14ac:dyDescent="0.25">
      <c r="A334" s="7">
        <v>44291.25</v>
      </c>
      <c r="B334" s="1" t="s">
        <v>78</v>
      </c>
      <c r="C334" s="1">
        <v>367.88</v>
      </c>
      <c r="D334" s="1">
        <v>179.7</v>
      </c>
      <c r="F334" s="7">
        <v>44291.25</v>
      </c>
      <c r="G334" s="1" t="s">
        <v>78</v>
      </c>
      <c r="H334" s="1">
        <v>276.82</v>
      </c>
      <c r="I334" s="1">
        <v>116.28</v>
      </c>
      <c r="J334" s="44"/>
      <c r="L334" s="1"/>
      <c r="M334" s="1"/>
      <c r="P334" s="7"/>
      <c r="Q334" s="1"/>
      <c r="R334" s="1"/>
    </row>
    <row r="335" spans="1:18" x14ac:dyDescent="0.25">
      <c r="A335" s="7">
        <v>44291.25</v>
      </c>
      <c r="B335" s="1" t="s">
        <v>76</v>
      </c>
      <c r="C335" s="1">
        <v>1705.98</v>
      </c>
      <c r="D335" s="1">
        <v>316.33</v>
      </c>
      <c r="F335" s="7">
        <v>44291.25</v>
      </c>
      <c r="G335" s="1" t="s">
        <v>76</v>
      </c>
      <c r="H335" s="1">
        <v>2084.9699999999998</v>
      </c>
      <c r="I335" s="1">
        <v>260.08</v>
      </c>
      <c r="J335" s="44"/>
      <c r="L335" s="1"/>
      <c r="M335" s="1"/>
      <c r="P335" s="7"/>
      <c r="Q335" s="1"/>
      <c r="R335" s="1"/>
    </row>
    <row r="336" spans="1:18" x14ac:dyDescent="0.25">
      <c r="A336" s="7">
        <v>44291.25</v>
      </c>
      <c r="B336" s="1" t="s">
        <v>68</v>
      </c>
      <c r="C336" s="1">
        <v>2291.8200000000002</v>
      </c>
      <c r="D336" s="1">
        <v>672.53</v>
      </c>
      <c r="F336" s="7">
        <v>44291.25</v>
      </c>
      <c r="G336" s="1" t="s">
        <v>68</v>
      </c>
      <c r="H336" s="1">
        <v>2519.19</v>
      </c>
      <c r="I336" s="1">
        <v>530.57000000000005</v>
      </c>
      <c r="J336" s="44"/>
      <c r="L336" s="1"/>
      <c r="M336" s="1"/>
      <c r="P336" s="7"/>
      <c r="Q336" s="1"/>
      <c r="R336" s="1"/>
    </row>
    <row r="337" spans="1:18" x14ac:dyDescent="0.25">
      <c r="A337" s="7">
        <v>44291.25</v>
      </c>
      <c r="B337" s="1" t="s">
        <v>71</v>
      </c>
      <c r="C337" s="1">
        <v>2850.5</v>
      </c>
      <c r="D337" s="1">
        <v>696.55</v>
      </c>
      <c r="F337" s="7">
        <v>44291.25</v>
      </c>
      <c r="G337" s="1" t="s">
        <v>71</v>
      </c>
      <c r="H337" s="1">
        <v>3083.65</v>
      </c>
      <c r="I337" s="1">
        <v>522.69000000000005</v>
      </c>
      <c r="J337" s="44"/>
      <c r="L337" s="1"/>
      <c r="M337" s="1"/>
      <c r="P337" s="7"/>
      <c r="Q337" s="1"/>
      <c r="R337" s="1"/>
    </row>
    <row r="338" spans="1:18" x14ac:dyDescent="0.25">
      <c r="A338" s="7">
        <v>44291.25</v>
      </c>
      <c r="B338" s="1" t="s">
        <v>73</v>
      </c>
      <c r="C338" s="1">
        <v>1662.25</v>
      </c>
      <c r="D338" s="1">
        <v>167.97</v>
      </c>
      <c r="F338" s="7">
        <v>44291.25</v>
      </c>
      <c r="G338" s="1" t="s">
        <v>73</v>
      </c>
      <c r="H338" s="1">
        <v>1712.85</v>
      </c>
      <c r="I338" s="1">
        <v>137.46</v>
      </c>
      <c r="J338" s="44"/>
      <c r="L338" s="1"/>
      <c r="M338" s="1"/>
      <c r="P338" s="7"/>
      <c r="Q338" s="1"/>
      <c r="R338" s="1"/>
    </row>
    <row r="339" spans="1:18" x14ac:dyDescent="0.25">
      <c r="A339" s="7">
        <v>44291.25</v>
      </c>
      <c r="B339" s="1" t="s">
        <v>72</v>
      </c>
      <c r="C339" s="1">
        <v>1500.28</v>
      </c>
      <c r="D339" s="1">
        <v>629.21</v>
      </c>
      <c r="F339" s="7">
        <v>44291.25</v>
      </c>
      <c r="G339" s="1" t="s">
        <v>72</v>
      </c>
      <c r="H339" s="1">
        <v>1087.55</v>
      </c>
      <c r="I339" s="1">
        <v>418.02</v>
      </c>
      <c r="J339" s="44"/>
      <c r="L339" s="1"/>
      <c r="M339" s="1"/>
      <c r="P339" s="7"/>
      <c r="Q339" s="1"/>
      <c r="R339" s="1"/>
    </row>
    <row r="340" spans="1:18" x14ac:dyDescent="0.25">
      <c r="A340" s="7">
        <v>44291.25</v>
      </c>
      <c r="B340" s="1" t="s">
        <v>77</v>
      </c>
      <c r="C340" s="1">
        <v>2677.78</v>
      </c>
      <c r="D340" s="1">
        <v>834.98</v>
      </c>
      <c r="F340" s="7">
        <v>44291.25</v>
      </c>
      <c r="G340" s="1" t="s">
        <v>77</v>
      </c>
      <c r="H340" s="1">
        <v>2002.74</v>
      </c>
      <c r="I340" s="1">
        <v>477.32</v>
      </c>
      <c r="J340" s="44"/>
      <c r="L340" s="1"/>
      <c r="M340" s="1"/>
      <c r="P340" s="7"/>
      <c r="Q340" s="1"/>
      <c r="R340" s="1"/>
    </row>
    <row r="341" spans="1:18" x14ac:dyDescent="0.25">
      <c r="A341" s="7">
        <v>44291.25</v>
      </c>
      <c r="B341" s="1" t="s">
        <v>69</v>
      </c>
      <c r="C341" s="1">
        <v>759.54</v>
      </c>
      <c r="D341" s="1">
        <v>405.88</v>
      </c>
      <c r="F341" s="7">
        <v>44291.25</v>
      </c>
      <c r="G341" s="1" t="s">
        <v>69</v>
      </c>
      <c r="H341" s="1">
        <v>488.44</v>
      </c>
      <c r="I341" s="1">
        <v>255.38</v>
      </c>
      <c r="J341" s="44"/>
      <c r="L341" s="1"/>
      <c r="M341" s="1"/>
      <c r="P341" s="7"/>
      <c r="Q341" s="1"/>
      <c r="R341" s="1"/>
    </row>
    <row r="342" spans="1:18" x14ac:dyDescent="0.25">
      <c r="A342" s="7">
        <v>44291.25</v>
      </c>
      <c r="B342" s="1" t="s">
        <v>70</v>
      </c>
      <c r="C342" s="1">
        <v>1070.45</v>
      </c>
      <c r="D342" s="1">
        <v>382.3</v>
      </c>
      <c r="F342" s="7">
        <v>44291.25</v>
      </c>
      <c r="G342" s="1" t="s">
        <v>70</v>
      </c>
      <c r="H342" s="1">
        <v>1040.29</v>
      </c>
      <c r="I342" s="1">
        <v>330.4</v>
      </c>
      <c r="J342" s="44"/>
      <c r="L342" s="1"/>
      <c r="M342" s="1"/>
      <c r="P342" s="7"/>
      <c r="Q342" s="1"/>
      <c r="R342" s="1"/>
    </row>
    <row r="343" spans="1:18" x14ac:dyDescent="0.25">
      <c r="A343" s="7">
        <v>44291.291666666664</v>
      </c>
      <c r="B343" s="1" t="s">
        <v>75</v>
      </c>
      <c r="C343" s="1">
        <v>237.05</v>
      </c>
      <c r="D343" s="1">
        <v>79.650000000000006</v>
      </c>
      <c r="F343" s="7">
        <v>44291.291666666664</v>
      </c>
      <c r="G343" s="1" t="s">
        <v>75</v>
      </c>
      <c r="H343" s="1">
        <v>233.4</v>
      </c>
      <c r="I343" s="1">
        <v>54.39</v>
      </c>
      <c r="J343" s="44"/>
      <c r="L343" s="1"/>
      <c r="M343" s="1"/>
      <c r="P343" s="7"/>
      <c r="Q343" s="1"/>
      <c r="R343" s="1"/>
    </row>
    <row r="344" spans="1:18" x14ac:dyDescent="0.25">
      <c r="A344" s="7">
        <v>44291.291666666664</v>
      </c>
      <c r="B344" s="1" t="s">
        <v>74</v>
      </c>
      <c r="C344" s="1">
        <v>3133.51</v>
      </c>
      <c r="D344" s="1">
        <v>547.41</v>
      </c>
      <c r="F344" s="7">
        <v>44291.291666666664</v>
      </c>
      <c r="G344" s="1" t="s">
        <v>74</v>
      </c>
      <c r="H344" s="1">
        <v>3388.36</v>
      </c>
      <c r="I344" s="1">
        <v>428.89</v>
      </c>
      <c r="J344" s="44"/>
      <c r="L344" s="1"/>
      <c r="M344" s="1"/>
      <c r="P344" s="7"/>
      <c r="Q344" s="1"/>
      <c r="R344" s="1"/>
    </row>
    <row r="345" spans="1:18" x14ac:dyDescent="0.25">
      <c r="A345" s="7">
        <v>44291.291666666664</v>
      </c>
      <c r="B345" s="1" t="s">
        <v>78</v>
      </c>
      <c r="C345" s="1">
        <v>579.41</v>
      </c>
      <c r="D345" s="1">
        <v>259.58</v>
      </c>
      <c r="F345" s="7">
        <v>44291.291666666664</v>
      </c>
      <c r="G345" s="1" t="s">
        <v>78</v>
      </c>
      <c r="H345" s="1">
        <v>388.67</v>
      </c>
      <c r="I345" s="1">
        <v>152.72</v>
      </c>
      <c r="J345" s="44"/>
      <c r="L345" s="1"/>
      <c r="M345" s="1"/>
      <c r="P345" s="7"/>
      <c r="Q345" s="1"/>
      <c r="R345" s="1"/>
    </row>
    <row r="346" spans="1:18" x14ac:dyDescent="0.25">
      <c r="A346" s="7">
        <v>44291.291666666664</v>
      </c>
      <c r="B346" s="1" t="s">
        <v>76</v>
      </c>
      <c r="C346" s="1">
        <v>3826.44</v>
      </c>
      <c r="D346" s="1">
        <v>677.18</v>
      </c>
      <c r="F346" s="7">
        <v>44291.291666666664</v>
      </c>
      <c r="G346" s="1" t="s">
        <v>76</v>
      </c>
      <c r="H346" s="1">
        <v>4538.53</v>
      </c>
      <c r="I346" s="1">
        <v>621.22</v>
      </c>
      <c r="J346" s="44"/>
      <c r="L346" s="1"/>
      <c r="M346" s="1"/>
      <c r="P346" s="7"/>
      <c r="Q346" s="1"/>
      <c r="R346" s="1"/>
    </row>
    <row r="347" spans="1:18" x14ac:dyDescent="0.25">
      <c r="A347" s="7">
        <v>44291.291666666664</v>
      </c>
      <c r="B347" s="1" t="s">
        <v>68</v>
      </c>
      <c r="C347" s="1">
        <v>3849.96</v>
      </c>
      <c r="D347" s="1">
        <v>1275.97</v>
      </c>
      <c r="F347" s="7">
        <v>44291.291666666664</v>
      </c>
      <c r="G347" s="1" t="s">
        <v>68</v>
      </c>
      <c r="H347" s="1">
        <v>4319.54</v>
      </c>
      <c r="I347" s="1">
        <v>995.45</v>
      </c>
      <c r="J347" s="44"/>
      <c r="L347" s="1"/>
      <c r="M347" s="1"/>
      <c r="P347" s="7"/>
      <c r="Q347" s="1"/>
      <c r="R347" s="1"/>
    </row>
    <row r="348" spans="1:18" x14ac:dyDescent="0.25">
      <c r="A348" s="7">
        <v>44291.291666666664</v>
      </c>
      <c r="B348" s="1" t="s">
        <v>71</v>
      </c>
      <c r="C348" s="1">
        <v>4775.2</v>
      </c>
      <c r="D348" s="1">
        <v>1373.42</v>
      </c>
      <c r="F348" s="7">
        <v>44291.291666666664</v>
      </c>
      <c r="G348" s="1" t="s">
        <v>71</v>
      </c>
      <c r="H348" s="1">
        <v>5275.2</v>
      </c>
      <c r="I348" s="1">
        <v>1066.3900000000001</v>
      </c>
      <c r="J348" s="44"/>
      <c r="L348" s="1"/>
      <c r="M348" s="1"/>
      <c r="P348" s="7"/>
      <c r="Q348" s="1"/>
      <c r="R348" s="1"/>
    </row>
    <row r="349" spans="1:18" x14ac:dyDescent="0.25">
      <c r="A349" s="7">
        <v>44291.291666666664</v>
      </c>
      <c r="B349" s="1" t="s">
        <v>69</v>
      </c>
      <c r="C349" s="1">
        <v>1484.94</v>
      </c>
      <c r="D349" s="1">
        <v>829.93</v>
      </c>
      <c r="F349" s="7">
        <v>44291.291666666664</v>
      </c>
      <c r="G349" s="1" t="s">
        <v>69</v>
      </c>
      <c r="H349" s="1">
        <v>873.24</v>
      </c>
      <c r="I349" s="1">
        <v>475.57</v>
      </c>
      <c r="J349" s="44"/>
      <c r="L349" s="1"/>
      <c r="M349" s="1"/>
      <c r="P349" s="7"/>
      <c r="Q349" s="1"/>
      <c r="R349" s="1"/>
    </row>
    <row r="350" spans="1:18" x14ac:dyDescent="0.25">
      <c r="A350" s="7">
        <v>44291.291666666664</v>
      </c>
      <c r="B350" s="1" t="s">
        <v>70</v>
      </c>
      <c r="C350" s="1">
        <v>2291.27</v>
      </c>
      <c r="D350" s="1">
        <v>873.2</v>
      </c>
      <c r="F350" s="7">
        <v>44291.291666666664</v>
      </c>
      <c r="G350" s="1" t="s">
        <v>70</v>
      </c>
      <c r="H350" s="1">
        <v>2209.9899999999998</v>
      </c>
      <c r="I350" s="1">
        <v>720.9</v>
      </c>
      <c r="J350" s="44"/>
      <c r="L350" s="1"/>
      <c r="M350" s="1"/>
      <c r="P350" s="7"/>
      <c r="Q350" s="1"/>
      <c r="R350" s="1"/>
    </row>
    <row r="351" spans="1:18" x14ac:dyDescent="0.25">
      <c r="A351" s="7">
        <v>44291.291666666664</v>
      </c>
      <c r="B351" s="1" t="s">
        <v>72</v>
      </c>
      <c r="C351" s="1">
        <v>3209.05</v>
      </c>
      <c r="D351" s="1">
        <v>1342.48</v>
      </c>
      <c r="F351" s="7">
        <v>44291.291666666664</v>
      </c>
      <c r="G351" s="1" t="s">
        <v>72</v>
      </c>
      <c r="H351" s="1">
        <v>2244.39</v>
      </c>
      <c r="I351" s="1">
        <v>888.84</v>
      </c>
      <c r="J351" s="44"/>
      <c r="L351" s="1"/>
      <c r="M351" s="1"/>
      <c r="P351" s="7"/>
      <c r="Q351" s="1"/>
      <c r="R351" s="1"/>
    </row>
    <row r="352" spans="1:18" x14ac:dyDescent="0.25">
      <c r="A352" s="7">
        <v>44291.291666666664</v>
      </c>
      <c r="B352" s="1" t="s">
        <v>73</v>
      </c>
      <c r="C352" s="1">
        <v>3172.52</v>
      </c>
      <c r="D352" s="1">
        <v>400.94</v>
      </c>
      <c r="F352" s="7">
        <v>44291.291666666664</v>
      </c>
      <c r="G352" s="1" t="s">
        <v>73</v>
      </c>
      <c r="H352" s="1">
        <v>3448.17</v>
      </c>
      <c r="I352" s="1">
        <v>344.97</v>
      </c>
      <c r="J352" s="44"/>
      <c r="L352" s="1"/>
      <c r="M352" s="1"/>
      <c r="P352" s="7"/>
      <c r="Q352" s="1"/>
      <c r="R352" s="1"/>
    </row>
    <row r="353" spans="1:18" x14ac:dyDescent="0.25">
      <c r="A353" s="7">
        <v>44291.291666666664</v>
      </c>
      <c r="B353" s="1" t="s">
        <v>77</v>
      </c>
      <c r="C353" s="1">
        <v>4319.08</v>
      </c>
      <c r="D353" s="1">
        <v>1225.07</v>
      </c>
      <c r="F353" s="7">
        <v>44291.291666666664</v>
      </c>
      <c r="G353" s="1" t="s">
        <v>77</v>
      </c>
      <c r="H353" s="1">
        <v>3280.52</v>
      </c>
      <c r="I353" s="1">
        <v>748.72</v>
      </c>
      <c r="J353" s="44"/>
      <c r="L353" s="1"/>
      <c r="M353" s="1"/>
      <c r="P353" s="7"/>
      <c r="Q353" s="1"/>
      <c r="R353" s="1"/>
    </row>
    <row r="354" spans="1:18" x14ac:dyDescent="0.25">
      <c r="A354" s="7">
        <v>44291.333333333336</v>
      </c>
      <c r="B354" s="1" t="s">
        <v>75</v>
      </c>
      <c r="C354" s="1">
        <v>468.49</v>
      </c>
      <c r="D354" s="1">
        <v>182.91</v>
      </c>
      <c r="F354" s="7">
        <v>44291.333333333336</v>
      </c>
      <c r="G354" s="1" t="s">
        <v>75</v>
      </c>
      <c r="H354" s="1">
        <v>409.77</v>
      </c>
      <c r="I354" s="1">
        <v>107.63</v>
      </c>
      <c r="J354" s="44"/>
      <c r="L354" s="1"/>
      <c r="M354" s="1"/>
      <c r="P354" s="7"/>
      <c r="Q354" s="1"/>
      <c r="R354" s="1"/>
    </row>
    <row r="355" spans="1:18" x14ac:dyDescent="0.25">
      <c r="A355" s="7">
        <v>44291.333333333336</v>
      </c>
      <c r="B355" s="1" t="s">
        <v>74</v>
      </c>
      <c r="C355" s="1">
        <v>4749.43</v>
      </c>
      <c r="D355" s="1">
        <v>996.1</v>
      </c>
      <c r="F355" s="7">
        <v>44291.333333333336</v>
      </c>
      <c r="G355" s="1" t="s">
        <v>74</v>
      </c>
      <c r="H355" s="1">
        <v>5089.59</v>
      </c>
      <c r="I355" s="1">
        <v>772.82</v>
      </c>
      <c r="J355" s="44"/>
      <c r="L355" s="1"/>
      <c r="M355" s="1"/>
      <c r="P355" s="7"/>
      <c r="Q355" s="1"/>
      <c r="R355" s="1"/>
    </row>
    <row r="356" spans="1:18" x14ac:dyDescent="0.25">
      <c r="A356" s="7">
        <v>44291.333333333336</v>
      </c>
      <c r="B356" s="1" t="s">
        <v>72</v>
      </c>
      <c r="C356" s="1">
        <v>5649.17</v>
      </c>
      <c r="D356" s="1">
        <v>2734.08</v>
      </c>
      <c r="F356" s="7">
        <v>44291.333333333336</v>
      </c>
      <c r="G356" s="1" t="s">
        <v>72</v>
      </c>
      <c r="H356" s="1">
        <v>4124.4799999999996</v>
      </c>
      <c r="I356" s="1">
        <v>1885.92</v>
      </c>
      <c r="J356" s="44"/>
      <c r="L356" s="1"/>
      <c r="M356" s="1"/>
      <c r="P356" s="7"/>
      <c r="Q356" s="1"/>
      <c r="R356" s="1"/>
    </row>
    <row r="357" spans="1:18" x14ac:dyDescent="0.25">
      <c r="A357" s="7">
        <v>44291.333333333336</v>
      </c>
      <c r="B357" s="1" t="s">
        <v>76</v>
      </c>
      <c r="C357" s="1">
        <v>6206.36</v>
      </c>
      <c r="D357" s="1">
        <v>1340.69</v>
      </c>
      <c r="F357" s="7">
        <v>44291.333333333336</v>
      </c>
      <c r="G357" s="1" t="s">
        <v>76</v>
      </c>
      <c r="H357" s="1">
        <v>7307.25</v>
      </c>
      <c r="I357" s="1">
        <v>1178.47</v>
      </c>
      <c r="J357" s="44"/>
      <c r="L357" s="1"/>
      <c r="M357" s="1"/>
      <c r="P357" s="7"/>
      <c r="Q357" s="1"/>
      <c r="R357" s="1"/>
    </row>
    <row r="358" spans="1:18" x14ac:dyDescent="0.25">
      <c r="A358" s="7">
        <v>44291.333333333336</v>
      </c>
      <c r="B358" s="1" t="s">
        <v>71</v>
      </c>
      <c r="C358" s="1">
        <v>7481.81</v>
      </c>
      <c r="D358" s="1">
        <v>2284.75</v>
      </c>
      <c r="F358" s="7">
        <v>44291.333333333336</v>
      </c>
      <c r="G358" s="1" t="s">
        <v>71</v>
      </c>
      <c r="H358" s="1">
        <v>8416.0499999999993</v>
      </c>
      <c r="I358" s="1">
        <v>1813.32</v>
      </c>
      <c r="J358" s="44"/>
      <c r="L358" s="1"/>
      <c r="M358" s="1"/>
      <c r="P358" s="7"/>
      <c r="Q358" s="1"/>
      <c r="R358" s="1"/>
    </row>
    <row r="359" spans="1:18" x14ac:dyDescent="0.25">
      <c r="A359" s="7">
        <v>44291.333333333336</v>
      </c>
      <c r="B359" s="1" t="s">
        <v>70</v>
      </c>
      <c r="C359" s="1">
        <v>3886.73</v>
      </c>
      <c r="D359" s="1">
        <v>1627.94</v>
      </c>
      <c r="F359" s="7">
        <v>44291.333333333336</v>
      </c>
      <c r="G359" s="1" t="s">
        <v>70</v>
      </c>
      <c r="H359" s="1">
        <v>3807.73</v>
      </c>
      <c r="I359" s="1">
        <v>1384.32</v>
      </c>
      <c r="J359" s="44"/>
      <c r="L359" s="1"/>
      <c r="M359" s="1"/>
      <c r="P359" s="7"/>
      <c r="Q359" s="1"/>
      <c r="R359" s="1"/>
    </row>
    <row r="360" spans="1:18" x14ac:dyDescent="0.25">
      <c r="A360" s="7">
        <v>44291.333333333336</v>
      </c>
      <c r="B360" s="1" t="s">
        <v>69</v>
      </c>
      <c r="C360" s="1">
        <v>2663.3</v>
      </c>
      <c r="D360" s="1">
        <v>1829.87</v>
      </c>
      <c r="F360" s="7">
        <v>44291.333333333336</v>
      </c>
      <c r="G360" s="1" t="s">
        <v>69</v>
      </c>
      <c r="H360" s="1">
        <v>1638.55</v>
      </c>
      <c r="I360" s="1">
        <v>1067.01</v>
      </c>
      <c r="J360" s="44"/>
      <c r="L360" s="1"/>
      <c r="M360" s="1"/>
      <c r="P360" s="7"/>
      <c r="Q360" s="1"/>
      <c r="R360" s="1"/>
    </row>
    <row r="361" spans="1:18" x14ac:dyDescent="0.25">
      <c r="A361" s="7">
        <v>44291.333333333336</v>
      </c>
      <c r="B361" s="1" t="s">
        <v>78</v>
      </c>
      <c r="C361" s="1">
        <v>982.04</v>
      </c>
      <c r="D361" s="1">
        <v>493.38</v>
      </c>
      <c r="F361" s="7">
        <v>44291.333333333336</v>
      </c>
      <c r="G361" s="1" t="s">
        <v>78</v>
      </c>
      <c r="H361" s="1">
        <v>694.39</v>
      </c>
      <c r="I361" s="1">
        <v>287.3</v>
      </c>
      <c r="J361" s="44"/>
      <c r="L361" s="1"/>
      <c r="M361" s="1"/>
      <c r="P361" s="7"/>
      <c r="Q361" s="1"/>
      <c r="R361" s="1"/>
    </row>
    <row r="362" spans="1:18" x14ac:dyDescent="0.25">
      <c r="A362" s="7">
        <v>44291.333333333336</v>
      </c>
      <c r="B362" s="1" t="s">
        <v>73</v>
      </c>
      <c r="C362" s="1">
        <v>4719.57</v>
      </c>
      <c r="D362" s="1">
        <v>710.62</v>
      </c>
      <c r="F362" s="7">
        <v>44291.333333333336</v>
      </c>
      <c r="G362" s="1" t="s">
        <v>73</v>
      </c>
      <c r="H362" s="1">
        <v>5254.73</v>
      </c>
      <c r="I362" s="1">
        <v>612.12</v>
      </c>
      <c r="J362" s="44"/>
      <c r="L362" s="1"/>
      <c r="M362" s="1"/>
      <c r="P362" s="7"/>
      <c r="Q362" s="1"/>
      <c r="R362" s="1"/>
    </row>
    <row r="363" spans="1:18" x14ac:dyDescent="0.25">
      <c r="A363" s="7">
        <v>44291.333333333336</v>
      </c>
      <c r="B363" s="1" t="s">
        <v>68</v>
      </c>
      <c r="C363" s="1">
        <v>6129.71</v>
      </c>
      <c r="D363" s="1">
        <v>2435.39</v>
      </c>
      <c r="F363" s="7">
        <v>44291.333333333336</v>
      </c>
      <c r="G363" s="1" t="s">
        <v>68</v>
      </c>
      <c r="H363" s="1">
        <v>6966.84</v>
      </c>
      <c r="I363" s="1">
        <v>1901.58</v>
      </c>
      <c r="J363" s="44"/>
      <c r="L363" s="1"/>
      <c r="M363" s="1"/>
      <c r="P363" s="7"/>
      <c r="Q363" s="1"/>
      <c r="R363" s="1"/>
    </row>
    <row r="364" spans="1:18" x14ac:dyDescent="0.25">
      <c r="A364" s="7">
        <v>44291.333333333336</v>
      </c>
      <c r="B364" s="1" t="s">
        <v>77</v>
      </c>
      <c r="C364" s="1">
        <v>6789.22</v>
      </c>
      <c r="D364" s="1">
        <v>2101.42</v>
      </c>
      <c r="F364" s="7">
        <v>44291.333333333336</v>
      </c>
      <c r="G364" s="1" t="s">
        <v>77</v>
      </c>
      <c r="H364" s="1">
        <v>5279.83</v>
      </c>
      <c r="I364" s="1">
        <v>1339.81</v>
      </c>
      <c r="J364" s="44"/>
      <c r="L364" s="1"/>
      <c r="M364" s="1"/>
      <c r="P364" s="7"/>
      <c r="Q364" s="1"/>
      <c r="R364" s="1"/>
    </row>
    <row r="365" spans="1:18" x14ac:dyDescent="0.25">
      <c r="A365" s="7">
        <v>44291.375</v>
      </c>
      <c r="B365" s="1" t="s">
        <v>74</v>
      </c>
      <c r="C365" s="1">
        <v>6100.67</v>
      </c>
      <c r="D365" s="1">
        <v>1547.94</v>
      </c>
      <c r="F365" s="7">
        <v>44291.375</v>
      </c>
      <c r="G365" s="1" t="s">
        <v>74</v>
      </c>
      <c r="H365" s="1">
        <v>6580.48</v>
      </c>
      <c r="I365" s="1">
        <v>1204.23</v>
      </c>
      <c r="J365" s="44"/>
      <c r="L365" s="1"/>
      <c r="M365" s="1"/>
      <c r="P365" s="7"/>
      <c r="Q365" s="1"/>
      <c r="R365" s="1"/>
    </row>
    <row r="366" spans="1:18" x14ac:dyDescent="0.25">
      <c r="A366" s="7">
        <v>44291.375</v>
      </c>
      <c r="B366" s="1" t="s">
        <v>75</v>
      </c>
      <c r="C366" s="1">
        <v>718.4</v>
      </c>
      <c r="D366" s="1">
        <v>337.68</v>
      </c>
      <c r="F366" s="7">
        <v>44291.375</v>
      </c>
      <c r="G366" s="1" t="s">
        <v>75</v>
      </c>
      <c r="H366" s="1">
        <v>658.56</v>
      </c>
      <c r="I366" s="1">
        <v>211.78</v>
      </c>
      <c r="J366" s="44"/>
      <c r="L366" s="1"/>
      <c r="M366" s="1"/>
      <c r="P366" s="7"/>
      <c r="Q366" s="1"/>
      <c r="R366" s="1"/>
    </row>
    <row r="367" spans="1:18" x14ac:dyDescent="0.25">
      <c r="A367" s="7">
        <v>44291.375</v>
      </c>
      <c r="B367" s="1" t="s">
        <v>73</v>
      </c>
      <c r="C367" s="1">
        <v>6026.97</v>
      </c>
      <c r="D367" s="1">
        <v>1027.8800000000001</v>
      </c>
      <c r="F367" s="7">
        <v>44291.375</v>
      </c>
      <c r="G367" s="1" t="s">
        <v>73</v>
      </c>
      <c r="H367" s="1">
        <v>6866.4</v>
      </c>
      <c r="I367" s="1">
        <v>924.77</v>
      </c>
      <c r="J367" s="44"/>
      <c r="L367" s="1"/>
      <c r="M367" s="1"/>
      <c r="P367" s="7"/>
      <c r="Q367" s="1"/>
      <c r="R367" s="1"/>
    </row>
    <row r="368" spans="1:18" x14ac:dyDescent="0.25">
      <c r="A368" s="7">
        <v>44291.375</v>
      </c>
      <c r="B368" s="1" t="s">
        <v>71</v>
      </c>
      <c r="C368" s="1">
        <v>9241.94</v>
      </c>
      <c r="D368" s="1">
        <v>3131.86</v>
      </c>
      <c r="F368" s="7">
        <v>44291.375</v>
      </c>
      <c r="G368" s="1" t="s">
        <v>71</v>
      </c>
      <c r="H368" s="1">
        <v>10629.79</v>
      </c>
      <c r="I368" s="1">
        <v>2500.41</v>
      </c>
      <c r="J368" s="44"/>
      <c r="L368" s="1"/>
      <c r="M368" s="1"/>
      <c r="P368" s="7"/>
      <c r="Q368" s="1"/>
      <c r="R368" s="1"/>
    </row>
    <row r="369" spans="1:18" x14ac:dyDescent="0.25">
      <c r="A369" s="7">
        <v>44291.375</v>
      </c>
      <c r="B369" s="1" t="s">
        <v>77</v>
      </c>
      <c r="C369" s="1">
        <v>9314.9</v>
      </c>
      <c r="D369" s="1">
        <v>3161.82</v>
      </c>
      <c r="F369" s="7">
        <v>44291.375</v>
      </c>
      <c r="G369" s="1" t="s">
        <v>77</v>
      </c>
      <c r="H369" s="1">
        <v>7532.47</v>
      </c>
      <c r="I369" s="1">
        <v>2138.92</v>
      </c>
      <c r="J369" s="44"/>
      <c r="L369" s="1"/>
      <c r="M369" s="1"/>
      <c r="P369" s="7"/>
      <c r="Q369" s="1"/>
      <c r="R369" s="1"/>
    </row>
    <row r="370" spans="1:18" x14ac:dyDescent="0.25">
      <c r="A370" s="7">
        <v>44291.375</v>
      </c>
      <c r="B370" s="1" t="s">
        <v>69</v>
      </c>
      <c r="C370" s="1">
        <v>4200.57</v>
      </c>
      <c r="D370" s="1">
        <v>3505.02</v>
      </c>
      <c r="F370" s="7">
        <v>44291.375</v>
      </c>
      <c r="G370" s="1" t="s">
        <v>69</v>
      </c>
      <c r="H370" s="1">
        <v>2895.46</v>
      </c>
      <c r="I370" s="1">
        <v>2350.8000000000002</v>
      </c>
      <c r="J370" s="44"/>
      <c r="L370" s="1"/>
      <c r="M370" s="1"/>
      <c r="P370" s="7"/>
      <c r="Q370" s="1"/>
      <c r="R370" s="1"/>
    </row>
    <row r="371" spans="1:18" x14ac:dyDescent="0.25">
      <c r="A371" s="7">
        <v>44291.375</v>
      </c>
      <c r="B371" s="1" t="s">
        <v>70</v>
      </c>
      <c r="C371" s="1">
        <v>5447.13</v>
      </c>
      <c r="D371" s="1">
        <v>2559.2199999999998</v>
      </c>
      <c r="F371" s="7">
        <v>44291.375</v>
      </c>
      <c r="G371" s="1" t="s">
        <v>70</v>
      </c>
      <c r="H371" s="1">
        <v>5500.94</v>
      </c>
      <c r="I371" s="1">
        <v>2210.69</v>
      </c>
      <c r="J371" s="44"/>
      <c r="L371" s="1"/>
      <c r="M371" s="1"/>
      <c r="P371" s="7"/>
      <c r="Q371" s="1"/>
      <c r="R371" s="1"/>
    </row>
    <row r="372" spans="1:18" x14ac:dyDescent="0.25">
      <c r="A372" s="7">
        <v>44291.375</v>
      </c>
      <c r="B372" s="1" t="s">
        <v>78</v>
      </c>
      <c r="C372" s="1">
        <v>1540.23</v>
      </c>
      <c r="D372" s="1">
        <v>938.1</v>
      </c>
      <c r="F372" s="7">
        <v>44291.375</v>
      </c>
      <c r="G372" s="1" t="s">
        <v>78</v>
      </c>
      <c r="H372" s="1">
        <v>1161.83</v>
      </c>
      <c r="I372" s="1">
        <v>579.42999999999995</v>
      </c>
      <c r="J372" s="44"/>
      <c r="L372" s="1"/>
      <c r="M372" s="1"/>
      <c r="P372" s="7"/>
      <c r="Q372" s="1"/>
      <c r="R372" s="1"/>
    </row>
    <row r="373" spans="1:18" x14ac:dyDescent="0.25">
      <c r="A373" s="7">
        <v>44291.375</v>
      </c>
      <c r="B373" s="1" t="s">
        <v>76</v>
      </c>
      <c r="C373" s="1">
        <v>8225.44</v>
      </c>
      <c r="D373" s="1">
        <v>2141.7199999999998</v>
      </c>
      <c r="F373" s="7">
        <v>44291.375</v>
      </c>
      <c r="G373" s="1" t="s">
        <v>76</v>
      </c>
      <c r="H373" s="1">
        <v>9813.84</v>
      </c>
      <c r="I373" s="1">
        <v>2011.01</v>
      </c>
      <c r="J373" s="44"/>
      <c r="L373" s="1"/>
      <c r="M373" s="1"/>
      <c r="P373" s="7"/>
      <c r="Q373" s="1"/>
      <c r="R373" s="1"/>
    </row>
    <row r="374" spans="1:18" x14ac:dyDescent="0.25">
      <c r="A374" s="7">
        <v>44291.375</v>
      </c>
      <c r="B374" s="1" t="s">
        <v>72</v>
      </c>
      <c r="C374" s="1">
        <v>8644.18</v>
      </c>
      <c r="D374" s="1">
        <v>4908.47</v>
      </c>
      <c r="F374" s="7">
        <v>44291.375</v>
      </c>
      <c r="G374" s="1" t="s">
        <v>72</v>
      </c>
      <c r="H374" s="1">
        <v>6697.04</v>
      </c>
      <c r="I374" s="1">
        <v>3594.17</v>
      </c>
      <c r="J374" s="44"/>
      <c r="L374" s="1"/>
      <c r="M374" s="1"/>
      <c r="P374" s="7"/>
      <c r="Q374" s="1"/>
      <c r="R374" s="1"/>
    </row>
    <row r="375" spans="1:18" x14ac:dyDescent="0.25">
      <c r="A375" s="7">
        <v>44291.375</v>
      </c>
      <c r="B375" s="1" t="s">
        <v>68</v>
      </c>
      <c r="C375" s="1">
        <v>8099.61</v>
      </c>
      <c r="D375" s="1">
        <v>3512.63</v>
      </c>
      <c r="F375" s="7">
        <v>44291.375</v>
      </c>
      <c r="G375" s="1" t="s">
        <v>68</v>
      </c>
      <c r="H375" s="1">
        <v>9396.4599999999991</v>
      </c>
      <c r="I375" s="1">
        <v>2767.82</v>
      </c>
      <c r="J375" s="44"/>
      <c r="L375" s="1"/>
      <c r="M375" s="1"/>
      <c r="P375" s="7"/>
      <c r="Q375" s="1"/>
      <c r="R375" s="1"/>
    </row>
    <row r="376" spans="1:18" x14ac:dyDescent="0.25">
      <c r="A376" s="7">
        <v>44291.416666666664</v>
      </c>
      <c r="B376" s="1" t="s">
        <v>75</v>
      </c>
      <c r="C376" s="1">
        <v>946.48</v>
      </c>
      <c r="D376" s="1">
        <v>519.20000000000005</v>
      </c>
      <c r="F376" s="7">
        <v>44291.416666666664</v>
      </c>
      <c r="G376" s="1" t="s">
        <v>75</v>
      </c>
      <c r="H376" s="1">
        <v>884.73</v>
      </c>
      <c r="I376" s="1">
        <v>337.97</v>
      </c>
      <c r="J376" s="44"/>
      <c r="L376" s="1"/>
      <c r="M376" s="1"/>
      <c r="P376" s="7"/>
      <c r="Q376" s="1"/>
      <c r="R376" s="1"/>
    </row>
    <row r="377" spans="1:18" x14ac:dyDescent="0.25">
      <c r="A377" s="7">
        <v>44291.416666666664</v>
      </c>
      <c r="B377" s="1" t="s">
        <v>74</v>
      </c>
      <c r="C377" s="1">
        <v>6911.07</v>
      </c>
      <c r="D377" s="1">
        <v>1958.78</v>
      </c>
      <c r="F377" s="7">
        <v>44291.416666666664</v>
      </c>
      <c r="G377" s="1" t="s">
        <v>74</v>
      </c>
      <c r="H377" s="1">
        <v>7574.33</v>
      </c>
      <c r="I377" s="1">
        <v>1585.25</v>
      </c>
      <c r="J377" s="44"/>
      <c r="L377" s="1"/>
      <c r="M377" s="1"/>
      <c r="P377" s="7"/>
      <c r="Q377" s="1"/>
      <c r="R377" s="1"/>
    </row>
    <row r="378" spans="1:18" x14ac:dyDescent="0.25">
      <c r="A378" s="7">
        <v>44291.416666666664</v>
      </c>
      <c r="B378" s="1" t="s">
        <v>73</v>
      </c>
      <c r="C378" s="1">
        <v>6698.96</v>
      </c>
      <c r="D378" s="1">
        <v>1248.56</v>
      </c>
      <c r="F378" s="7">
        <v>44291.416666666664</v>
      </c>
      <c r="G378" s="1" t="s">
        <v>73</v>
      </c>
      <c r="H378" s="1">
        <v>7807.37</v>
      </c>
      <c r="I378" s="1">
        <v>1151.29</v>
      </c>
      <c r="J378" s="44"/>
      <c r="L378" s="1"/>
      <c r="M378" s="1"/>
      <c r="P378" s="7"/>
      <c r="Q378" s="1"/>
      <c r="R378" s="1"/>
    </row>
    <row r="379" spans="1:18" x14ac:dyDescent="0.25">
      <c r="A379" s="7">
        <v>44291.416666666664</v>
      </c>
      <c r="B379" s="1" t="s">
        <v>71</v>
      </c>
      <c r="C379" s="1">
        <v>9207.0499999999993</v>
      </c>
      <c r="D379" s="1">
        <v>3512.94</v>
      </c>
      <c r="F379" s="7">
        <v>44291.416666666664</v>
      </c>
      <c r="G379" s="1" t="s">
        <v>71</v>
      </c>
      <c r="H379" s="1">
        <v>11093.99</v>
      </c>
      <c r="I379" s="1">
        <v>2882.74</v>
      </c>
      <c r="J379" s="44"/>
      <c r="L379" s="1"/>
      <c r="M379" s="1"/>
      <c r="P379" s="7"/>
      <c r="Q379" s="1"/>
      <c r="R379" s="1"/>
    </row>
    <row r="380" spans="1:18" x14ac:dyDescent="0.25">
      <c r="A380" s="7">
        <v>44291.416666666664</v>
      </c>
      <c r="B380" s="1" t="s">
        <v>77</v>
      </c>
      <c r="C380" s="1">
        <v>11071.26</v>
      </c>
      <c r="D380" s="1">
        <v>3979.9</v>
      </c>
      <c r="F380" s="7">
        <v>44291.416666666664</v>
      </c>
      <c r="G380" s="1" t="s">
        <v>77</v>
      </c>
      <c r="H380" s="1">
        <v>9216.35</v>
      </c>
      <c r="I380" s="1">
        <v>2850.04</v>
      </c>
      <c r="J380" s="44"/>
      <c r="L380" s="1"/>
      <c r="M380" s="1"/>
      <c r="P380" s="7"/>
      <c r="Q380" s="1"/>
      <c r="R380" s="1"/>
    </row>
    <row r="381" spans="1:18" x14ac:dyDescent="0.25">
      <c r="A381" s="7">
        <v>44291.416666666664</v>
      </c>
      <c r="B381" s="1" t="s">
        <v>70</v>
      </c>
      <c r="C381" s="1">
        <v>6452.19</v>
      </c>
      <c r="D381" s="1">
        <v>3306.21</v>
      </c>
      <c r="F381" s="7">
        <v>44291.416666666664</v>
      </c>
      <c r="G381" s="1" t="s">
        <v>70</v>
      </c>
      <c r="H381" s="1">
        <v>6635.4</v>
      </c>
      <c r="I381" s="1">
        <v>2876.22</v>
      </c>
      <c r="J381" s="44"/>
      <c r="L381" s="1"/>
      <c r="M381" s="1"/>
      <c r="P381" s="7"/>
      <c r="Q381" s="1"/>
      <c r="R381" s="1"/>
    </row>
    <row r="382" spans="1:18" x14ac:dyDescent="0.25">
      <c r="A382" s="7">
        <v>44291.416666666664</v>
      </c>
      <c r="B382" s="1" t="s">
        <v>78</v>
      </c>
      <c r="C382" s="1">
        <v>2125.83</v>
      </c>
      <c r="D382" s="1">
        <v>1445.92</v>
      </c>
      <c r="F382" s="7">
        <v>44291.416666666664</v>
      </c>
      <c r="G382" s="1" t="s">
        <v>78</v>
      </c>
      <c r="H382" s="1">
        <v>1643.63</v>
      </c>
      <c r="I382" s="1">
        <v>961.83</v>
      </c>
      <c r="J382" s="44"/>
      <c r="L382" s="1"/>
      <c r="M382" s="1"/>
      <c r="P382" s="7"/>
      <c r="Q382" s="1"/>
      <c r="R382" s="1"/>
    </row>
    <row r="383" spans="1:18" x14ac:dyDescent="0.25">
      <c r="A383" s="7">
        <v>44291.416666666664</v>
      </c>
      <c r="B383" s="1" t="s">
        <v>76</v>
      </c>
      <c r="C383" s="1">
        <v>9775.27</v>
      </c>
      <c r="D383" s="1">
        <v>2840.82</v>
      </c>
      <c r="F383" s="7">
        <v>44291.416666666664</v>
      </c>
      <c r="G383" s="1" t="s">
        <v>76</v>
      </c>
      <c r="H383" s="1">
        <v>11740.26</v>
      </c>
      <c r="I383" s="1">
        <v>2680.97</v>
      </c>
      <c r="J383" s="44"/>
      <c r="L383" s="1"/>
      <c r="M383" s="1"/>
      <c r="P383" s="7"/>
      <c r="Q383" s="1"/>
      <c r="R383" s="1"/>
    </row>
    <row r="384" spans="1:18" x14ac:dyDescent="0.25">
      <c r="A384" s="7">
        <v>44291.416666666664</v>
      </c>
      <c r="B384" s="1" t="s">
        <v>72</v>
      </c>
      <c r="C384" s="1">
        <v>11334.69</v>
      </c>
      <c r="D384" s="1">
        <v>7347.22</v>
      </c>
      <c r="F384" s="7">
        <v>44291.416666666664</v>
      </c>
      <c r="G384" s="1" t="s">
        <v>72</v>
      </c>
      <c r="H384" s="1">
        <v>9252.89</v>
      </c>
      <c r="I384" s="1">
        <v>5769.32</v>
      </c>
      <c r="J384" s="44"/>
      <c r="L384" s="1"/>
      <c r="M384" s="1"/>
      <c r="P384" s="7"/>
      <c r="Q384" s="1"/>
      <c r="R384" s="1"/>
    </row>
    <row r="385" spans="1:18" x14ac:dyDescent="0.25">
      <c r="A385" s="7">
        <v>44291.416666666664</v>
      </c>
      <c r="B385" s="1" t="s">
        <v>68</v>
      </c>
      <c r="C385" s="1">
        <v>8705.68</v>
      </c>
      <c r="D385" s="1">
        <v>3988.18</v>
      </c>
      <c r="F385" s="7">
        <v>44291.416666666664</v>
      </c>
      <c r="G385" s="1" t="s">
        <v>68</v>
      </c>
      <c r="H385" s="1">
        <v>10168.81</v>
      </c>
      <c r="I385" s="1">
        <v>3276.79</v>
      </c>
      <c r="J385" s="44"/>
      <c r="L385" s="1"/>
      <c r="M385" s="1"/>
      <c r="P385" s="7"/>
      <c r="Q385" s="1"/>
      <c r="R385" s="1"/>
    </row>
    <row r="386" spans="1:18" x14ac:dyDescent="0.25">
      <c r="A386" s="7">
        <v>44291.416666666664</v>
      </c>
      <c r="B386" s="1" t="s">
        <v>69</v>
      </c>
      <c r="C386" s="1">
        <v>5838.32</v>
      </c>
      <c r="D386" s="1">
        <v>5571.67</v>
      </c>
      <c r="F386" s="7">
        <v>44291.416666666664</v>
      </c>
      <c r="G386" s="1" t="s">
        <v>69</v>
      </c>
      <c r="H386" s="1">
        <v>4307</v>
      </c>
      <c r="I386" s="1">
        <v>4028.72</v>
      </c>
      <c r="J386" s="44"/>
      <c r="L386" s="1"/>
      <c r="M386" s="1"/>
      <c r="P386" s="7"/>
      <c r="Q386" s="1"/>
      <c r="R386" s="1"/>
    </row>
    <row r="387" spans="1:18" x14ac:dyDescent="0.25">
      <c r="A387" s="7">
        <v>44291.458333333336</v>
      </c>
      <c r="B387" s="1" t="s">
        <v>75</v>
      </c>
      <c r="C387" s="1">
        <v>1097</v>
      </c>
      <c r="D387" s="1">
        <v>671.05</v>
      </c>
      <c r="F387" s="7">
        <v>44291.458333333336</v>
      </c>
      <c r="G387" s="1" t="s">
        <v>75</v>
      </c>
      <c r="H387" s="1">
        <v>1033.9000000000001</v>
      </c>
      <c r="I387" s="1">
        <v>444.9</v>
      </c>
      <c r="J387" s="44"/>
      <c r="L387" s="1"/>
      <c r="M387" s="1"/>
      <c r="P387" s="7"/>
      <c r="Q387" s="1"/>
      <c r="R387" s="1"/>
    </row>
    <row r="388" spans="1:18" x14ac:dyDescent="0.25">
      <c r="A388" s="7">
        <v>44291.458333333336</v>
      </c>
      <c r="B388" s="1" t="s">
        <v>74</v>
      </c>
      <c r="C388" s="1">
        <v>7018.11</v>
      </c>
      <c r="D388" s="1">
        <v>2105.84</v>
      </c>
      <c r="F388" s="7">
        <v>44291.458333333336</v>
      </c>
      <c r="G388" s="1" t="s">
        <v>74</v>
      </c>
      <c r="H388" s="1">
        <v>7772.2</v>
      </c>
      <c r="I388" s="1">
        <v>1761.79</v>
      </c>
      <c r="J388" s="44"/>
      <c r="L388" s="1"/>
      <c r="M388" s="1"/>
      <c r="P388" s="7"/>
      <c r="Q388" s="1"/>
      <c r="R388" s="1"/>
    </row>
    <row r="389" spans="1:18" x14ac:dyDescent="0.25">
      <c r="A389" s="7">
        <v>44291.458333333336</v>
      </c>
      <c r="B389" s="1" t="s">
        <v>78</v>
      </c>
      <c r="C389" s="1">
        <v>2404.63</v>
      </c>
      <c r="D389" s="1">
        <v>1767.77</v>
      </c>
      <c r="F389" s="7">
        <v>44291.458333333336</v>
      </c>
      <c r="G389" s="1" t="s">
        <v>78</v>
      </c>
      <c r="H389" s="1">
        <v>1928.97</v>
      </c>
      <c r="I389" s="1">
        <v>1227.73</v>
      </c>
      <c r="J389" s="44"/>
      <c r="L389" s="1"/>
      <c r="M389" s="1"/>
      <c r="P389" s="7"/>
      <c r="Q389" s="1"/>
      <c r="R389" s="1"/>
    </row>
    <row r="390" spans="1:18" x14ac:dyDescent="0.25">
      <c r="A390" s="7">
        <v>44291.458333333336</v>
      </c>
      <c r="B390" s="1" t="s">
        <v>76</v>
      </c>
      <c r="C390" s="1">
        <v>10066.049999999999</v>
      </c>
      <c r="D390" s="1">
        <v>3084.58</v>
      </c>
      <c r="F390" s="7">
        <v>44291.458333333336</v>
      </c>
      <c r="G390" s="1" t="s">
        <v>76</v>
      </c>
      <c r="H390" s="1">
        <v>12151.11</v>
      </c>
      <c r="I390" s="1">
        <v>2935.17</v>
      </c>
      <c r="J390" s="44"/>
      <c r="L390" s="1"/>
      <c r="M390" s="1"/>
      <c r="P390" s="7"/>
      <c r="Q390" s="1"/>
      <c r="R390" s="1"/>
    </row>
    <row r="391" spans="1:18" x14ac:dyDescent="0.25">
      <c r="A391" s="7">
        <v>44291.458333333336</v>
      </c>
      <c r="B391" s="1" t="s">
        <v>68</v>
      </c>
      <c r="C391" s="1">
        <v>8247.75</v>
      </c>
      <c r="D391" s="1">
        <v>4077.09</v>
      </c>
      <c r="F391" s="7">
        <v>44291.458333333336</v>
      </c>
      <c r="G391" s="1" t="s">
        <v>68</v>
      </c>
      <c r="H391" s="1">
        <v>9849.61</v>
      </c>
      <c r="I391" s="1">
        <v>3338.54</v>
      </c>
      <c r="J391" s="44"/>
      <c r="L391" s="1"/>
      <c r="M391" s="1"/>
      <c r="P391" s="7"/>
      <c r="Q391" s="1"/>
      <c r="R391" s="1"/>
    </row>
    <row r="392" spans="1:18" x14ac:dyDescent="0.25">
      <c r="A392" s="7">
        <v>44291.458333333336</v>
      </c>
      <c r="B392" s="1" t="s">
        <v>77</v>
      </c>
      <c r="C392" s="1">
        <v>11317.11</v>
      </c>
      <c r="D392" s="1">
        <v>4123.79</v>
      </c>
      <c r="F392" s="7">
        <v>44291.458333333336</v>
      </c>
      <c r="G392" s="1" t="s">
        <v>77</v>
      </c>
      <c r="H392" s="1">
        <v>9607.4</v>
      </c>
      <c r="I392" s="1">
        <v>3070.8</v>
      </c>
      <c r="J392" s="44"/>
      <c r="L392" s="1"/>
      <c r="M392" s="1"/>
      <c r="P392" s="7"/>
      <c r="Q392" s="1"/>
      <c r="R392" s="1"/>
    </row>
    <row r="393" spans="1:18" x14ac:dyDescent="0.25">
      <c r="A393" s="7">
        <v>44291.458333333336</v>
      </c>
      <c r="B393" s="1" t="s">
        <v>71</v>
      </c>
      <c r="C393" s="1">
        <v>8696.9500000000007</v>
      </c>
      <c r="D393" s="1">
        <v>3501.87</v>
      </c>
      <c r="F393" s="7">
        <v>44291.458333333336</v>
      </c>
      <c r="G393" s="1" t="s">
        <v>71</v>
      </c>
      <c r="H393" s="1">
        <v>10484.040000000001</v>
      </c>
      <c r="I393" s="1">
        <v>2903.45</v>
      </c>
      <c r="J393" s="44"/>
      <c r="L393" s="1"/>
      <c r="M393" s="1"/>
      <c r="P393" s="7"/>
      <c r="Q393" s="1"/>
      <c r="R393" s="1"/>
    </row>
    <row r="394" spans="1:18" x14ac:dyDescent="0.25">
      <c r="A394" s="7">
        <v>44291.458333333336</v>
      </c>
      <c r="B394" s="1" t="s">
        <v>70</v>
      </c>
      <c r="C394" s="1">
        <v>6610.84</v>
      </c>
      <c r="D394" s="1">
        <v>3487.04</v>
      </c>
      <c r="F394" s="7">
        <v>44291.458333333336</v>
      </c>
      <c r="G394" s="1" t="s">
        <v>70</v>
      </c>
      <c r="H394" s="1">
        <v>6904.14</v>
      </c>
      <c r="I394" s="1">
        <v>3054.01</v>
      </c>
      <c r="J394" s="44"/>
      <c r="L394" s="1"/>
      <c r="M394" s="1"/>
      <c r="P394" s="7"/>
      <c r="Q394" s="1"/>
      <c r="R394" s="1"/>
    </row>
    <row r="395" spans="1:18" x14ac:dyDescent="0.25">
      <c r="A395" s="7">
        <v>44291.458333333336</v>
      </c>
      <c r="B395" s="1" t="s">
        <v>72</v>
      </c>
      <c r="C395" s="1">
        <v>12528.09</v>
      </c>
      <c r="D395" s="1">
        <v>8772.17</v>
      </c>
      <c r="F395" s="7">
        <v>44291.458333333336</v>
      </c>
      <c r="G395" s="1" t="s">
        <v>72</v>
      </c>
      <c r="H395" s="1">
        <v>10456.16</v>
      </c>
      <c r="I395" s="1">
        <v>7100.04</v>
      </c>
      <c r="J395" s="44"/>
      <c r="L395" s="1"/>
      <c r="M395" s="1"/>
      <c r="P395" s="7"/>
      <c r="Q395" s="1"/>
      <c r="R395" s="1"/>
    </row>
    <row r="396" spans="1:18" x14ac:dyDescent="0.25">
      <c r="A396" s="7">
        <v>44291.458333333336</v>
      </c>
      <c r="B396" s="1" t="s">
        <v>73</v>
      </c>
      <c r="C396" s="1">
        <v>6417.16</v>
      </c>
      <c r="D396" s="1">
        <v>1274.43</v>
      </c>
      <c r="F396" s="7">
        <v>44291.458333333336</v>
      </c>
      <c r="G396" s="1" t="s">
        <v>73</v>
      </c>
      <c r="H396" s="1">
        <v>7607.71</v>
      </c>
      <c r="I396" s="1">
        <v>1193.0899999999999</v>
      </c>
      <c r="J396" s="44"/>
      <c r="L396" s="1"/>
      <c r="M396" s="1"/>
      <c r="P396" s="7"/>
      <c r="Q396" s="1"/>
      <c r="R396" s="1"/>
    </row>
    <row r="397" spans="1:18" x14ac:dyDescent="0.25">
      <c r="A397" s="7">
        <v>44291.458333333336</v>
      </c>
      <c r="B397" s="1" t="s">
        <v>69</v>
      </c>
      <c r="C397" s="1">
        <v>6531.22</v>
      </c>
      <c r="D397" s="1">
        <v>6787.16</v>
      </c>
      <c r="F397" s="7">
        <v>44291.458333333336</v>
      </c>
      <c r="G397" s="1" t="s">
        <v>69</v>
      </c>
      <c r="H397" s="1">
        <v>4947.71</v>
      </c>
      <c r="I397" s="1">
        <v>5169.51</v>
      </c>
      <c r="J397" s="44"/>
      <c r="L397" s="1"/>
      <c r="M397" s="1"/>
      <c r="P397" s="7"/>
      <c r="Q397" s="1"/>
      <c r="R397" s="1"/>
    </row>
    <row r="398" spans="1:18" x14ac:dyDescent="0.25">
      <c r="A398" s="7">
        <v>44291.5</v>
      </c>
      <c r="B398" s="1" t="s">
        <v>75</v>
      </c>
      <c r="C398" s="1">
        <v>1070.47</v>
      </c>
      <c r="D398" s="1">
        <v>688.51</v>
      </c>
      <c r="F398" s="7">
        <v>44291.5</v>
      </c>
      <c r="G398" s="1" t="s">
        <v>75</v>
      </c>
      <c r="H398" s="1">
        <v>1016.35</v>
      </c>
      <c r="I398" s="1">
        <v>462.32</v>
      </c>
      <c r="J398" s="44"/>
      <c r="L398" s="1"/>
      <c r="M398" s="1"/>
      <c r="P398" s="7"/>
      <c r="Q398" s="1"/>
      <c r="R398" s="1"/>
    </row>
    <row r="399" spans="1:18" x14ac:dyDescent="0.25">
      <c r="A399" s="7">
        <v>44291.5</v>
      </c>
      <c r="B399" s="1" t="s">
        <v>74</v>
      </c>
      <c r="C399" s="1">
        <v>6502.05</v>
      </c>
      <c r="D399" s="1">
        <v>2065.8200000000002</v>
      </c>
      <c r="F399" s="7">
        <v>44291.5</v>
      </c>
      <c r="G399" s="1" t="s">
        <v>74</v>
      </c>
      <c r="H399" s="1">
        <v>7246.78</v>
      </c>
      <c r="I399" s="1">
        <v>1690.19</v>
      </c>
      <c r="J399" s="44"/>
      <c r="L399" s="1"/>
      <c r="M399" s="1"/>
      <c r="P399" s="7"/>
      <c r="Q399" s="1"/>
      <c r="R399" s="1"/>
    </row>
    <row r="400" spans="1:18" x14ac:dyDescent="0.25">
      <c r="A400" s="7">
        <v>44291.5</v>
      </c>
      <c r="B400" s="1" t="s">
        <v>78</v>
      </c>
      <c r="C400" s="1">
        <v>2458.94</v>
      </c>
      <c r="D400" s="1">
        <v>1844.51</v>
      </c>
      <c r="F400" s="7">
        <v>44291.5</v>
      </c>
      <c r="G400" s="1" t="s">
        <v>78</v>
      </c>
      <c r="H400" s="1">
        <v>1976.87</v>
      </c>
      <c r="I400" s="1">
        <v>1309.03</v>
      </c>
      <c r="J400" s="44"/>
      <c r="L400" s="1"/>
      <c r="M400" s="1"/>
      <c r="P400" s="7"/>
      <c r="Q400" s="1"/>
      <c r="R400" s="1"/>
    </row>
    <row r="401" spans="1:18" x14ac:dyDescent="0.25">
      <c r="A401" s="7">
        <v>44291.5</v>
      </c>
      <c r="B401" s="1" t="s">
        <v>76</v>
      </c>
      <c r="C401" s="1">
        <v>9439.5400000000009</v>
      </c>
      <c r="D401" s="1">
        <v>2933.41</v>
      </c>
      <c r="F401" s="7">
        <v>44291.5</v>
      </c>
      <c r="G401" s="1" t="s">
        <v>76</v>
      </c>
      <c r="H401" s="1">
        <v>11352.63</v>
      </c>
      <c r="I401" s="1">
        <v>2830.91</v>
      </c>
      <c r="J401" s="44"/>
      <c r="L401" s="1"/>
      <c r="M401" s="1"/>
      <c r="P401" s="7"/>
      <c r="Q401" s="1"/>
      <c r="R401" s="1"/>
    </row>
    <row r="402" spans="1:18" x14ac:dyDescent="0.25">
      <c r="A402" s="7">
        <v>44291.5</v>
      </c>
      <c r="B402" s="1" t="s">
        <v>72</v>
      </c>
      <c r="C402" s="1">
        <v>11840.61</v>
      </c>
      <c r="D402" s="1">
        <v>8685.2900000000009</v>
      </c>
      <c r="F402" s="7">
        <v>44291.5</v>
      </c>
      <c r="G402" s="1" t="s">
        <v>72</v>
      </c>
      <c r="H402" s="1">
        <v>10132.56</v>
      </c>
      <c r="I402" s="1">
        <v>7224.51</v>
      </c>
      <c r="J402" s="44"/>
      <c r="L402" s="1"/>
      <c r="M402" s="1"/>
      <c r="P402" s="7"/>
      <c r="Q402" s="1"/>
      <c r="R402" s="1"/>
    </row>
    <row r="403" spans="1:18" x14ac:dyDescent="0.25">
      <c r="A403" s="7">
        <v>44291.5</v>
      </c>
      <c r="B403" s="1" t="s">
        <v>68</v>
      </c>
      <c r="C403" s="1">
        <v>7376.97</v>
      </c>
      <c r="D403" s="1">
        <v>3680.55</v>
      </c>
      <c r="F403" s="7">
        <v>44291.5</v>
      </c>
      <c r="G403" s="1" t="s">
        <v>68</v>
      </c>
      <c r="H403" s="1">
        <v>8855.1200000000008</v>
      </c>
      <c r="I403" s="1">
        <v>3093.05</v>
      </c>
      <c r="J403" s="44"/>
      <c r="L403" s="1"/>
      <c r="M403" s="1"/>
      <c r="P403" s="7"/>
      <c r="Q403" s="1"/>
      <c r="R403" s="1"/>
    </row>
    <row r="404" spans="1:18" x14ac:dyDescent="0.25">
      <c r="A404" s="7">
        <v>44291.5</v>
      </c>
      <c r="B404" s="1" t="s">
        <v>69</v>
      </c>
      <c r="C404" s="1">
        <v>6331.03</v>
      </c>
      <c r="D404" s="1">
        <v>6776.97</v>
      </c>
      <c r="F404" s="7">
        <v>44291.5</v>
      </c>
      <c r="G404" s="1" t="s">
        <v>69</v>
      </c>
      <c r="H404" s="1">
        <v>4959.63</v>
      </c>
      <c r="I404" s="1">
        <v>5277.09</v>
      </c>
      <c r="J404" s="44"/>
      <c r="L404" s="1"/>
      <c r="M404" s="1"/>
      <c r="P404" s="7"/>
      <c r="Q404" s="1"/>
      <c r="R404" s="1"/>
    </row>
    <row r="405" spans="1:18" x14ac:dyDescent="0.25">
      <c r="A405" s="7">
        <v>44291.5</v>
      </c>
      <c r="B405" s="1" t="s">
        <v>73</v>
      </c>
      <c r="C405" s="1">
        <v>5892.72</v>
      </c>
      <c r="D405" s="1">
        <v>1187.01</v>
      </c>
      <c r="F405" s="7">
        <v>44291.5</v>
      </c>
      <c r="G405" s="1" t="s">
        <v>73</v>
      </c>
      <c r="H405" s="1">
        <v>7024.47</v>
      </c>
      <c r="I405" s="1">
        <v>1096.18</v>
      </c>
      <c r="J405" s="44"/>
      <c r="L405" s="1"/>
      <c r="M405" s="1"/>
      <c r="P405" s="7"/>
      <c r="Q405" s="1"/>
      <c r="R405" s="1"/>
    </row>
    <row r="406" spans="1:18" x14ac:dyDescent="0.25">
      <c r="A406" s="7">
        <v>44291.5</v>
      </c>
      <c r="B406" s="1" t="s">
        <v>77</v>
      </c>
      <c r="C406" s="1">
        <v>10458.57</v>
      </c>
      <c r="D406" s="1">
        <v>3884.22</v>
      </c>
      <c r="F406" s="7">
        <v>44291.5</v>
      </c>
      <c r="G406" s="1" t="s">
        <v>77</v>
      </c>
      <c r="H406" s="1">
        <v>9035.82</v>
      </c>
      <c r="I406" s="1">
        <v>2942.5</v>
      </c>
      <c r="J406" s="44"/>
      <c r="L406" s="1"/>
      <c r="M406" s="1"/>
      <c r="P406" s="7"/>
      <c r="Q406" s="1"/>
      <c r="R406" s="1"/>
    </row>
    <row r="407" spans="1:18" x14ac:dyDescent="0.25">
      <c r="A407" s="7">
        <v>44291.5</v>
      </c>
      <c r="B407" s="1" t="s">
        <v>71</v>
      </c>
      <c r="C407" s="1">
        <v>8019.17</v>
      </c>
      <c r="D407" s="1">
        <v>3318.03</v>
      </c>
      <c r="F407" s="7">
        <v>44291.5</v>
      </c>
      <c r="G407" s="1" t="s">
        <v>71</v>
      </c>
      <c r="H407" s="1">
        <v>9642.35</v>
      </c>
      <c r="I407" s="1">
        <v>2755.85</v>
      </c>
      <c r="J407" s="44"/>
      <c r="L407" s="1"/>
      <c r="M407" s="1"/>
      <c r="P407" s="7"/>
      <c r="Q407" s="1"/>
      <c r="R407" s="1"/>
    </row>
    <row r="408" spans="1:18" x14ac:dyDescent="0.25">
      <c r="A408" s="7">
        <v>44291.5</v>
      </c>
      <c r="B408" s="1" t="s">
        <v>70</v>
      </c>
      <c r="C408" s="1">
        <v>6277.11</v>
      </c>
      <c r="D408" s="1">
        <v>3376.32</v>
      </c>
      <c r="F408" s="7">
        <v>44291.5</v>
      </c>
      <c r="G408" s="1" t="s">
        <v>70</v>
      </c>
      <c r="H408" s="1">
        <v>6592.12</v>
      </c>
      <c r="I408" s="1">
        <v>2934.57</v>
      </c>
      <c r="J408" s="44"/>
      <c r="L408" s="1"/>
      <c r="M408" s="1"/>
      <c r="P408" s="7"/>
      <c r="Q408" s="1"/>
      <c r="R408" s="1"/>
    </row>
    <row r="409" spans="1:18" x14ac:dyDescent="0.25">
      <c r="A409" s="7">
        <v>44291.541666666664</v>
      </c>
      <c r="B409" s="1" t="s">
        <v>74</v>
      </c>
      <c r="C409" s="1">
        <v>5568.63</v>
      </c>
      <c r="D409" s="1">
        <v>1705.67</v>
      </c>
      <c r="F409" s="7">
        <v>44291.541666666664</v>
      </c>
      <c r="G409" s="1" t="s">
        <v>74</v>
      </c>
      <c r="H409" s="1">
        <v>6611.53</v>
      </c>
      <c r="I409" s="1">
        <v>1433.94</v>
      </c>
      <c r="J409" s="44"/>
      <c r="L409" s="1"/>
      <c r="M409" s="1"/>
      <c r="P409" s="7"/>
      <c r="Q409" s="1"/>
      <c r="R409" s="1"/>
    </row>
    <row r="410" spans="1:18" x14ac:dyDescent="0.25">
      <c r="A410" s="7">
        <v>44291.541666666664</v>
      </c>
      <c r="B410" s="1" t="s">
        <v>75</v>
      </c>
      <c r="C410" s="1">
        <v>914.03</v>
      </c>
      <c r="D410" s="1">
        <v>588.62</v>
      </c>
      <c r="F410" s="7">
        <v>44291.541666666664</v>
      </c>
      <c r="G410" s="1" t="s">
        <v>75</v>
      </c>
      <c r="H410" s="1">
        <v>891.08</v>
      </c>
      <c r="I410" s="1">
        <v>399.54</v>
      </c>
      <c r="J410" s="44"/>
      <c r="L410" s="1"/>
      <c r="M410" s="1"/>
      <c r="P410" s="7"/>
      <c r="Q410" s="1"/>
      <c r="R410" s="1"/>
    </row>
    <row r="411" spans="1:18" x14ac:dyDescent="0.25">
      <c r="A411" s="7">
        <v>44291.541666666664</v>
      </c>
      <c r="B411" s="1" t="s">
        <v>72</v>
      </c>
      <c r="C411" s="1">
        <v>10387.700000000001</v>
      </c>
      <c r="D411" s="1">
        <v>7533.88</v>
      </c>
      <c r="F411" s="7">
        <v>44291.541666666664</v>
      </c>
      <c r="G411" s="1" t="s">
        <v>72</v>
      </c>
      <c r="H411" s="1">
        <v>8596.5300000000007</v>
      </c>
      <c r="I411" s="1">
        <v>6149.22</v>
      </c>
      <c r="J411" s="44"/>
      <c r="L411" s="1"/>
      <c r="M411" s="1"/>
      <c r="P411" s="7"/>
      <c r="Q411" s="1"/>
      <c r="R411" s="1"/>
    </row>
    <row r="412" spans="1:18" x14ac:dyDescent="0.25">
      <c r="A412" s="7">
        <v>44291.541666666664</v>
      </c>
      <c r="B412" s="1" t="s">
        <v>76</v>
      </c>
      <c r="C412" s="1">
        <v>8182.52</v>
      </c>
      <c r="D412" s="1">
        <v>2665.66</v>
      </c>
      <c r="F412" s="7">
        <v>44291.541666666664</v>
      </c>
      <c r="G412" s="1" t="s">
        <v>76</v>
      </c>
      <c r="H412" s="1">
        <v>10402.75</v>
      </c>
      <c r="I412" s="1">
        <v>2500.29</v>
      </c>
      <c r="J412" s="44"/>
      <c r="L412" s="1"/>
      <c r="M412" s="1"/>
      <c r="P412" s="7"/>
      <c r="Q412" s="1"/>
      <c r="R412" s="1"/>
    </row>
    <row r="413" spans="1:18" x14ac:dyDescent="0.25">
      <c r="A413" s="7">
        <v>44291.541666666664</v>
      </c>
      <c r="B413" s="1" t="s">
        <v>73</v>
      </c>
      <c r="C413" s="1">
        <v>4610.53</v>
      </c>
      <c r="D413" s="1">
        <v>893.79</v>
      </c>
      <c r="F413" s="7">
        <v>44291.541666666664</v>
      </c>
      <c r="G413" s="1" t="s">
        <v>73</v>
      </c>
      <c r="H413" s="1">
        <v>5621.27</v>
      </c>
      <c r="I413" s="1">
        <v>852.41</v>
      </c>
      <c r="J413" s="44"/>
      <c r="L413" s="1"/>
      <c r="M413" s="1"/>
      <c r="P413" s="7"/>
      <c r="Q413" s="1"/>
      <c r="R413" s="1"/>
    </row>
    <row r="414" spans="1:18" x14ac:dyDescent="0.25">
      <c r="A414" s="7">
        <v>44291.541666666664</v>
      </c>
      <c r="B414" s="1" t="s">
        <v>68</v>
      </c>
      <c r="C414" s="1">
        <v>5570.33</v>
      </c>
      <c r="D414" s="1">
        <v>2759.93</v>
      </c>
      <c r="F414" s="7">
        <v>44291.541666666664</v>
      </c>
      <c r="G414" s="1" t="s">
        <v>68</v>
      </c>
      <c r="H414" s="1">
        <v>6825.53</v>
      </c>
      <c r="I414" s="1">
        <v>2411.86</v>
      </c>
      <c r="J414" s="44"/>
      <c r="L414" s="1"/>
      <c r="M414" s="1"/>
      <c r="P414" s="7"/>
      <c r="Q414" s="1"/>
      <c r="R414" s="1"/>
    </row>
    <row r="415" spans="1:18" x14ac:dyDescent="0.25">
      <c r="A415" s="7">
        <v>44291.541666666664</v>
      </c>
      <c r="B415" s="1" t="s">
        <v>71</v>
      </c>
      <c r="C415" s="1">
        <v>6060.39</v>
      </c>
      <c r="D415" s="1">
        <v>2498.41</v>
      </c>
      <c r="F415" s="7">
        <v>44291.541666666664</v>
      </c>
      <c r="G415" s="1" t="s">
        <v>71</v>
      </c>
      <c r="H415" s="1">
        <v>7442.26</v>
      </c>
      <c r="I415" s="1">
        <v>2133.2399999999998</v>
      </c>
      <c r="J415" s="44"/>
      <c r="L415" s="1"/>
      <c r="M415" s="1"/>
      <c r="P415" s="7"/>
      <c r="Q415" s="1"/>
      <c r="R415" s="1"/>
    </row>
    <row r="416" spans="1:18" x14ac:dyDescent="0.25">
      <c r="A416" s="7">
        <v>44291.541666666664</v>
      </c>
      <c r="B416" s="1" t="s">
        <v>69</v>
      </c>
      <c r="C416" s="1">
        <v>5717.07</v>
      </c>
      <c r="D416" s="1">
        <v>5972.98</v>
      </c>
      <c r="F416" s="7">
        <v>44291.541666666664</v>
      </c>
      <c r="G416" s="1" t="s">
        <v>69</v>
      </c>
      <c r="H416" s="1">
        <v>4366.74</v>
      </c>
      <c r="I416" s="1">
        <v>4611.26</v>
      </c>
      <c r="J416" s="44"/>
      <c r="L416" s="1"/>
      <c r="M416" s="1"/>
      <c r="P416" s="7"/>
      <c r="Q416" s="1"/>
      <c r="R416" s="1"/>
    </row>
    <row r="417" spans="1:18" x14ac:dyDescent="0.25">
      <c r="A417" s="7">
        <v>44291.541666666664</v>
      </c>
      <c r="B417" s="1" t="s">
        <v>70</v>
      </c>
      <c r="C417" s="1">
        <v>5138.6000000000004</v>
      </c>
      <c r="D417" s="1">
        <v>2719.53</v>
      </c>
      <c r="F417" s="7">
        <v>44291.541666666664</v>
      </c>
      <c r="G417" s="1" t="s">
        <v>70</v>
      </c>
      <c r="H417" s="1">
        <v>5397.69</v>
      </c>
      <c r="I417" s="1">
        <v>2427.38</v>
      </c>
      <c r="J417" s="44"/>
      <c r="L417" s="1"/>
      <c r="M417" s="1"/>
      <c r="P417" s="7"/>
      <c r="Q417" s="1"/>
      <c r="R417" s="1"/>
    </row>
    <row r="418" spans="1:18" x14ac:dyDescent="0.25">
      <c r="A418" s="7">
        <v>44291.541666666664</v>
      </c>
      <c r="B418" s="1" t="s">
        <v>78</v>
      </c>
      <c r="C418" s="1">
        <v>2489.4899999999998</v>
      </c>
      <c r="D418" s="1">
        <v>1736.4</v>
      </c>
      <c r="F418" s="7">
        <v>44291.541666666664</v>
      </c>
      <c r="G418" s="1" t="s">
        <v>78</v>
      </c>
      <c r="H418" s="1">
        <v>1915.1</v>
      </c>
      <c r="I418" s="1">
        <v>1212.71</v>
      </c>
      <c r="J418" s="44"/>
      <c r="L418" s="1"/>
      <c r="M418" s="1"/>
      <c r="P418" s="7"/>
      <c r="Q418" s="1"/>
      <c r="R418" s="1"/>
    </row>
    <row r="419" spans="1:18" x14ac:dyDescent="0.25">
      <c r="A419" s="7">
        <v>44291.541666666664</v>
      </c>
      <c r="B419" s="1" t="s">
        <v>77</v>
      </c>
      <c r="C419" s="1">
        <v>11614.36</v>
      </c>
      <c r="D419" s="1">
        <v>4394.9399999999996</v>
      </c>
      <c r="F419" s="7">
        <v>44291.541666666664</v>
      </c>
      <c r="G419" s="1" t="s">
        <v>77</v>
      </c>
      <c r="H419" s="1">
        <v>9297.77</v>
      </c>
      <c r="I419" s="1">
        <v>2907</v>
      </c>
      <c r="J419" s="44"/>
      <c r="L419" s="1"/>
      <c r="M419" s="1"/>
      <c r="P419" s="7"/>
      <c r="Q419" s="1"/>
      <c r="R419" s="1"/>
    </row>
    <row r="420" spans="1:18" x14ac:dyDescent="0.25">
      <c r="A420" s="7">
        <v>44291.583333333336</v>
      </c>
      <c r="B420" s="1" t="s">
        <v>74</v>
      </c>
      <c r="C420" s="1">
        <v>6125.94</v>
      </c>
      <c r="D420" s="1">
        <v>1863.86</v>
      </c>
      <c r="F420" s="7">
        <v>44291.583333333336</v>
      </c>
      <c r="G420" s="1" t="s">
        <v>74</v>
      </c>
      <c r="H420" s="1">
        <v>6985.69</v>
      </c>
      <c r="I420" s="1">
        <v>1563.82</v>
      </c>
      <c r="J420" s="44"/>
      <c r="L420" s="1"/>
      <c r="M420" s="1"/>
      <c r="P420" s="7"/>
      <c r="Q420" s="1"/>
      <c r="R420" s="1"/>
    </row>
    <row r="421" spans="1:18" x14ac:dyDescent="0.25">
      <c r="A421" s="7">
        <v>44291.583333333336</v>
      </c>
      <c r="B421" s="1" t="s">
        <v>75</v>
      </c>
      <c r="C421" s="1">
        <v>1009.72</v>
      </c>
      <c r="D421" s="1">
        <v>664.65</v>
      </c>
      <c r="F421" s="7">
        <v>44291.583333333336</v>
      </c>
      <c r="G421" s="1" t="s">
        <v>75</v>
      </c>
      <c r="H421" s="1">
        <v>986.32</v>
      </c>
      <c r="I421" s="1">
        <v>454.38</v>
      </c>
      <c r="J421" s="44"/>
      <c r="L421" s="1"/>
      <c r="M421" s="1"/>
      <c r="P421" s="7"/>
      <c r="Q421" s="1"/>
      <c r="R421" s="1"/>
    </row>
    <row r="422" spans="1:18" x14ac:dyDescent="0.25">
      <c r="A422" s="7">
        <v>44291.583333333336</v>
      </c>
      <c r="B422" s="1" t="s">
        <v>72</v>
      </c>
      <c r="C422" s="1">
        <v>11334.2</v>
      </c>
      <c r="D422" s="1">
        <v>8018.4</v>
      </c>
      <c r="F422" s="7">
        <v>44291.583333333336</v>
      </c>
      <c r="G422" s="1" t="s">
        <v>72</v>
      </c>
      <c r="H422" s="1">
        <v>9271.61</v>
      </c>
      <c r="I422" s="1">
        <v>6593.56</v>
      </c>
      <c r="J422" s="44"/>
      <c r="L422" s="1"/>
      <c r="M422" s="1"/>
      <c r="P422" s="7"/>
      <c r="Q422" s="1"/>
      <c r="R422" s="1"/>
    </row>
    <row r="423" spans="1:18" x14ac:dyDescent="0.25">
      <c r="A423" s="7">
        <v>44291.583333333336</v>
      </c>
      <c r="B423" s="1" t="s">
        <v>73</v>
      </c>
      <c r="C423" s="1">
        <v>5154.3999999999996</v>
      </c>
      <c r="D423" s="1">
        <v>970.31</v>
      </c>
      <c r="F423" s="7">
        <v>44291.583333333336</v>
      </c>
      <c r="G423" s="1" t="s">
        <v>73</v>
      </c>
      <c r="H423" s="1">
        <v>6282.69</v>
      </c>
      <c r="I423" s="1">
        <v>947.58</v>
      </c>
      <c r="J423" s="44"/>
      <c r="L423" s="1"/>
      <c r="M423" s="1"/>
      <c r="P423" s="7"/>
      <c r="Q423" s="1"/>
      <c r="R423" s="1"/>
    </row>
    <row r="424" spans="1:18" x14ac:dyDescent="0.25">
      <c r="A424" s="7">
        <v>44291.583333333336</v>
      </c>
      <c r="B424" s="1" t="s">
        <v>71</v>
      </c>
      <c r="C424" s="1">
        <v>6617.24</v>
      </c>
      <c r="D424" s="1">
        <v>2651.69</v>
      </c>
      <c r="F424" s="7">
        <v>44291.583333333336</v>
      </c>
      <c r="G424" s="1" t="s">
        <v>71</v>
      </c>
      <c r="H424" s="1">
        <v>8104.95</v>
      </c>
      <c r="I424" s="1">
        <v>2290.16</v>
      </c>
      <c r="J424" s="44"/>
      <c r="L424" s="1"/>
      <c r="M424" s="1"/>
      <c r="P424" s="7"/>
      <c r="Q424" s="1"/>
      <c r="R424" s="1"/>
    </row>
    <row r="425" spans="1:18" x14ac:dyDescent="0.25">
      <c r="A425" s="7">
        <v>44291.583333333336</v>
      </c>
      <c r="B425" s="1" t="s">
        <v>77</v>
      </c>
      <c r="C425" s="1">
        <v>9850.76</v>
      </c>
      <c r="D425" s="1">
        <v>3617.3</v>
      </c>
      <c r="F425" s="7">
        <v>44291.583333333336</v>
      </c>
      <c r="G425" s="1" t="s">
        <v>77</v>
      </c>
      <c r="H425" s="1">
        <v>8297.14</v>
      </c>
      <c r="I425" s="1">
        <v>2656.8</v>
      </c>
      <c r="J425" s="44"/>
      <c r="L425" s="1"/>
      <c r="M425" s="1"/>
      <c r="P425" s="7"/>
      <c r="Q425" s="1"/>
      <c r="R425" s="1"/>
    </row>
    <row r="426" spans="1:18" x14ac:dyDescent="0.25">
      <c r="A426" s="7">
        <v>44291.583333333336</v>
      </c>
      <c r="B426" s="1" t="s">
        <v>70</v>
      </c>
      <c r="C426" s="1">
        <v>5690.84</v>
      </c>
      <c r="D426" s="1">
        <v>2960.86</v>
      </c>
      <c r="F426" s="7">
        <v>44291.583333333336</v>
      </c>
      <c r="G426" s="1" t="s">
        <v>70</v>
      </c>
      <c r="H426" s="1">
        <v>5961.44</v>
      </c>
      <c r="I426" s="1">
        <v>2607.33</v>
      </c>
      <c r="J426" s="44"/>
      <c r="L426" s="1"/>
      <c r="M426" s="1"/>
      <c r="P426" s="7"/>
      <c r="Q426" s="1"/>
      <c r="R426" s="1"/>
    </row>
    <row r="427" spans="1:18" x14ac:dyDescent="0.25">
      <c r="A427" s="7">
        <v>44291.583333333336</v>
      </c>
      <c r="B427" s="1" t="s">
        <v>78</v>
      </c>
      <c r="C427" s="1">
        <v>2548.9</v>
      </c>
      <c r="D427" s="1">
        <v>1735.58</v>
      </c>
      <c r="F427" s="7">
        <v>44291.583333333336</v>
      </c>
      <c r="G427" s="1" t="s">
        <v>78</v>
      </c>
      <c r="H427" s="1">
        <v>1897.92</v>
      </c>
      <c r="I427" s="1">
        <v>1220.8</v>
      </c>
      <c r="J427" s="44"/>
      <c r="L427" s="1"/>
      <c r="M427" s="1"/>
      <c r="P427" s="7"/>
      <c r="Q427" s="1"/>
      <c r="R427" s="1"/>
    </row>
    <row r="428" spans="1:18" x14ac:dyDescent="0.25">
      <c r="A428" s="7">
        <v>44291.583333333336</v>
      </c>
      <c r="B428" s="1" t="s">
        <v>76</v>
      </c>
      <c r="C428" s="1">
        <v>8026.26</v>
      </c>
      <c r="D428" s="1">
        <v>2568.27</v>
      </c>
      <c r="F428" s="7">
        <v>44291.583333333336</v>
      </c>
      <c r="G428" s="1" t="s">
        <v>76</v>
      </c>
      <c r="H428" s="1">
        <v>9974.56</v>
      </c>
      <c r="I428" s="1">
        <v>2471.06</v>
      </c>
      <c r="J428" s="44"/>
      <c r="L428" s="1"/>
      <c r="M428" s="1"/>
      <c r="P428" s="7"/>
      <c r="Q428" s="1"/>
      <c r="R428" s="1"/>
    </row>
    <row r="429" spans="1:18" x14ac:dyDescent="0.25">
      <c r="A429" s="7">
        <v>44291.583333333336</v>
      </c>
      <c r="B429" s="1" t="s">
        <v>68</v>
      </c>
      <c r="C429" s="1">
        <v>6350.36</v>
      </c>
      <c r="D429" s="1">
        <v>2989.11</v>
      </c>
      <c r="F429" s="7">
        <v>44291.583333333336</v>
      </c>
      <c r="G429" s="1" t="s">
        <v>68</v>
      </c>
      <c r="H429" s="1">
        <v>7696.93</v>
      </c>
      <c r="I429" s="1">
        <v>2622.71</v>
      </c>
      <c r="J429" s="44"/>
      <c r="L429" s="1"/>
      <c r="M429" s="1"/>
      <c r="P429" s="7"/>
      <c r="Q429" s="1"/>
      <c r="R429" s="1"/>
    </row>
    <row r="430" spans="1:18" x14ac:dyDescent="0.25">
      <c r="A430" s="7">
        <v>44291.583333333336</v>
      </c>
      <c r="B430" s="1" t="s">
        <v>69</v>
      </c>
      <c r="C430" s="1">
        <v>5995.76</v>
      </c>
      <c r="D430" s="1">
        <v>6049.96</v>
      </c>
      <c r="F430" s="7">
        <v>44291.583333333336</v>
      </c>
      <c r="G430" s="1" t="s">
        <v>69</v>
      </c>
      <c r="H430" s="1">
        <v>4479.0200000000004</v>
      </c>
      <c r="I430" s="1">
        <v>4740.83</v>
      </c>
      <c r="J430" s="44"/>
      <c r="L430" s="1"/>
      <c r="M430" s="1"/>
      <c r="P430" s="7"/>
      <c r="Q430" s="1"/>
      <c r="R430" s="1"/>
    </row>
    <row r="431" spans="1:18" x14ac:dyDescent="0.25">
      <c r="A431" s="7">
        <v>44291.625</v>
      </c>
      <c r="B431" s="1" t="s">
        <v>75</v>
      </c>
      <c r="C431" s="1">
        <v>1040.55</v>
      </c>
      <c r="D431" s="1">
        <v>681.37</v>
      </c>
      <c r="F431" s="7">
        <v>44291.625</v>
      </c>
      <c r="G431" s="1" t="s">
        <v>75</v>
      </c>
      <c r="H431" s="1">
        <v>1010</v>
      </c>
      <c r="I431" s="1">
        <v>462.74</v>
      </c>
      <c r="J431" s="44"/>
      <c r="L431" s="1"/>
      <c r="M431" s="1"/>
      <c r="P431" s="7"/>
      <c r="Q431" s="1"/>
      <c r="R431" s="1"/>
    </row>
    <row r="432" spans="1:18" x14ac:dyDescent="0.25">
      <c r="A432" s="7">
        <v>44291.625</v>
      </c>
      <c r="B432" s="1" t="s">
        <v>74</v>
      </c>
      <c r="C432" s="1">
        <v>6027.14</v>
      </c>
      <c r="D432" s="1">
        <v>1860.05</v>
      </c>
      <c r="F432" s="7">
        <v>44291.625</v>
      </c>
      <c r="G432" s="1" t="s">
        <v>74</v>
      </c>
      <c r="H432" s="1">
        <v>6743.81</v>
      </c>
      <c r="I432" s="1">
        <v>1507.98</v>
      </c>
      <c r="J432" s="44"/>
      <c r="L432" s="1"/>
      <c r="M432" s="1"/>
      <c r="P432" s="7"/>
      <c r="Q432" s="1"/>
      <c r="R432" s="1"/>
    </row>
    <row r="433" spans="1:18" x14ac:dyDescent="0.25">
      <c r="A433" s="7">
        <v>44291.625</v>
      </c>
      <c r="B433" s="1" t="s">
        <v>77</v>
      </c>
      <c r="C433" s="1">
        <v>9612.4599999999991</v>
      </c>
      <c r="D433" s="1">
        <v>3655.02</v>
      </c>
      <c r="F433" s="7">
        <v>44291.625</v>
      </c>
      <c r="G433" s="1" t="s">
        <v>77</v>
      </c>
      <c r="H433" s="1">
        <v>8156.73</v>
      </c>
      <c r="I433" s="1">
        <v>2655.61</v>
      </c>
      <c r="J433" s="44"/>
      <c r="L433" s="1"/>
      <c r="M433" s="1"/>
      <c r="P433" s="7"/>
      <c r="Q433" s="1"/>
      <c r="R433" s="1"/>
    </row>
    <row r="434" spans="1:18" x14ac:dyDescent="0.25">
      <c r="A434" s="7">
        <v>44291.625</v>
      </c>
      <c r="B434" s="1" t="s">
        <v>71</v>
      </c>
      <c r="C434" s="1">
        <v>6959.94</v>
      </c>
      <c r="D434" s="1">
        <v>2858.44</v>
      </c>
      <c r="F434" s="7">
        <v>44291.625</v>
      </c>
      <c r="G434" s="1" t="s">
        <v>71</v>
      </c>
      <c r="H434" s="1">
        <v>8578.08</v>
      </c>
      <c r="I434" s="1">
        <v>2359.37</v>
      </c>
      <c r="J434" s="44"/>
      <c r="L434" s="1"/>
      <c r="M434" s="1"/>
      <c r="P434" s="7"/>
      <c r="Q434" s="1"/>
      <c r="R434" s="1"/>
    </row>
    <row r="435" spans="1:18" x14ac:dyDescent="0.25">
      <c r="A435" s="7">
        <v>44291.625</v>
      </c>
      <c r="B435" s="1" t="s">
        <v>70</v>
      </c>
      <c r="C435" s="1">
        <v>5496.69</v>
      </c>
      <c r="D435" s="1">
        <v>2887.29</v>
      </c>
      <c r="F435" s="7">
        <v>44291.625</v>
      </c>
      <c r="G435" s="1" t="s">
        <v>70</v>
      </c>
      <c r="H435" s="1">
        <v>5876.86</v>
      </c>
      <c r="I435" s="1">
        <v>2535.61</v>
      </c>
      <c r="J435" s="44"/>
      <c r="L435" s="1"/>
      <c r="M435" s="1"/>
      <c r="P435" s="7"/>
      <c r="Q435" s="1"/>
      <c r="R435" s="1"/>
    </row>
    <row r="436" spans="1:18" x14ac:dyDescent="0.25">
      <c r="A436" s="7">
        <v>44291.625</v>
      </c>
      <c r="B436" s="1" t="s">
        <v>78</v>
      </c>
      <c r="C436" s="1">
        <v>2476.8200000000002</v>
      </c>
      <c r="D436" s="1">
        <v>1622.21</v>
      </c>
      <c r="F436" s="7">
        <v>44291.625</v>
      </c>
      <c r="G436" s="1" t="s">
        <v>78</v>
      </c>
      <c r="H436" s="1">
        <v>1865.18</v>
      </c>
      <c r="I436" s="1">
        <v>1137.97</v>
      </c>
      <c r="J436" s="44"/>
      <c r="L436" s="1"/>
      <c r="M436" s="1"/>
      <c r="P436" s="7"/>
      <c r="Q436" s="1"/>
      <c r="R436" s="1"/>
    </row>
    <row r="437" spans="1:18" x14ac:dyDescent="0.25">
      <c r="A437" s="7">
        <v>44291.625</v>
      </c>
      <c r="B437" s="1" t="s">
        <v>76</v>
      </c>
      <c r="C437" s="1">
        <v>7745.96</v>
      </c>
      <c r="D437" s="1">
        <v>2558.84</v>
      </c>
      <c r="F437" s="7">
        <v>44291.625</v>
      </c>
      <c r="G437" s="1" t="s">
        <v>76</v>
      </c>
      <c r="H437" s="1">
        <v>9611.36</v>
      </c>
      <c r="I437" s="1">
        <v>2463.0700000000002</v>
      </c>
      <c r="J437" s="44"/>
      <c r="L437" s="1"/>
      <c r="M437" s="1"/>
      <c r="P437" s="7"/>
      <c r="Q437" s="1"/>
      <c r="R437" s="1"/>
    </row>
    <row r="438" spans="1:18" x14ac:dyDescent="0.25">
      <c r="A438" s="7">
        <v>44291.625</v>
      </c>
      <c r="B438" s="1" t="s">
        <v>73</v>
      </c>
      <c r="C438" s="1">
        <v>5367.61</v>
      </c>
      <c r="D438" s="1">
        <v>1043.5</v>
      </c>
      <c r="F438" s="7">
        <v>44291.625</v>
      </c>
      <c r="G438" s="1" t="s">
        <v>73</v>
      </c>
      <c r="H438" s="1">
        <v>6428.29</v>
      </c>
      <c r="I438" s="1">
        <v>966.88</v>
      </c>
      <c r="J438" s="44"/>
      <c r="L438" s="1"/>
      <c r="M438" s="1"/>
      <c r="P438" s="7"/>
      <c r="Q438" s="1"/>
      <c r="R438" s="1"/>
    </row>
    <row r="439" spans="1:18" x14ac:dyDescent="0.25">
      <c r="A439" s="7">
        <v>44291.625</v>
      </c>
      <c r="B439" s="1" t="s">
        <v>72</v>
      </c>
      <c r="C439" s="1">
        <v>10880.14</v>
      </c>
      <c r="D439" s="1">
        <v>7766.69</v>
      </c>
      <c r="F439" s="7">
        <v>44291.625</v>
      </c>
      <c r="G439" s="1" t="s">
        <v>72</v>
      </c>
      <c r="H439" s="1">
        <v>9071.74</v>
      </c>
      <c r="I439" s="1">
        <v>6292.21</v>
      </c>
      <c r="J439" s="44"/>
      <c r="L439" s="1"/>
      <c r="M439" s="1"/>
      <c r="P439" s="7"/>
      <c r="Q439" s="1"/>
      <c r="R439" s="1"/>
    </row>
    <row r="440" spans="1:18" x14ac:dyDescent="0.25">
      <c r="A440" s="7">
        <v>44291.625</v>
      </c>
      <c r="B440" s="1" t="s">
        <v>68</v>
      </c>
      <c r="C440" s="1">
        <v>6628.05</v>
      </c>
      <c r="D440" s="1">
        <v>3175.66</v>
      </c>
      <c r="F440" s="7">
        <v>44291.625</v>
      </c>
      <c r="G440" s="1" t="s">
        <v>68</v>
      </c>
      <c r="H440" s="1">
        <v>8075.66</v>
      </c>
      <c r="I440" s="1">
        <v>2669.98</v>
      </c>
      <c r="J440" s="44"/>
      <c r="L440" s="1"/>
      <c r="M440" s="1"/>
      <c r="P440" s="7"/>
      <c r="Q440" s="1"/>
      <c r="R440" s="1"/>
    </row>
    <row r="441" spans="1:18" x14ac:dyDescent="0.25">
      <c r="A441" s="7">
        <v>44291.625</v>
      </c>
      <c r="B441" s="1" t="s">
        <v>69</v>
      </c>
      <c r="C441" s="1">
        <v>5763.15</v>
      </c>
      <c r="D441" s="1">
        <v>5933.64</v>
      </c>
      <c r="F441" s="7">
        <v>44291.625</v>
      </c>
      <c r="G441" s="1" t="s">
        <v>69</v>
      </c>
      <c r="H441" s="1">
        <v>4318.3999999999996</v>
      </c>
      <c r="I441" s="1">
        <v>4624.53</v>
      </c>
      <c r="J441" s="44"/>
      <c r="L441" s="1"/>
      <c r="M441" s="1"/>
      <c r="P441" s="7"/>
      <c r="Q441" s="1"/>
      <c r="R441" s="1"/>
    </row>
    <row r="442" spans="1:18" x14ac:dyDescent="0.25">
      <c r="A442" s="7">
        <v>44291.666666666664</v>
      </c>
      <c r="B442" s="1" t="s">
        <v>75</v>
      </c>
      <c r="C442" s="1">
        <v>987.12</v>
      </c>
      <c r="D442" s="1">
        <v>612.26</v>
      </c>
      <c r="F442" s="7">
        <v>44291.666666666664</v>
      </c>
      <c r="G442" s="1" t="s">
        <v>75</v>
      </c>
      <c r="H442" s="1">
        <v>946.2</v>
      </c>
      <c r="I442" s="1">
        <v>421.97</v>
      </c>
      <c r="J442" s="44"/>
      <c r="L442" s="1"/>
      <c r="M442" s="1"/>
      <c r="P442" s="7"/>
      <c r="Q442" s="1"/>
      <c r="R442" s="1"/>
    </row>
    <row r="443" spans="1:18" x14ac:dyDescent="0.25">
      <c r="A443" s="7">
        <v>44291.666666666664</v>
      </c>
      <c r="B443" s="1" t="s">
        <v>74</v>
      </c>
      <c r="C443" s="1">
        <v>5701.68</v>
      </c>
      <c r="D443" s="1">
        <v>1792.41</v>
      </c>
      <c r="F443" s="7">
        <v>44291.666666666664</v>
      </c>
      <c r="G443" s="1" t="s">
        <v>74</v>
      </c>
      <c r="H443" s="1">
        <v>6435.59</v>
      </c>
      <c r="I443" s="1">
        <v>1464.01</v>
      </c>
      <c r="J443" s="44"/>
      <c r="L443" s="1"/>
      <c r="M443" s="1"/>
      <c r="P443" s="7"/>
      <c r="Q443" s="1"/>
      <c r="R443" s="1"/>
    </row>
    <row r="444" spans="1:18" x14ac:dyDescent="0.25">
      <c r="A444" s="7">
        <v>44291.666666666664</v>
      </c>
      <c r="B444" s="1" t="s">
        <v>72</v>
      </c>
      <c r="C444" s="1">
        <v>10063.56</v>
      </c>
      <c r="D444" s="1">
        <v>7297.51</v>
      </c>
      <c r="F444" s="7">
        <v>44291.666666666664</v>
      </c>
      <c r="G444" s="1" t="s">
        <v>72</v>
      </c>
      <c r="H444" s="1">
        <v>8497.9699999999993</v>
      </c>
      <c r="I444" s="1">
        <v>5946.65</v>
      </c>
      <c r="J444" s="44"/>
      <c r="L444" s="1"/>
      <c r="M444" s="1"/>
      <c r="P444" s="7"/>
      <c r="Q444" s="1"/>
      <c r="R444" s="1"/>
    </row>
    <row r="445" spans="1:18" x14ac:dyDescent="0.25">
      <c r="A445" s="7">
        <v>44291.666666666664</v>
      </c>
      <c r="B445" s="1" t="s">
        <v>68</v>
      </c>
      <c r="C445" s="1">
        <v>6451.02</v>
      </c>
      <c r="D445" s="1">
        <v>3224.93</v>
      </c>
      <c r="F445" s="7">
        <v>44291.666666666664</v>
      </c>
      <c r="G445" s="1" t="s">
        <v>68</v>
      </c>
      <c r="H445" s="1">
        <v>7813.39</v>
      </c>
      <c r="I445" s="1">
        <v>2664.06</v>
      </c>
      <c r="J445" s="44"/>
      <c r="L445" s="1"/>
      <c r="M445" s="1"/>
      <c r="P445" s="7"/>
      <c r="Q445" s="1"/>
      <c r="R445" s="1"/>
    </row>
    <row r="446" spans="1:18" x14ac:dyDescent="0.25">
      <c r="A446" s="7">
        <v>44291.666666666664</v>
      </c>
      <c r="B446" s="1" t="s">
        <v>77</v>
      </c>
      <c r="C446" s="1">
        <v>9584.9</v>
      </c>
      <c r="D446" s="1">
        <v>3642.68</v>
      </c>
      <c r="F446" s="7">
        <v>44291.666666666664</v>
      </c>
      <c r="G446" s="1" t="s">
        <v>77</v>
      </c>
      <c r="H446" s="1">
        <v>8186.25</v>
      </c>
      <c r="I446" s="1">
        <v>2553.88</v>
      </c>
      <c r="J446" s="44"/>
      <c r="L446" s="1"/>
      <c r="M446" s="1"/>
      <c r="P446" s="7"/>
      <c r="Q446" s="1"/>
      <c r="R446" s="1"/>
    </row>
    <row r="447" spans="1:18" x14ac:dyDescent="0.25">
      <c r="A447" s="7">
        <v>44291.666666666664</v>
      </c>
      <c r="B447" s="1" t="s">
        <v>69</v>
      </c>
      <c r="C447" s="1">
        <v>5303.67</v>
      </c>
      <c r="D447" s="1">
        <v>5580.61</v>
      </c>
      <c r="F447" s="7">
        <v>44291.666666666664</v>
      </c>
      <c r="G447" s="1" t="s">
        <v>69</v>
      </c>
      <c r="H447" s="1">
        <v>4039.43</v>
      </c>
      <c r="I447" s="1">
        <v>4261.46</v>
      </c>
      <c r="J447" s="44"/>
      <c r="L447" s="1"/>
      <c r="M447" s="1"/>
      <c r="P447" s="7"/>
      <c r="Q447" s="1"/>
      <c r="R447" s="1"/>
    </row>
    <row r="448" spans="1:18" x14ac:dyDescent="0.25">
      <c r="A448" s="7">
        <v>44291.666666666664</v>
      </c>
      <c r="B448" s="1" t="s">
        <v>70</v>
      </c>
      <c r="C448" s="1">
        <v>5259.93</v>
      </c>
      <c r="D448" s="1">
        <v>2769.87</v>
      </c>
      <c r="F448" s="7">
        <v>44291.666666666664</v>
      </c>
      <c r="G448" s="1" t="s">
        <v>70</v>
      </c>
      <c r="H448" s="1">
        <v>5593.03</v>
      </c>
      <c r="I448" s="1">
        <v>2444.5300000000002</v>
      </c>
      <c r="J448" s="44"/>
      <c r="L448" s="1"/>
      <c r="M448" s="1"/>
      <c r="P448" s="7"/>
      <c r="Q448" s="1"/>
      <c r="R448" s="1"/>
    </row>
    <row r="449" spans="1:18" x14ac:dyDescent="0.25">
      <c r="A449" s="7">
        <v>44291.666666666664</v>
      </c>
      <c r="B449" s="1" t="s">
        <v>78</v>
      </c>
      <c r="C449" s="1">
        <v>2134.8200000000002</v>
      </c>
      <c r="D449" s="1">
        <v>1462.8</v>
      </c>
      <c r="F449" s="7">
        <v>44291.666666666664</v>
      </c>
      <c r="G449" s="1" t="s">
        <v>78</v>
      </c>
      <c r="H449" s="1">
        <v>1688.67</v>
      </c>
      <c r="I449" s="1">
        <v>1037.57</v>
      </c>
      <c r="J449" s="44"/>
      <c r="L449" s="1"/>
      <c r="M449" s="1"/>
      <c r="P449" s="7"/>
      <c r="Q449" s="1"/>
      <c r="R449" s="1"/>
    </row>
    <row r="450" spans="1:18" x14ac:dyDescent="0.25">
      <c r="A450" s="7">
        <v>44291.666666666664</v>
      </c>
      <c r="B450" s="1" t="s">
        <v>76</v>
      </c>
      <c r="C450" s="1">
        <v>7584.56</v>
      </c>
      <c r="D450" s="1">
        <v>2503.1</v>
      </c>
      <c r="F450" s="7">
        <v>44291.666666666664</v>
      </c>
      <c r="G450" s="1" t="s">
        <v>76</v>
      </c>
      <c r="H450" s="1">
        <v>9374.56</v>
      </c>
      <c r="I450" s="1">
        <v>2372.81</v>
      </c>
      <c r="J450" s="44"/>
      <c r="L450" s="1"/>
      <c r="M450" s="1"/>
      <c r="P450" s="7"/>
      <c r="Q450" s="1"/>
      <c r="R450" s="1"/>
    </row>
    <row r="451" spans="1:18" x14ac:dyDescent="0.25">
      <c r="A451" s="7">
        <v>44291.666666666664</v>
      </c>
      <c r="B451" s="1" t="s">
        <v>73</v>
      </c>
      <c r="C451" s="1">
        <v>5188.84</v>
      </c>
      <c r="D451" s="1">
        <v>1061.4100000000001</v>
      </c>
      <c r="F451" s="7">
        <v>44291.666666666664</v>
      </c>
      <c r="G451" s="1" t="s">
        <v>73</v>
      </c>
      <c r="H451" s="1">
        <v>6275.69</v>
      </c>
      <c r="I451" s="1">
        <v>996.04</v>
      </c>
      <c r="J451" s="44"/>
      <c r="L451" s="1"/>
      <c r="M451" s="1"/>
      <c r="P451" s="7"/>
      <c r="Q451" s="1"/>
      <c r="R451" s="1"/>
    </row>
    <row r="452" spans="1:18" x14ac:dyDescent="0.25">
      <c r="A452" s="7">
        <v>44291.666666666664</v>
      </c>
      <c r="B452" s="1" t="s">
        <v>71</v>
      </c>
      <c r="C452" s="1">
        <v>6649.95</v>
      </c>
      <c r="D452" s="1">
        <v>2834.25</v>
      </c>
      <c r="F452" s="7">
        <v>44291.666666666664</v>
      </c>
      <c r="G452" s="1" t="s">
        <v>71</v>
      </c>
      <c r="H452" s="1">
        <v>8221.1299999999992</v>
      </c>
      <c r="I452" s="1">
        <v>2359.3200000000002</v>
      </c>
      <c r="J452" s="44"/>
      <c r="L452" s="1"/>
      <c r="M452" s="1"/>
      <c r="P452" s="7"/>
      <c r="Q452" s="1"/>
      <c r="R452" s="1"/>
    </row>
    <row r="453" spans="1:18" x14ac:dyDescent="0.25">
      <c r="A453" s="7">
        <v>44291.708333333336</v>
      </c>
      <c r="B453" s="1" t="s">
        <v>74</v>
      </c>
      <c r="C453" s="1">
        <v>5986.5</v>
      </c>
      <c r="D453" s="1">
        <v>1844.04</v>
      </c>
      <c r="F453" s="7">
        <v>44291.708333333336</v>
      </c>
      <c r="G453" s="1" t="s">
        <v>74</v>
      </c>
      <c r="H453" s="1">
        <v>6840.63</v>
      </c>
      <c r="I453" s="1">
        <v>1500.12</v>
      </c>
      <c r="J453" s="44"/>
      <c r="L453" s="1"/>
      <c r="M453" s="1"/>
      <c r="P453" s="7"/>
      <c r="Q453" s="1"/>
      <c r="R453" s="1"/>
    </row>
    <row r="454" spans="1:18" x14ac:dyDescent="0.25">
      <c r="A454" s="7">
        <v>44291.708333333336</v>
      </c>
      <c r="B454" s="1" t="s">
        <v>78</v>
      </c>
      <c r="C454" s="1">
        <v>2220.8200000000002</v>
      </c>
      <c r="D454" s="1">
        <v>1473.23</v>
      </c>
      <c r="F454" s="7">
        <v>44291.708333333336</v>
      </c>
      <c r="G454" s="1" t="s">
        <v>78</v>
      </c>
      <c r="H454" s="1">
        <v>1738.94</v>
      </c>
      <c r="I454" s="1">
        <v>1007.68</v>
      </c>
      <c r="J454" s="44"/>
      <c r="L454" s="1"/>
      <c r="M454" s="1"/>
      <c r="P454" s="7"/>
      <c r="Q454" s="1"/>
      <c r="R454" s="1"/>
    </row>
    <row r="455" spans="1:18" x14ac:dyDescent="0.25">
      <c r="A455" s="7">
        <v>44291.708333333336</v>
      </c>
      <c r="B455" s="1" t="s">
        <v>75</v>
      </c>
      <c r="C455" s="1">
        <v>958.98</v>
      </c>
      <c r="D455" s="1">
        <v>592.17999999999995</v>
      </c>
      <c r="F455" s="7">
        <v>44291.708333333336</v>
      </c>
      <c r="G455" s="1" t="s">
        <v>75</v>
      </c>
      <c r="H455" s="1">
        <v>927.21</v>
      </c>
      <c r="I455" s="1">
        <v>393.04</v>
      </c>
      <c r="J455" s="44"/>
      <c r="L455" s="1"/>
      <c r="M455" s="1"/>
      <c r="P455" s="7"/>
      <c r="Q455" s="1"/>
      <c r="R455" s="1"/>
    </row>
    <row r="456" spans="1:18" x14ac:dyDescent="0.25">
      <c r="A456" s="7">
        <v>44291.708333333336</v>
      </c>
      <c r="B456" s="1" t="s">
        <v>72</v>
      </c>
      <c r="C456" s="1">
        <v>10118.51</v>
      </c>
      <c r="D456" s="1">
        <v>7093.44</v>
      </c>
      <c r="F456" s="7">
        <v>44291.708333333336</v>
      </c>
      <c r="G456" s="1" t="s">
        <v>72</v>
      </c>
      <c r="H456" s="1">
        <v>8355.9</v>
      </c>
      <c r="I456" s="1">
        <v>5593.94</v>
      </c>
      <c r="J456" s="44"/>
      <c r="L456" s="1"/>
      <c r="M456" s="1"/>
      <c r="P456" s="7"/>
      <c r="Q456" s="1"/>
      <c r="R456" s="1"/>
    </row>
    <row r="457" spans="1:18" x14ac:dyDescent="0.25">
      <c r="A457" s="7">
        <v>44291.708333333336</v>
      </c>
      <c r="B457" s="1" t="s">
        <v>76</v>
      </c>
      <c r="C457" s="1">
        <v>7948.79</v>
      </c>
      <c r="D457" s="1">
        <v>2704.87</v>
      </c>
      <c r="F457" s="7">
        <v>44291.708333333336</v>
      </c>
      <c r="G457" s="1" t="s">
        <v>76</v>
      </c>
      <c r="H457" s="1">
        <v>9881.1</v>
      </c>
      <c r="I457" s="1">
        <v>2487.11</v>
      </c>
      <c r="J457" s="44"/>
      <c r="L457" s="1"/>
      <c r="M457" s="1"/>
      <c r="P457" s="7"/>
      <c r="Q457" s="1"/>
      <c r="R457" s="1"/>
    </row>
    <row r="458" spans="1:18" x14ac:dyDescent="0.25">
      <c r="A458" s="7">
        <v>44291.708333333336</v>
      </c>
      <c r="B458" s="1" t="s">
        <v>71</v>
      </c>
      <c r="C458" s="1">
        <v>6637.48</v>
      </c>
      <c r="D458" s="1">
        <v>3061.48</v>
      </c>
      <c r="F458" s="7">
        <v>44291.708333333336</v>
      </c>
      <c r="G458" s="1" t="s">
        <v>71</v>
      </c>
      <c r="H458" s="1">
        <v>8135.83</v>
      </c>
      <c r="I458" s="1">
        <v>2428.9899999999998</v>
      </c>
      <c r="J458" s="44"/>
      <c r="L458" s="1"/>
      <c r="M458" s="1"/>
      <c r="P458" s="7"/>
      <c r="Q458" s="1"/>
      <c r="R458" s="1"/>
    </row>
    <row r="459" spans="1:18" x14ac:dyDescent="0.25">
      <c r="A459" s="7">
        <v>44291.708333333336</v>
      </c>
      <c r="B459" s="1" t="s">
        <v>68</v>
      </c>
      <c r="C459" s="1">
        <v>6519.17</v>
      </c>
      <c r="D459" s="1">
        <v>3319.28</v>
      </c>
      <c r="F459" s="7">
        <v>44291.708333333336</v>
      </c>
      <c r="G459" s="1" t="s">
        <v>68</v>
      </c>
      <c r="H459" s="1">
        <v>7752.83</v>
      </c>
      <c r="I459" s="1">
        <v>2734.42</v>
      </c>
      <c r="J459" s="44"/>
      <c r="L459" s="1"/>
      <c r="M459" s="1"/>
      <c r="P459" s="7"/>
      <c r="Q459" s="1"/>
      <c r="R459" s="1"/>
    </row>
    <row r="460" spans="1:18" x14ac:dyDescent="0.25">
      <c r="A460" s="7">
        <v>44291.708333333336</v>
      </c>
      <c r="B460" s="1" t="s">
        <v>70</v>
      </c>
      <c r="C460" s="1">
        <v>5458.52</v>
      </c>
      <c r="D460" s="1">
        <v>2907.66</v>
      </c>
      <c r="F460" s="7">
        <v>44291.708333333336</v>
      </c>
      <c r="G460" s="1" t="s">
        <v>70</v>
      </c>
      <c r="H460" s="1">
        <v>5716.97</v>
      </c>
      <c r="I460" s="1">
        <v>2515.9699999999998</v>
      </c>
      <c r="J460" s="44"/>
      <c r="L460" s="1"/>
      <c r="M460" s="1"/>
      <c r="P460" s="7"/>
      <c r="Q460" s="1"/>
      <c r="R460" s="1"/>
    </row>
    <row r="461" spans="1:18" x14ac:dyDescent="0.25">
      <c r="A461" s="7">
        <v>44291.708333333336</v>
      </c>
      <c r="B461" s="1" t="s">
        <v>69</v>
      </c>
      <c r="C461" s="1">
        <v>5213.8999999999996</v>
      </c>
      <c r="D461" s="1">
        <v>5087.63</v>
      </c>
      <c r="F461" s="7">
        <v>44291.708333333336</v>
      </c>
      <c r="G461" s="1" t="s">
        <v>69</v>
      </c>
      <c r="H461" s="1">
        <v>3937.73</v>
      </c>
      <c r="I461" s="1">
        <v>3814.77</v>
      </c>
      <c r="J461" s="44"/>
      <c r="L461" s="1"/>
      <c r="M461" s="1"/>
      <c r="P461" s="7"/>
      <c r="Q461" s="1"/>
      <c r="R461" s="1"/>
    </row>
    <row r="462" spans="1:18" x14ac:dyDescent="0.25">
      <c r="A462" s="7">
        <v>44291.708333333336</v>
      </c>
      <c r="B462" s="1" t="s">
        <v>73</v>
      </c>
      <c r="C462" s="1">
        <v>5393.71</v>
      </c>
      <c r="D462" s="1">
        <v>1107.19</v>
      </c>
      <c r="F462" s="7">
        <v>44291.708333333336</v>
      </c>
      <c r="G462" s="1" t="s">
        <v>73</v>
      </c>
      <c r="H462" s="1">
        <v>6469.55</v>
      </c>
      <c r="I462" s="1">
        <v>1000.27</v>
      </c>
      <c r="J462" s="44"/>
      <c r="L462" s="1"/>
      <c r="M462" s="1"/>
      <c r="P462" s="7"/>
      <c r="Q462" s="1"/>
      <c r="R462" s="1"/>
    </row>
    <row r="463" spans="1:18" x14ac:dyDescent="0.25">
      <c r="A463" s="7">
        <v>44291.708333333336</v>
      </c>
      <c r="B463" s="1" t="s">
        <v>77</v>
      </c>
      <c r="C463" s="1">
        <v>11014.63</v>
      </c>
      <c r="D463" s="1">
        <v>4248.6000000000004</v>
      </c>
      <c r="F463" s="7">
        <v>44291.708333333336</v>
      </c>
      <c r="G463" s="1" t="s">
        <v>77</v>
      </c>
      <c r="H463" s="1">
        <v>9029.25</v>
      </c>
      <c r="I463" s="1">
        <v>2831.76</v>
      </c>
      <c r="J463" s="44"/>
      <c r="L463" s="1"/>
      <c r="M463" s="1"/>
      <c r="P463" s="7"/>
      <c r="Q463" s="1"/>
      <c r="R463" s="1"/>
    </row>
    <row r="464" spans="1:18" x14ac:dyDescent="0.25">
      <c r="A464" s="7">
        <v>44291.75</v>
      </c>
      <c r="B464" s="1" t="s">
        <v>74</v>
      </c>
      <c r="C464" s="1">
        <v>4749.54</v>
      </c>
      <c r="D464" s="1">
        <v>1274.99</v>
      </c>
      <c r="F464" s="7">
        <v>44291.75</v>
      </c>
      <c r="G464" s="1" t="s">
        <v>74</v>
      </c>
      <c r="H464" s="1">
        <v>5735.59</v>
      </c>
      <c r="I464" s="1">
        <v>1065.96</v>
      </c>
      <c r="J464" s="44"/>
      <c r="L464" s="1"/>
      <c r="M464" s="1"/>
      <c r="P464" s="7"/>
      <c r="Q464" s="1"/>
      <c r="R464" s="1"/>
    </row>
    <row r="465" spans="1:18" x14ac:dyDescent="0.25">
      <c r="A465" s="7">
        <v>44291.75</v>
      </c>
      <c r="B465" s="1" t="s">
        <v>78</v>
      </c>
      <c r="C465" s="1">
        <v>1660.68</v>
      </c>
      <c r="D465" s="1">
        <v>941.43</v>
      </c>
      <c r="F465" s="7">
        <v>44291.75</v>
      </c>
      <c r="G465" s="1" t="s">
        <v>78</v>
      </c>
      <c r="H465" s="1">
        <v>1222.43</v>
      </c>
      <c r="I465" s="1">
        <v>625.29999999999995</v>
      </c>
      <c r="J465" s="44"/>
      <c r="L465" s="1"/>
      <c r="M465" s="1"/>
      <c r="P465" s="7"/>
      <c r="Q465" s="1"/>
      <c r="R465" s="1"/>
    </row>
    <row r="466" spans="1:18" x14ac:dyDescent="0.25">
      <c r="A466" s="7">
        <v>44291.75</v>
      </c>
      <c r="B466" s="1" t="s">
        <v>75</v>
      </c>
      <c r="C466" s="1">
        <v>713.24</v>
      </c>
      <c r="D466" s="1">
        <v>352.76</v>
      </c>
      <c r="F466" s="7">
        <v>44291.75</v>
      </c>
      <c r="G466" s="1" t="s">
        <v>75</v>
      </c>
      <c r="H466" s="1">
        <v>676.87</v>
      </c>
      <c r="I466" s="1">
        <v>244.09</v>
      </c>
      <c r="J466" s="44"/>
      <c r="L466" s="1"/>
      <c r="M466" s="1"/>
      <c r="P466" s="7"/>
      <c r="Q466" s="1"/>
      <c r="R466" s="1"/>
    </row>
    <row r="467" spans="1:18" x14ac:dyDescent="0.25">
      <c r="A467" s="7">
        <v>44291.75</v>
      </c>
      <c r="B467" s="1" t="s">
        <v>76</v>
      </c>
      <c r="C467" s="1">
        <v>6590.21</v>
      </c>
      <c r="D467" s="1">
        <v>1951.45</v>
      </c>
      <c r="F467" s="7">
        <v>44291.75</v>
      </c>
      <c r="G467" s="1" t="s">
        <v>76</v>
      </c>
      <c r="H467" s="1">
        <v>8458.1299999999992</v>
      </c>
      <c r="I467" s="1">
        <v>1860.1</v>
      </c>
      <c r="J467" s="44"/>
      <c r="L467" s="1"/>
      <c r="M467" s="1"/>
      <c r="P467" s="7"/>
      <c r="Q467" s="1"/>
      <c r="R467" s="1"/>
    </row>
    <row r="468" spans="1:18" x14ac:dyDescent="0.25">
      <c r="A468" s="7">
        <v>44291.75</v>
      </c>
      <c r="B468" s="1" t="s">
        <v>73</v>
      </c>
      <c r="C468" s="1">
        <v>4204.32</v>
      </c>
      <c r="D468" s="1">
        <v>767.7</v>
      </c>
      <c r="F468" s="7">
        <v>44291.75</v>
      </c>
      <c r="G468" s="1" t="s">
        <v>73</v>
      </c>
      <c r="H468" s="1">
        <v>4828.97</v>
      </c>
      <c r="I468" s="1">
        <v>685.38</v>
      </c>
      <c r="J468" s="44"/>
      <c r="L468" s="1"/>
      <c r="M468" s="1"/>
      <c r="P468" s="7"/>
      <c r="Q468" s="1"/>
      <c r="R468" s="1"/>
    </row>
    <row r="469" spans="1:18" x14ac:dyDescent="0.25">
      <c r="A469" s="7">
        <v>44291.75</v>
      </c>
      <c r="B469" s="1" t="s">
        <v>68</v>
      </c>
      <c r="C469" s="1">
        <v>5238.3100000000004</v>
      </c>
      <c r="D469" s="1">
        <v>2507.2199999999998</v>
      </c>
      <c r="F469" s="7">
        <v>44291.75</v>
      </c>
      <c r="G469" s="1" t="s">
        <v>68</v>
      </c>
      <c r="H469" s="1">
        <v>6190.53</v>
      </c>
      <c r="I469" s="1">
        <v>2029.45</v>
      </c>
      <c r="J469" s="44"/>
      <c r="L469" s="1"/>
      <c r="M469" s="1"/>
      <c r="P469" s="7"/>
      <c r="Q469" s="1"/>
      <c r="R469" s="1"/>
    </row>
    <row r="470" spans="1:18" x14ac:dyDescent="0.25">
      <c r="A470" s="7">
        <v>44291.75</v>
      </c>
      <c r="B470" s="1" t="s">
        <v>71</v>
      </c>
      <c r="C470" s="1">
        <v>5008.6499999999996</v>
      </c>
      <c r="D470" s="1">
        <v>2122.61</v>
      </c>
      <c r="F470" s="7">
        <v>44291.75</v>
      </c>
      <c r="G470" s="1" t="s">
        <v>71</v>
      </c>
      <c r="H470" s="1">
        <v>6059.49</v>
      </c>
      <c r="I470" s="1">
        <v>1710.47</v>
      </c>
      <c r="J470" s="44"/>
      <c r="L470" s="1"/>
      <c r="M470" s="1"/>
      <c r="P470" s="7"/>
      <c r="Q470" s="1"/>
      <c r="R470" s="1"/>
    </row>
    <row r="471" spans="1:18" x14ac:dyDescent="0.25">
      <c r="A471" s="7">
        <v>44291.75</v>
      </c>
      <c r="B471" s="1" t="s">
        <v>72</v>
      </c>
      <c r="C471" s="1">
        <v>7227.58</v>
      </c>
      <c r="D471" s="1">
        <v>4188.67</v>
      </c>
      <c r="F471" s="7">
        <v>44291.75</v>
      </c>
      <c r="G471" s="1" t="s">
        <v>72</v>
      </c>
      <c r="H471" s="1">
        <v>5569.55</v>
      </c>
      <c r="I471" s="1">
        <v>3224.45</v>
      </c>
      <c r="J471" s="44"/>
      <c r="L471" s="1"/>
      <c r="M471" s="1"/>
      <c r="P471" s="7"/>
      <c r="Q471" s="1"/>
      <c r="R471" s="1"/>
    </row>
    <row r="472" spans="1:18" x14ac:dyDescent="0.25">
      <c r="A472" s="7">
        <v>44291.75</v>
      </c>
      <c r="B472" s="1" t="s">
        <v>77</v>
      </c>
      <c r="C472" s="1">
        <v>10118.19</v>
      </c>
      <c r="D472" s="1">
        <v>3522.62</v>
      </c>
      <c r="F472" s="7">
        <v>44291.75</v>
      </c>
      <c r="G472" s="1" t="s">
        <v>77</v>
      </c>
      <c r="H472" s="1">
        <v>7567.31</v>
      </c>
      <c r="I472" s="1">
        <v>2111.37</v>
      </c>
      <c r="J472" s="44"/>
      <c r="L472" s="1"/>
      <c r="M472" s="1"/>
      <c r="P472" s="7"/>
      <c r="Q472" s="1"/>
      <c r="R472" s="1"/>
    </row>
    <row r="473" spans="1:18" x14ac:dyDescent="0.25">
      <c r="A473" s="7">
        <v>44291.75</v>
      </c>
      <c r="B473" s="1" t="s">
        <v>70</v>
      </c>
      <c r="C473" s="1">
        <v>4095.58</v>
      </c>
      <c r="D473" s="1">
        <v>1893.31</v>
      </c>
      <c r="F473" s="7">
        <v>44291.75</v>
      </c>
      <c r="G473" s="1" t="s">
        <v>70</v>
      </c>
      <c r="H473" s="1">
        <v>4124.5</v>
      </c>
      <c r="I473" s="1">
        <v>1654.35</v>
      </c>
      <c r="J473" s="44"/>
      <c r="L473" s="1"/>
      <c r="M473" s="1"/>
      <c r="P473" s="7"/>
      <c r="Q473" s="1"/>
      <c r="R473" s="1"/>
    </row>
    <row r="474" spans="1:18" x14ac:dyDescent="0.25">
      <c r="A474" s="7">
        <v>44291.75</v>
      </c>
      <c r="B474" s="1" t="s">
        <v>69</v>
      </c>
      <c r="C474" s="1">
        <v>3740.26</v>
      </c>
      <c r="D474" s="1">
        <v>2959.72</v>
      </c>
      <c r="F474" s="7">
        <v>44291.75</v>
      </c>
      <c r="G474" s="1" t="s">
        <v>69</v>
      </c>
      <c r="H474" s="1">
        <v>2606.2600000000002</v>
      </c>
      <c r="I474" s="1">
        <v>2084.9699999999998</v>
      </c>
      <c r="J474" s="44"/>
      <c r="L474" s="1"/>
      <c r="M474" s="1"/>
      <c r="P474" s="7"/>
      <c r="Q474" s="1"/>
      <c r="R474" s="1"/>
    </row>
    <row r="475" spans="1:18" x14ac:dyDescent="0.25">
      <c r="A475" s="7">
        <v>44291.791666666664</v>
      </c>
      <c r="B475" s="1" t="s">
        <v>75</v>
      </c>
      <c r="C475" s="1">
        <v>2306.2399999999998</v>
      </c>
      <c r="D475" s="1">
        <v>1303.8599999999999</v>
      </c>
      <c r="F475" s="7">
        <v>44291.791666666664</v>
      </c>
      <c r="G475" s="1" t="s">
        <v>75</v>
      </c>
      <c r="H475" s="1">
        <v>2182.4299999999998</v>
      </c>
      <c r="I475" s="1">
        <v>799.03</v>
      </c>
      <c r="J475" s="44"/>
      <c r="L475" s="1"/>
      <c r="M475" s="1"/>
      <c r="P475" s="7"/>
      <c r="Q475" s="1"/>
      <c r="R475" s="1"/>
    </row>
    <row r="476" spans="1:18" x14ac:dyDescent="0.25">
      <c r="A476" s="7">
        <v>44291.791666666664</v>
      </c>
      <c r="B476" s="1" t="s">
        <v>74</v>
      </c>
      <c r="C476" s="1">
        <v>13842.86</v>
      </c>
      <c r="D476" s="1">
        <v>3662.54</v>
      </c>
      <c r="F476" s="7">
        <v>44291.791666666664</v>
      </c>
      <c r="G476" s="1" t="s">
        <v>74</v>
      </c>
      <c r="H476" s="1">
        <v>16930.550999999999</v>
      </c>
      <c r="I476" s="1">
        <v>2934.77</v>
      </c>
      <c r="J476" s="44"/>
      <c r="L476" s="1"/>
      <c r="M476" s="1"/>
      <c r="P476" s="7"/>
      <c r="Q476" s="1"/>
      <c r="R476" s="1"/>
    </row>
    <row r="477" spans="1:18" x14ac:dyDescent="0.25">
      <c r="A477" s="7">
        <v>44291.791666666664</v>
      </c>
      <c r="B477" s="1" t="s">
        <v>76</v>
      </c>
      <c r="C477" s="1">
        <v>21281.42</v>
      </c>
      <c r="D477" s="1">
        <v>6129.07</v>
      </c>
      <c r="F477" s="7">
        <v>44291.791666666664</v>
      </c>
      <c r="G477" s="1" t="s">
        <v>76</v>
      </c>
      <c r="H477" s="1">
        <v>27598.77</v>
      </c>
      <c r="I477" s="1">
        <v>5502.03</v>
      </c>
      <c r="J477" s="44"/>
      <c r="L477" s="1"/>
      <c r="M477" s="1"/>
      <c r="P477" s="7"/>
      <c r="Q477" s="1"/>
      <c r="R477" s="1"/>
    </row>
    <row r="478" spans="1:18" x14ac:dyDescent="0.25">
      <c r="A478" s="7">
        <v>44291.791666666664</v>
      </c>
      <c r="B478" s="1" t="s">
        <v>73</v>
      </c>
      <c r="C478" s="1">
        <v>12625.6</v>
      </c>
      <c r="D478" s="1">
        <v>2204.9499999999998</v>
      </c>
      <c r="F478" s="7">
        <v>44291.791666666664</v>
      </c>
      <c r="G478" s="1" t="s">
        <v>73</v>
      </c>
      <c r="H478" s="1">
        <v>15432.29</v>
      </c>
      <c r="I478" s="1">
        <v>1967.93</v>
      </c>
      <c r="J478" s="44"/>
      <c r="L478" s="1"/>
      <c r="M478" s="1"/>
      <c r="P478" s="7"/>
      <c r="Q478" s="1"/>
      <c r="R478" s="1"/>
    </row>
    <row r="479" spans="1:18" x14ac:dyDescent="0.25">
      <c r="A479" s="7">
        <v>44291.791666666664</v>
      </c>
      <c r="B479" s="1" t="s">
        <v>68</v>
      </c>
      <c r="C479" s="1">
        <v>15152.9</v>
      </c>
      <c r="D479" s="1">
        <v>6674.48</v>
      </c>
      <c r="F479" s="7">
        <v>44291.791666666664</v>
      </c>
      <c r="G479" s="1" t="s">
        <v>68</v>
      </c>
      <c r="H479" s="1">
        <v>18551.259999999998</v>
      </c>
      <c r="I479" s="1">
        <v>5234.88</v>
      </c>
      <c r="J479" s="44"/>
      <c r="L479" s="1"/>
      <c r="M479" s="1"/>
      <c r="P479" s="7"/>
      <c r="Q479" s="1"/>
      <c r="R479" s="1"/>
    </row>
    <row r="480" spans="1:18" x14ac:dyDescent="0.25">
      <c r="A480" s="7">
        <v>44291.791666666664</v>
      </c>
      <c r="B480" s="1" t="s">
        <v>77</v>
      </c>
      <c r="C480" s="1">
        <v>28136.23</v>
      </c>
      <c r="D480" s="1">
        <v>9583.93</v>
      </c>
      <c r="F480" s="7">
        <v>44291.791666666664</v>
      </c>
      <c r="G480" s="1" t="s">
        <v>77</v>
      </c>
      <c r="H480" s="1">
        <v>20175.34</v>
      </c>
      <c r="I480" s="1">
        <v>5343.14</v>
      </c>
      <c r="J480" s="44"/>
      <c r="L480" s="1"/>
      <c r="M480" s="1"/>
      <c r="P480" s="7"/>
      <c r="Q480" s="1"/>
      <c r="R480" s="1"/>
    </row>
    <row r="481" spans="1:18" x14ac:dyDescent="0.25">
      <c r="A481" s="7">
        <v>44291.791666666664</v>
      </c>
      <c r="B481" s="1" t="s">
        <v>71</v>
      </c>
      <c r="C481" s="1">
        <v>15888.15</v>
      </c>
      <c r="D481" s="1">
        <v>6107.85</v>
      </c>
      <c r="F481" s="7">
        <v>44291.791666666664</v>
      </c>
      <c r="G481" s="1" t="s">
        <v>71</v>
      </c>
      <c r="H481" s="1">
        <v>20104.740000000002</v>
      </c>
      <c r="I481" s="1">
        <v>4817.6499999999996</v>
      </c>
      <c r="J481" s="44"/>
      <c r="L481" s="1"/>
      <c r="M481" s="1"/>
      <c r="P481" s="7"/>
      <c r="Q481" s="1"/>
      <c r="R481" s="1"/>
    </row>
    <row r="482" spans="1:18" x14ac:dyDescent="0.25">
      <c r="A482" s="7">
        <v>44291.791666666664</v>
      </c>
      <c r="B482" s="1" t="s">
        <v>70</v>
      </c>
      <c r="C482" s="1">
        <v>13458.15</v>
      </c>
      <c r="D482" s="1">
        <v>6213.78</v>
      </c>
      <c r="F482" s="7">
        <v>44291.791666666664</v>
      </c>
      <c r="G482" s="1" t="s">
        <v>70</v>
      </c>
      <c r="H482" s="1">
        <v>13684.27</v>
      </c>
      <c r="I482" s="1">
        <v>5133.9799999999996</v>
      </c>
      <c r="J482" s="44"/>
      <c r="L482" s="1"/>
      <c r="M482" s="1"/>
      <c r="P482" s="7"/>
      <c r="Q482" s="1"/>
      <c r="R482" s="1"/>
    </row>
    <row r="483" spans="1:18" x14ac:dyDescent="0.25">
      <c r="A483" s="7">
        <v>44291.791666666664</v>
      </c>
      <c r="B483" s="1" t="s">
        <v>78</v>
      </c>
      <c r="C483" s="1">
        <v>5140.8599999999997</v>
      </c>
      <c r="D483" s="1">
        <v>3232.4</v>
      </c>
      <c r="F483" s="7">
        <v>44291.791666666664</v>
      </c>
      <c r="G483" s="1" t="s">
        <v>78</v>
      </c>
      <c r="H483" s="1">
        <v>3523.89</v>
      </c>
      <c r="I483" s="1">
        <v>1907.71</v>
      </c>
      <c r="J483" s="44"/>
      <c r="L483" s="1"/>
      <c r="M483" s="1"/>
      <c r="P483" s="7"/>
      <c r="Q483" s="1"/>
      <c r="R483" s="1"/>
    </row>
    <row r="484" spans="1:18" x14ac:dyDescent="0.25">
      <c r="A484" s="7">
        <v>44291.791666666664</v>
      </c>
      <c r="B484" s="1" t="s">
        <v>72</v>
      </c>
      <c r="C484" s="1">
        <v>22175.199000000001</v>
      </c>
      <c r="D484" s="1">
        <v>13385.44</v>
      </c>
      <c r="F484" s="7">
        <v>44291.791666666664</v>
      </c>
      <c r="G484" s="1" t="s">
        <v>72</v>
      </c>
      <c r="H484" s="1">
        <v>15991.51</v>
      </c>
      <c r="I484" s="1">
        <v>9196.02</v>
      </c>
      <c r="J484" s="44"/>
      <c r="L484" s="1"/>
      <c r="M484" s="1"/>
      <c r="P484" s="7"/>
      <c r="Q484" s="1"/>
      <c r="R484" s="1"/>
    </row>
    <row r="485" spans="1:18" x14ac:dyDescent="0.25">
      <c r="A485" s="7">
        <v>44291.791666666664</v>
      </c>
      <c r="B485" s="1" t="s">
        <v>69</v>
      </c>
      <c r="C485" s="1">
        <v>11990.99</v>
      </c>
      <c r="D485" s="1">
        <v>9908.9699999999993</v>
      </c>
      <c r="F485" s="7">
        <v>44291.791666666664</v>
      </c>
      <c r="G485" s="1" t="s">
        <v>69</v>
      </c>
      <c r="H485" s="1">
        <v>7464.58</v>
      </c>
      <c r="I485" s="1">
        <v>6193.08</v>
      </c>
      <c r="J485" s="44"/>
      <c r="L485" s="1"/>
      <c r="M485" s="1"/>
      <c r="P485" s="7"/>
      <c r="Q485" s="1"/>
      <c r="R485" s="1"/>
    </row>
    <row r="486" spans="1:18" x14ac:dyDescent="0.25">
      <c r="A486" s="7">
        <v>44291.833333333336</v>
      </c>
      <c r="B486" s="1" t="s">
        <v>75</v>
      </c>
      <c r="C486" s="1">
        <v>1760.34</v>
      </c>
      <c r="D486" s="1">
        <v>1003.58</v>
      </c>
      <c r="F486" s="7">
        <v>44291.833333333336</v>
      </c>
      <c r="G486" s="1" t="s">
        <v>75</v>
      </c>
      <c r="H486" s="1">
        <v>1708.73</v>
      </c>
      <c r="I486" s="1">
        <v>602.96</v>
      </c>
      <c r="J486" s="44"/>
      <c r="L486" s="1"/>
      <c r="M486" s="1"/>
      <c r="P486" s="7"/>
      <c r="Q486" s="1"/>
      <c r="R486" s="1"/>
    </row>
    <row r="487" spans="1:18" x14ac:dyDescent="0.25">
      <c r="A487" s="7">
        <v>44291.833333333336</v>
      </c>
      <c r="B487" s="1" t="s">
        <v>74</v>
      </c>
      <c r="C487" s="1">
        <v>12307.68</v>
      </c>
      <c r="D487" s="1">
        <v>3372.63</v>
      </c>
      <c r="F487" s="7">
        <v>44291.833333333336</v>
      </c>
      <c r="G487" s="1" t="s">
        <v>74</v>
      </c>
      <c r="H487" s="1">
        <v>14724.08</v>
      </c>
      <c r="I487" s="1">
        <v>2546.38</v>
      </c>
      <c r="J487" s="44"/>
      <c r="L487" s="1"/>
      <c r="M487" s="1"/>
      <c r="P487" s="7"/>
      <c r="Q487" s="1"/>
      <c r="R487" s="1"/>
    </row>
    <row r="488" spans="1:18" x14ac:dyDescent="0.25">
      <c r="A488" s="7">
        <v>44291.833333333336</v>
      </c>
      <c r="B488" s="1" t="s">
        <v>78</v>
      </c>
      <c r="C488" s="1">
        <v>4118.4799999999996</v>
      </c>
      <c r="D488" s="1">
        <v>2683.12</v>
      </c>
      <c r="F488" s="7">
        <v>44291.833333333336</v>
      </c>
      <c r="G488" s="1" t="s">
        <v>78</v>
      </c>
      <c r="H488" s="1">
        <v>3032.83</v>
      </c>
      <c r="I488" s="1">
        <v>1610.78</v>
      </c>
      <c r="J488" s="44"/>
      <c r="L488" s="1"/>
      <c r="M488" s="1"/>
      <c r="P488" s="7"/>
      <c r="Q488" s="1"/>
      <c r="R488" s="1"/>
    </row>
    <row r="489" spans="1:18" x14ac:dyDescent="0.25">
      <c r="A489" s="7">
        <v>44291.833333333336</v>
      </c>
      <c r="B489" s="1" t="s">
        <v>77</v>
      </c>
      <c r="C489" s="1">
        <v>21973.868999999999</v>
      </c>
      <c r="D489" s="1">
        <v>7555.08</v>
      </c>
      <c r="F489" s="7">
        <v>44291.833333333336</v>
      </c>
      <c r="G489" s="1" t="s">
        <v>77</v>
      </c>
      <c r="H489" s="1">
        <v>17317.07</v>
      </c>
      <c r="I489" s="1">
        <v>4580.3599999999997</v>
      </c>
      <c r="J489" s="44"/>
      <c r="L489" s="1"/>
      <c r="M489" s="1"/>
      <c r="P489" s="7"/>
      <c r="Q489" s="1"/>
      <c r="R489" s="1"/>
    </row>
    <row r="490" spans="1:18" x14ac:dyDescent="0.25">
      <c r="A490" s="7">
        <v>44291.833333333336</v>
      </c>
      <c r="B490" s="1" t="s">
        <v>71</v>
      </c>
      <c r="C490" s="1">
        <v>13076.15</v>
      </c>
      <c r="D490" s="1">
        <v>5347.17</v>
      </c>
      <c r="F490" s="7">
        <v>44291.833333333336</v>
      </c>
      <c r="G490" s="1" t="s">
        <v>71</v>
      </c>
      <c r="H490" s="1">
        <v>16424.98</v>
      </c>
      <c r="I490" s="1">
        <v>4014.63</v>
      </c>
      <c r="J490" s="44"/>
      <c r="L490" s="1"/>
      <c r="M490" s="1"/>
      <c r="P490" s="7"/>
      <c r="Q490" s="1"/>
      <c r="R490" s="1"/>
    </row>
    <row r="491" spans="1:18" x14ac:dyDescent="0.25">
      <c r="A491" s="7">
        <v>44291.833333333336</v>
      </c>
      <c r="B491" s="1" t="s">
        <v>70</v>
      </c>
      <c r="C491" s="1">
        <v>10413.99</v>
      </c>
      <c r="D491" s="1">
        <v>4954.13</v>
      </c>
      <c r="F491" s="7">
        <v>44291.833333333336</v>
      </c>
      <c r="G491" s="1" t="s">
        <v>70</v>
      </c>
      <c r="H491" s="1">
        <v>10467.14</v>
      </c>
      <c r="I491" s="1">
        <v>3975.84</v>
      </c>
      <c r="J491" s="44"/>
      <c r="L491" s="1"/>
      <c r="M491" s="1"/>
      <c r="P491" s="7"/>
      <c r="Q491" s="1"/>
      <c r="R491" s="1"/>
    </row>
    <row r="492" spans="1:18" x14ac:dyDescent="0.25">
      <c r="A492" s="7">
        <v>44291.833333333336</v>
      </c>
      <c r="B492" s="1" t="s">
        <v>72</v>
      </c>
      <c r="C492" s="1">
        <v>17175.34</v>
      </c>
      <c r="D492" s="1">
        <v>10981.21</v>
      </c>
      <c r="F492" s="7">
        <v>44291.833333333336</v>
      </c>
      <c r="G492" s="1" t="s">
        <v>72</v>
      </c>
      <c r="H492" s="1">
        <v>13155.06</v>
      </c>
      <c r="I492" s="1">
        <v>7720.47</v>
      </c>
      <c r="J492" s="44"/>
      <c r="L492" s="1"/>
      <c r="M492" s="1"/>
      <c r="P492" s="7"/>
      <c r="Q492" s="1"/>
      <c r="R492" s="1"/>
    </row>
    <row r="493" spans="1:18" x14ac:dyDescent="0.25">
      <c r="A493" s="7">
        <v>44291.833333333336</v>
      </c>
      <c r="B493" s="1" t="s">
        <v>76</v>
      </c>
      <c r="C493" s="1">
        <v>18286.849999999999</v>
      </c>
      <c r="D493" s="1">
        <v>5148.5200000000004</v>
      </c>
      <c r="F493" s="7">
        <v>44291.833333333336</v>
      </c>
      <c r="G493" s="1" t="s">
        <v>76</v>
      </c>
      <c r="H493" s="1">
        <v>22651.460999999999</v>
      </c>
      <c r="I493" s="1">
        <v>4490.63</v>
      </c>
      <c r="J493" s="44"/>
      <c r="L493" s="1"/>
      <c r="M493" s="1"/>
      <c r="P493" s="7"/>
      <c r="Q493" s="1"/>
      <c r="R493" s="1"/>
    </row>
    <row r="494" spans="1:18" x14ac:dyDescent="0.25">
      <c r="A494" s="7">
        <v>44291.833333333336</v>
      </c>
      <c r="B494" s="1" t="s">
        <v>73</v>
      </c>
      <c r="C494" s="1">
        <v>10554.72</v>
      </c>
      <c r="D494" s="1">
        <v>1936.92</v>
      </c>
      <c r="F494" s="7">
        <v>44291.833333333336</v>
      </c>
      <c r="G494" s="1" t="s">
        <v>73</v>
      </c>
      <c r="H494" s="1">
        <v>12419</v>
      </c>
      <c r="I494" s="1">
        <v>1602.74</v>
      </c>
      <c r="J494" s="44"/>
      <c r="L494" s="1"/>
      <c r="M494" s="1"/>
      <c r="P494" s="7"/>
      <c r="Q494" s="1"/>
      <c r="R494" s="1"/>
    </row>
    <row r="495" spans="1:18" x14ac:dyDescent="0.25">
      <c r="A495" s="7">
        <v>44291.833333333336</v>
      </c>
      <c r="B495" s="1" t="s">
        <v>68</v>
      </c>
      <c r="C495" s="1">
        <v>12662.35</v>
      </c>
      <c r="D495" s="1">
        <v>5919.95</v>
      </c>
      <c r="F495" s="7">
        <v>44291.833333333336</v>
      </c>
      <c r="G495" s="1" t="s">
        <v>68</v>
      </c>
      <c r="H495" s="1">
        <v>15623.46</v>
      </c>
      <c r="I495" s="1">
        <v>4554.4799999999996</v>
      </c>
      <c r="J495" s="44"/>
      <c r="L495" s="1"/>
      <c r="M495" s="1"/>
      <c r="P495" s="7"/>
      <c r="Q495" s="1"/>
      <c r="R495" s="1"/>
    </row>
    <row r="496" spans="1:18" x14ac:dyDescent="0.25">
      <c r="A496" s="7">
        <v>44291.833333333336</v>
      </c>
      <c r="B496" s="1" t="s">
        <v>69</v>
      </c>
      <c r="C496" s="1">
        <v>9551.93</v>
      </c>
      <c r="D496" s="1">
        <v>8563.81</v>
      </c>
      <c r="F496" s="7">
        <v>44291.833333333336</v>
      </c>
      <c r="G496" s="1" t="s">
        <v>69</v>
      </c>
      <c r="H496" s="1">
        <v>6523.46</v>
      </c>
      <c r="I496" s="1">
        <v>5530.25</v>
      </c>
      <c r="J496" s="44"/>
      <c r="L496" s="1"/>
      <c r="M496" s="1"/>
      <c r="P496" s="7"/>
      <c r="Q496" s="1"/>
      <c r="R496" s="1"/>
    </row>
    <row r="497" spans="1:18" x14ac:dyDescent="0.25">
      <c r="A497" s="7">
        <v>44291.875</v>
      </c>
      <c r="B497" s="1" t="s">
        <v>75</v>
      </c>
      <c r="C497" s="1">
        <v>1622.63</v>
      </c>
      <c r="D497" s="1">
        <v>945.03</v>
      </c>
      <c r="F497" s="7">
        <v>44291.875</v>
      </c>
      <c r="G497" s="1" t="s">
        <v>75</v>
      </c>
      <c r="H497" s="1">
        <v>1583.12</v>
      </c>
      <c r="I497" s="1">
        <v>597.57000000000005</v>
      </c>
      <c r="J497" s="44"/>
      <c r="L497" s="1"/>
      <c r="M497" s="1"/>
      <c r="P497" s="7"/>
      <c r="Q497" s="1"/>
      <c r="R497" s="1"/>
    </row>
    <row r="498" spans="1:18" x14ac:dyDescent="0.25">
      <c r="A498" s="7">
        <v>44291.875</v>
      </c>
      <c r="B498" s="1" t="s">
        <v>74</v>
      </c>
      <c r="C498" s="1">
        <v>10694.82</v>
      </c>
      <c r="D498" s="1">
        <v>2957.95</v>
      </c>
      <c r="F498" s="7">
        <v>44291.875</v>
      </c>
      <c r="G498" s="1" t="s">
        <v>74</v>
      </c>
      <c r="H498" s="1">
        <v>12518.46</v>
      </c>
      <c r="I498" s="1">
        <v>2257.0300000000002</v>
      </c>
      <c r="J498" s="44"/>
      <c r="L498" s="1"/>
      <c r="M498" s="1"/>
      <c r="P498" s="7"/>
      <c r="Q498" s="1"/>
      <c r="R498" s="1"/>
    </row>
    <row r="499" spans="1:18" x14ac:dyDescent="0.25">
      <c r="A499" s="7">
        <v>44291.875</v>
      </c>
      <c r="B499" s="1" t="s">
        <v>77</v>
      </c>
      <c r="C499" s="1">
        <v>19485.490000000002</v>
      </c>
      <c r="D499" s="1">
        <v>6819.31</v>
      </c>
      <c r="F499" s="7">
        <v>44291.875</v>
      </c>
      <c r="G499" s="1" t="s">
        <v>77</v>
      </c>
      <c r="H499" s="1">
        <v>16099.19</v>
      </c>
      <c r="I499" s="1">
        <v>4403.21</v>
      </c>
      <c r="J499" s="44"/>
      <c r="L499" s="1"/>
      <c r="M499" s="1"/>
      <c r="P499" s="7"/>
      <c r="Q499" s="1"/>
      <c r="R499" s="1"/>
    </row>
    <row r="500" spans="1:18" x14ac:dyDescent="0.25">
      <c r="A500" s="7">
        <v>44291.875</v>
      </c>
      <c r="B500" s="1" t="s">
        <v>69</v>
      </c>
      <c r="C500" s="1">
        <v>8446.94</v>
      </c>
      <c r="D500" s="1">
        <v>7498.42</v>
      </c>
      <c r="F500" s="7">
        <v>44291.875</v>
      </c>
      <c r="G500" s="1" t="s">
        <v>69</v>
      </c>
      <c r="H500" s="1">
        <v>6220.77</v>
      </c>
      <c r="I500" s="1">
        <v>5094.95</v>
      </c>
      <c r="J500" s="44"/>
      <c r="L500" s="1"/>
      <c r="M500" s="1"/>
      <c r="P500" s="7"/>
      <c r="Q500" s="1"/>
      <c r="R500" s="1"/>
    </row>
    <row r="501" spans="1:18" x14ac:dyDescent="0.25">
      <c r="A501" s="7">
        <v>44291.875</v>
      </c>
      <c r="B501" s="1" t="s">
        <v>70</v>
      </c>
      <c r="C501" s="1">
        <v>9368.17</v>
      </c>
      <c r="D501" s="1">
        <v>4553.95</v>
      </c>
      <c r="F501" s="7">
        <v>44291.875</v>
      </c>
      <c r="G501" s="1" t="s">
        <v>70</v>
      </c>
      <c r="H501" s="1">
        <v>9136.2900000000009</v>
      </c>
      <c r="I501" s="1">
        <v>3595</v>
      </c>
      <c r="J501" s="44"/>
      <c r="L501" s="1"/>
      <c r="M501" s="1"/>
      <c r="P501" s="7"/>
      <c r="Q501" s="1"/>
      <c r="R501" s="1"/>
    </row>
    <row r="502" spans="1:18" x14ac:dyDescent="0.25">
      <c r="A502" s="7">
        <v>44291.875</v>
      </c>
      <c r="B502" s="1" t="s">
        <v>78</v>
      </c>
      <c r="C502" s="1">
        <v>3978.72</v>
      </c>
      <c r="D502" s="1">
        <v>2482.46</v>
      </c>
      <c r="F502" s="7">
        <v>44291.875</v>
      </c>
      <c r="G502" s="1" t="s">
        <v>78</v>
      </c>
      <c r="H502" s="1">
        <v>3071.91</v>
      </c>
      <c r="I502" s="1">
        <v>1572.57</v>
      </c>
      <c r="J502" s="44"/>
      <c r="L502" s="1"/>
      <c r="M502" s="1"/>
      <c r="P502" s="7"/>
      <c r="Q502" s="1"/>
      <c r="R502" s="1"/>
    </row>
    <row r="503" spans="1:18" x14ac:dyDescent="0.25">
      <c r="A503" s="7">
        <v>44291.875</v>
      </c>
      <c r="B503" s="1" t="s">
        <v>76</v>
      </c>
      <c r="C503" s="1">
        <v>16144.8</v>
      </c>
      <c r="D503" s="1">
        <v>4687.09</v>
      </c>
      <c r="F503" s="7">
        <v>44291.875</v>
      </c>
      <c r="G503" s="1" t="s">
        <v>76</v>
      </c>
      <c r="H503" s="1">
        <v>19571.539000000001</v>
      </c>
      <c r="I503" s="1">
        <v>4073.05</v>
      </c>
      <c r="J503" s="44"/>
      <c r="L503" s="1"/>
      <c r="M503" s="1"/>
      <c r="P503" s="7"/>
      <c r="Q503" s="1"/>
      <c r="R503" s="1"/>
    </row>
    <row r="504" spans="1:18" x14ac:dyDescent="0.25">
      <c r="A504" s="7">
        <v>44291.875</v>
      </c>
      <c r="B504" s="1" t="s">
        <v>73</v>
      </c>
      <c r="C504" s="1">
        <v>9388.36</v>
      </c>
      <c r="D504" s="1">
        <v>1716.96</v>
      </c>
      <c r="F504" s="7">
        <v>44291.875</v>
      </c>
      <c r="G504" s="1" t="s">
        <v>73</v>
      </c>
      <c r="H504" s="1">
        <v>10654.42</v>
      </c>
      <c r="I504" s="1">
        <v>1444.07</v>
      </c>
      <c r="J504" s="44"/>
      <c r="L504" s="1"/>
      <c r="M504" s="1"/>
      <c r="P504" s="7"/>
      <c r="Q504" s="1"/>
      <c r="R504" s="1"/>
    </row>
    <row r="505" spans="1:18" x14ac:dyDescent="0.25">
      <c r="A505" s="7">
        <v>44291.875</v>
      </c>
      <c r="B505" s="1" t="s">
        <v>72</v>
      </c>
      <c r="C505" s="1">
        <v>15524.99</v>
      </c>
      <c r="D505" s="1">
        <v>9714.9</v>
      </c>
      <c r="F505" s="7">
        <v>44291.875</v>
      </c>
      <c r="G505" s="1" t="s">
        <v>72</v>
      </c>
      <c r="H505" s="1">
        <v>12178.12</v>
      </c>
      <c r="I505" s="1">
        <v>7147.09</v>
      </c>
      <c r="J505" s="44"/>
      <c r="L505" s="1"/>
      <c r="M505" s="1"/>
      <c r="P505" s="7"/>
      <c r="Q505" s="1"/>
      <c r="R505" s="1"/>
    </row>
    <row r="506" spans="1:18" x14ac:dyDescent="0.25">
      <c r="A506" s="7">
        <v>44291.875</v>
      </c>
      <c r="B506" s="1" t="s">
        <v>68</v>
      </c>
      <c r="C506" s="1">
        <v>11212.66</v>
      </c>
      <c r="D506" s="1">
        <v>5130.8</v>
      </c>
      <c r="F506" s="7">
        <v>44291.875</v>
      </c>
      <c r="G506" s="1" t="s">
        <v>68</v>
      </c>
      <c r="H506" s="1">
        <v>13714.71</v>
      </c>
      <c r="I506" s="1">
        <v>4028.8</v>
      </c>
      <c r="J506" s="44"/>
    </row>
    <row r="507" spans="1:18" x14ac:dyDescent="0.25">
      <c r="A507" s="7">
        <v>44291.875</v>
      </c>
      <c r="B507" s="1" t="s">
        <v>71</v>
      </c>
      <c r="C507" s="1">
        <v>11041.11</v>
      </c>
      <c r="D507" s="1">
        <v>4609.68</v>
      </c>
      <c r="F507" s="7">
        <v>44291.875</v>
      </c>
      <c r="G507" s="1" t="s">
        <v>71</v>
      </c>
      <c r="H507" s="1">
        <v>13698.57</v>
      </c>
      <c r="I507" s="1">
        <v>3426</v>
      </c>
      <c r="J507" s="44"/>
    </row>
    <row r="508" spans="1:18" x14ac:dyDescent="0.25">
      <c r="A508" s="7">
        <v>44291.916666666664</v>
      </c>
      <c r="B508" s="1" t="s">
        <v>78</v>
      </c>
      <c r="C508" s="1">
        <v>3258.58</v>
      </c>
      <c r="D508" s="1">
        <v>2159.33</v>
      </c>
      <c r="F508" s="7">
        <v>44291.916666666664</v>
      </c>
      <c r="G508" s="1" t="s">
        <v>78</v>
      </c>
      <c r="H508" s="1">
        <v>2690.55</v>
      </c>
      <c r="I508" s="1">
        <v>1454.98</v>
      </c>
      <c r="J508" s="44"/>
    </row>
    <row r="509" spans="1:18" x14ac:dyDescent="0.25">
      <c r="A509" s="7">
        <v>44291.916666666664</v>
      </c>
      <c r="B509" s="1" t="s">
        <v>75</v>
      </c>
      <c r="C509" s="1">
        <v>1387.73</v>
      </c>
      <c r="D509" s="1">
        <v>916.87</v>
      </c>
      <c r="F509" s="7">
        <v>44291.916666666664</v>
      </c>
      <c r="G509" s="1" t="s">
        <v>75</v>
      </c>
      <c r="H509" s="1">
        <v>1368.23</v>
      </c>
      <c r="I509" s="1">
        <v>583.98</v>
      </c>
      <c r="J509" s="44"/>
    </row>
    <row r="510" spans="1:18" x14ac:dyDescent="0.25">
      <c r="A510" s="7">
        <v>44291.916666666664</v>
      </c>
      <c r="B510" s="1" t="s">
        <v>74</v>
      </c>
      <c r="C510" s="1">
        <v>6978.09</v>
      </c>
      <c r="D510" s="1">
        <v>2253.38</v>
      </c>
      <c r="F510" s="7">
        <v>44291.916666666664</v>
      </c>
      <c r="G510" s="1" t="s">
        <v>74</v>
      </c>
      <c r="H510" s="1">
        <v>8064.4</v>
      </c>
      <c r="I510" s="1">
        <v>1736.66</v>
      </c>
      <c r="J510" s="44"/>
    </row>
    <row r="511" spans="1:18" x14ac:dyDescent="0.25">
      <c r="A511" s="7">
        <v>44291.916666666664</v>
      </c>
      <c r="B511" s="1" t="s">
        <v>73</v>
      </c>
      <c r="C511" s="1">
        <v>6336.68</v>
      </c>
      <c r="D511" s="1">
        <v>1311.85</v>
      </c>
      <c r="F511" s="7">
        <v>44291.916666666664</v>
      </c>
      <c r="G511" s="1" t="s">
        <v>73</v>
      </c>
      <c r="H511" s="1">
        <v>7516.34</v>
      </c>
      <c r="I511" s="1">
        <v>1184.8</v>
      </c>
      <c r="J511" s="44"/>
    </row>
    <row r="512" spans="1:18" x14ac:dyDescent="0.25">
      <c r="A512" s="7">
        <v>44291.916666666664</v>
      </c>
      <c r="B512" s="1" t="s">
        <v>68</v>
      </c>
      <c r="C512" s="1">
        <v>7276.76</v>
      </c>
      <c r="D512" s="1">
        <v>3741.7</v>
      </c>
      <c r="F512" s="7">
        <v>44291.916666666664</v>
      </c>
      <c r="G512" s="1" t="s">
        <v>68</v>
      </c>
      <c r="H512" s="1">
        <v>9095.0300000000007</v>
      </c>
      <c r="I512" s="1">
        <v>2979.51</v>
      </c>
      <c r="J512" s="44"/>
    </row>
    <row r="513" spans="1:10" x14ac:dyDescent="0.25">
      <c r="A513" s="7">
        <v>44291.916666666664</v>
      </c>
      <c r="B513" s="1" t="s">
        <v>77</v>
      </c>
      <c r="C513" s="1">
        <v>14357.88</v>
      </c>
      <c r="D513" s="1">
        <v>5229.2700000000004</v>
      </c>
      <c r="F513" s="7">
        <v>44291.916666666664</v>
      </c>
      <c r="G513" s="1" t="s">
        <v>77</v>
      </c>
      <c r="H513" s="1">
        <v>12791.78</v>
      </c>
      <c r="I513" s="1">
        <v>3686.85</v>
      </c>
      <c r="J513" s="44"/>
    </row>
    <row r="514" spans="1:10" x14ac:dyDescent="0.25">
      <c r="A514" s="7">
        <v>44291.916666666664</v>
      </c>
      <c r="B514" s="1" t="s">
        <v>71</v>
      </c>
      <c r="C514" s="1">
        <v>6607.75</v>
      </c>
      <c r="D514" s="1">
        <v>3107.4</v>
      </c>
      <c r="F514" s="7">
        <v>44291.916666666664</v>
      </c>
      <c r="G514" s="1" t="s">
        <v>71</v>
      </c>
      <c r="H514" s="1">
        <v>8500.1299999999992</v>
      </c>
      <c r="I514" s="1">
        <v>2370.67</v>
      </c>
      <c r="J514" s="44"/>
    </row>
    <row r="515" spans="1:10" x14ac:dyDescent="0.25">
      <c r="A515" s="7">
        <v>44291.916666666664</v>
      </c>
      <c r="B515" s="1" t="s">
        <v>69</v>
      </c>
      <c r="C515" s="1">
        <v>7556.63</v>
      </c>
      <c r="D515" s="1">
        <v>7045.61</v>
      </c>
      <c r="F515" s="7">
        <v>44291.916666666664</v>
      </c>
      <c r="G515" s="1" t="s">
        <v>69</v>
      </c>
      <c r="H515" s="1">
        <v>6082.03</v>
      </c>
      <c r="I515" s="1">
        <v>5105.3100000000004</v>
      </c>
      <c r="J515" s="44"/>
    </row>
    <row r="516" spans="1:10" x14ac:dyDescent="0.25">
      <c r="A516" s="7">
        <v>44291.916666666664</v>
      </c>
      <c r="B516" s="1" t="s">
        <v>70</v>
      </c>
      <c r="C516" s="1">
        <v>7057.36</v>
      </c>
      <c r="D516" s="1">
        <v>3614.92</v>
      </c>
      <c r="F516" s="7">
        <v>44291.916666666664</v>
      </c>
      <c r="G516" s="1" t="s">
        <v>70</v>
      </c>
      <c r="H516" s="1">
        <v>7293.95</v>
      </c>
      <c r="I516" s="1">
        <v>3011.73</v>
      </c>
      <c r="J516" s="44"/>
    </row>
    <row r="517" spans="1:10" x14ac:dyDescent="0.25">
      <c r="A517" s="7">
        <v>44291.916666666664</v>
      </c>
      <c r="B517" s="1" t="s">
        <v>76</v>
      </c>
      <c r="C517" s="1">
        <v>11445.78</v>
      </c>
      <c r="D517" s="1">
        <v>3467.26</v>
      </c>
      <c r="F517" s="7">
        <v>44291.916666666664</v>
      </c>
      <c r="G517" s="1" t="s">
        <v>76</v>
      </c>
      <c r="H517" s="1">
        <v>13650.54</v>
      </c>
      <c r="I517" s="1">
        <v>3104.44</v>
      </c>
      <c r="J517" s="44"/>
    </row>
    <row r="518" spans="1:10" x14ac:dyDescent="0.25">
      <c r="A518" s="7">
        <v>44291.916666666664</v>
      </c>
      <c r="B518" s="1" t="s">
        <v>72</v>
      </c>
      <c r="C518" s="1">
        <v>13612.18</v>
      </c>
      <c r="D518" s="1">
        <v>8921.16</v>
      </c>
      <c r="F518" s="7">
        <v>44291.916666666664</v>
      </c>
      <c r="G518" s="1" t="s">
        <v>72</v>
      </c>
      <c r="H518" s="1">
        <v>11203.91</v>
      </c>
      <c r="I518" s="1">
        <v>6837.38</v>
      </c>
      <c r="J518" s="44"/>
    </row>
    <row r="519" spans="1:10" x14ac:dyDescent="0.25">
      <c r="A519" s="7">
        <v>44291.958333333336</v>
      </c>
      <c r="B519" s="1" t="s">
        <v>74</v>
      </c>
      <c r="C519" s="1">
        <v>2797.84</v>
      </c>
      <c r="D519" s="1">
        <v>1099.92</v>
      </c>
      <c r="F519" s="7">
        <v>44291.958333333336</v>
      </c>
      <c r="G519" s="1" t="s">
        <v>74</v>
      </c>
      <c r="H519" s="1">
        <v>3196.95</v>
      </c>
      <c r="I519" s="1">
        <v>853.76</v>
      </c>
      <c r="J519" s="44"/>
    </row>
    <row r="520" spans="1:10" x14ac:dyDescent="0.25">
      <c r="A520" s="7">
        <v>44291.958333333336</v>
      </c>
      <c r="B520" s="1" t="s">
        <v>78</v>
      </c>
      <c r="C520" s="1">
        <v>1710.03</v>
      </c>
      <c r="D520" s="1">
        <v>1255.58</v>
      </c>
      <c r="F520" s="7">
        <v>44291.958333333336</v>
      </c>
      <c r="G520" s="1" t="s">
        <v>78</v>
      </c>
      <c r="H520" s="1">
        <v>1539.51</v>
      </c>
      <c r="I520" s="1">
        <v>875.87</v>
      </c>
      <c r="J520" s="44"/>
    </row>
    <row r="521" spans="1:10" x14ac:dyDescent="0.25">
      <c r="A521" s="7">
        <v>44291.958333333336</v>
      </c>
      <c r="B521" s="1" t="s">
        <v>75</v>
      </c>
      <c r="C521" s="1">
        <v>804.74</v>
      </c>
      <c r="D521" s="1">
        <v>621.5</v>
      </c>
      <c r="F521" s="7">
        <v>44291.958333333336</v>
      </c>
      <c r="G521" s="1" t="s">
        <v>75</v>
      </c>
      <c r="H521" s="1">
        <v>805.43</v>
      </c>
      <c r="I521" s="1">
        <v>408.34</v>
      </c>
      <c r="J521" s="44"/>
    </row>
    <row r="522" spans="1:10" x14ac:dyDescent="0.25">
      <c r="A522" s="7">
        <v>44291.958333333336</v>
      </c>
      <c r="B522" s="1" t="s">
        <v>76</v>
      </c>
      <c r="C522" s="1">
        <v>5138.09</v>
      </c>
      <c r="D522" s="1">
        <v>1742.34</v>
      </c>
      <c r="F522" s="7">
        <v>44291.958333333336</v>
      </c>
      <c r="G522" s="1" t="s">
        <v>76</v>
      </c>
      <c r="H522" s="1">
        <v>5810.26</v>
      </c>
      <c r="I522" s="1">
        <v>1491.47</v>
      </c>
      <c r="J522" s="44"/>
    </row>
    <row r="523" spans="1:10" x14ac:dyDescent="0.25">
      <c r="A523" s="7">
        <v>44291.958333333336</v>
      </c>
      <c r="B523" s="1" t="s">
        <v>73</v>
      </c>
      <c r="C523" s="1">
        <v>2532.86</v>
      </c>
      <c r="D523" s="1">
        <v>648.4</v>
      </c>
      <c r="F523" s="7">
        <v>44291.958333333336</v>
      </c>
      <c r="G523" s="1" t="s">
        <v>73</v>
      </c>
      <c r="H523" s="1">
        <v>3078.48</v>
      </c>
      <c r="I523" s="1">
        <v>560.86</v>
      </c>
      <c r="J523" s="44"/>
    </row>
    <row r="524" spans="1:10" x14ac:dyDescent="0.25">
      <c r="A524" s="7">
        <v>44291.958333333336</v>
      </c>
      <c r="B524" s="1" t="s">
        <v>68</v>
      </c>
      <c r="C524" s="1">
        <v>2961.97</v>
      </c>
      <c r="D524" s="1">
        <v>1853.72</v>
      </c>
      <c r="F524" s="7">
        <v>44291.958333333336</v>
      </c>
      <c r="G524" s="1" t="s">
        <v>68</v>
      </c>
      <c r="H524" s="1">
        <v>3691.71</v>
      </c>
      <c r="I524" s="1">
        <v>1464.64</v>
      </c>
      <c r="J524" s="44"/>
    </row>
    <row r="525" spans="1:10" x14ac:dyDescent="0.25">
      <c r="A525" s="7">
        <v>44291.958333333336</v>
      </c>
      <c r="B525" s="1" t="s">
        <v>71</v>
      </c>
      <c r="C525" s="1">
        <v>2506.67</v>
      </c>
      <c r="D525" s="1">
        <v>1438.17</v>
      </c>
      <c r="F525" s="7">
        <v>44291.958333333336</v>
      </c>
      <c r="G525" s="1" t="s">
        <v>71</v>
      </c>
      <c r="H525" s="1">
        <v>3212.09</v>
      </c>
      <c r="I525" s="1">
        <v>1014.56</v>
      </c>
      <c r="J525" s="44"/>
    </row>
    <row r="526" spans="1:10" x14ac:dyDescent="0.25">
      <c r="A526" s="7">
        <v>44291.958333333336</v>
      </c>
      <c r="B526" s="1" t="s">
        <v>72</v>
      </c>
      <c r="C526" s="1">
        <v>7212.25</v>
      </c>
      <c r="D526" s="1">
        <v>5264.13</v>
      </c>
      <c r="F526" s="7">
        <v>44291.958333333336</v>
      </c>
      <c r="G526" s="1" t="s">
        <v>72</v>
      </c>
      <c r="H526" s="1">
        <v>6512.59</v>
      </c>
      <c r="I526" s="1">
        <v>4149.07</v>
      </c>
      <c r="J526" s="44"/>
    </row>
    <row r="527" spans="1:10" x14ac:dyDescent="0.25">
      <c r="A527" s="7">
        <v>44291.958333333336</v>
      </c>
      <c r="B527" s="1" t="s">
        <v>77</v>
      </c>
      <c r="C527" s="1">
        <v>6463.17</v>
      </c>
      <c r="D527" s="1">
        <v>2505.33</v>
      </c>
      <c r="F527" s="7">
        <v>44291.958333333336</v>
      </c>
      <c r="G527" s="1" t="s">
        <v>77</v>
      </c>
      <c r="H527" s="1">
        <v>6412.97</v>
      </c>
      <c r="I527" s="1">
        <v>1914.57</v>
      </c>
      <c r="J527" s="44"/>
    </row>
    <row r="528" spans="1:10" x14ac:dyDescent="0.25">
      <c r="A528" s="7">
        <v>44291.958333333336</v>
      </c>
      <c r="B528" s="1" t="s">
        <v>69</v>
      </c>
      <c r="C528" s="1">
        <v>4190.2700000000004</v>
      </c>
      <c r="D528" s="1">
        <v>4039.05</v>
      </c>
      <c r="F528" s="7">
        <v>44291.958333333336</v>
      </c>
      <c r="G528" s="1" t="s">
        <v>69</v>
      </c>
      <c r="H528" s="1">
        <v>3732.98</v>
      </c>
      <c r="I528" s="1">
        <v>3170.18</v>
      </c>
      <c r="J528" s="44"/>
    </row>
    <row r="529" spans="1:10" x14ac:dyDescent="0.25">
      <c r="A529" s="7">
        <v>44291.958333333336</v>
      </c>
      <c r="B529" s="1" t="s">
        <v>70</v>
      </c>
      <c r="C529" s="1">
        <v>3174.04</v>
      </c>
      <c r="D529" s="1">
        <v>1888.37</v>
      </c>
      <c r="F529" s="7">
        <v>44291.958333333336</v>
      </c>
      <c r="G529" s="1" t="s">
        <v>70</v>
      </c>
      <c r="H529" s="1">
        <v>3492.85</v>
      </c>
      <c r="I529" s="1">
        <v>1587.9</v>
      </c>
      <c r="J529" s="44"/>
    </row>
    <row r="530" spans="1:10" x14ac:dyDescent="0.25">
      <c r="A530" s="7">
        <v>44321</v>
      </c>
      <c r="B530" s="1" t="s">
        <v>75</v>
      </c>
      <c r="C530" s="1">
        <v>405.43</v>
      </c>
      <c r="D530" s="1">
        <v>355.85</v>
      </c>
      <c r="F530" s="7">
        <v>44321</v>
      </c>
      <c r="G530" s="1" t="s">
        <v>75</v>
      </c>
      <c r="H530" s="1">
        <v>436.79</v>
      </c>
      <c r="I530" s="1">
        <v>237.41</v>
      </c>
      <c r="J530" s="44"/>
    </row>
    <row r="531" spans="1:10" x14ac:dyDescent="0.25">
      <c r="A531" s="7">
        <v>44321</v>
      </c>
      <c r="B531" s="1" t="s">
        <v>74</v>
      </c>
      <c r="C531" s="1">
        <v>1051.0999999999999</v>
      </c>
      <c r="D531" s="1">
        <v>468.71</v>
      </c>
      <c r="F531" s="7">
        <v>44321</v>
      </c>
      <c r="G531" s="1" t="s">
        <v>74</v>
      </c>
      <c r="H531" s="1">
        <v>1207.49</v>
      </c>
      <c r="I531" s="1">
        <v>372.19</v>
      </c>
      <c r="J531" s="44"/>
    </row>
    <row r="532" spans="1:10" x14ac:dyDescent="0.25">
      <c r="A532" s="7">
        <v>44321</v>
      </c>
      <c r="B532" s="1" t="s">
        <v>78</v>
      </c>
      <c r="C532" s="1">
        <v>736.57</v>
      </c>
      <c r="D532" s="1">
        <v>606.21</v>
      </c>
      <c r="F532" s="7">
        <v>44321</v>
      </c>
      <c r="G532" s="1" t="s">
        <v>78</v>
      </c>
      <c r="H532" s="1">
        <v>717.28</v>
      </c>
      <c r="I532" s="1">
        <v>404.36</v>
      </c>
      <c r="J532" s="44"/>
    </row>
    <row r="533" spans="1:10" x14ac:dyDescent="0.25">
      <c r="A533" s="7">
        <v>44321</v>
      </c>
      <c r="B533" s="1" t="s">
        <v>76</v>
      </c>
      <c r="C533" s="1">
        <v>2037.88</v>
      </c>
      <c r="D533" s="1">
        <v>750.86</v>
      </c>
      <c r="F533" s="7">
        <v>44321</v>
      </c>
      <c r="G533" s="1" t="s">
        <v>76</v>
      </c>
      <c r="H533" s="1">
        <v>2187.81</v>
      </c>
      <c r="I533" s="1">
        <v>617.15</v>
      </c>
      <c r="J533" s="44"/>
    </row>
    <row r="534" spans="1:10" x14ac:dyDescent="0.25">
      <c r="A534" s="7">
        <v>44321</v>
      </c>
      <c r="B534" s="1" t="s">
        <v>68</v>
      </c>
      <c r="C534" s="1">
        <v>1075.07</v>
      </c>
      <c r="D534" s="1">
        <v>855.37</v>
      </c>
      <c r="F534" s="7">
        <v>44321</v>
      </c>
      <c r="G534" s="1" t="s">
        <v>68</v>
      </c>
      <c r="H534" s="1">
        <v>1389.96</v>
      </c>
      <c r="I534" s="1">
        <v>631.16999999999996</v>
      </c>
      <c r="J534" s="44"/>
    </row>
    <row r="535" spans="1:10" x14ac:dyDescent="0.25">
      <c r="A535" s="7">
        <v>44321</v>
      </c>
      <c r="B535" s="1" t="s">
        <v>71</v>
      </c>
      <c r="C535" s="1">
        <v>886.79</v>
      </c>
      <c r="D535" s="1">
        <v>596.21</v>
      </c>
      <c r="F535" s="7">
        <v>44321</v>
      </c>
      <c r="G535" s="1" t="s">
        <v>71</v>
      </c>
      <c r="H535" s="1">
        <v>1227.51</v>
      </c>
      <c r="I535" s="1">
        <v>432.73</v>
      </c>
      <c r="J535" s="44"/>
    </row>
    <row r="536" spans="1:10" x14ac:dyDescent="0.25">
      <c r="A536" s="7">
        <v>44321</v>
      </c>
      <c r="B536" s="1" t="s">
        <v>69</v>
      </c>
      <c r="C536" s="1">
        <v>1809.01</v>
      </c>
      <c r="D536" s="1">
        <v>1828.03</v>
      </c>
      <c r="F536" s="7">
        <v>44321</v>
      </c>
      <c r="G536" s="1" t="s">
        <v>69</v>
      </c>
      <c r="H536" s="1">
        <v>1776.46</v>
      </c>
      <c r="I536" s="1">
        <v>1458.62</v>
      </c>
      <c r="J536" s="44"/>
    </row>
    <row r="537" spans="1:10" x14ac:dyDescent="0.25">
      <c r="A537" s="7">
        <v>44321</v>
      </c>
      <c r="B537" s="1" t="s">
        <v>70</v>
      </c>
      <c r="C537" s="1">
        <v>1275.56</v>
      </c>
      <c r="D537" s="1">
        <v>823.92</v>
      </c>
      <c r="F537" s="7">
        <v>44321</v>
      </c>
      <c r="G537" s="1" t="s">
        <v>70</v>
      </c>
      <c r="H537" s="1">
        <v>1442.74</v>
      </c>
      <c r="I537" s="1">
        <v>708.07</v>
      </c>
      <c r="J537" s="44"/>
    </row>
    <row r="538" spans="1:10" x14ac:dyDescent="0.25">
      <c r="A538" s="7">
        <v>44321</v>
      </c>
      <c r="B538" s="1" t="s">
        <v>73</v>
      </c>
      <c r="C538" s="1">
        <v>875.93</v>
      </c>
      <c r="D538" s="1">
        <v>267.52</v>
      </c>
      <c r="F538" s="7">
        <v>44321</v>
      </c>
      <c r="G538" s="1" t="s">
        <v>73</v>
      </c>
      <c r="H538" s="1">
        <v>1155.24</v>
      </c>
      <c r="I538" s="1">
        <v>234.22</v>
      </c>
      <c r="J538" s="44"/>
    </row>
    <row r="539" spans="1:10" x14ac:dyDescent="0.25">
      <c r="A539" s="7">
        <v>44321</v>
      </c>
      <c r="B539" s="1" t="s">
        <v>72</v>
      </c>
      <c r="C539" s="1">
        <v>3160.46</v>
      </c>
      <c r="D539" s="1">
        <v>2474.0500000000002</v>
      </c>
      <c r="F539" s="7">
        <v>44321</v>
      </c>
      <c r="G539" s="1" t="s">
        <v>72</v>
      </c>
      <c r="H539" s="1">
        <v>3056.66</v>
      </c>
      <c r="I539" s="1">
        <v>2115.7199999999998</v>
      </c>
      <c r="J539" s="44"/>
    </row>
    <row r="540" spans="1:10" x14ac:dyDescent="0.25">
      <c r="A540" s="7">
        <v>44321</v>
      </c>
      <c r="B540" s="1" t="s">
        <v>77</v>
      </c>
      <c r="C540" s="1">
        <v>2516.67</v>
      </c>
      <c r="D540" s="1">
        <v>997.29</v>
      </c>
      <c r="F540" s="7">
        <v>44321</v>
      </c>
      <c r="G540" s="1" t="s">
        <v>77</v>
      </c>
      <c r="H540" s="1">
        <v>2643.57</v>
      </c>
      <c r="I540" s="1">
        <v>790.71</v>
      </c>
      <c r="J540" s="44"/>
    </row>
    <row r="541" spans="1:10" x14ac:dyDescent="0.25">
      <c r="A541" s="7">
        <v>44321.041666666664</v>
      </c>
      <c r="B541" s="1" t="s">
        <v>75</v>
      </c>
      <c r="C541" s="1">
        <v>236.74</v>
      </c>
      <c r="D541" s="1">
        <v>197.68</v>
      </c>
      <c r="F541" s="7">
        <v>44321.041666666664</v>
      </c>
      <c r="G541" s="1" t="s">
        <v>75</v>
      </c>
      <c r="H541" s="1">
        <v>245.11</v>
      </c>
      <c r="I541" s="1">
        <v>120.53</v>
      </c>
      <c r="J541" s="44"/>
    </row>
    <row r="542" spans="1:10" x14ac:dyDescent="0.25">
      <c r="A542" s="7">
        <v>44321.041666666664</v>
      </c>
      <c r="B542" s="1" t="s">
        <v>74</v>
      </c>
      <c r="C542" s="1">
        <v>473.29</v>
      </c>
      <c r="D542" s="1">
        <v>220.33</v>
      </c>
      <c r="F542" s="7">
        <v>44321.041666666664</v>
      </c>
      <c r="G542" s="1" t="s">
        <v>74</v>
      </c>
      <c r="H542" s="1">
        <v>557.69000000000005</v>
      </c>
      <c r="I542" s="1">
        <v>172.57</v>
      </c>
      <c r="J542" s="44"/>
    </row>
    <row r="543" spans="1:10" x14ac:dyDescent="0.25">
      <c r="A543" s="7">
        <v>44321.041666666664</v>
      </c>
      <c r="B543" s="1" t="s">
        <v>76</v>
      </c>
      <c r="C543" s="1">
        <v>893.64</v>
      </c>
      <c r="D543" s="1">
        <v>308.92</v>
      </c>
      <c r="F543" s="7">
        <v>44321.041666666664</v>
      </c>
      <c r="G543" s="1" t="s">
        <v>76</v>
      </c>
      <c r="H543" s="1">
        <v>991.01</v>
      </c>
      <c r="I543" s="1">
        <v>265.55</v>
      </c>
      <c r="J543" s="44"/>
    </row>
    <row r="544" spans="1:10" x14ac:dyDescent="0.25">
      <c r="A544" s="7">
        <v>44321.041666666664</v>
      </c>
      <c r="B544" s="1" t="s">
        <v>72</v>
      </c>
      <c r="C544" s="1">
        <v>1448.67</v>
      </c>
      <c r="D544" s="1">
        <v>1164.8399999999999</v>
      </c>
      <c r="F544" s="7">
        <v>44321.041666666664</v>
      </c>
      <c r="G544" s="1" t="s">
        <v>72</v>
      </c>
      <c r="H544" s="1">
        <v>1370.36</v>
      </c>
      <c r="I544" s="1">
        <v>941.6</v>
      </c>
      <c r="J544" s="44"/>
    </row>
    <row r="545" spans="1:10" x14ac:dyDescent="0.25">
      <c r="A545" s="7">
        <v>44321.041666666664</v>
      </c>
      <c r="B545" s="1" t="s">
        <v>77</v>
      </c>
      <c r="C545" s="1">
        <v>1022.93</v>
      </c>
      <c r="D545" s="1">
        <v>406.9</v>
      </c>
      <c r="F545" s="7">
        <v>44321.041666666664</v>
      </c>
      <c r="G545" s="1" t="s">
        <v>77</v>
      </c>
      <c r="H545" s="1">
        <v>1102.3499999999999</v>
      </c>
      <c r="I545" s="1">
        <v>316.51</v>
      </c>
      <c r="J545" s="44"/>
    </row>
    <row r="546" spans="1:10" x14ac:dyDescent="0.25">
      <c r="A546" s="7">
        <v>44321.041666666664</v>
      </c>
      <c r="B546" s="1" t="s">
        <v>69</v>
      </c>
      <c r="C546" s="1">
        <v>756.62</v>
      </c>
      <c r="D546" s="1">
        <v>822.43</v>
      </c>
      <c r="F546" s="7">
        <v>44321.041666666664</v>
      </c>
      <c r="G546" s="1" t="s">
        <v>69</v>
      </c>
      <c r="H546" s="1">
        <v>789.11</v>
      </c>
      <c r="I546" s="1">
        <v>651.70000000000005</v>
      </c>
      <c r="J546" s="44"/>
    </row>
    <row r="547" spans="1:10" x14ac:dyDescent="0.25">
      <c r="A547" s="7">
        <v>44321.041666666664</v>
      </c>
      <c r="B547" s="1" t="s">
        <v>70</v>
      </c>
      <c r="C547" s="1">
        <v>576.12</v>
      </c>
      <c r="D547" s="1">
        <v>369.89</v>
      </c>
      <c r="F547" s="7">
        <v>44321.041666666664</v>
      </c>
      <c r="G547" s="1" t="s">
        <v>70</v>
      </c>
      <c r="H547" s="1">
        <v>646.49</v>
      </c>
      <c r="I547" s="1">
        <v>312.49</v>
      </c>
      <c r="J547" s="44"/>
    </row>
    <row r="548" spans="1:10" x14ac:dyDescent="0.25">
      <c r="A548" s="7">
        <v>44321.041666666664</v>
      </c>
      <c r="B548" s="1" t="s">
        <v>78</v>
      </c>
      <c r="C548" s="1">
        <v>339.24</v>
      </c>
      <c r="D548" s="1">
        <v>273.39</v>
      </c>
      <c r="F548" s="7">
        <v>44321.041666666664</v>
      </c>
      <c r="G548" s="1" t="s">
        <v>78</v>
      </c>
      <c r="H548" s="1">
        <v>345.52</v>
      </c>
      <c r="I548" s="1">
        <v>193.86</v>
      </c>
      <c r="J548" s="44"/>
    </row>
    <row r="549" spans="1:10" x14ac:dyDescent="0.25">
      <c r="A549" s="7">
        <v>44321.041666666664</v>
      </c>
      <c r="B549" s="1" t="s">
        <v>73</v>
      </c>
      <c r="C549" s="1">
        <v>343.41</v>
      </c>
      <c r="D549" s="1">
        <v>110.88</v>
      </c>
      <c r="F549" s="7">
        <v>44321.041666666664</v>
      </c>
      <c r="G549" s="1" t="s">
        <v>73</v>
      </c>
      <c r="H549" s="1">
        <v>476.84</v>
      </c>
      <c r="I549" s="1">
        <v>100.71</v>
      </c>
      <c r="J549" s="44"/>
    </row>
    <row r="550" spans="1:10" x14ac:dyDescent="0.25">
      <c r="A550" s="7">
        <v>44321.041666666664</v>
      </c>
      <c r="B550" s="1" t="s">
        <v>68</v>
      </c>
      <c r="C550" s="1">
        <v>447.05</v>
      </c>
      <c r="D550" s="1">
        <v>389.81</v>
      </c>
      <c r="F550" s="7">
        <v>44321.041666666664</v>
      </c>
      <c r="G550" s="1" t="s">
        <v>68</v>
      </c>
      <c r="H550" s="1">
        <v>588.92999999999995</v>
      </c>
      <c r="I550" s="1">
        <v>284.47000000000003</v>
      </c>
      <c r="J550" s="44"/>
    </row>
    <row r="551" spans="1:10" x14ac:dyDescent="0.25">
      <c r="A551" s="7">
        <v>44321.041666666664</v>
      </c>
      <c r="B551" s="1" t="s">
        <v>71</v>
      </c>
      <c r="C551" s="1">
        <v>365.45</v>
      </c>
      <c r="D551" s="1">
        <v>252.43</v>
      </c>
      <c r="F551" s="7">
        <v>44321.041666666664</v>
      </c>
      <c r="G551" s="1" t="s">
        <v>71</v>
      </c>
      <c r="H551" s="1">
        <v>526.01</v>
      </c>
      <c r="I551" s="1">
        <v>194.62</v>
      </c>
      <c r="J551" s="44"/>
    </row>
    <row r="552" spans="1:10" x14ac:dyDescent="0.25">
      <c r="A552" s="7">
        <v>44321.083333333336</v>
      </c>
      <c r="B552" s="1" t="s">
        <v>74</v>
      </c>
      <c r="C552" s="1">
        <v>468.85</v>
      </c>
      <c r="D552" s="1">
        <v>145</v>
      </c>
      <c r="F552" s="7">
        <v>44321.083333333336</v>
      </c>
      <c r="G552" s="1" t="s">
        <v>74</v>
      </c>
      <c r="H552" s="1">
        <v>526.49</v>
      </c>
      <c r="I552" s="1">
        <v>114.73</v>
      </c>
      <c r="J552" s="44"/>
    </row>
    <row r="553" spans="1:10" x14ac:dyDescent="0.25">
      <c r="A553" s="7">
        <v>44321.083333333336</v>
      </c>
      <c r="B553" s="1" t="s">
        <v>75</v>
      </c>
      <c r="C553" s="1">
        <v>213.45</v>
      </c>
      <c r="D553" s="1">
        <v>155.01</v>
      </c>
      <c r="F553" s="7">
        <v>44321.083333333336</v>
      </c>
      <c r="G553" s="1" t="s">
        <v>75</v>
      </c>
      <c r="H553" s="1">
        <v>207.9</v>
      </c>
      <c r="I553" s="1">
        <v>103.26</v>
      </c>
      <c r="J553" s="44"/>
    </row>
    <row r="554" spans="1:10" x14ac:dyDescent="0.25">
      <c r="A554" s="7">
        <v>44321.083333333336</v>
      </c>
      <c r="B554" s="1" t="s">
        <v>72</v>
      </c>
      <c r="C554" s="1">
        <v>890.35</v>
      </c>
      <c r="D554" s="1">
        <v>705.32</v>
      </c>
      <c r="F554" s="7">
        <v>44321.083333333336</v>
      </c>
      <c r="G554" s="1" t="s">
        <v>72</v>
      </c>
      <c r="H554" s="1">
        <v>798.81</v>
      </c>
      <c r="I554" s="1">
        <v>517.29</v>
      </c>
      <c r="J554" s="44"/>
    </row>
    <row r="555" spans="1:10" x14ac:dyDescent="0.25">
      <c r="A555" s="7">
        <v>44321.083333333336</v>
      </c>
      <c r="B555" s="1" t="s">
        <v>73</v>
      </c>
      <c r="C555" s="1">
        <v>238.83</v>
      </c>
      <c r="D555" s="1">
        <v>59.33</v>
      </c>
      <c r="F555" s="7">
        <v>44321.083333333336</v>
      </c>
      <c r="G555" s="1" t="s">
        <v>73</v>
      </c>
      <c r="H555" s="1">
        <v>314.73</v>
      </c>
      <c r="I555" s="1">
        <v>52.89</v>
      </c>
      <c r="J555" s="44"/>
    </row>
    <row r="556" spans="1:10" x14ac:dyDescent="0.25">
      <c r="A556" s="7">
        <v>44321.083333333336</v>
      </c>
      <c r="B556" s="1" t="s">
        <v>77</v>
      </c>
      <c r="C556" s="1">
        <v>814.03</v>
      </c>
      <c r="D556" s="1">
        <v>259.20999999999998</v>
      </c>
      <c r="F556" s="7">
        <v>44321.083333333336</v>
      </c>
      <c r="G556" s="1" t="s">
        <v>77</v>
      </c>
      <c r="H556" s="1">
        <v>805.99</v>
      </c>
      <c r="I556" s="1">
        <v>191.49</v>
      </c>
      <c r="J556" s="44"/>
    </row>
    <row r="557" spans="1:10" x14ac:dyDescent="0.25">
      <c r="A557" s="7">
        <v>44321.083333333336</v>
      </c>
      <c r="B557" s="1" t="s">
        <v>71</v>
      </c>
      <c r="C557" s="1">
        <v>285.77999999999997</v>
      </c>
      <c r="D557" s="1">
        <v>155.18</v>
      </c>
      <c r="F557" s="7">
        <v>44321.083333333336</v>
      </c>
      <c r="G557" s="1" t="s">
        <v>71</v>
      </c>
      <c r="H557" s="1">
        <v>421.93</v>
      </c>
      <c r="I557" s="1">
        <v>137.41999999999999</v>
      </c>
      <c r="J557" s="44"/>
    </row>
    <row r="558" spans="1:10" x14ac:dyDescent="0.25">
      <c r="A558" s="7">
        <v>44321.083333333336</v>
      </c>
      <c r="B558" s="1" t="s">
        <v>69</v>
      </c>
      <c r="C558" s="1">
        <v>484.51</v>
      </c>
      <c r="D558" s="1">
        <v>476.76</v>
      </c>
      <c r="F558" s="7">
        <v>44321.083333333336</v>
      </c>
      <c r="G558" s="1" t="s">
        <v>69</v>
      </c>
      <c r="H558" s="1">
        <v>433.4</v>
      </c>
      <c r="I558" s="1">
        <v>359.23</v>
      </c>
      <c r="J558" s="44"/>
    </row>
    <row r="559" spans="1:10" x14ac:dyDescent="0.25">
      <c r="A559" s="7">
        <v>44321.083333333336</v>
      </c>
      <c r="B559" s="1" t="s">
        <v>70</v>
      </c>
      <c r="C559" s="1">
        <v>438.68</v>
      </c>
      <c r="D559" s="1">
        <v>246.14</v>
      </c>
      <c r="F559" s="7">
        <v>44321.083333333336</v>
      </c>
      <c r="G559" s="1" t="s">
        <v>70</v>
      </c>
      <c r="H559" s="1">
        <v>535.11</v>
      </c>
      <c r="I559" s="1">
        <v>218.23</v>
      </c>
      <c r="J559" s="44"/>
    </row>
    <row r="560" spans="1:10" x14ac:dyDescent="0.25">
      <c r="A560" s="7">
        <v>44321.083333333336</v>
      </c>
      <c r="B560" s="1" t="s">
        <v>78</v>
      </c>
      <c r="C560" s="1">
        <v>261.01</v>
      </c>
      <c r="D560" s="1">
        <v>186.49</v>
      </c>
      <c r="F560" s="7">
        <v>44321.083333333336</v>
      </c>
      <c r="G560" s="1" t="s">
        <v>78</v>
      </c>
      <c r="H560" s="1">
        <v>239.44</v>
      </c>
      <c r="I560" s="1">
        <v>117.2</v>
      </c>
      <c r="J560" s="44"/>
    </row>
    <row r="561" spans="1:10" x14ac:dyDescent="0.25">
      <c r="A561" s="7">
        <v>44321.083333333336</v>
      </c>
      <c r="B561" s="1" t="s">
        <v>76</v>
      </c>
      <c r="C561" s="1">
        <v>1003.57</v>
      </c>
      <c r="D561" s="1">
        <v>268.17</v>
      </c>
      <c r="F561" s="7">
        <v>44321.083333333336</v>
      </c>
      <c r="G561" s="1" t="s">
        <v>76</v>
      </c>
      <c r="H561" s="1">
        <v>1178.3399999999999</v>
      </c>
      <c r="I561" s="1">
        <v>229.81</v>
      </c>
      <c r="J561" s="44"/>
    </row>
    <row r="562" spans="1:10" x14ac:dyDescent="0.25">
      <c r="A562" s="7">
        <v>44321.083333333336</v>
      </c>
      <c r="B562" s="1" t="s">
        <v>68</v>
      </c>
      <c r="C562" s="1">
        <v>264.88</v>
      </c>
      <c r="D562" s="1">
        <v>213.59</v>
      </c>
      <c r="F562" s="7">
        <v>44321.083333333336</v>
      </c>
      <c r="G562" s="1" t="s">
        <v>68</v>
      </c>
      <c r="H562" s="1">
        <v>349.1</v>
      </c>
      <c r="I562" s="1">
        <v>148.16</v>
      </c>
      <c r="J562" s="44"/>
    </row>
    <row r="563" spans="1:10" x14ac:dyDescent="0.25">
      <c r="A563" s="7">
        <v>44321.125</v>
      </c>
      <c r="B563" s="1" t="s">
        <v>75</v>
      </c>
      <c r="C563" s="1">
        <v>489.26</v>
      </c>
      <c r="D563" s="1">
        <v>304.08999999999997</v>
      </c>
      <c r="F563" s="7">
        <v>44321.125</v>
      </c>
      <c r="G563" s="1" t="s">
        <v>75</v>
      </c>
      <c r="H563" s="1">
        <v>444.73</v>
      </c>
      <c r="I563" s="1">
        <v>185.43</v>
      </c>
      <c r="J563" s="44"/>
    </row>
    <row r="564" spans="1:10" x14ac:dyDescent="0.25">
      <c r="A564" s="7">
        <v>44321.125</v>
      </c>
      <c r="B564" s="1" t="s">
        <v>74</v>
      </c>
      <c r="C564" s="1">
        <v>1424.85</v>
      </c>
      <c r="D564" s="1">
        <v>330.8</v>
      </c>
      <c r="F564" s="7">
        <v>44321.125</v>
      </c>
      <c r="G564" s="1" t="s">
        <v>74</v>
      </c>
      <c r="H564" s="1">
        <v>1721.16</v>
      </c>
      <c r="I564" s="1">
        <v>272.45999999999998</v>
      </c>
      <c r="J564" s="44"/>
    </row>
    <row r="565" spans="1:10" x14ac:dyDescent="0.25">
      <c r="A565" s="7">
        <v>44321.125</v>
      </c>
      <c r="B565" s="1" t="s">
        <v>73</v>
      </c>
      <c r="C565" s="1">
        <v>876.14</v>
      </c>
      <c r="D565" s="1">
        <v>127.98</v>
      </c>
      <c r="F565" s="7">
        <v>44321.125</v>
      </c>
      <c r="G565" s="1" t="s">
        <v>73</v>
      </c>
      <c r="H565" s="1">
        <v>1269.81</v>
      </c>
      <c r="I565" s="1">
        <v>145.15</v>
      </c>
      <c r="J565" s="44"/>
    </row>
    <row r="566" spans="1:10" x14ac:dyDescent="0.25">
      <c r="A566" s="7">
        <v>44321.125</v>
      </c>
      <c r="B566" s="1" t="s">
        <v>77</v>
      </c>
      <c r="C566" s="1">
        <v>3135.93</v>
      </c>
      <c r="D566" s="1">
        <v>1038.8</v>
      </c>
      <c r="F566" s="7">
        <v>44321.125</v>
      </c>
      <c r="G566" s="1" t="s">
        <v>77</v>
      </c>
      <c r="H566" s="1">
        <v>2228.9499999999998</v>
      </c>
      <c r="I566" s="1">
        <v>568.24</v>
      </c>
      <c r="J566" s="44"/>
    </row>
    <row r="567" spans="1:10" x14ac:dyDescent="0.25">
      <c r="A567" s="7">
        <v>44321.125</v>
      </c>
      <c r="B567" s="1" t="s">
        <v>71</v>
      </c>
      <c r="C567" s="1">
        <v>1060.6400000000001</v>
      </c>
      <c r="D567" s="1">
        <v>344.41</v>
      </c>
      <c r="F567" s="7">
        <v>44321.125</v>
      </c>
      <c r="G567" s="1" t="s">
        <v>71</v>
      </c>
      <c r="H567" s="1">
        <v>1503.16</v>
      </c>
      <c r="I567" s="1">
        <v>334.4</v>
      </c>
      <c r="J567" s="44"/>
    </row>
    <row r="568" spans="1:10" x14ac:dyDescent="0.25">
      <c r="A568" s="7">
        <v>44321.125</v>
      </c>
      <c r="B568" s="1" t="s">
        <v>70</v>
      </c>
      <c r="C568" s="1">
        <v>1505.85</v>
      </c>
      <c r="D568" s="1">
        <v>683.59</v>
      </c>
      <c r="F568" s="7">
        <v>44321.125</v>
      </c>
      <c r="G568" s="1" t="s">
        <v>70</v>
      </c>
      <c r="H568" s="1">
        <v>1714.87</v>
      </c>
      <c r="I568" s="1">
        <v>601.11</v>
      </c>
      <c r="J568" s="44"/>
    </row>
    <row r="569" spans="1:10" x14ac:dyDescent="0.25">
      <c r="A569" s="7">
        <v>44321.125</v>
      </c>
      <c r="B569" s="1" t="s">
        <v>78</v>
      </c>
      <c r="C569" s="1">
        <v>680.31</v>
      </c>
      <c r="D569" s="1">
        <v>402.66</v>
      </c>
      <c r="F569" s="7">
        <v>44321.125</v>
      </c>
      <c r="G569" s="1" t="s">
        <v>78</v>
      </c>
      <c r="H569" s="1">
        <v>451.1</v>
      </c>
      <c r="I569" s="1">
        <v>224.14</v>
      </c>
      <c r="J569" s="44"/>
    </row>
    <row r="570" spans="1:10" x14ac:dyDescent="0.25">
      <c r="A570" s="7">
        <v>44321.125</v>
      </c>
      <c r="B570" s="1" t="s">
        <v>76</v>
      </c>
      <c r="C570" s="1">
        <v>3143.74</v>
      </c>
      <c r="D570" s="1">
        <v>743.22</v>
      </c>
      <c r="F570" s="7">
        <v>44321.125</v>
      </c>
      <c r="G570" s="1" t="s">
        <v>76</v>
      </c>
      <c r="H570" s="1">
        <v>4241.99</v>
      </c>
      <c r="I570" s="1">
        <v>695.38</v>
      </c>
      <c r="J570" s="44"/>
    </row>
    <row r="571" spans="1:10" x14ac:dyDescent="0.25">
      <c r="A571" s="7">
        <v>44321.125</v>
      </c>
      <c r="B571" s="1" t="s">
        <v>72</v>
      </c>
      <c r="C571" s="1">
        <v>2650.18</v>
      </c>
      <c r="D571" s="1">
        <v>1503.72</v>
      </c>
      <c r="F571" s="7">
        <v>44321.125</v>
      </c>
      <c r="G571" s="1" t="s">
        <v>72</v>
      </c>
      <c r="H571" s="1">
        <v>1651.92</v>
      </c>
      <c r="I571" s="1">
        <v>891.57</v>
      </c>
      <c r="J571" s="44"/>
    </row>
    <row r="572" spans="1:10" x14ac:dyDescent="0.25">
      <c r="A572" s="7">
        <v>44321.125</v>
      </c>
      <c r="B572" s="1" t="s">
        <v>68</v>
      </c>
      <c r="C572" s="1">
        <v>898.38</v>
      </c>
      <c r="D572" s="1">
        <v>375.22</v>
      </c>
      <c r="F572" s="7">
        <v>44321.125</v>
      </c>
      <c r="G572" s="1" t="s">
        <v>68</v>
      </c>
      <c r="H572" s="1">
        <v>1156.5899999999999</v>
      </c>
      <c r="I572" s="1">
        <v>319.12</v>
      </c>
      <c r="J572" s="44"/>
    </row>
    <row r="573" spans="1:10" x14ac:dyDescent="0.25">
      <c r="A573" s="7">
        <v>44321.125</v>
      </c>
      <c r="B573" s="1" t="s">
        <v>69</v>
      </c>
      <c r="C573" s="1">
        <v>1423.34</v>
      </c>
      <c r="D573" s="1">
        <v>1122.1600000000001</v>
      </c>
      <c r="F573" s="7">
        <v>44321.125</v>
      </c>
      <c r="G573" s="1" t="s">
        <v>69</v>
      </c>
      <c r="H573" s="1">
        <v>798.51</v>
      </c>
      <c r="I573" s="1">
        <v>607.02</v>
      </c>
      <c r="J573" s="44"/>
    </row>
    <row r="574" spans="1:10" x14ac:dyDescent="0.25">
      <c r="A574" s="7">
        <v>44321.166666666664</v>
      </c>
      <c r="B574" s="1" t="s">
        <v>75</v>
      </c>
      <c r="C574" s="1">
        <v>244.57</v>
      </c>
      <c r="D574" s="1">
        <v>184.8</v>
      </c>
      <c r="F574" s="7">
        <v>44321.166666666664</v>
      </c>
      <c r="G574" s="1" t="s">
        <v>75</v>
      </c>
      <c r="H574" s="1">
        <v>241.88</v>
      </c>
      <c r="I574" s="1">
        <v>108.45</v>
      </c>
      <c r="J574" s="44"/>
    </row>
    <row r="575" spans="1:10" x14ac:dyDescent="0.25">
      <c r="A575" s="7">
        <v>44321.166666666664</v>
      </c>
      <c r="B575" s="1" t="s">
        <v>74</v>
      </c>
      <c r="C575" s="1">
        <v>1169.5899999999999</v>
      </c>
      <c r="D575" s="1">
        <v>349.59</v>
      </c>
      <c r="F575" s="7">
        <v>44321.166666666664</v>
      </c>
      <c r="G575" s="1" t="s">
        <v>74</v>
      </c>
      <c r="H575" s="1">
        <v>1328.43</v>
      </c>
      <c r="I575" s="1">
        <v>269.23</v>
      </c>
      <c r="J575" s="44"/>
    </row>
    <row r="576" spans="1:10" x14ac:dyDescent="0.25">
      <c r="A576" s="7">
        <v>44321.166666666664</v>
      </c>
      <c r="B576" s="1" t="s">
        <v>78</v>
      </c>
      <c r="C576" s="1">
        <v>524.5</v>
      </c>
      <c r="D576" s="1">
        <v>383.96</v>
      </c>
      <c r="F576" s="7">
        <v>44321.166666666664</v>
      </c>
      <c r="G576" s="1" t="s">
        <v>78</v>
      </c>
      <c r="H576" s="1">
        <v>412.33</v>
      </c>
      <c r="I576" s="1">
        <v>219.95</v>
      </c>
      <c r="J576" s="44"/>
    </row>
    <row r="577" spans="1:10" x14ac:dyDescent="0.25">
      <c r="A577" s="7">
        <v>44321.166666666664</v>
      </c>
      <c r="B577" s="1" t="s">
        <v>76</v>
      </c>
      <c r="C577" s="1">
        <v>1714.07</v>
      </c>
      <c r="D577" s="1">
        <v>548.99</v>
      </c>
      <c r="F577" s="7">
        <v>44321.166666666664</v>
      </c>
      <c r="G577" s="1" t="s">
        <v>76</v>
      </c>
      <c r="H577" s="1">
        <v>2454.5</v>
      </c>
      <c r="I577" s="1">
        <v>483.56</v>
      </c>
      <c r="J577" s="44"/>
    </row>
    <row r="578" spans="1:10" x14ac:dyDescent="0.25">
      <c r="A578" s="7">
        <v>44321.166666666664</v>
      </c>
      <c r="B578" s="1" t="s">
        <v>68</v>
      </c>
      <c r="C578" s="1">
        <v>878.3</v>
      </c>
      <c r="D578" s="1">
        <v>422.46</v>
      </c>
      <c r="F578" s="7">
        <v>44321.166666666664</v>
      </c>
      <c r="G578" s="1" t="s">
        <v>68</v>
      </c>
      <c r="H578" s="1">
        <v>1145.97</v>
      </c>
      <c r="I578" s="1">
        <v>333.64</v>
      </c>
      <c r="J578" s="44"/>
    </row>
    <row r="579" spans="1:10" x14ac:dyDescent="0.25">
      <c r="A579" s="7">
        <v>44321.166666666664</v>
      </c>
      <c r="B579" s="1" t="s">
        <v>77</v>
      </c>
      <c r="C579" s="1">
        <v>2042.09</v>
      </c>
      <c r="D579" s="1">
        <v>805.03</v>
      </c>
      <c r="F579" s="7">
        <v>44321.166666666664</v>
      </c>
      <c r="G579" s="1" t="s">
        <v>77</v>
      </c>
      <c r="H579" s="1">
        <v>1605.73</v>
      </c>
      <c r="I579" s="1">
        <v>454.28</v>
      </c>
      <c r="J579" s="44"/>
    </row>
    <row r="580" spans="1:10" x14ac:dyDescent="0.25">
      <c r="A580" s="7">
        <v>44321.166666666664</v>
      </c>
      <c r="B580" s="1" t="s">
        <v>71</v>
      </c>
      <c r="C580" s="1">
        <v>1132.3499999999999</v>
      </c>
      <c r="D580" s="1">
        <v>420.35</v>
      </c>
      <c r="F580" s="7">
        <v>44321.166666666664</v>
      </c>
      <c r="G580" s="1" t="s">
        <v>71</v>
      </c>
      <c r="H580" s="1">
        <v>1536.86</v>
      </c>
      <c r="I580" s="1">
        <v>346.78</v>
      </c>
      <c r="J580" s="44"/>
    </row>
    <row r="581" spans="1:10" x14ac:dyDescent="0.25">
      <c r="A581" s="7">
        <v>44321.166666666664</v>
      </c>
      <c r="B581" s="1" t="s">
        <v>70</v>
      </c>
      <c r="C581" s="1">
        <v>1093.69</v>
      </c>
      <c r="D581" s="1">
        <v>656.98</v>
      </c>
      <c r="F581" s="7">
        <v>44321.166666666664</v>
      </c>
      <c r="G581" s="1" t="s">
        <v>70</v>
      </c>
      <c r="H581" s="1">
        <v>1358.43</v>
      </c>
      <c r="I581" s="1">
        <v>543.53</v>
      </c>
      <c r="J581" s="44"/>
    </row>
    <row r="582" spans="1:10" x14ac:dyDescent="0.25">
      <c r="A582" s="7">
        <v>44321.166666666664</v>
      </c>
      <c r="B582" s="1" t="s">
        <v>72</v>
      </c>
      <c r="C582" s="1">
        <v>1912.53</v>
      </c>
      <c r="D582" s="1">
        <v>1230.79</v>
      </c>
      <c r="F582" s="7">
        <v>44321.166666666664</v>
      </c>
      <c r="G582" s="1" t="s">
        <v>72</v>
      </c>
      <c r="H582" s="1">
        <v>1395.22</v>
      </c>
      <c r="I582" s="1">
        <v>725.66</v>
      </c>
      <c r="J582" s="44"/>
    </row>
    <row r="583" spans="1:10" x14ac:dyDescent="0.25">
      <c r="A583" s="7">
        <v>44321.166666666664</v>
      </c>
      <c r="B583" s="1" t="s">
        <v>73</v>
      </c>
      <c r="C583" s="1">
        <v>705.38</v>
      </c>
      <c r="D583" s="1">
        <v>121.64</v>
      </c>
      <c r="F583" s="7">
        <v>44321.166666666664</v>
      </c>
      <c r="G583" s="1" t="s">
        <v>73</v>
      </c>
      <c r="H583" s="1">
        <v>1003.5</v>
      </c>
      <c r="I583" s="1">
        <v>135.84</v>
      </c>
      <c r="J583" s="44"/>
    </row>
    <row r="584" spans="1:10" x14ac:dyDescent="0.25">
      <c r="A584" s="7">
        <v>44321.166666666664</v>
      </c>
      <c r="B584" s="1" t="s">
        <v>69</v>
      </c>
      <c r="C584" s="1">
        <v>1091.03</v>
      </c>
      <c r="D584" s="1">
        <v>986.94</v>
      </c>
      <c r="F584" s="7">
        <v>44321.166666666664</v>
      </c>
      <c r="G584" s="1" t="s">
        <v>69</v>
      </c>
      <c r="H584" s="1">
        <v>670.85</v>
      </c>
      <c r="I584" s="1">
        <v>507.76</v>
      </c>
      <c r="J584" s="44"/>
    </row>
    <row r="585" spans="1:10" x14ac:dyDescent="0.25">
      <c r="A585" s="7">
        <v>44321.208333333336</v>
      </c>
      <c r="B585" s="1" t="s">
        <v>75</v>
      </c>
      <c r="C585" s="1">
        <v>102.95</v>
      </c>
      <c r="D585" s="1">
        <v>57.99</v>
      </c>
      <c r="F585" s="7">
        <v>44321.208333333336</v>
      </c>
      <c r="G585" s="1" t="s">
        <v>75</v>
      </c>
      <c r="H585" s="1">
        <v>102.46</v>
      </c>
      <c r="I585" s="1">
        <v>34.729999999999997</v>
      </c>
      <c r="J585" s="44"/>
    </row>
    <row r="586" spans="1:10" x14ac:dyDescent="0.25">
      <c r="A586" s="7">
        <v>44321.208333333336</v>
      </c>
      <c r="B586" s="1" t="s">
        <v>74</v>
      </c>
      <c r="C586" s="1">
        <v>592.91</v>
      </c>
      <c r="D586" s="1">
        <v>134.09</v>
      </c>
      <c r="F586" s="7">
        <v>44321.208333333336</v>
      </c>
      <c r="G586" s="1" t="s">
        <v>74</v>
      </c>
      <c r="H586" s="1">
        <v>623.97</v>
      </c>
      <c r="I586" s="1">
        <v>106.54</v>
      </c>
      <c r="J586" s="44"/>
    </row>
    <row r="587" spans="1:10" x14ac:dyDescent="0.25">
      <c r="A587" s="7">
        <v>44321.208333333336</v>
      </c>
      <c r="B587" s="1" t="s">
        <v>78</v>
      </c>
      <c r="C587" s="1">
        <v>201.48</v>
      </c>
      <c r="D587" s="1">
        <v>138.29</v>
      </c>
      <c r="F587" s="7">
        <v>44321.208333333336</v>
      </c>
      <c r="G587" s="1" t="s">
        <v>78</v>
      </c>
      <c r="H587" s="1">
        <v>183.5</v>
      </c>
      <c r="I587" s="1">
        <v>93.85</v>
      </c>
      <c r="J587" s="44"/>
    </row>
    <row r="588" spans="1:10" x14ac:dyDescent="0.25">
      <c r="A588" s="7">
        <v>44321.208333333336</v>
      </c>
      <c r="B588" s="1" t="s">
        <v>76</v>
      </c>
      <c r="C588" s="1">
        <v>660.18</v>
      </c>
      <c r="D588" s="1">
        <v>184.01</v>
      </c>
      <c r="F588" s="7">
        <v>44321.208333333336</v>
      </c>
      <c r="G588" s="1" t="s">
        <v>76</v>
      </c>
      <c r="H588" s="1">
        <v>775.02</v>
      </c>
      <c r="I588" s="1">
        <v>149.99</v>
      </c>
      <c r="J588" s="44"/>
    </row>
    <row r="589" spans="1:10" x14ac:dyDescent="0.25">
      <c r="A589" s="7">
        <v>44321.208333333336</v>
      </c>
      <c r="B589" s="1" t="s">
        <v>72</v>
      </c>
      <c r="C589" s="1">
        <v>751.03</v>
      </c>
      <c r="D589" s="1">
        <v>402.29</v>
      </c>
      <c r="F589" s="7">
        <v>44321.208333333336</v>
      </c>
      <c r="G589" s="1" t="s">
        <v>72</v>
      </c>
      <c r="H589" s="1">
        <v>601.32000000000005</v>
      </c>
      <c r="I589" s="1">
        <v>291.39999999999998</v>
      </c>
      <c r="J589" s="44"/>
    </row>
    <row r="590" spans="1:10" x14ac:dyDescent="0.25">
      <c r="A590" s="7">
        <v>44321.208333333336</v>
      </c>
      <c r="B590" s="1" t="s">
        <v>71</v>
      </c>
      <c r="C590" s="1">
        <v>1005.68</v>
      </c>
      <c r="D590" s="1">
        <v>255.26</v>
      </c>
      <c r="F590" s="7">
        <v>44321.208333333336</v>
      </c>
      <c r="G590" s="1" t="s">
        <v>71</v>
      </c>
      <c r="H590" s="1">
        <v>1096.1600000000001</v>
      </c>
      <c r="I590" s="1">
        <v>193.15</v>
      </c>
      <c r="J590" s="44"/>
    </row>
    <row r="591" spans="1:10" x14ac:dyDescent="0.25">
      <c r="A591" s="7">
        <v>44321.208333333336</v>
      </c>
      <c r="B591" s="1" t="s">
        <v>68</v>
      </c>
      <c r="C591" s="1">
        <v>817.4</v>
      </c>
      <c r="D591" s="1">
        <v>246.7</v>
      </c>
      <c r="F591" s="7">
        <v>44321.208333333336</v>
      </c>
      <c r="G591" s="1" t="s">
        <v>68</v>
      </c>
      <c r="H591" s="1">
        <v>951.8</v>
      </c>
      <c r="I591" s="1">
        <v>219.65</v>
      </c>
      <c r="J591" s="44"/>
    </row>
    <row r="592" spans="1:10" x14ac:dyDescent="0.25">
      <c r="A592" s="7">
        <v>44321.208333333336</v>
      </c>
      <c r="B592" s="1" t="s">
        <v>69</v>
      </c>
      <c r="C592" s="1">
        <v>353.93</v>
      </c>
      <c r="D592" s="1">
        <v>279.66000000000003</v>
      </c>
      <c r="F592" s="7">
        <v>44321.208333333336</v>
      </c>
      <c r="G592" s="1" t="s">
        <v>69</v>
      </c>
      <c r="H592" s="1">
        <v>289.07</v>
      </c>
      <c r="I592" s="1">
        <v>178.54</v>
      </c>
      <c r="J592" s="44"/>
    </row>
    <row r="593" spans="1:10" x14ac:dyDescent="0.25">
      <c r="A593" s="7">
        <v>44321.208333333336</v>
      </c>
      <c r="B593" s="1" t="s">
        <v>73</v>
      </c>
      <c r="C593" s="1">
        <v>603.62</v>
      </c>
      <c r="D593" s="1">
        <v>72.349999999999994</v>
      </c>
      <c r="F593" s="7">
        <v>44321.208333333336</v>
      </c>
      <c r="G593" s="1" t="s">
        <v>73</v>
      </c>
      <c r="H593" s="1">
        <v>602.59</v>
      </c>
      <c r="I593" s="1">
        <v>61.49</v>
      </c>
      <c r="J593" s="44"/>
    </row>
    <row r="594" spans="1:10" x14ac:dyDescent="0.25">
      <c r="A594" s="7">
        <v>44321.208333333336</v>
      </c>
      <c r="B594" s="1" t="s">
        <v>77</v>
      </c>
      <c r="C594" s="1">
        <v>1025.3399999999999</v>
      </c>
      <c r="D594" s="1">
        <v>317.91000000000003</v>
      </c>
      <c r="F594" s="7">
        <v>44321.208333333336</v>
      </c>
      <c r="G594" s="1" t="s">
        <v>77</v>
      </c>
      <c r="H594" s="1">
        <v>929.39</v>
      </c>
      <c r="I594" s="1">
        <v>216.26</v>
      </c>
      <c r="J594" s="44"/>
    </row>
    <row r="595" spans="1:10" x14ac:dyDescent="0.25">
      <c r="A595" s="7">
        <v>44321.208333333336</v>
      </c>
      <c r="B595" s="1" t="s">
        <v>70</v>
      </c>
      <c r="C595" s="1">
        <v>520.62</v>
      </c>
      <c r="D595" s="1">
        <v>250.36</v>
      </c>
      <c r="F595" s="7">
        <v>44321.208333333336</v>
      </c>
      <c r="G595" s="1" t="s">
        <v>70</v>
      </c>
      <c r="H595" s="1">
        <v>587.09</v>
      </c>
      <c r="I595" s="1">
        <v>205.88</v>
      </c>
      <c r="J595" s="44"/>
    </row>
    <row r="596" spans="1:10" x14ac:dyDescent="0.25">
      <c r="A596" s="7">
        <v>44321.25</v>
      </c>
      <c r="B596" s="1" t="s">
        <v>75</v>
      </c>
      <c r="C596" s="1">
        <v>137.57</v>
      </c>
      <c r="D596" s="1">
        <v>52.57</v>
      </c>
      <c r="F596" s="7">
        <v>44321.25</v>
      </c>
      <c r="G596" s="1" t="s">
        <v>75</v>
      </c>
      <c r="H596" s="1">
        <v>130.72</v>
      </c>
      <c r="I596" s="1">
        <v>36.9</v>
      </c>
      <c r="J596" s="44"/>
    </row>
    <row r="597" spans="1:10" x14ac:dyDescent="0.25">
      <c r="A597" s="7">
        <v>44321.25</v>
      </c>
      <c r="B597" s="1" t="s">
        <v>74</v>
      </c>
      <c r="C597" s="1">
        <v>1630.07</v>
      </c>
      <c r="D597" s="1">
        <v>264.7</v>
      </c>
      <c r="F597" s="7">
        <v>44321.25</v>
      </c>
      <c r="G597" s="1" t="s">
        <v>74</v>
      </c>
      <c r="H597" s="1">
        <v>1773.97</v>
      </c>
      <c r="I597" s="1">
        <v>222.59</v>
      </c>
      <c r="J597" s="44"/>
    </row>
    <row r="598" spans="1:10" x14ac:dyDescent="0.25">
      <c r="A598" s="7">
        <v>44321.25</v>
      </c>
      <c r="B598" s="1" t="s">
        <v>76</v>
      </c>
      <c r="C598" s="1">
        <v>1869.25</v>
      </c>
      <c r="D598" s="1">
        <v>389.75</v>
      </c>
      <c r="F598" s="7">
        <v>44321.25</v>
      </c>
      <c r="G598" s="1" t="s">
        <v>76</v>
      </c>
      <c r="H598" s="1">
        <v>2186.04</v>
      </c>
      <c r="I598" s="1">
        <v>349</v>
      </c>
      <c r="J598" s="44"/>
    </row>
    <row r="599" spans="1:10" x14ac:dyDescent="0.25">
      <c r="A599" s="7">
        <v>44321.25</v>
      </c>
      <c r="B599" s="1" t="s">
        <v>72</v>
      </c>
      <c r="C599" s="1">
        <v>1578.57</v>
      </c>
      <c r="D599" s="1">
        <v>642.45000000000005</v>
      </c>
      <c r="F599" s="7">
        <v>44321.25</v>
      </c>
      <c r="G599" s="1" t="s">
        <v>72</v>
      </c>
      <c r="H599" s="1">
        <v>1167.7</v>
      </c>
      <c r="I599" s="1">
        <v>452.6</v>
      </c>
      <c r="J599" s="44"/>
    </row>
    <row r="600" spans="1:10" x14ac:dyDescent="0.25">
      <c r="A600" s="7">
        <v>44321.25</v>
      </c>
      <c r="B600" s="1" t="s">
        <v>68</v>
      </c>
      <c r="C600" s="1">
        <v>2471.41</v>
      </c>
      <c r="D600" s="1">
        <v>704.32</v>
      </c>
      <c r="F600" s="7">
        <v>44321.25</v>
      </c>
      <c r="G600" s="1" t="s">
        <v>68</v>
      </c>
      <c r="H600" s="1">
        <v>2709.96</v>
      </c>
      <c r="I600" s="1">
        <v>545.49</v>
      </c>
      <c r="J600" s="44"/>
    </row>
    <row r="601" spans="1:10" x14ac:dyDescent="0.25">
      <c r="A601" s="7">
        <v>44321.25</v>
      </c>
      <c r="B601" s="1" t="s">
        <v>69</v>
      </c>
      <c r="C601" s="1">
        <v>756.54</v>
      </c>
      <c r="D601" s="1">
        <v>400.82</v>
      </c>
      <c r="F601" s="7">
        <v>44321.25</v>
      </c>
      <c r="G601" s="1" t="s">
        <v>69</v>
      </c>
      <c r="H601" s="1">
        <v>515.91</v>
      </c>
      <c r="I601" s="1">
        <v>266.54000000000002</v>
      </c>
      <c r="J601" s="44"/>
    </row>
    <row r="602" spans="1:10" x14ac:dyDescent="0.25">
      <c r="A602" s="7">
        <v>44321.25</v>
      </c>
      <c r="B602" s="1" t="s">
        <v>70</v>
      </c>
      <c r="C602" s="1">
        <v>1148.71</v>
      </c>
      <c r="D602" s="1">
        <v>415.7</v>
      </c>
      <c r="F602" s="7">
        <v>44321.25</v>
      </c>
      <c r="G602" s="1" t="s">
        <v>70</v>
      </c>
      <c r="H602" s="1">
        <v>1090.3699999999999</v>
      </c>
      <c r="I602" s="1">
        <v>341.73</v>
      </c>
      <c r="J602" s="44"/>
    </row>
    <row r="603" spans="1:10" x14ac:dyDescent="0.25">
      <c r="A603" s="7">
        <v>44321.25</v>
      </c>
      <c r="B603" s="1" t="s">
        <v>78</v>
      </c>
      <c r="C603" s="1">
        <v>399.93</v>
      </c>
      <c r="D603" s="1">
        <v>202.77</v>
      </c>
      <c r="F603" s="7">
        <v>44321.25</v>
      </c>
      <c r="G603" s="1" t="s">
        <v>78</v>
      </c>
      <c r="H603" s="1">
        <v>280.3</v>
      </c>
      <c r="I603" s="1">
        <v>119.27</v>
      </c>
      <c r="J603" s="44"/>
    </row>
    <row r="604" spans="1:10" x14ac:dyDescent="0.25">
      <c r="A604" s="7">
        <v>44321.25</v>
      </c>
      <c r="B604" s="1" t="s">
        <v>73</v>
      </c>
      <c r="C604" s="1">
        <v>1787.92</v>
      </c>
      <c r="D604" s="1">
        <v>191.14</v>
      </c>
      <c r="F604" s="7">
        <v>44321.25</v>
      </c>
      <c r="G604" s="1" t="s">
        <v>73</v>
      </c>
      <c r="H604" s="1">
        <v>1819.99</v>
      </c>
      <c r="I604" s="1">
        <v>148.88</v>
      </c>
      <c r="J604" s="44"/>
    </row>
    <row r="605" spans="1:10" x14ac:dyDescent="0.25">
      <c r="A605" s="7">
        <v>44321.25</v>
      </c>
      <c r="B605" s="1" t="s">
        <v>77</v>
      </c>
      <c r="C605" s="1">
        <v>2785.02</v>
      </c>
      <c r="D605" s="1">
        <v>831.79</v>
      </c>
      <c r="F605" s="7">
        <v>44321.25</v>
      </c>
      <c r="G605" s="1" t="s">
        <v>77</v>
      </c>
      <c r="H605" s="1">
        <v>2142.84</v>
      </c>
      <c r="I605" s="1">
        <v>522.63</v>
      </c>
      <c r="J605" s="44"/>
    </row>
    <row r="606" spans="1:10" x14ac:dyDescent="0.25">
      <c r="A606" s="7">
        <v>44321.25</v>
      </c>
      <c r="B606" s="1" t="s">
        <v>71</v>
      </c>
      <c r="C606" s="1">
        <v>3077.59</v>
      </c>
      <c r="D606" s="1">
        <v>749.75</v>
      </c>
      <c r="F606" s="7">
        <v>44321.25</v>
      </c>
      <c r="G606" s="1" t="s">
        <v>71</v>
      </c>
      <c r="H606" s="1">
        <v>3281.32</v>
      </c>
      <c r="I606" s="1">
        <v>582.03</v>
      </c>
      <c r="J606" s="44"/>
    </row>
    <row r="607" spans="1:10" x14ac:dyDescent="0.25">
      <c r="A607" s="7">
        <v>44321.291666666664</v>
      </c>
      <c r="B607" s="1" t="s">
        <v>74</v>
      </c>
      <c r="C607" s="1">
        <v>3467.65</v>
      </c>
      <c r="D607" s="1">
        <v>637.29</v>
      </c>
      <c r="F607" s="7">
        <v>44321.291666666664</v>
      </c>
      <c r="G607" s="1" t="s">
        <v>74</v>
      </c>
      <c r="H607" s="1">
        <v>3632.06</v>
      </c>
      <c r="I607" s="1">
        <v>476.78</v>
      </c>
      <c r="J607" s="44"/>
    </row>
    <row r="608" spans="1:10" x14ac:dyDescent="0.25">
      <c r="A608" s="7">
        <v>44321.291666666664</v>
      </c>
      <c r="B608" s="1" t="s">
        <v>78</v>
      </c>
      <c r="C608" s="1">
        <v>604.71</v>
      </c>
      <c r="D608" s="1">
        <v>267.14</v>
      </c>
      <c r="F608" s="7">
        <v>44321.291666666664</v>
      </c>
      <c r="G608" s="1" t="s">
        <v>78</v>
      </c>
      <c r="H608" s="1">
        <v>411.27</v>
      </c>
      <c r="I608" s="1">
        <v>154.21</v>
      </c>
      <c r="J608" s="44"/>
    </row>
    <row r="609" spans="1:10" x14ac:dyDescent="0.25">
      <c r="A609" s="7">
        <v>44321.291666666664</v>
      </c>
      <c r="B609" s="1" t="s">
        <v>75</v>
      </c>
      <c r="C609" s="1">
        <v>279.62</v>
      </c>
      <c r="D609" s="1">
        <v>96.38</v>
      </c>
      <c r="F609" s="7">
        <v>44321.291666666664</v>
      </c>
      <c r="G609" s="1" t="s">
        <v>75</v>
      </c>
      <c r="H609" s="1">
        <v>245.4</v>
      </c>
      <c r="I609" s="1">
        <v>59.28</v>
      </c>
      <c r="J609" s="44"/>
    </row>
    <row r="610" spans="1:10" x14ac:dyDescent="0.25">
      <c r="A610" s="7">
        <v>44321.291666666664</v>
      </c>
      <c r="B610" s="1" t="s">
        <v>73</v>
      </c>
      <c r="C610" s="1">
        <v>3552.77</v>
      </c>
      <c r="D610" s="1">
        <v>450.62</v>
      </c>
      <c r="F610" s="7">
        <v>44321.291666666664</v>
      </c>
      <c r="G610" s="1" t="s">
        <v>73</v>
      </c>
      <c r="H610" s="1">
        <v>3757.82</v>
      </c>
      <c r="I610" s="1">
        <v>373.21</v>
      </c>
      <c r="J610" s="44"/>
    </row>
    <row r="611" spans="1:10" x14ac:dyDescent="0.25">
      <c r="A611" s="7">
        <v>44321.291666666664</v>
      </c>
      <c r="B611" s="1" t="s">
        <v>77</v>
      </c>
      <c r="C611" s="1">
        <v>4416.3999999999996</v>
      </c>
      <c r="D611" s="1">
        <v>1237.6300000000001</v>
      </c>
      <c r="F611" s="7">
        <v>44321.291666666664</v>
      </c>
      <c r="G611" s="1" t="s">
        <v>77</v>
      </c>
      <c r="H611" s="1">
        <v>3439.92</v>
      </c>
      <c r="I611" s="1">
        <v>775.12</v>
      </c>
      <c r="J611" s="44"/>
    </row>
    <row r="612" spans="1:10" x14ac:dyDescent="0.25">
      <c r="A612" s="7">
        <v>44321.291666666664</v>
      </c>
      <c r="B612" s="1" t="s">
        <v>71</v>
      </c>
      <c r="C612" s="1">
        <v>5241.76</v>
      </c>
      <c r="D612" s="1">
        <v>1514.47</v>
      </c>
      <c r="F612" s="7">
        <v>44321.291666666664</v>
      </c>
      <c r="G612" s="1" t="s">
        <v>71</v>
      </c>
      <c r="H612" s="1">
        <v>5740.73</v>
      </c>
      <c r="I612" s="1">
        <v>1169.69</v>
      </c>
      <c r="J612" s="44"/>
    </row>
    <row r="613" spans="1:10" x14ac:dyDescent="0.25">
      <c r="A613" s="7">
        <v>44321.291666666664</v>
      </c>
      <c r="B613" s="1" t="s">
        <v>69</v>
      </c>
      <c r="C613" s="1">
        <v>1534.43</v>
      </c>
      <c r="D613" s="1">
        <v>846.99</v>
      </c>
      <c r="F613" s="7">
        <v>44321.291666666664</v>
      </c>
      <c r="G613" s="1" t="s">
        <v>69</v>
      </c>
      <c r="H613" s="1">
        <v>929.16</v>
      </c>
      <c r="I613" s="1">
        <v>498.83</v>
      </c>
      <c r="J613" s="44"/>
    </row>
    <row r="614" spans="1:10" x14ac:dyDescent="0.25">
      <c r="A614" s="7">
        <v>44321.291666666664</v>
      </c>
      <c r="B614" s="1" t="s">
        <v>70</v>
      </c>
      <c r="C614" s="1">
        <v>2366.6</v>
      </c>
      <c r="D614" s="1">
        <v>907.8</v>
      </c>
      <c r="F614" s="7">
        <v>44321.291666666664</v>
      </c>
      <c r="G614" s="1" t="s">
        <v>70</v>
      </c>
      <c r="H614" s="1">
        <v>2274.42</v>
      </c>
      <c r="I614" s="1">
        <v>749.55</v>
      </c>
      <c r="J614" s="44"/>
    </row>
    <row r="615" spans="1:10" x14ac:dyDescent="0.25">
      <c r="A615" s="7">
        <v>44321.291666666664</v>
      </c>
      <c r="B615" s="1" t="s">
        <v>76</v>
      </c>
      <c r="C615" s="1">
        <v>3933.03</v>
      </c>
      <c r="D615" s="1">
        <v>824.88</v>
      </c>
      <c r="F615" s="7">
        <v>44321.291666666664</v>
      </c>
      <c r="G615" s="1" t="s">
        <v>76</v>
      </c>
      <c r="H615" s="1">
        <v>4523.43</v>
      </c>
      <c r="I615" s="1">
        <v>742.17</v>
      </c>
      <c r="J615" s="44"/>
    </row>
    <row r="616" spans="1:10" x14ac:dyDescent="0.25">
      <c r="A616" s="7">
        <v>44321.291666666664</v>
      </c>
      <c r="B616" s="1" t="s">
        <v>72</v>
      </c>
      <c r="C616" s="1">
        <v>3291.4</v>
      </c>
      <c r="D616" s="1">
        <v>1419.36</v>
      </c>
      <c r="F616" s="7">
        <v>44321.291666666664</v>
      </c>
      <c r="G616" s="1" t="s">
        <v>72</v>
      </c>
      <c r="H616" s="1">
        <v>2343</v>
      </c>
      <c r="I616" s="1">
        <v>919.83</v>
      </c>
      <c r="J616" s="44"/>
    </row>
    <row r="617" spans="1:10" x14ac:dyDescent="0.25">
      <c r="A617" s="7">
        <v>44321.291666666664</v>
      </c>
      <c r="B617" s="1" t="s">
        <v>68</v>
      </c>
      <c r="C617" s="1">
        <v>4468.7</v>
      </c>
      <c r="D617" s="1">
        <v>1456.14</v>
      </c>
      <c r="F617" s="7">
        <v>44321.291666666664</v>
      </c>
      <c r="G617" s="1" t="s">
        <v>68</v>
      </c>
      <c r="H617" s="1">
        <v>4936.8</v>
      </c>
      <c r="I617" s="1">
        <v>1136.74</v>
      </c>
      <c r="J617" s="44"/>
    </row>
    <row r="618" spans="1:10" x14ac:dyDescent="0.25">
      <c r="A618" s="7">
        <v>44321.333333333336</v>
      </c>
      <c r="B618" s="1" t="s">
        <v>74</v>
      </c>
      <c r="C618" s="1">
        <v>5351.48</v>
      </c>
      <c r="D618" s="1">
        <v>1119.49</v>
      </c>
      <c r="F618" s="7">
        <v>44321.333333333336</v>
      </c>
      <c r="G618" s="1" t="s">
        <v>74</v>
      </c>
      <c r="H618" s="1">
        <v>5587.42</v>
      </c>
      <c r="I618" s="1">
        <v>869.4</v>
      </c>
      <c r="J618" s="44"/>
    </row>
    <row r="619" spans="1:10" x14ac:dyDescent="0.25">
      <c r="A619" s="7">
        <v>44321.333333333336</v>
      </c>
      <c r="B619" s="1" t="s">
        <v>75</v>
      </c>
      <c r="C619" s="1">
        <v>482.1</v>
      </c>
      <c r="D619" s="1">
        <v>186.57</v>
      </c>
      <c r="F619" s="7">
        <v>44321.333333333336</v>
      </c>
      <c r="G619" s="1" t="s">
        <v>75</v>
      </c>
      <c r="H619" s="1">
        <v>432.98</v>
      </c>
      <c r="I619" s="1">
        <v>116.24</v>
      </c>
      <c r="J619" s="44"/>
    </row>
    <row r="620" spans="1:10" x14ac:dyDescent="0.25">
      <c r="A620" s="7">
        <v>44321.333333333336</v>
      </c>
      <c r="B620" s="1" t="s">
        <v>73</v>
      </c>
      <c r="C620" s="1">
        <v>5135.95</v>
      </c>
      <c r="D620" s="1">
        <v>766.1</v>
      </c>
      <c r="F620" s="7">
        <v>44321.333333333336</v>
      </c>
      <c r="G620" s="1" t="s">
        <v>73</v>
      </c>
      <c r="H620" s="1">
        <v>5668.85</v>
      </c>
      <c r="I620" s="1">
        <v>656.51</v>
      </c>
      <c r="J620" s="44"/>
    </row>
    <row r="621" spans="1:10" x14ac:dyDescent="0.25">
      <c r="A621" s="7">
        <v>44321.333333333336</v>
      </c>
      <c r="B621" s="1" t="s">
        <v>77</v>
      </c>
      <c r="C621" s="1">
        <v>7066.09</v>
      </c>
      <c r="D621" s="1">
        <v>2160.14</v>
      </c>
      <c r="F621" s="7">
        <v>44321.333333333336</v>
      </c>
      <c r="G621" s="1" t="s">
        <v>77</v>
      </c>
      <c r="H621" s="1">
        <v>5537.82</v>
      </c>
      <c r="I621" s="1">
        <v>1408.56</v>
      </c>
      <c r="J621" s="44"/>
    </row>
    <row r="622" spans="1:10" x14ac:dyDescent="0.25">
      <c r="A622" s="7">
        <v>44321.333333333336</v>
      </c>
      <c r="B622" s="1" t="s">
        <v>71</v>
      </c>
      <c r="C622" s="1">
        <v>7029.99</v>
      </c>
      <c r="D622" s="1">
        <v>2401.98</v>
      </c>
      <c r="F622" s="7">
        <v>44321.333333333336</v>
      </c>
      <c r="G622" s="1" t="s">
        <v>71</v>
      </c>
      <c r="H622" s="1">
        <v>8025.69</v>
      </c>
      <c r="I622" s="1">
        <v>1888.58</v>
      </c>
      <c r="J622" s="44"/>
    </row>
    <row r="623" spans="1:10" x14ac:dyDescent="0.25">
      <c r="A623" s="7">
        <v>44321.333333333336</v>
      </c>
      <c r="B623" s="1" t="s">
        <v>70</v>
      </c>
      <c r="C623" s="1">
        <v>4029.86</v>
      </c>
      <c r="D623" s="1">
        <v>1732.59</v>
      </c>
      <c r="F623" s="7">
        <v>44321.333333333336</v>
      </c>
      <c r="G623" s="1" t="s">
        <v>70</v>
      </c>
      <c r="H623" s="1">
        <v>3948.89</v>
      </c>
      <c r="I623" s="1">
        <v>1418.67</v>
      </c>
      <c r="J623" s="44"/>
    </row>
    <row r="624" spans="1:10" x14ac:dyDescent="0.25">
      <c r="A624" s="7">
        <v>44321.333333333336</v>
      </c>
      <c r="B624" s="1" t="s">
        <v>78</v>
      </c>
      <c r="C624" s="1">
        <v>1039.51</v>
      </c>
      <c r="D624" s="1">
        <v>516.55999999999995</v>
      </c>
      <c r="F624" s="7">
        <v>44321.333333333336</v>
      </c>
      <c r="G624" s="1" t="s">
        <v>78</v>
      </c>
      <c r="H624" s="1">
        <v>722.73</v>
      </c>
      <c r="I624" s="1">
        <v>298.97000000000003</v>
      </c>
      <c r="J624" s="44"/>
    </row>
    <row r="625" spans="1:10" x14ac:dyDescent="0.25">
      <c r="A625" s="7">
        <v>44321.333333333336</v>
      </c>
      <c r="B625" s="1" t="s">
        <v>76</v>
      </c>
      <c r="C625" s="1">
        <v>6489.18</v>
      </c>
      <c r="D625" s="1">
        <v>1490.45</v>
      </c>
      <c r="F625" s="7">
        <v>44321.333333333336</v>
      </c>
      <c r="G625" s="1" t="s">
        <v>76</v>
      </c>
      <c r="H625" s="1">
        <v>7572.02</v>
      </c>
      <c r="I625" s="1">
        <v>1349.92</v>
      </c>
      <c r="J625" s="44"/>
    </row>
    <row r="626" spans="1:10" x14ac:dyDescent="0.25">
      <c r="A626" s="7">
        <v>44321.333333333336</v>
      </c>
      <c r="B626" s="1" t="s">
        <v>72</v>
      </c>
      <c r="C626" s="1">
        <v>5848.25</v>
      </c>
      <c r="D626" s="1">
        <v>2862.94</v>
      </c>
      <c r="F626" s="7">
        <v>44321.333333333336</v>
      </c>
      <c r="G626" s="1" t="s">
        <v>72</v>
      </c>
      <c r="H626" s="1">
        <v>4294.8900000000003</v>
      </c>
      <c r="I626" s="1">
        <v>1994.91</v>
      </c>
      <c r="J626" s="44"/>
    </row>
    <row r="627" spans="1:10" x14ac:dyDescent="0.25">
      <c r="A627" s="7">
        <v>44321.333333333336</v>
      </c>
      <c r="B627" s="1" t="s">
        <v>68</v>
      </c>
      <c r="C627" s="1">
        <v>6302.23</v>
      </c>
      <c r="D627" s="1">
        <v>2386.39</v>
      </c>
      <c r="F627" s="7">
        <v>44321.333333333336</v>
      </c>
      <c r="G627" s="1" t="s">
        <v>68</v>
      </c>
      <c r="H627" s="1">
        <v>7113.32</v>
      </c>
      <c r="I627" s="1">
        <v>1875.26</v>
      </c>
      <c r="J627" s="44"/>
    </row>
    <row r="628" spans="1:10" x14ac:dyDescent="0.25">
      <c r="A628" s="7">
        <v>44321.333333333336</v>
      </c>
      <c r="B628" s="1" t="s">
        <v>69</v>
      </c>
      <c r="C628" s="1">
        <v>2729.26</v>
      </c>
      <c r="D628" s="1">
        <v>1864.14</v>
      </c>
      <c r="F628" s="7">
        <v>44321.333333333336</v>
      </c>
      <c r="G628" s="1" t="s">
        <v>69</v>
      </c>
      <c r="H628" s="1">
        <v>1700.11</v>
      </c>
      <c r="I628" s="1">
        <v>1131.1300000000001</v>
      </c>
      <c r="J628" s="44"/>
    </row>
    <row r="629" spans="1:10" x14ac:dyDescent="0.25">
      <c r="A629" s="7">
        <v>44321.375</v>
      </c>
      <c r="B629" s="1" t="s">
        <v>75</v>
      </c>
      <c r="C629" s="1">
        <v>729.69</v>
      </c>
      <c r="D629" s="1">
        <v>339.66</v>
      </c>
      <c r="F629" s="7">
        <v>44321.375</v>
      </c>
      <c r="G629" s="1" t="s">
        <v>75</v>
      </c>
      <c r="H629" s="1">
        <v>675.15</v>
      </c>
      <c r="I629" s="1">
        <v>224.61</v>
      </c>
      <c r="J629" s="44"/>
    </row>
    <row r="630" spans="1:10" x14ac:dyDescent="0.25">
      <c r="A630" s="7">
        <v>44321.375</v>
      </c>
      <c r="B630" s="1" t="s">
        <v>78</v>
      </c>
      <c r="C630" s="1">
        <v>1615.85</v>
      </c>
      <c r="D630" s="1">
        <v>966.02</v>
      </c>
      <c r="F630" s="7">
        <v>44321.375</v>
      </c>
      <c r="G630" s="1" t="s">
        <v>78</v>
      </c>
      <c r="H630" s="1">
        <v>1218.7</v>
      </c>
      <c r="I630" s="1">
        <v>593.91</v>
      </c>
      <c r="J630" s="44"/>
    </row>
    <row r="631" spans="1:10" x14ac:dyDescent="0.25">
      <c r="A631" s="7">
        <v>44321.375</v>
      </c>
      <c r="B631" s="1" t="s">
        <v>74</v>
      </c>
      <c r="C631" s="1">
        <v>6875.93</v>
      </c>
      <c r="D631" s="1">
        <v>1692.23</v>
      </c>
      <c r="F631" s="7">
        <v>44321.375</v>
      </c>
      <c r="G631" s="1" t="s">
        <v>74</v>
      </c>
      <c r="H631" s="1">
        <v>7401.04</v>
      </c>
      <c r="I631" s="1">
        <v>1342.98</v>
      </c>
      <c r="J631" s="44"/>
    </row>
    <row r="632" spans="1:10" x14ac:dyDescent="0.25">
      <c r="A632" s="7">
        <v>44321.375</v>
      </c>
      <c r="B632" s="1" t="s">
        <v>68</v>
      </c>
      <c r="C632" s="1">
        <v>7639.74</v>
      </c>
      <c r="D632" s="1">
        <v>3290.88</v>
      </c>
      <c r="F632" s="7">
        <v>44321.375</v>
      </c>
      <c r="G632" s="1" t="s">
        <v>68</v>
      </c>
      <c r="H632" s="1">
        <v>8935.61</v>
      </c>
      <c r="I632" s="1">
        <v>2655.14</v>
      </c>
      <c r="J632" s="44"/>
    </row>
    <row r="633" spans="1:10" x14ac:dyDescent="0.25">
      <c r="A633" s="7">
        <v>44321.375</v>
      </c>
      <c r="B633" s="1" t="s">
        <v>77</v>
      </c>
      <c r="C633" s="1">
        <v>9655.0499999999993</v>
      </c>
      <c r="D633" s="1">
        <v>3245.39</v>
      </c>
      <c r="F633" s="7">
        <v>44321.375</v>
      </c>
      <c r="G633" s="1" t="s">
        <v>77</v>
      </c>
      <c r="H633" s="1">
        <v>7884.48</v>
      </c>
      <c r="I633" s="1">
        <v>2227.2800000000002</v>
      </c>
      <c r="J633" s="44"/>
    </row>
    <row r="634" spans="1:10" x14ac:dyDescent="0.25">
      <c r="A634" s="7">
        <v>44321.375</v>
      </c>
      <c r="B634" s="1" t="s">
        <v>71</v>
      </c>
      <c r="C634" s="1">
        <v>8350.7800000000007</v>
      </c>
      <c r="D634" s="1">
        <v>3198.17</v>
      </c>
      <c r="F634" s="7">
        <v>44321.375</v>
      </c>
      <c r="G634" s="1" t="s">
        <v>71</v>
      </c>
      <c r="H634" s="1">
        <v>9813.91</v>
      </c>
      <c r="I634" s="1">
        <v>2564.5100000000002</v>
      </c>
      <c r="J634" s="44"/>
    </row>
    <row r="635" spans="1:10" x14ac:dyDescent="0.25">
      <c r="A635" s="7">
        <v>44321.375</v>
      </c>
      <c r="B635" s="1" t="s">
        <v>69</v>
      </c>
      <c r="C635" s="1">
        <v>4376.87</v>
      </c>
      <c r="D635" s="1">
        <v>3599.99</v>
      </c>
      <c r="F635" s="7">
        <v>44321.375</v>
      </c>
      <c r="G635" s="1" t="s">
        <v>69</v>
      </c>
      <c r="H635" s="1">
        <v>2970.69</v>
      </c>
      <c r="I635" s="1">
        <v>2407.61</v>
      </c>
      <c r="J635" s="44"/>
    </row>
    <row r="636" spans="1:10" x14ac:dyDescent="0.25">
      <c r="A636" s="7">
        <v>44321.375</v>
      </c>
      <c r="B636" s="1" t="s">
        <v>70</v>
      </c>
      <c r="C636" s="1">
        <v>5686.84</v>
      </c>
      <c r="D636" s="1">
        <v>2705.37</v>
      </c>
      <c r="F636" s="7">
        <v>44321.375</v>
      </c>
      <c r="G636" s="1" t="s">
        <v>70</v>
      </c>
      <c r="H636" s="1">
        <v>5683.17</v>
      </c>
      <c r="I636" s="1">
        <v>2292.15</v>
      </c>
      <c r="J636" s="44"/>
    </row>
    <row r="637" spans="1:10" x14ac:dyDescent="0.25">
      <c r="A637" s="7">
        <v>44321.375</v>
      </c>
      <c r="B637" s="1" t="s">
        <v>76</v>
      </c>
      <c r="C637" s="1">
        <v>8658.6299999999992</v>
      </c>
      <c r="D637" s="1">
        <v>2293.15</v>
      </c>
      <c r="F637" s="7">
        <v>44321.375</v>
      </c>
      <c r="G637" s="1" t="s">
        <v>76</v>
      </c>
      <c r="H637" s="1">
        <v>10358.040000000001</v>
      </c>
      <c r="I637" s="1">
        <v>2112.6</v>
      </c>
      <c r="J637" s="44"/>
    </row>
    <row r="638" spans="1:10" x14ac:dyDescent="0.25">
      <c r="A638" s="7">
        <v>44321.375</v>
      </c>
      <c r="B638" s="1" t="s">
        <v>73</v>
      </c>
      <c r="C638" s="1">
        <v>6313.76</v>
      </c>
      <c r="D638" s="1">
        <v>1095.78</v>
      </c>
      <c r="F638" s="7">
        <v>44321.375</v>
      </c>
      <c r="G638" s="1" t="s">
        <v>73</v>
      </c>
      <c r="H638" s="1">
        <v>7189.49</v>
      </c>
      <c r="I638" s="1">
        <v>995.99</v>
      </c>
      <c r="J638" s="44"/>
    </row>
    <row r="639" spans="1:10" x14ac:dyDescent="0.25">
      <c r="A639" s="7">
        <v>44321.375</v>
      </c>
      <c r="B639" s="1" t="s">
        <v>72</v>
      </c>
      <c r="C639" s="1">
        <v>8870.09</v>
      </c>
      <c r="D639" s="1">
        <v>5100.55</v>
      </c>
      <c r="F639" s="7">
        <v>44321.375</v>
      </c>
      <c r="G639" s="1" t="s">
        <v>72</v>
      </c>
      <c r="H639" s="1">
        <v>6952.6</v>
      </c>
      <c r="I639" s="1">
        <v>3784.47</v>
      </c>
      <c r="J639" s="44"/>
    </row>
    <row r="640" spans="1:10" x14ac:dyDescent="0.25">
      <c r="A640" s="7">
        <v>44321.416666666664</v>
      </c>
      <c r="B640" s="1" t="s">
        <v>75</v>
      </c>
      <c r="C640" s="1">
        <v>935.19</v>
      </c>
      <c r="D640" s="1">
        <v>533.92999999999995</v>
      </c>
      <c r="F640" s="7">
        <v>44321.416666666664</v>
      </c>
      <c r="G640" s="1" t="s">
        <v>75</v>
      </c>
      <c r="H640" s="1">
        <v>894.5</v>
      </c>
      <c r="I640" s="1">
        <v>347.28</v>
      </c>
      <c r="J640" s="44"/>
    </row>
    <row r="641" spans="1:10" x14ac:dyDescent="0.25">
      <c r="A641" s="7">
        <v>44321.416666666664</v>
      </c>
      <c r="B641" s="1" t="s">
        <v>74</v>
      </c>
      <c r="C641" s="1">
        <v>7489.83</v>
      </c>
      <c r="D641" s="1">
        <v>2097.96</v>
      </c>
      <c r="F641" s="7">
        <v>44321.416666666664</v>
      </c>
      <c r="G641" s="1" t="s">
        <v>74</v>
      </c>
      <c r="H641" s="1">
        <v>8149.71</v>
      </c>
      <c r="I641" s="1">
        <v>1711.29</v>
      </c>
      <c r="J641" s="44"/>
    </row>
    <row r="642" spans="1:10" x14ac:dyDescent="0.25">
      <c r="A642" s="7">
        <v>44321.416666666664</v>
      </c>
      <c r="B642" s="1" t="s">
        <v>78</v>
      </c>
      <c r="C642" s="1">
        <v>2223.6999999999998</v>
      </c>
      <c r="D642" s="1">
        <v>1522.44</v>
      </c>
      <c r="F642" s="7">
        <v>44321.416666666664</v>
      </c>
      <c r="G642" s="1" t="s">
        <v>78</v>
      </c>
      <c r="H642" s="1">
        <v>1708.27</v>
      </c>
      <c r="I642" s="1">
        <v>1037.53</v>
      </c>
      <c r="J642" s="44"/>
    </row>
    <row r="643" spans="1:10" x14ac:dyDescent="0.25">
      <c r="A643" s="7">
        <v>44321.416666666664</v>
      </c>
      <c r="B643" s="1" t="s">
        <v>68</v>
      </c>
      <c r="C643" s="1">
        <v>8076.37</v>
      </c>
      <c r="D643" s="1">
        <v>3920.2</v>
      </c>
      <c r="F643" s="7">
        <v>44321.416666666664</v>
      </c>
      <c r="G643" s="1" t="s">
        <v>68</v>
      </c>
      <c r="H643" s="1">
        <v>9641.19</v>
      </c>
      <c r="I643" s="1">
        <v>3235.34</v>
      </c>
      <c r="J643" s="44"/>
    </row>
    <row r="644" spans="1:10" x14ac:dyDescent="0.25">
      <c r="A644" s="7">
        <v>44321.416666666664</v>
      </c>
      <c r="B644" s="1" t="s">
        <v>69</v>
      </c>
      <c r="C644" s="1">
        <v>5974.41</v>
      </c>
      <c r="D644" s="1">
        <v>5655.23</v>
      </c>
      <c r="F644" s="7">
        <v>44321.416666666664</v>
      </c>
      <c r="G644" s="1" t="s">
        <v>69</v>
      </c>
      <c r="H644" s="1">
        <v>4410.63</v>
      </c>
      <c r="I644" s="1">
        <v>4176.59</v>
      </c>
      <c r="J644" s="44"/>
    </row>
    <row r="645" spans="1:10" x14ac:dyDescent="0.25">
      <c r="A645" s="7">
        <v>44321.416666666664</v>
      </c>
      <c r="B645" s="1" t="s">
        <v>70</v>
      </c>
      <c r="C645" s="1">
        <v>6630.1</v>
      </c>
      <c r="D645" s="1">
        <v>3384.99</v>
      </c>
      <c r="F645" s="7">
        <v>44321.416666666664</v>
      </c>
      <c r="G645" s="1" t="s">
        <v>70</v>
      </c>
      <c r="H645" s="1">
        <v>6809.47</v>
      </c>
      <c r="I645" s="1">
        <v>2960.31</v>
      </c>
      <c r="J645" s="44"/>
    </row>
    <row r="646" spans="1:10" x14ac:dyDescent="0.25">
      <c r="A646" s="7">
        <v>44321.416666666664</v>
      </c>
      <c r="B646" s="1" t="s">
        <v>72</v>
      </c>
      <c r="C646" s="1">
        <v>11424.73</v>
      </c>
      <c r="D646" s="1">
        <v>7493.48</v>
      </c>
      <c r="F646" s="7">
        <v>44321.416666666664</v>
      </c>
      <c r="G646" s="1" t="s">
        <v>72</v>
      </c>
      <c r="H646" s="1">
        <v>9513.64</v>
      </c>
      <c r="I646" s="1">
        <v>5969.16</v>
      </c>
      <c r="J646" s="44"/>
    </row>
    <row r="647" spans="1:10" x14ac:dyDescent="0.25">
      <c r="A647" s="7">
        <v>44321.416666666664</v>
      </c>
      <c r="B647" s="1" t="s">
        <v>76</v>
      </c>
      <c r="C647" s="1">
        <v>10141.34</v>
      </c>
      <c r="D647" s="1">
        <v>2930.44</v>
      </c>
      <c r="F647" s="7">
        <v>44321.416666666664</v>
      </c>
      <c r="G647" s="1" t="s">
        <v>76</v>
      </c>
      <c r="H647" s="1">
        <v>12226.57</v>
      </c>
      <c r="I647" s="1">
        <v>2756.67</v>
      </c>
      <c r="J647" s="44"/>
    </row>
    <row r="648" spans="1:10" x14ac:dyDescent="0.25">
      <c r="A648" s="7">
        <v>44321.416666666664</v>
      </c>
      <c r="B648" s="1" t="s">
        <v>73</v>
      </c>
      <c r="C648" s="1">
        <v>6889.47</v>
      </c>
      <c r="D648" s="1">
        <v>1298.49</v>
      </c>
      <c r="F648" s="7">
        <v>44321.416666666664</v>
      </c>
      <c r="G648" s="1" t="s">
        <v>73</v>
      </c>
      <c r="H648" s="1">
        <v>7880.61</v>
      </c>
      <c r="I648" s="1">
        <v>1187.1500000000001</v>
      </c>
      <c r="J648" s="44"/>
    </row>
    <row r="649" spans="1:10" x14ac:dyDescent="0.25">
      <c r="A649" s="7">
        <v>44321.416666666664</v>
      </c>
      <c r="B649" s="1" t="s">
        <v>77</v>
      </c>
      <c r="C649" s="1">
        <v>11189.19</v>
      </c>
      <c r="D649" s="1">
        <v>4011.19</v>
      </c>
      <c r="F649" s="7">
        <v>44321.416666666664</v>
      </c>
      <c r="G649" s="1" t="s">
        <v>77</v>
      </c>
      <c r="H649" s="1">
        <v>9392.2199999999993</v>
      </c>
      <c r="I649" s="1">
        <v>2882.82</v>
      </c>
      <c r="J649" s="44"/>
    </row>
    <row r="650" spans="1:10" x14ac:dyDescent="0.25">
      <c r="A650" s="7">
        <v>44321.416666666664</v>
      </c>
      <c r="B650" s="1" t="s">
        <v>71</v>
      </c>
      <c r="C650" s="1">
        <v>8783.2999999999993</v>
      </c>
      <c r="D650" s="1">
        <v>3642.69</v>
      </c>
      <c r="F650" s="7">
        <v>44321.416666666664</v>
      </c>
      <c r="G650" s="1" t="s">
        <v>71</v>
      </c>
      <c r="H650" s="1">
        <v>10613.59</v>
      </c>
      <c r="I650" s="1">
        <v>3006.67</v>
      </c>
      <c r="J650" s="44"/>
    </row>
    <row r="651" spans="1:10" x14ac:dyDescent="0.25">
      <c r="A651" s="7">
        <v>44321.458333333336</v>
      </c>
      <c r="B651" s="1" t="s">
        <v>74</v>
      </c>
      <c r="C651" s="1">
        <v>7389.29</v>
      </c>
      <c r="D651" s="1">
        <v>2246.0100000000002</v>
      </c>
      <c r="F651" s="7">
        <v>44321.458333333336</v>
      </c>
      <c r="G651" s="1" t="s">
        <v>74</v>
      </c>
      <c r="H651" s="1">
        <v>8148.26</v>
      </c>
      <c r="I651" s="1">
        <v>1813.89</v>
      </c>
      <c r="J651" s="44"/>
    </row>
    <row r="652" spans="1:10" x14ac:dyDescent="0.25">
      <c r="A652" s="7">
        <v>44321.458333333336</v>
      </c>
      <c r="B652" s="1" t="s">
        <v>78</v>
      </c>
      <c r="C652" s="1">
        <v>2491.27</v>
      </c>
      <c r="D652" s="1">
        <v>1812.43</v>
      </c>
      <c r="F652" s="7">
        <v>44321.458333333336</v>
      </c>
      <c r="G652" s="1" t="s">
        <v>78</v>
      </c>
      <c r="H652" s="1">
        <v>1974.89</v>
      </c>
      <c r="I652" s="1">
        <v>1258.95</v>
      </c>
      <c r="J652" s="44"/>
    </row>
    <row r="653" spans="1:10" x14ac:dyDescent="0.25">
      <c r="A653" s="7">
        <v>44321.458333333336</v>
      </c>
      <c r="B653" s="1" t="s">
        <v>75</v>
      </c>
      <c r="C653" s="1">
        <v>1072.48</v>
      </c>
      <c r="D653" s="1">
        <v>652.4</v>
      </c>
      <c r="F653" s="7">
        <v>44321.458333333336</v>
      </c>
      <c r="G653" s="1" t="s">
        <v>75</v>
      </c>
      <c r="H653" s="1">
        <v>1039.47</v>
      </c>
      <c r="I653" s="1">
        <v>441.89</v>
      </c>
      <c r="J653" s="44"/>
    </row>
    <row r="654" spans="1:10" x14ac:dyDescent="0.25">
      <c r="A654" s="7">
        <v>44321.458333333336</v>
      </c>
      <c r="B654" s="1" t="s">
        <v>76</v>
      </c>
      <c r="C654" s="1">
        <v>10263.26</v>
      </c>
      <c r="D654" s="1">
        <v>3156.67</v>
      </c>
      <c r="F654" s="7">
        <v>44321.458333333336</v>
      </c>
      <c r="G654" s="1" t="s">
        <v>76</v>
      </c>
      <c r="H654" s="1">
        <v>12350.39</v>
      </c>
      <c r="I654" s="1">
        <v>2970</v>
      </c>
      <c r="J654" s="44"/>
    </row>
    <row r="655" spans="1:10" x14ac:dyDescent="0.25">
      <c r="A655" s="7">
        <v>44321.458333333336</v>
      </c>
      <c r="B655" s="1" t="s">
        <v>72</v>
      </c>
      <c r="C655" s="1">
        <v>12521.74</v>
      </c>
      <c r="D655" s="1">
        <v>8811.5400000000009</v>
      </c>
      <c r="F655" s="7">
        <v>44321.458333333336</v>
      </c>
      <c r="G655" s="1" t="s">
        <v>72</v>
      </c>
      <c r="H655" s="1">
        <v>10528.02</v>
      </c>
      <c r="I655" s="1">
        <v>7158.61</v>
      </c>
      <c r="J655" s="44"/>
    </row>
    <row r="656" spans="1:10" x14ac:dyDescent="0.25">
      <c r="A656" s="7">
        <v>44321.458333333336</v>
      </c>
      <c r="B656" s="1" t="s">
        <v>68</v>
      </c>
      <c r="C656" s="1">
        <v>7737.87</v>
      </c>
      <c r="D656" s="1">
        <v>3957.95</v>
      </c>
      <c r="F656" s="7">
        <v>44321.458333333336</v>
      </c>
      <c r="G656" s="1" t="s">
        <v>68</v>
      </c>
      <c r="H656" s="1">
        <v>9283.6200000000008</v>
      </c>
      <c r="I656" s="1">
        <v>3336.66</v>
      </c>
      <c r="J656" s="44"/>
    </row>
    <row r="657" spans="1:10" x14ac:dyDescent="0.25">
      <c r="A657" s="7">
        <v>44321.458333333336</v>
      </c>
      <c r="B657" s="1" t="s">
        <v>71</v>
      </c>
      <c r="C657" s="1">
        <v>8437.15</v>
      </c>
      <c r="D657" s="1">
        <v>3637.82</v>
      </c>
      <c r="F657" s="7">
        <v>44321.458333333336</v>
      </c>
      <c r="G657" s="1" t="s">
        <v>71</v>
      </c>
      <c r="H657" s="1">
        <v>10228.36</v>
      </c>
      <c r="I657" s="1">
        <v>2987.77</v>
      </c>
      <c r="J657" s="44"/>
    </row>
    <row r="658" spans="1:10" x14ac:dyDescent="0.25">
      <c r="A658" s="7">
        <v>44321.458333333336</v>
      </c>
      <c r="B658" s="1" t="s">
        <v>69</v>
      </c>
      <c r="C658" s="1">
        <v>6645.33</v>
      </c>
      <c r="D658" s="1">
        <v>6837.52</v>
      </c>
      <c r="F658" s="7">
        <v>44321.458333333336</v>
      </c>
      <c r="G658" s="1" t="s">
        <v>69</v>
      </c>
      <c r="H658" s="1">
        <v>5063.25</v>
      </c>
      <c r="I658" s="1">
        <v>5233.92</v>
      </c>
      <c r="J658" s="44"/>
    </row>
    <row r="659" spans="1:10" x14ac:dyDescent="0.25">
      <c r="A659" s="7">
        <v>44321.458333333336</v>
      </c>
      <c r="B659" s="1" t="s">
        <v>70</v>
      </c>
      <c r="C659" s="1">
        <v>6749.41</v>
      </c>
      <c r="D659" s="1">
        <v>3553.48</v>
      </c>
      <c r="F659" s="7">
        <v>44321.458333333336</v>
      </c>
      <c r="G659" s="1" t="s">
        <v>70</v>
      </c>
      <c r="H659" s="1">
        <v>7057.48</v>
      </c>
      <c r="I659" s="1">
        <v>3156.77</v>
      </c>
      <c r="J659" s="44"/>
    </row>
    <row r="660" spans="1:10" x14ac:dyDescent="0.25">
      <c r="A660" s="7">
        <v>44321.458333333336</v>
      </c>
      <c r="B660" s="1" t="s">
        <v>73</v>
      </c>
      <c r="C660" s="1">
        <v>6594.81</v>
      </c>
      <c r="D660" s="1">
        <v>1314.42</v>
      </c>
      <c r="F660" s="7">
        <v>44321.458333333336</v>
      </c>
      <c r="G660" s="1" t="s">
        <v>73</v>
      </c>
      <c r="H660" s="1">
        <v>7686.43</v>
      </c>
      <c r="I660" s="1">
        <v>1200.79</v>
      </c>
      <c r="J660" s="44"/>
    </row>
    <row r="661" spans="1:10" x14ac:dyDescent="0.25">
      <c r="A661" s="7">
        <v>44321.458333333336</v>
      </c>
      <c r="B661" s="1" t="s">
        <v>77</v>
      </c>
      <c r="C661" s="1">
        <v>11291.7</v>
      </c>
      <c r="D661" s="1">
        <v>4187.95</v>
      </c>
      <c r="F661" s="7">
        <v>44321.458333333336</v>
      </c>
      <c r="G661" s="1" t="s">
        <v>77</v>
      </c>
      <c r="H661" s="1">
        <v>9794.0300000000007</v>
      </c>
      <c r="I661" s="1">
        <v>3128.74</v>
      </c>
      <c r="J661" s="44"/>
    </row>
    <row r="662" spans="1:10" x14ac:dyDescent="0.25">
      <c r="A662" s="7">
        <v>44321.5</v>
      </c>
      <c r="B662" s="1" t="s">
        <v>74</v>
      </c>
      <c r="C662" s="1">
        <v>6936.41</v>
      </c>
      <c r="D662" s="1">
        <v>2152.5100000000002</v>
      </c>
      <c r="F662" s="7">
        <v>44321.5</v>
      </c>
      <c r="G662" s="1" t="s">
        <v>74</v>
      </c>
      <c r="H662" s="1">
        <v>7490.02</v>
      </c>
      <c r="I662" s="1">
        <v>1736.24</v>
      </c>
      <c r="J662" s="44"/>
    </row>
    <row r="663" spans="1:10" x14ac:dyDescent="0.25">
      <c r="A663" s="7">
        <v>44321.5</v>
      </c>
      <c r="B663" s="1" t="s">
        <v>75</v>
      </c>
      <c r="C663" s="1">
        <v>1078.5999999999999</v>
      </c>
      <c r="D663" s="1">
        <v>695.23</v>
      </c>
      <c r="F663" s="7">
        <v>44321.5</v>
      </c>
      <c r="G663" s="1" t="s">
        <v>75</v>
      </c>
      <c r="H663" s="1">
        <v>1038.93</v>
      </c>
      <c r="I663" s="1">
        <v>466.67</v>
      </c>
      <c r="J663" s="44"/>
    </row>
    <row r="664" spans="1:10" x14ac:dyDescent="0.25">
      <c r="A664" s="7">
        <v>44321.5</v>
      </c>
      <c r="B664" s="1" t="s">
        <v>76</v>
      </c>
      <c r="C664" s="1">
        <v>9408.59</v>
      </c>
      <c r="D664" s="1">
        <v>2938.85</v>
      </c>
      <c r="F664" s="7">
        <v>44321.5</v>
      </c>
      <c r="G664" s="1" t="s">
        <v>76</v>
      </c>
      <c r="H664" s="1">
        <v>11417.84</v>
      </c>
      <c r="I664" s="1">
        <v>2824.46</v>
      </c>
      <c r="J664" s="44"/>
    </row>
    <row r="665" spans="1:10" x14ac:dyDescent="0.25">
      <c r="A665" s="7">
        <v>44321.5</v>
      </c>
      <c r="B665" s="1" t="s">
        <v>73</v>
      </c>
      <c r="C665" s="1">
        <v>5975.61</v>
      </c>
      <c r="D665" s="1">
        <v>1221.27</v>
      </c>
      <c r="F665" s="7">
        <v>44321.5</v>
      </c>
      <c r="G665" s="1" t="s">
        <v>73</v>
      </c>
      <c r="H665" s="1">
        <v>6939.61</v>
      </c>
      <c r="I665" s="1">
        <v>1104.29</v>
      </c>
      <c r="J665" s="44"/>
    </row>
    <row r="666" spans="1:10" x14ac:dyDescent="0.25">
      <c r="A666" s="7">
        <v>44321.5</v>
      </c>
      <c r="B666" s="1" t="s">
        <v>68</v>
      </c>
      <c r="C666" s="1">
        <v>7126.76</v>
      </c>
      <c r="D666" s="1">
        <v>3682.36</v>
      </c>
      <c r="F666" s="7">
        <v>44321.5</v>
      </c>
      <c r="G666" s="1" t="s">
        <v>68</v>
      </c>
      <c r="H666" s="1">
        <v>8553.44</v>
      </c>
      <c r="I666" s="1">
        <v>3140.67</v>
      </c>
      <c r="J666" s="44"/>
    </row>
    <row r="667" spans="1:10" x14ac:dyDescent="0.25">
      <c r="A667" s="7">
        <v>44321.5</v>
      </c>
      <c r="B667" s="1" t="s">
        <v>77</v>
      </c>
      <c r="C667" s="1">
        <v>10468.34</v>
      </c>
      <c r="D667" s="1">
        <v>3877.2</v>
      </c>
      <c r="F667" s="7">
        <v>44321.5</v>
      </c>
      <c r="G667" s="1" t="s">
        <v>77</v>
      </c>
      <c r="H667" s="1">
        <v>9157.34</v>
      </c>
      <c r="I667" s="1">
        <v>2984.2</v>
      </c>
      <c r="J667" s="44"/>
    </row>
    <row r="668" spans="1:10" x14ac:dyDescent="0.25">
      <c r="A668" s="7">
        <v>44321.5</v>
      </c>
      <c r="B668" s="1" t="s">
        <v>71</v>
      </c>
      <c r="C668" s="1">
        <v>7642.02</v>
      </c>
      <c r="D668" s="1">
        <v>3251.31</v>
      </c>
      <c r="F668" s="7">
        <v>44321.5</v>
      </c>
      <c r="G668" s="1" t="s">
        <v>71</v>
      </c>
      <c r="H668" s="1">
        <v>9304.15</v>
      </c>
      <c r="I668" s="1">
        <v>2716.34</v>
      </c>
      <c r="J668" s="44"/>
    </row>
    <row r="669" spans="1:10" x14ac:dyDescent="0.25">
      <c r="A669" s="7">
        <v>44321.5</v>
      </c>
      <c r="B669" s="1" t="s">
        <v>70</v>
      </c>
      <c r="C669" s="1">
        <v>6236.52</v>
      </c>
      <c r="D669" s="1">
        <v>3366.16</v>
      </c>
      <c r="F669" s="7">
        <v>44321.5</v>
      </c>
      <c r="G669" s="1" t="s">
        <v>70</v>
      </c>
      <c r="H669" s="1">
        <v>6519.05</v>
      </c>
      <c r="I669" s="1">
        <v>2969.73</v>
      </c>
      <c r="J669" s="44"/>
    </row>
    <row r="670" spans="1:10" x14ac:dyDescent="0.25">
      <c r="A670" s="7">
        <v>44321.5</v>
      </c>
      <c r="B670" s="1" t="s">
        <v>78</v>
      </c>
      <c r="C670" s="1">
        <v>2477.65</v>
      </c>
      <c r="D670" s="1">
        <v>1834.46</v>
      </c>
      <c r="F670" s="7">
        <v>44321.5</v>
      </c>
      <c r="G670" s="1" t="s">
        <v>78</v>
      </c>
      <c r="H670" s="1">
        <v>1997.55</v>
      </c>
      <c r="I670" s="1">
        <v>1318.57</v>
      </c>
      <c r="J670" s="44"/>
    </row>
    <row r="671" spans="1:10" x14ac:dyDescent="0.25">
      <c r="A671" s="7">
        <v>44321.5</v>
      </c>
      <c r="B671" s="1" t="s">
        <v>72</v>
      </c>
      <c r="C671" s="1">
        <v>11938.51</v>
      </c>
      <c r="D671" s="1">
        <v>8749.81</v>
      </c>
      <c r="F671" s="7">
        <v>44321.5</v>
      </c>
      <c r="G671" s="1" t="s">
        <v>72</v>
      </c>
      <c r="H671" s="1">
        <v>10245.07</v>
      </c>
      <c r="I671" s="1">
        <v>7270.77</v>
      </c>
      <c r="J671" s="44"/>
    </row>
    <row r="672" spans="1:10" x14ac:dyDescent="0.25">
      <c r="A672" s="7">
        <v>44321.5</v>
      </c>
      <c r="B672" s="1" t="s">
        <v>69</v>
      </c>
      <c r="C672" s="1">
        <v>6375.23</v>
      </c>
      <c r="D672" s="1">
        <v>6857.74</v>
      </c>
      <c r="F672" s="7">
        <v>44321.5</v>
      </c>
      <c r="G672" s="1" t="s">
        <v>69</v>
      </c>
      <c r="H672" s="1">
        <v>4936.8</v>
      </c>
      <c r="I672" s="1">
        <v>5361.16</v>
      </c>
      <c r="J672" s="44"/>
    </row>
    <row r="673" spans="1:10" x14ac:dyDescent="0.25">
      <c r="A673" s="7">
        <v>44321.541666666664</v>
      </c>
      <c r="B673" s="1" t="s">
        <v>75</v>
      </c>
      <c r="C673" s="1">
        <v>926.81</v>
      </c>
      <c r="D673" s="1">
        <v>606.80999999999995</v>
      </c>
      <c r="F673" s="7">
        <v>44321.541666666664</v>
      </c>
      <c r="G673" s="1" t="s">
        <v>75</v>
      </c>
      <c r="H673" s="1">
        <v>897.05</v>
      </c>
      <c r="I673" s="1">
        <v>397.42</v>
      </c>
      <c r="J673" s="44"/>
    </row>
    <row r="674" spans="1:10" x14ac:dyDescent="0.25">
      <c r="A674" s="7">
        <v>44321.541666666664</v>
      </c>
      <c r="B674" s="1" t="s">
        <v>74</v>
      </c>
      <c r="C674" s="1">
        <v>5836.84</v>
      </c>
      <c r="D674" s="1">
        <v>1780.89</v>
      </c>
      <c r="F674" s="7">
        <v>44321.541666666664</v>
      </c>
      <c r="G674" s="1" t="s">
        <v>74</v>
      </c>
      <c r="H674" s="1">
        <v>6823.7</v>
      </c>
      <c r="I674" s="1">
        <v>1481.48</v>
      </c>
      <c r="J674" s="44"/>
    </row>
    <row r="675" spans="1:10" x14ac:dyDescent="0.25">
      <c r="A675" s="7">
        <v>44321.541666666664</v>
      </c>
      <c r="B675" s="1" t="s">
        <v>77</v>
      </c>
      <c r="C675" s="1">
        <v>11735.29</v>
      </c>
      <c r="D675" s="1">
        <v>4471.8900000000003</v>
      </c>
      <c r="F675" s="7">
        <v>44321.541666666664</v>
      </c>
      <c r="G675" s="1" t="s">
        <v>77</v>
      </c>
      <c r="H675" s="1">
        <v>9413.5499999999993</v>
      </c>
      <c r="I675" s="1">
        <v>2955.18</v>
      </c>
      <c r="J675" s="44"/>
    </row>
    <row r="676" spans="1:10" x14ac:dyDescent="0.25">
      <c r="A676" s="7">
        <v>44321.541666666664</v>
      </c>
      <c r="B676" s="1" t="s">
        <v>71</v>
      </c>
      <c r="C676" s="1">
        <v>6110.78</v>
      </c>
      <c r="D676" s="1">
        <v>2563.5</v>
      </c>
      <c r="F676" s="7">
        <v>44321.541666666664</v>
      </c>
      <c r="G676" s="1" t="s">
        <v>71</v>
      </c>
      <c r="H676" s="1">
        <v>7628.1</v>
      </c>
      <c r="I676" s="1">
        <v>2159.0300000000002</v>
      </c>
      <c r="J676" s="44"/>
    </row>
    <row r="677" spans="1:10" x14ac:dyDescent="0.25">
      <c r="A677" s="7">
        <v>44321.541666666664</v>
      </c>
      <c r="B677" s="1" t="s">
        <v>70</v>
      </c>
      <c r="C677" s="1">
        <v>5091.47</v>
      </c>
      <c r="D677" s="1">
        <v>2708.92</v>
      </c>
      <c r="F677" s="7">
        <v>44321.541666666664</v>
      </c>
      <c r="G677" s="1" t="s">
        <v>70</v>
      </c>
      <c r="H677" s="1">
        <v>5299.32</v>
      </c>
      <c r="I677" s="1">
        <v>2427.98</v>
      </c>
      <c r="J677" s="44"/>
    </row>
    <row r="678" spans="1:10" x14ac:dyDescent="0.25">
      <c r="A678" s="7">
        <v>44321.541666666664</v>
      </c>
      <c r="B678" s="1" t="s">
        <v>78</v>
      </c>
      <c r="C678" s="1">
        <v>2416.48</v>
      </c>
      <c r="D678" s="1">
        <v>1710.96</v>
      </c>
      <c r="F678" s="7">
        <v>44321.541666666664</v>
      </c>
      <c r="G678" s="1" t="s">
        <v>78</v>
      </c>
      <c r="H678" s="1">
        <v>1869.12</v>
      </c>
      <c r="I678" s="1">
        <v>1197.8599999999999</v>
      </c>
      <c r="J678" s="44"/>
    </row>
    <row r="679" spans="1:10" x14ac:dyDescent="0.25">
      <c r="A679" s="7">
        <v>44321.541666666664</v>
      </c>
      <c r="B679" s="1" t="s">
        <v>72</v>
      </c>
      <c r="C679" s="1">
        <v>10499.57</v>
      </c>
      <c r="D679" s="1">
        <v>7547.33</v>
      </c>
      <c r="F679" s="7">
        <v>44321.541666666664</v>
      </c>
      <c r="G679" s="1" t="s">
        <v>72</v>
      </c>
      <c r="H679" s="1">
        <v>8633.16</v>
      </c>
      <c r="I679" s="1">
        <v>6158.2</v>
      </c>
      <c r="J679" s="44"/>
    </row>
    <row r="680" spans="1:10" x14ac:dyDescent="0.25">
      <c r="A680" s="7">
        <v>44321.541666666664</v>
      </c>
      <c r="B680" s="1" t="s">
        <v>76</v>
      </c>
      <c r="C680" s="1">
        <v>8279.59</v>
      </c>
      <c r="D680" s="1">
        <v>2660.95</v>
      </c>
      <c r="F680" s="7">
        <v>44321.541666666664</v>
      </c>
      <c r="G680" s="1" t="s">
        <v>76</v>
      </c>
      <c r="H680" s="1">
        <v>10511.02</v>
      </c>
      <c r="I680" s="1">
        <v>2528.11</v>
      </c>
      <c r="J680" s="44"/>
    </row>
    <row r="681" spans="1:10" x14ac:dyDescent="0.25">
      <c r="A681" s="7">
        <v>44321.541666666664</v>
      </c>
      <c r="B681" s="1" t="s">
        <v>73</v>
      </c>
      <c r="C681" s="1">
        <v>4605.9399999999996</v>
      </c>
      <c r="D681" s="1">
        <v>926.49</v>
      </c>
      <c r="F681" s="7">
        <v>44321.541666666664</v>
      </c>
      <c r="G681" s="1" t="s">
        <v>73</v>
      </c>
      <c r="H681" s="1">
        <v>5604.77</v>
      </c>
      <c r="I681" s="1">
        <v>868.45</v>
      </c>
      <c r="J681" s="44"/>
    </row>
    <row r="682" spans="1:10" x14ac:dyDescent="0.25">
      <c r="A682" s="7">
        <v>44321.541666666664</v>
      </c>
      <c r="B682" s="1" t="s">
        <v>68</v>
      </c>
      <c r="C682" s="1">
        <v>5749.02</v>
      </c>
      <c r="D682" s="1">
        <v>2881.11</v>
      </c>
      <c r="F682" s="7">
        <v>44321.541666666664</v>
      </c>
      <c r="G682" s="1" t="s">
        <v>68</v>
      </c>
      <c r="H682" s="1">
        <v>6960.53</v>
      </c>
      <c r="I682" s="1">
        <v>2512.7800000000002</v>
      </c>
      <c r="J682" s="44"/>
    </row>
    <row r="683" spans="1:10" x14ac:dyDescent="0.25">
      <c r="A683" s="7">
        <v>44321.541666666664</v>
      </c>
      <c r="B683" s="1" t="s">
        <v>69</v>
      </c>
      <c r="C683" s="1">
        <v>5815.15</v>
      </c>
      <c r="D683" s="1">
        <v>5985.19</v>
      </c>
      <c r="F683" s="7">
        <v>44321.541666666664</v>
      </c>
      <c r="G683" s="1" t="s">
        <v>69</v>
      </c>
      <c r="H683" s="1">
        <v>4403.25</v>
      </c>
      <c r="I683" s="1">
        <v>4676.5200000000004</v>
      </c>
      <c r="J683" s="44"/>
    </row>
    <row r="684" spans="1:10" x14ac:dyDescent="0.25">
      <c r="A684" s="7">
        <v>44321.583333333336</v>
      </c>
      <c r="B684" s="1" t="s">
        <v>75</v>
      </c>
      <c r="C684" s="1">
        <v>995.84</v>
      </c>
      <c r="D684" s="1">
        <v>660.79</v>
      </c>
      <c r="F684" s="7">
        <v>44321.583333333336</v>
      </c>
      <c r="G684" s="1" t="s">
        <v>75</v>
      </c>
      <c r="H684" s="1">
        <v>983.98</v>
      </c>
      <c r="I684" s="1">
        <v>464.71</v>
      </c>
      <c r="J684" s="44"/>
    </row>
    <row r="685" spans="1:10" x14ac:dyDescent="0.25">
      <c r="A685" s="7">
        <v>44321.583333333336</v>
      </c>
      <c r="B685" s="1" t="s">
        <v>74</v>
      </c>
      <c r="C685" s="1">
        <v>6326.47</v>
      </c>
      <c r="D685" s="1">
        <v>1912.29</v>
      </c>
      <c r="F685" s="7">
        <v>44321.583333333336</v>
      </c>
      <c r="G685" s="1" t="s">
        <v>74</v>
      </c>
      <c r="H685" s="1">
        <v>7166.56</v>
      </c>
      <c r="I685" s="1">
        <v>1581.29</v>
      </c>
      <c r="J685" s="44"/>
    </row>
    <row r="686" spans="1:10" x14ac:dyDescent="0.25">
      <c r="A686" s="7">
        <v>44321.583333333336</v>
      </c>
      <c r="B686" s="1" t="s">
        <v>72</v>
      </c>
      <c r="C686" s="1">
        <v>11370.88</v>
      </c>
      <c r="D686" s="1">
        <v>8059.48</v>
      </c>
      <c r="F686" s="7">
        <v>44321.583333333336</v>
      </c>
      <c r="G686" s="1" t="s">
        <v>72</v>
      </c>
      <c r="H686" s="1">
        <v>9348.9500000000007</v>
      </c>
      <c r="I686" s="1">
        <v>6560.53</v>
      </c>
      <c r="J686" s="44"/>
    </row>
    <row r="687" spans="1:10" x14ac:dyDescent="0.25">
      <c r="A687" s="7">
        <v>44321.583333333336</v>
      </c>
      <c r="B687" s="1" t="s">
        <v>68</v>
      </c>
      <c r="C687" s="1">
        <v>6550.97</v>
      </c>
      <c r="D687" s="1">
        <v>3080.86</v>
      </c>
      <c r="F687" s="7">
        <v>44321.583333333336</v>
      </c>
      <c r="G687" s="1" t="s">
        <v>68</v>
      </c>
      <c r="H687" s="1">
        <v>7895.57</v>
      </c>
      <c r="I687" s="1">
        <v>2687.5</v>
      </c>
      <c r="J687" s="44"/>
    </row>
    <row r="688" spans="1:10" x14ac:dyDescent="0.25">
      <c r="A688" s="7">
        <v>44321.583333333336</v>
      </c>
      <c r="B688" s="1" t="s">
        <v>77</v>
      </c>
      <c r="C688" s="1">
        <v>9848.23</v>
      </c>
      <c r="D688" s="1">
        <v>3653.21</v>
      </c>
      <c r="F688" s="7">
        <v>44321.583333333336</v>
      </c>
      <c r="G688" s="1" t="s">
        <v>77</v>
      </c>
      <c r="H688" s="1">
        <v>8322.8799999999992</v>
      </c>
      <c r="I688" s="1">
        <v>2692.99</v>
      </c>
      <c r="J688" s="44"/>
    </row>
    <row r="689" spans="1:10" x14ac:dyDescent="0.25">
      <c r="A689" s="7">
        <v>44321.583333333336</v>
      </c>
      <c r="B689" s="1" t="s">
        <v>71</v>
      </c>
      <c r="C689" s="1">
        <v>6779.01</v>
      </c>
      <c r="D689" s="1">
        <v>2717.07</v>
      </c>
      <c r="F689" s="7">
        <v>44321.583333333336</v>
      </c>
      <c r="G689" s="1" t="s">
        <v>71</v>
      </c>
      <c r="H689" s="1">
        <v>8331.84</v>
      </c>
      <c r="I689" s="1">
        <v>2305.8200000000002</v>
      </c>
      <c r="J689" s="44"/>
    </row>
    <row r="690" spans="1:10" x14ac:dyDescent="0.25">
      <c r="A690" s="7">
        <v>44321.583333333336</v>
      </c>
      <c r="B690" s="1" t="s">
        <v>69</v>
      </c>
      <c r="C690" s="1">
        <v>6097.8</v>
      </c>
      <c r="D690" s="1">
        <v>6105.92</v>
      </c>
      <c r="F690" s="7">
        <v>44321.583333333336</v>
      </c>
      <c r="G690" s="1" t="s">
        <v>69</v>
      </c>
      <c r="H690" s="1">
        <v>4533.93</v>
      </c>
      <c r="I690" s="1">
        <v>4776.09</v>
      </c>
      <c r="J690" s="44"/>
    </row>
    <row r="691" spans="1:10" x14ac:dyDescent="0.25">
      <c r="A691" s="7">
        <v>44321.583333333336</v>
      </c>
      <c r="B691" s="1" t="s">
        <v>70</v>
      </c>
      <c r="C691" s="1">
        <v>5623.79</v>
      </c>
      <c r="D691" s="1">
        <v>2965.15</v>
      </c>
      <c r="F691" s="7">
        <v>44321.583333333336</v>
      </c>
      <c r="G691" s="1" t="s">
        <v>70</v>
      </c>
      <c r="H691" s="1">
        <v>5819.36</v>
      </c>
      <c r="I691" s="1">
        <v>2623</v>
      </c>
      <c r="J691" s="44"/>
    </row>
    <row r="692" spans="1:10" x14ac:dyDescent="0.25">
      <c r="A692" s="7">
        <v>44321.583333333336</v>
      </c>
      <c r="B692" s="1" t="s">
        <v>78</v>
      </c>
      <c r="C692" s="1">
        <v>2379.38</v>
      </c>
      <c r="D692" s="1">
        <v>1693.31</v>
      </c>
      <c r="F692" s="7">
        <v>44321.583333333336</v>
      </c>
      <c r="G692" s="1" t="s">
        <v>78</v>
      </c>
      <c r="H692" s="1">
        <v>1875.79</v>
      </c>
      <c r="I692" s="1">
        <v>1202.22</v>
      </c>
      <c r="J692" s="44"/>
    </row>
    <row r="693" spans="1:10" x14ac:dyDescent="0.25">
      <c r="A693" s="7">
        <v>44321.583333333336</v>
      </c>
      <c r="B693" s="1" t="s">
        <v>76</v>
      </c>
      <c r="C693" s="1">
        <v>8494.76</v>
      </c>
      <c r="D693" s="1">
        <v>2566.02</v>
      </c>
      <c r="F693" s="7">
        <v>44321.583333333336</v>
      </c>
      <c r="G693" s="1" t="s">
        <v>76</v>
      </c>
      <c r="H693" s="1">
        <v>10569.88</v>
      </c>
      <c r="I693" s="1">
        <v>2468.88</v>
      </c>
      <c r="J693" s="44"/>
    </row>
    <row r="694" spans="1:10" x14ac:dyDescent="0.25">
      <c r="A694" s="7">
        <v>44321.583333333336</v>
      </c>
      <c r="B694" s="1" t="s">
        <v>73</v>
      </c>
      <c r="C694" s="1">
        <v>5118.8100000000004</v>
      </c>
      <c r="D694" s="1">
        <v>947.01</v>
      </c>
      <c r="F694" s="7">
        <v>44321.583333333336</v>
      </c>
      <c r="G694" s="1" t="s">
        <v>73</v>
      </c>
      <c r="H694" s="1">
        <v>6237.16</v>
      </c>
      <c r="I694" s="1">
        <v>925</v>
      </c>
      <c r="J694" s="44"/>
    </row>
    <row r="695" spans="1:10" x14ac:dyDescent="0.25">
      <c r="A695" s="7">
        <v>44321.625</v>
      </c>
      <c r="B695" s="1" t="s">
        <v>75</v>
      </c>
      <c r="C695" s="1">
        <v>984.86</v>
      </c>
      <c r="D695" s="1">
        <v>662.43</v>
      </c>
      <c r="F695" s="7">
        <v>44321.625</v>
      </c>
      <c r="G695" s="1" t="s">
        <v>75</v>
      </c>
      <c r="H695" s="1">
        <v>964.82</v>
      </c>
      <c r="I695" s="1">
        <v>454.42</v>
      </c>
      <c r="J695" s="44"/>
    </row>
    <row r="696" spans="1:10" x14ac:dyDescent="0.25">
      <c r="A696" s="7">
        <v>44321.625</v>
      </c>
      <c r="B696" s="1" t="s">
        <v>74</v>
      </c>
      <c r="C696" s="1">
        <v>6208.77</v>
      </c>
      <c r="D696" s="1">
        <v>1924.44</v>
      </c>
      <c r="F696" s="7">
        <v>44321.625</v>
      </c>
      <c r="G696" s="1" t="s">
        <v>74</v>
      </c>
      <c r="H696" s="1">
        <v>7008.57</v>
      </c>
      <c r="I696" s="1">
        <v>1586.14</v>
      </c>
      <c r="J696" s="44"/>
    </row>
    <row r="697" spans="1:10" x14ac:dyDescent="0.25">
      <c r="A697" s="7">
        <v>44321.625</v>
      </c>
      <c r="B697" s="1" t="s">
        <v>72</v>
      </c>
      <c r="C697" s="1">
        <v>10950.99</v>
      </c>
      <c r="D697" s="1">
        <v>7858.29</v>
      </c>
      <c r="F697" s="7">
        <v>44321.625</v>
      </c>
      <c r="G697" s="1" t="s">
        <v>72</v>
      </c>
      <c r="H697" s="1">
        <v>9162.93</v>
      </c>
      <c r="I697" s="1">
        <v>6419.81</v>
      </c>
      <c r="J697" s="44"/>
    </row>
    <row r="698" spans="1:10" x14ac:dyDescent="0.25">
      <c r="A698" s="7">
        <v>44321.625</v>
      </c>
      <c r="B698" s="1" t="s">
        <v>68</v>
      </c>
      <c r="C698" s="1">
        <v>6595.66</v>
      </c>
      <c r="D698" s="1">
        <v>3190.85</v>
      </c>
      <c r="F698" s="7">
        <v>44321.625</v>
      </c>
      <c r="G698" s="1" t="s">
        <v>68</v>
      </c>
      <c r="H698" s="1">
        <v>7952.12</v>
      </c>
      <c r="I698" s="1">
        <v>2648.68</v>
      </c>
      <c r="J698" s="44"/>
    </row>
    <row r="699" spans="1:10" x14ac:dyDescent="0.25">
      <c r="A699" s="7">
        <v>44321.625</v>
      </c>
      <c r="B699" s="1" t="s">
        <v>77</v>
      </c>
      <c r="C699" s="1">
        <v>9924.36</v>
      </c>
      <c r="D699" s="1">
        <v>3740.02</v>
      </c>
      <c r="F699" s="7">
        <v>44321.625</v>
      </c>
      <c r="G699" s="1" t="s">
        <v>77</v>
      </c>
      <c r="H699" s="1">
        <v>8507.07</v>
      </c>
      <c r="I699" s="1">
        <v>2711.02</v>
      </c>
      <c r="J699" s="44"/>
    </row>
    <row r="700" spans="1:10" x14ac:dyDescent="0.25">
      <c r="A700" s="7">
        <v>44321.625</v>
      </c>
      <c r="B700" s="1" t="s">
        <v>71</v>
      </c>
      <c r="C700" s="1">
        <v>6869.46</v>
      </c>
      <c r="D700" s="1">
        <v>2793.75</v>
      </c>
      <c r="F700" s="7">
        <v>44321.625</v>
      </c>
      <c r="G700" s="1" t="s">
        <v>71</v>
      </c>
      <c r="H700" s="1">
        <v>8494.58</v>
      </c>
      <c r="I700" s="1">
        <v>2339.1799999999998</v>
      </c>
      <c r="J700" s="44"/>
    </row>
    <row r="701" spans="1:10" x14ac:dyDescent="0.25">
      <c r="A701" s="7">
        <v>44321.625</v>
      </c>
      <c r="B701" s="1" t="s">
        <v>69</v>
      </c>
      <c r="C701" s="1">
        <v>5846.15</v>
      </c>
      <c r="D701" s="1">
        <v>5934.85</v>
      </c>
      <c r="F701" s="7">
        <v>44321.625</v>
      </c>
      <c r="G701" s="1" t="s">
        <v>69</v>
      </c>
      <c r="H701" s="1">
        <v>4413.6899999999996</v>
      </c>
      <c r="I701" s="1">
        <v>4590.72</v>
      </c>
      <c r="J701" s="44"/>
    </row>
    <row r="702" spans="1:10" x14ac:dyDescent="0.25">
      <c r="A702" s="7">
        <v>44321.625</v>
      </c>
      <c r="B702" s="1" t="s">
        <v>70</v>
      </c>
      <c r="C702" s="1">
        <v>5525.23</v>
      </c>
      <c r="D702" s="1">
        <v>2965.83</v>
      </c>
      <c r="F702" s="7">
        <v>44321.625</v>
      </c>
      <c r="G702" s="1" t="s">
        <v>70</v>
      </c>
      <c r="H702" s="1">
        <v>5870.98</v>
      </c>
      <c r="I702" s="1">
        <v>2599.27</v>
      </c>
      <c r="J702" s="44"/>
    </row>
    <row r="703" spans="1:10" x14ac:dyDescent="0.25">
      <c r="A703" s="7">
        <v>44321.625</v>
      </c>
      <c r="B703" s="1" t="s">
        <v>78</v>
      </c>
      <c r="C703" s="1">
        <v>2283.87</v>
      </c>
      <c r="D703" s="1">
        <v>1660.01</v>
      </c>
      <c r="F703" s="7">
        <v>44321.625</v>
      </c>
      <c r="G703" s="1" t="s">
        <v>78</v>
      </c>
      <c r="H703" s="1">
        <v>1810.56</v>
      </c>
      <c r="I703" s="1">
        <v>1167.51</v>
      </c>
      <c r="J703" s="44"/>
    </row>
    <row r="704" spans="1:10" x14ac:dyDescent="0.25">
      <c r="A704" s="7">
        <v>44321.625</v>
      </c>
      <c r="B704" s="1" t="s">
        <v>76</v>
      </c>
      <c r="C704" s="1">
        <v>8648.08</v>
      </c>
      <c r="D704" s="1">
        <v>2654.37</v>
      </c>
      <c r="F704" s="7">
        <v>44321.625</v>
      </c>
      <c r="G704" s="1" t="s">
        <v>76</v>
      </c>
      <c r="H704" s="1">
        <v>10591.89</v>
      </c>
      <c r="I704" s="1">
        <v>2514.27</v>
      </c>
      <c r="J704" s="44"/>
    </row>
    <row r="705" spans="1:10" x14ac:dyDescent="0.25">
      <c r="A705" s="7">
        <v>44321.625</v>
      </c>
      <c r="B705" s="1" t="s">
        <v>73</v>
      </c>
      <c r="C705" s="1">
        <v>5313.77</v>
      </c>
      <c r="D705" s="1">
        <v>1009.06</v>
      </c>
      <c r="F705" s="7">
        <v>44321.625</v>
      </c>
      <c r="G705" s="1" t="s">
        <v>73</v>
      </c>
      <c r="H705" s="1">
        <v>6399.46</v>
      </c>
      <c r="I705" s="1">
        <v>928.33</v>
      </c>
      <c r="J705" s="44"/>
    </row>
    <row r="706" spans="1:10" x14ac:dyDescent="0.25">
      <c r="A706" s="7">
        <v>44321.666666666664</v>
      </c>
      <c r="B706" s="1" t="s">
        <v>74</v>
      </c>
      <c r="C706" s="1">
        <v>5916.75</v>
      </c>
      <c r="D706" s="1">
        <v>1845.7</v>
      </c>
      <c r="F706" s="7">
        <v>44321.666666666664</v>
      </c>
      <c r="G706" s="1" t="s">
        <v>74</v>
      </c>
      <c r="H706" s="1">
        <v>6597.86</v>
      </c>
      <c r="I706" s="1">
        <v>1493.15</v>
      </c>
      <c r="J706" s="44"/>
    </row>
    <row r="707" spans="1:10" x14ac:dyDescent="0.25">
      <c r="A707" s="7">
        <v>44321.666666666664</v>
      </c>
      <c r="B707" s="1" t="s">
        <v>78</v>
      </c>
      <c r="C707" s="1">
        <v>2100.3000000000002</v>
      </c>
      <c r="D707" s="1">
        <v>1503.66</v>
      </c>
      <c r="F707" s="7">
        <v>44321.666666666664</v>
      </c>
      <c r="G707" s="1" t="s">
        <v>78</v>
      </c>
      <c r="H707" s="1">
        <v>1673.61</v>
      </c>
      <c r="I707" s="1">
        <v>1047.73</v>
      </c>
      <c r="J707" s="44"/>
    </row>
    <row r="708" spans="1:10" x14ac:dyDescent="0.25">
      <c r="A708" s="7">
        <v>44321.666666666664</v>
      </c>
      <c r="B708" s="1" t="s">
        <v>75</v>
      </c>
      <c r="C708" s="1">
        <v>940.49</v>
      </c>
      <c r="D708" s="1">
        <v>597.79999999999995</v>
      </c>
      <c r="F708" s="7">
        <v>44321.666666666664</v>
      </c>
      <c r="G708" s="1" t="s">
        <v>75</v>
      </c>
      <c r="H708" s="1">
        <v>915.17</v>
      </c>
      <c r="I708" s="1">
        <v>410.32</v>
      </c>
      <c r="J708" s="44"/>
    </row>
    <row r="709" spans="1:10" x14ac:dyDescent="0.25">
      <c r="A709" s="7">
        <v>44321.666666666664</v>
      </c>
      <c r="B709" s="1" t="s">
        <v>76</v>
      </c>
      <c r="C709" s="1">
        <v>8130.16</v>
      </c>
      <c r="D709" s="1">
        <v>2597.1</v>
      </c>
      <c r="F709" s="7">
        <v>44321.666666666664</v>
      </c>
      <c r="G709" s="1" t="s">
        <v>76</v>
      </c>
      <c r="H709" s="1">
        <v>10007.19</v>
      </c>
      <c r="I709" s="1">
        <v>2444.0100000000002</v>
      </c>
      <c r="J709" s="44"/>
    </row>
    <row r="710" spans="1:10" x14ac:dyDescent="0.25">
      <c r="A710" s="7">
        <v>44321.666666666664</v>
      </c>
      <c r="B710" s="1" t="s">
        <v>73</v>
      </c>
      <c r="C710" s="1">
        <v>5038.13</v>
      </c>
      <c r="D710" s="1">
        <v>1051.3900000000001</v>
      </c>
      <c r="F710" s="7">
        <v>44321.666666666664</v>
      </c>
      <c r="G710" s="1" t="s">
        <v>73</v>
      </c>
      <c r="H710" s="1">
        <v>6057.48</v>
      </c>
      <c r="I710" s="1">
        <v>953.37</v>
      </c>
      <c r="J710" s="44"/>
    </row>
    <row r="711" spans="1:10" x14ac:dyDescent="0.25">
      <c r="A711" s="7">
        <v>44321.666666666664</v>
      </c>
      <c r="B711" s="1" t="s">
        <v>68</v>
      </c>
      <c r="C711" s="1">
        <v>6535.94</v>
      </c>
      <c r="D711" s="1">
        <v>3304.96</v>
      </c>
      <c r="F711" s="7">
        <v>44321.666666666664</v>
      </c>
      <c r="G711" s="1" t="s">
        <v>68</v>
      </c>
      <c r="H711" s="1">
        <v>7829.3</v>
      </c>
      <c r="I711" s="1">
        <v>2741</v>
      </c>
      <c r="J711" s="44"/>
    </row>
    <row r="712" spans="1:10" x14ac:dyDescent="0.25">
      <c r="A712" s="7">
        <v>44321.666666666664</v>
      </c>
      <c r="B712" s="1" t="s">
        <v>71</v>
      </c>
      <c r="C712" s="1">
        <v>6488.8</v>
      </c>
      <c r="D712" s="1">
        <v>2812.41</v>
      </c>
      <c r="F712" s="7">
        <v>44321.666666666664</v>
      </c>
      <c r="G712" s="1" t="s">
        <v>71</v>
      </c>
      <c r="H712" s="1">
        <v>7999.13</v>
      </c>
      <c r="I712" s="1">
        <v>2296.38</v>
      </c>
      <c r="J712" s="44"/>
    </row>
    <row r="713" spans="1:10" x14ac:dyDescent="0.25">
      <c r="A713" s="7">
        <v>44321.666666666664</v>
      </c>
      <c r="B713" s="1" t="s">
        <v>69</v>
      </c>
      <c r="C713" s="1">
        <v>5315.93</v>
      </c>
      <c r="D713" s="1">
        <v>5494.87</v>
      </c>
      <c r="F713" s="7">
        <v>44321.666666666664</v>
      </c>
      <c r="G713" s="1" t="s">
        <v>69</v>
      </c>
      <c r="H713" s="1">
        <v>4082.95</v>
      </c>
      <c r="I713" s="1">
        <v>4241.03</v>
      </c>
      <c r="J713" s="44"/>
    </row>
    <row r="714" spans="1:10" x14ac:dyDescent="0.25">
      <c r="A714" s="7">
        <v>44321.666666666664</v>
      </c>
      <c r="B714" s="1" t="s">
        <v>72</v>
      </c>
      <c r="C714" s="1">
        <v>10132.049999999999</v>
      </c>
      <c r="D714" s="1">
        <v>7239.59</v>
      </c>
      <c r="F714" s="7">
        <v>44321.666666666664</v>
      </c>
      <c r="G714" s="1" t="s">
        <v>72</v>
      </c>
      <c r="H714" s="1">
        <v>8519.34</v>
      </c>
      <c r="I714" s="1">
        <v>5908.32</v>
      </c>
      <c r="J714" s="44"/>
    </row>
    <row r="715" spans="1:10" x14ac:dyDescent="0.25">
      <c r="A715" s="7">
        <v>44321.666666666664</v>
      </c>
      <c r="B715" s="1" t="s">
        <v>77</v>
      </c>
      <c r="C715" s="1">
        <v>9784.67</v>
      </c>
      <c r="D715" s="1">
        <v>3753.5</v>
      </c>
      <c r="F715" s="7">
        <v>44321.666666666664</v>
      </c>
      <c r="G715" s="1" t="s">
        <v>77</v>
      </c>
      <c r="H715" s="1">
        <v>8265.52</v>
      </c>
      <c r="I715" s="1">
        <v>2680.08</v>
      </c>
      <c r="J715" s="44"/>
    </row>
    <row r="716" spans="1:10" x14ac:dyDescent="0.25">
      <c r="A716" s="7">
        <v>44321.666666666664</v>
      </c>
      <c r="B716" s="1" t="s">
        <v>70</v>
      </c>
      <c r="C716" s="1">
        <v>5153.01</v>
      </c>
      <c r="D716" s="1">
        <v>2801.11</v>
      </c>
      <c r="F716" s="7">
        <v>44321.666666666664</v>
      </c>
      <c r="G716" s="1" t="s">
        <v>70</v>
      </c>
      <c r="H716" s="1">
        <v>5546.22</v>
      </c>
      <c r="I716" s="1">
        <v>2491.21</v>
      </c>
      <c r="J716" s="44"/>
    </row>
    <row r="717" spans="1:10" x14ac:dyDescent="0.25">
      <c r="A717" s="7">
        <v>44321.708333333336</v>
      </c>
      <c r="B717" s="1" t="s">
        <v>75</v>
      </c>
      <c r="C717" s="1">
        <v>920.52</v>
      </c>
      <c r="D717" s="1">
        <v>591.34</v>
      </c>
      <c r="F717" s="7">
        <v>44321.708333333336</v>
      </c>
      <c r="G717" s="1" t="s">
        <v>75</v>
      </c>
      <c r="H717" s="1">
        <v>879.44</v>
      </c>
      <c r="I717" s="1">
        <v>398.04</v>
      </c>
      <c r="J717" s="44"/>
    </row>
    <row r="718" spans="1:10" x14ac:dyDescent="0.25">
      <c r="A718" s="7">
        <v>44321.708333333336</v>
      </c>
      <c r="B718" s="1" t="s">
        <v>74</v>
      </c>
      <c r="C718" s="1">
        <v>6032.72</v>
      </c>
      <c r="D718" s="1">
        <v>1886.85</v>
      </c>
      <c r="F718" s="7">
        <v>44321.708333333336</v>
      </c>
      <c r="G718" s="1" t="s">
        <v>74</v>
      </c>
      <c r="H718" s="1">
        <v>6846.02</v>
      </c>
      <c r="I718" s="1">
        <v>1529.29</v>
      </c>
      <c r="J718" s="44"/>
    </row>
    <row r="719" spans="1:10" x14ac:dyDescent="0.25">
      <c r="A719" s="7">
        <v>44321.708333333336</v>
      </c>
      <c r="B719" s="1" t="s">
        <v>78</v>
      </c>
      <c r="C719" s="1">
        <v>2223.92</v>
      </c>
      <c r="D719" s="1">
        <v>1546.94</v>
      </c>
      <c r="F719" s="7">
        <v>44321.708333333336</v>
      </c>
      <c r="G719" s="1" t="s">
        <v>78</v>
      </c>
      <c r="H719" s="1">
        <v>1708.04</v>
      </c>
      <c r="I719" s="1">
        <v>1075.45</v>
      </c>
      <c r="J719" s="44"/>
    </row>
    <row r="720" spans="1:10" x14ac:dyDescent="0.25">
      <c r="A720" s="7">
        <v>44321.708333333336</v>
      </c>
      <c r="B720" s="1" t="s">
        <v>76</v>
      </c>
      <c r="C720" s="1">
        <v>8247.99</v>
      </c>
      <c r="D720" s="1">
        <v>2738.49</v>
      </c>
      <c r="F720" s="7">
        <v>44321.708333333336</v>
      </c>
      <c r="G720" s="1" t="s">
        <v>76</v>
      </c>
      <c r="H720" s="1">
        <v>10124.94</v>
      </c>
      <c r="I720" s="1">
        <v>2511.34</v>
      </c>
      <c r="J720" s="44"/>
    </row>
    <row r="721" spans="1:10" x14ac:dyDescent="0.25">
      <c r="A721" s="7">
        <v>44321.708333333336</v>
      </c>
      <c r="B721" s="1" t="s">
        <v>73</v>
      </c>
      <c r="C721" s="1">
        <v>5517.34</v>
      </c>
      <c r="D721" s="1">
        <v>1087.71</v>
      </c>
      <c r="F721" s="7">
        <v>44321.708333333336</v>
      </c>
      <c r="G721" s="1" t="s">
        <v>73</v>
      </c>
      <c r="H721" s="1">
        <v>6340.61</v>
      </c>
      <c r="I721" s="1">
        <v>988.91</v>
      </c>
      <c r="J721" s="44"/>
    </row>
    <row r="722" spans="1:10" x14ac:dyDescent="0.25">
      <c r="A722" s="7">
        <v>44321.708333333336</v>
      </c>
      <c r="B722" s="1" t="s">
        <v>68</v>
      </c>
      <c r="C722" s="1">
        <v>7029.07</v>
      </c>
      <c r="D722" s="1">
        <v>3536.5</v>
      </c>
      <c r="F722" s="7">
        <v>44321.708333333336</v>
      </c>
      <c r="G722" s="1" t="s">
        <v>68</v>
      </c>
      <c r="H722" s="1">
        <v>8446.44</v>
      </c>
      <c r="I722" s="1">
        <v>2894.13</v>
      </c>
      <c r="J722" s="44"/>
    </row>
    <row r="723" spans="1:10" x14ac:dyDescent="0.25">
      <c r="A723" s="7">
        <v>44321.708333333336</v>
      </c>
      <c r="B723" s="1" t="s">
        <v>71</v>
      </c>
      <c r="C723" s="1">
        <v>6548.17</v>
      </c>
      <c r="D723" s="1">
        <v>2922.24</v>
      </c>
      <c r="F723" s="7">
        <v>44321.708333333336</v>
      </c>
      <c r="G723" s="1" t="s">
        <v>71</v>
      </c>
      <c r="H723" s="1">
        <v>7965.35</v>
      </c>
      <c r="I723" s="1">
        <v>2393.9299999999998</v>
      </c>
      <c r="J723" s="44"/>
    </row>
    <row r="724" spans="1:10" x14ac:dyDescent="0.25">
      <c r="A724" s="7">
        <v>44321.708333333336</v>
      </c>
      <c r="B724" s="1" t="s">
        <v>70</v>
      </c>
      <c r="C724" s="1">
        <v>5221.25</v>
      </c>
      <c r="D724" s="1">
        <v>2821.51</v>
      </c>
      <c r="F724" s="7">
        <v>44321.708333333336</v>
      </c>
      <c r="G724" s="1" t="s">
        <v>70</v>
      </c>
      <c r="H724" s="1">
        <v>5464.16</v>
      </c>
      <c r="I724" s="1">
        <v>2518.66</v>
      </c>
      <c r="J724" s="44"/>
    </row>
    <row r="725" spans="1:10" x14ac:dyDescent="0.25">
      <c r="A725" s="7">
        <v>44321.708333333336</v>
      </c>
      <c r="B725" s="1" t="s">
        <v>72</v>
      </c>
      <c r="C725" s="1">
        <v>10006.09</v>
      </c>
      <c r="D725" s="1">
        <v>7033.18</v>
      </c>
      <c r="F725" s="7">
        <v>44321.708333333336</v>
      </c>
      <c r="G725" s="1" t="s">
        <v>72</v>
      </c>
      <c r="H725" s="1">
        <v>8335</v>
      </c>
      <c r="I725" s="1">
        <v>5657.88</v>
      </c>
      <c r="J725" s="44"/>
    </row>
    <row r="726" spans="1:10" x14ac:dyDescent="0.25">
      <c r="A726" s="7">
        <v>44321.708333333336</v>
      </c>
      <c r="B726" s="1" t="s">
        <v>77</v>
      </c>
      <c r="C726" s="1">
        <v>10911.09</v>
      </c>
      <c r="D726" s="1">
        <v>4313.43</v>
      </c>
      <c r="F726" s="7">
        <v>44321.708333333336</v>
      </c>
      <c r="G726" s="1" t="s">
        <v>77</v>
      </c>
      <c r="H726" s="1">
        <v>9017.35</v>
      </c>
      <c r="I726" s="1">
        <v>2919.49</v>
      </c>
      <c r="J726" s="44"/>
    </row>
    <row r="727" spans="1:10" x14ac:dyDescent="0.25">
      <c r="A727" s="7">
        <v>44321.708333333336</v>
      </c>
      <c r="B727" s="1" t="s">
        <v>69</v>
      </c>
      <c r="C727" s="1">
        <v>5235.9799999999996</v>
      </c>
      <c r="D727" s="1">
        <v>5237.32</v>
      </c>
      <c r="F727" s="7">
        <v>44321.708333333336</v>
      </c>
      <c r="G727" s="1" t="s">
        <v>69</v>
      </c>
      <c r="H727" s="1">
        <v>3995.54</v>
      </c>
      <c r="I727" s="1">
        <v>3937.45</v>
      </c>
      <c r="J727" s="44"/>
    </row>
    <row r="728" spans="1:10" x14ac:dyDescent="0.25">
      <c r="A728" s="7">
        <v>44321.75</v>
      </c>
      <c r="B728" s="1" t="s">
        <v>75</v>
      </c>
      <c r="C728" s="1">
        <v>693.49</v>
      </c>
      <c r="D728" s="1">
        <v>389.16</v>
      </c>
      <c r="F728" s="7">
        <v>44321.75</v>
      </c>
      <c r="G728" s="1" t="s">
        <v>75</v>
      </c>
      <c r="H728" s="1">
        <v>659.66</v>
      </c>
      <c r="I728" s="1">
        <v>248.51</v>
      </c>
      <c r="J728" s="44"/>
    </row>
    <row r="729" spans="1:10" x14ac:dyDescent="0.25">
      <c r="A729" s="7">
        <v>44321.75</v>
      </c>
      <c r="B729" s="1" t="s">
        <v>74</v>
      </c>
      <c r="C729" s="1">
        <v>4695.5600000000004</v>
      </c>
      <c r="D729" s="1">
        <v>1241.99</v>
      </c>
      <c r="F729" s="7">
        <v>44321.75</v>
      </c>
      <c r="G729" s="1" t="s">
        <v>74</v>
      </c>
      <c r="H729" s="1">
        <v>5618.23</v>
      </c>
      <c r="I729" s="1">
        <v>1041.3599999999999</v>
      </c>
      <c r="J729" s="44"/>
    </row>
    <row r="730" spans="1:10" x14ac:dyDescent="0.25">
      <c r="A730" s="7">
        <v>44321.75</v>
      </c>
      <c r="B730" s="1" t="s">
        <v>76</v>
      </c>
      <c r="C730" s="1">
        <v>6518.27</v>
      </c>
      <c r="D730" s="1">
        <v>1965.35</v>
      </c>
      <c r="F730" s="7">
        <v>44321.75</v>
      </c>
      <c r="G730" s="1" t="s">
        <v>76</v>
      </c>
      <c r="H730" s="1">
        <v>8237.7999999999993</v>
      </c>
      <c r="I730" s="1">
        <v>1828.37</v>
      </c>
      <c r="J730" s="44"/>
    </row>
    <row r="731" spans="1:10" x14ac:dyDescent="0.25">
      <c r="A731" s="7">
        <v>44321.75</v>
      </c>
      <c r="B731" s="1" t="s">
        <v>77</v>
      </c>
      <c r="C731" s="1">
        <v>9968.91</v>
      </c>
      <c r="D731" s="1">
        <v>3515.89</v>
      </c>
      <c r="F731" s="7">
        <v>44321.75</v>
      </c>
      <c r="G731" s="1" t="s">
        <v>77</v>
      </c>
      <c r="H731" s="1">
        <v>7445.84</v>
      </c>
      <c r="I731" s="1">
        <v>2134.4299999999998</v>
      </c>
      <c r="J731" s="44"/>
    </row>
    <row r="732" spans="1:10" x14ac:dyDescent="0.25">
      <c r="A732" s="7">
        <v>44321.75</v>
      </c>
      <c r="B732" s="1" t="s">
        <v>71</v>
      </c>
      <c r="C732" s="1">
        <v>5043.42</v>
      </c>
      <c r="D732" s="1">
        <v>2189.84</v>
      </c>
      <c r="F732" s="7">
        <v>44321.75</v>
      </c>
      <c r="G732" s="1" t="s">
        <v>71</v>
      </c>
      <c r="H732" s="1">
        <v>6022.24</v>
      </c>
      <c r="I732" s="1">
        <v>1740.57</v>
      </c>
      <c r="J732" s="44"/>
    </row>
    <row r="733" spans="1:10" x14ac:dyDescent="0.25">
      <c r="A733" s="7">
        <v>44321.75</v>
      </c>
      <c r="B733" s="1" t="s">
        <v>69</v>
      </c>
      <c r="C733" s="1">
        <v>3702</v>
      </c>
      <c r="D733" s="1">
        <v>3007.82</v>
      </c>
      <c r="F733" s="7">
        <v>44321.75</v>
      </c>
      <c r="G733" s="1" t="s">
        <v>69</v>
      </c>
      <c r="H733" s="1">
        <v>2660.15</v>
      </c>
      <c r="I733" s="1">
        <v>2147.5700000000002</v>
      </c>
      <c r="J733" s="44"/>
    </row>
    <row r="734" spans="1:10" x14ac:dyDescent="0.25">
      <c r="A734" s="7">
        <v>44321.75</v>
      </c>
      <c r="B734" s="1" t="s">
        <v>70</v>
      </c>
      <c r="C734" s="1">
        <v>3912.95</v>
      </c>
      <c r="D734" s="1">
        <v>1852.74</v>
      </c>
      <c r="F734" s="7">
        <v>44321.75</v>
      </c>
      <c r="G734" s="1" t="s">
        <v>70</v>
      </c>
      <c r="H734" s="1">
        <v>3938.61</v>
      </c>
      <c r="I734" s="1">
        <v>1675.23</v>
      </c>
      <c r="J734" s="44"/>
    </row>
    <row r="735" spans="1:10" x14ac:dyDescent="0.25">
      <c r="A735" s="7">
        <v>44321.75</v>
      </c>
      <c r="B735" s="1" t="s">
        <v>78</v>
      </c>
      <c r="C735" s="1">
        <v>1655.13</v>
      </c>
      <c r="D735" s="1">
        <v>990.75</v>
      </c>
      <c r="F735" s="7">
        <v>44321.75</v>
      </c>
      <c r="G735" s="1" t="s">
        <v>78</v>
      </c>
      <c r="H735" s="1">
        <v>1213.48</v>
      </c>
      <c r="I735" s="1">
        <v>653.13</v>
      </c>
      <c r="J735" s="44"/>
    </row>
    <row r="736" spans="1:10" x14ac:dyDescent="0.25">
      <c r="A736" s="7">
        <v>44321.75</v>
      </c>
      <c r="B736" s="1" t="s">
        <v>73</v>
      </c>
      <c r="C736" s="1">
        <v>4712.53</v>
      </c>
      <c r="D736" s="1">
        <v>802.84</v>
      </c>
      <c r="F736" s="7">
        <v>44321.75</v>
      </c>
      <c r="G736" s="1" t="s">
        <v>73</v>
      </c>
      <c r="H736" s="1">
        <v>5111.34</v>
      </c>
      <c r="I736" s="1">
        <v>696.01</v>
      </c>
      <c r="J736" s="44"/>
    </row>
    <row r="737" spans="1:10" x14ac:dyDescent="0.25">
      <c r="A737" s="7">
        <v>44321.75</v>
      </c>
      <c r="B737" s="1" t="s">
        <v>72</v>
      </c>
      <c r="C737" s="1">
        <v>7008.19</v>
      </c>
      <c r="D737" s="1">
        <v>4229.96</v>
      </c>
      <c r="F737" s="7">
        <v>44321.75</v>
      </c>
      <c r="G737" s="1" t="s">
        <v>72</v>
      </c>
      <c r="H737" s="1">
        <v>5549.52</v>
      </c>
      <c r="I737" s="1">
        <v>3255.12</v>
      </c>
      <c r="J737" s="44"/>
    </row>
    <row r="738" spans="1:10" x14ac:dyDescent="0.25">
      <c r="A738" s="7">
        <v>44321.75</v>
      </c>
      <c r="B738" s="1" t="s">
        <v>68</v>
      </c>
      <c r="C738" s="1">
        <v>5764.21</v>
      </c>
      <c r="D738" s="1">
        <v>2637.34</v>
      </c>
      <c r="F738" s="7">
        <v>44321.75</v>
      </c>
      <c r="G738" s="1" t="s">
        <v>68</v>
      </c>
      <c r="H738" s="1">
        <v>6838.49</v>
      </c>
      <c r="I738" s="1">
        <v>2154.17</v>
      </c>
      <c r="J738" s="44"/>
    </row>
    <row r="739" spans="1:10" x14ac:dyDescent="0.25">
      <c r="A739" s="7">
        <v>44321.791666666664</v>
      </c>
      <c r="B739" s="1" t="s">
        <v>75</v>
      </c>
      <c r="C739" s="1">
        <v>2317.62</v>
      </c>
      <c r="D739" s="1">
        <v>1357.28</v>
      </c>
      <c r="F739" s="7">
        <v>44321.791666666664</v>
      </c>
      <c r="G739" s="1" t="s">
        <v>75</v>
      </c>
      <c r="H739" s="1">
        <v>2161.21</v>
      </c>
      <c r="I739" s="1">
        <v>838.29</v>
      </c>
      <c r="J739" s="44"/>
    </row>
    <row r="740" spans="1:10" x14ac:dyDescent="0.25">
      <c r="A740" s="7">
        <v>44321.791666666664</v>
      </c>
      <c r="B740" s="1" t="s">
        <v>74</v>
      </c>
      <c r="C740" s="1">
        <v>13984.3</v>
      </c>
      <c r="D740" s="1">
        <v>3752.83</v>
      </c>
      <c r="F740" s="7">
        <v>44321.791666666664</v>
      </c>
      <c r="G740" s="1" t="s">
        <v>74</v>
      </c>
      <c r="H740" s="1">
        <v>17057.77</v>
      </c>
      <c r="I740" s="1">
        <v>2948.76</v>
      </c>
      <c r="J740" s="44"/>
    </row>
    <row r="741" spans="1:10" x14ac:dyDescent="0.25">
      <c r="A741" s="7">
        <v>44321.791666666664</v>
      </c>
      <c r="B741" s="1" t="s">
        <v>72</v>
      </c>
      <c r="C741" s="1">
        <v>22216.01</v>
      </c>
      <c r="D741" s="1">
        <v>13453.3</v>
      </c>
      <c r="F741" s="7">
        <v>44321.791666666664</v>
      </c>
      <c r="G741" s="1" t="s">
        <v>72</v>
      </c>
      <c r="H741" s="1">
        <v>16133.69</v>
      </c>
      <c r="I741" s="1">
        <v>9393.19</v>
      </c>
      <c r="J741" s="44"/>
    </row>
    <row r="742" spans="1:10" x14ac:dyDescent="0.25">
      <c r="A742" s="7">
        <v>44321.791666666664</v>
      </c>
      <c r="B742" s="1" t="s">
        <v>77</v>
      </c>
      <c r="C742" s="1">
        <v>28829.289000000001</v>
      </c>
      <c r="D742" s="1">
        <v>9983.0300000000007</v>
      </c>
      <c r="F742" s="7">
        <v>44321.791666666664</v>
      </c>
      <c r="G742" s="1" t="s">
        <v>77</v>
      </c>
      <c r="H742" s="1">
        <v>20681.48</v>
      </c>
      <c r="I742" s="1">
        <v>5637.74</v>
      </c>
      <c r="J742" s="44"/>
    </row>
    <row r="743" spans="1:10" x14ac:dyDescent="0.25">
      <c r="A743" s="7">
        <v>44321.791666666664</v>
      </c>
      <c r="B743" s="1" t="s">
        <v>70</v>
      </c>
      <c r="C743" s="1">
        <v>13429.2</v>
      </c>
      <c r="D743" s="1">
        <v>6286.5</v>
      </c>
      <c r="F743" s="7">
        <v>44321.791666666664</v>
      </c>
      <c r="G743" s="1" t="s">
        <v>70</v>
      </c>
      <c r="H743" s="1">
        <v>13668.99</v>
      </c>
      <c r="I743" s="1">
        <v>5243.3</v>
      </c>
      <c r="J743" s="44"/>
    </row>
    <row r="744" spans="1:10" x14ac:dyDescent="0.25">
      <c r="A744" s="7">
        <v>44321.791666666664</v>
      </c>
      <c r="B744" s="1" t="s">
        <v>69</v>
      </c>
      <c r="C744" s="1">
        <v>12026.22</v>
      </c>
      <c r="D744" s="1">
        <v>10048.290000000001</v>
      </c>
      <c r="F744" s="7">
        <v>44321.791666666664</v>
      </c>
      <c r="G744" s="1" t="s">
        <v>69</v>
      </c>
      <c r="H744" s="1">
        <v>7633.86</v>
      </c>
      <c r="I744" s="1">
        <v>6321.5</v>
      </c>
      <c r="J744" s="44"/>
    </row>
    <row r="745" spans="1:10" x14ac:dyDescent="0.25">
      <c r="A745" s="7">
        <v>44321.791666666664</v>
      </c>
      <c r="B745" s="1" t="s">
        <v>78</v>
      </c>
      <c r="C745" s="1">
        <v>5225.53</v>
      </c>
      <c r="D745" s="1">
        <v>3322.57</v>
      </c>
      <c r="F745" s="7">
        <v>44321.791666666664</v>
      </c>
      <c r="G745" s="1" t="s">
        <v>78</v>
      </c>
      <c r="H745" s="1">
        <v>3624.18</v>
      </c>
      <c r="I745" s="1">
        <v>1973.68</v>
      </c>
      <c r="J745" s="44"/>
    </row>
    <row r="746" spans="1:10" x14ac:dyDescent="0.25">
      <c r="A746" s="7">
        <v>44321.791666666664</v>
      </c>
      <c r="B746" s="1" t="s">
        <v>76</v>
      </c>
      <c r="C746" s="1">
        <v>21876.188999999998</v>
      </c>
      <c r="D746" s="1">
        <v>6212.5</v>
      </c>
      <c r="F746" s="7">
        <v>44321.791666666664</v>
      </c>
      <c r="G746" s="1" t="s">
        <v>76</v>
      </c>
      <c r="H746" s="1">
        <v>28053.759999999998</v>
      </c>
      <c r="I746" s="1">
        <v>5603.37</v>
      </c>
      <c r="J746" s="44"/>
    </row>
    <row r="747" spans="1:10" x14ac:dyDescent="0.25">
      <c r="A747" s="7">
        <v>44321.791666666664</v>
      </c>
      <c r="B747" s="1" t="s">
        <v>73</v>
      </c>
      <c r="C747" s="1">
        <v>13670.49</v>
      </c>
      <c r="D747" s="1">
        <v>2277.2800000000002</v>
      </c>
      <c r="F747" s="7">
        <v>44321.791666666664</v>
      </c>
      <c r="G747" s="1" t="s">
        <v>73</v>
      </c>
      <c r="H747" s="1">
        <v>16234.44</v>
      </c>
      <c r="I747" s="1">
        <v>2028.92</v>
      </c>
      <c r="J747" s="44"/>
    </row>
    <row r="748" spans="1:10" x14ac:dyDescent="0.25">
      <c r="A748" s="7">
        <v>44321.791666666664</v>
      </c>
      <c r="B748" s="1" t="s">
        <v>71</v>
      </c>
      <c r="C748" s="1">
        <v>16807.868999999999</v>
      </c>
      <c r="D748" s="1">
        <v>6271.87</v>
      </c>
      <c r="F748" s="7">
        <v>44321.791666666664</v>
      </c>
      <c r="G748" s="1" t="s">
        <v>71</v>
      </c>
      <c r="H748" s="1">
        <v>20972.960999999999</v>
      </c>
      <c r="I748" s="1">
        <v>4964</v>
      </c>
      <c r="J748" s="44"/>
    </row>
    <row r="749" spans="1:10" x14ac:dyDescent="0.25">
      <c r="A749" s="7">
        <v>44321.791666666664</v>
      </c>
      <c r="B749" s="1" t="s">
        <v>68</v>
      </c>
      <c r="C749" s="1">
        <v>16319.06</v>
      </c>
      <c r="D749" s="1">
        <v>6996.71</v>
      </c>
      <c r="F749" s="7">
        <v>44321.791666666664</v>
      </c>
      <c r="G749" s="1" t="s">
        <v>68</v>
      </c>
      <c r="H749" s="1">
        <v>19925.311000000002</v>
      </c>
      <c r="I749" s="1">
        <v>5578.34</v>
      </c>
      <c r="J749" s="44"/>
    </row>
    <row r="750" spans="1:10" x14ac:dyDescent="0.25">
      <c r="A750" s="7">
        <v>44321.833333333336</v>
      </c>
      <c r="B750" s="1" t="s">
        <v>75</v>
      </c>
      <c r="C750" s="1">
        <v>1837.07</v>
      </c>
      <c r="D750" s="1">
        <v>1096.24</v>
      </c>
      <c r="F750" s="7">
        <v>44321.833333333336</v>
      </c>
      <c r="G750" s="1" t="s">
        <v>75</v>
      </c>
      <c r="H750" s="1">
        <v>1817.05</v>
      </c>
      <c r="I750" s="1">
        <v>659.28</v>
      </c>
      <c r="J750" s="44"/>
    </row>
    <row r="751" spans="1:10" x14ac:dyDescent="0.25">
      <c r="A751" s="7">
        <v>44321.833333333336</v>
      </c>
      <c r="B751" s="1" t="s">
        <v>74</v>
      </c>
      <c r="C751" s="1">
        <v>12635.31</v>
      </c>
      <c r="D751" s="1">
        <v>3416.31</v>
      </c>
      <c r="F751" s="7">
        <v>44321.833333333336</v>
      </c>
      <c r="G751" s="1" t="s">
        <v>74</v>
      </c>
      <c r="H751" s="1">
        <v>14945.12</v>
      </c>
      <c r="I751" s="1">
        <v>2614.31</v>
      </c>
      <c r="J751" s="44"/>
    </row>
    <row r="752" spans="1:10" x14ac:dyDescent="0.25">
      <c r="A752" s="7">
        <v>44321.833333333336</v>
      </c>
      <c r="B752" s="1" t="s">
        <v>72</v>
      </c>
      <c r="C752" s="1">
        <v>17595.66</v>
      </c>
      <c r="D752" s="1">
        <v>11302.53</v>
      </c>
      <c r="F752" s="7">
        <v>44321.833333333336</v>
      </c>
      <c r="G752" s="1" t="s">
        <v>72</v>
      </c>
      <c r="H752" s="1">
        <v>13458.26</v>
      </c>
      <c r="I752" s="1">
        <v>7941.39</v>
      </c>
      <c r="J752" s="44"/>
    </row>
    <row r="753" spans="1:10" x14ac:dyDescent="0.25">
      <c r="A753" s="7">
        <v>44321.833333333336</v>
      </c>
      <c r="B753" s="1" t="s">
        <v>73</v>
      </c>
      <c r="C753" s="1">
        <v>11092.81</v>
      </c>
      <c r="D753" s="1">
        <v>2003.46</v>
      </c>
      <c r="F753" s="7">
        <v>44321.833333333336</v>
      </c>
      <c r="G753" s="1" t="s">
        <v>73</v>
      </c>
      <c r="H753" s="1">
        <v>12904.25</v>
      </c>
      <c r="I753" s="1">
        <v>1699.29</v>
      </c>
      <c r="J753" s="44"/>
    </row>
    <row r="754" spans="1:10" x14ac:dyDescent="0.25">
      <c r="A754" s="7">
        <v>44321.833333333336</v>
      </c>
      <c r="B754" s="1" t="s">
        <v>77</v>
      </c>
      <c r="C754" s="1">
        <v>22617.561000000002</v>
      </c>
      <c r="D754" s="1">
        <v>7872.71</v>
      </c>
      <c r="F754" s="7">
        <v>44321.833333333336</v>
      </c>
      <c r="G754" s="1" t="s">
        <v>77</v>
      </c>
      <c r="H754" s="1">
        <v>17842.240000000002</v>
      </c>
      <c r="I754" s="1">
        <v>4797.53</v>
      </c>
      <c r="J754" s="44"/>
    </row>
    <row r="755" spans="1:10" x14ac:dyDescent="0.25">
      <c r="A755" s="7">
        <v>44321.833333333336</v>
      </c>
      <c r="B755" s="1" t="s">
        <v>71</v>
      </c>
      <c r="C755" s="1">
        <v>14310.3</v>
      </c>
      <c r="D755" s="1">
        <v>5520.95</v>
      </c>
      <c r="F755" s="7">
        <v>44321.833333333336</v>
      </c>
      <c r="G755" s="1" t="s">
        <v>71</v>
      </c>
      <c r="H755" s="1">
        <v>17736.23</v>
      </c>
      <c r="I755" s="1">
        <v>4196.41</v>
      </c>
      <c r="J755" s="44"/>
    </row>
    <row r="756" spans="1:10" x14ac:dyDescent="0.25">
      <c r="A756" s="7">
        <v>44321.833333333336</v>
      </c>
      <c r="B756" s="1" t="s">
        <v>69</v>
      </c>
      <c r="C756" s="1">
        <v>9826.5400000000009</v>
      </c>
      <c r="D756" s="1">
        <v>8837.64</v>
      </c>
      <c r="F756" s="7">
        <v>44321.833333333336</v>
      </c>
      <c r="G756" s="1" t="s">
        <v>69</v>
      </c>
      <c r="H756" s="1">
        <v>6782.41</v>
      </c>
      <c r="I756" s="1">
        <v>5739.91</v>
      </c>
      <c r="J756" s="44"/>
    </row>
    <row r="757" spans="1:10" x14ac:dyDescent="0.25">
      <c r="A757" s="7">
        <v>44321.833333333336</v>
      </c>
      <c r="B757" s="1" t="s">
        <v>70</v>
      </c>
      <c r="C757" s="1">
        <v>10760.16</v>
      </c>
      <c r="D757" s="1">
        <v>5200.66</v>
      </c>
      <c r="F757" s="7">
        <v>44321.833333333336</v>
      </c>
      <c r="G757" s="1" t="s">
        <v>70</v>
      </c>
      <c r="H757" s="1">
        <v>10921.76</v>
      </c>
      <c r="I757" s="1">
        <v>4211.08</v>
      </c>
      <c r="J757" s="44"/>
    </row>
    <row r="758" spans="1:10" x14ac:dyDescent="0.25">
      <c r="A758" s="7">
        <v>44321.833333333336</v>
      </c>
      <c r="B758" s="1" t="s">
        <v>78</v>
      </c>
      <c r="C758" s="1">
        <v>4350.03</v>
      </c>
      <c r="D758" s="1">
        <v>2804.43</v>
      </c>
      <c r="F758" s="7">
        <v>44321.833333333336</v>
      </c>
      <c r="G758" s="1" t="s">
        <v>78</v>
      </c>
      <c r="H758" s="1">
        <v>3146.19</v>
      </c>
      <c r="I758" s="1">
        <v>1688</v>
      </c>
      <c r="J758" s="44"/>
    </row>
    <row r="759" spans="1:10" x14ac:dyDescent="0.25">
      <c r="A759" s="7">
        <v>44321.833333333336</v>
      </c>
      <c r="B759" s="1" t="s">
        <v>76</v>
      </c>
      <c r="C759" s="1">
        <v>18658.599999999999</v>
      </c>
      <c r="D759" s="1">
        <v>5309.82</v>
      </c>
      <c r="F759" s="7">
        <v>44321.833333333336</v>
      </c>
      <c r="G759" s="1" t="s">
        <v>76</v>
      </c>
      <c r="H759" s="1">
        <v>23052.01</v>
      </c>
      <c r="I759" s="1">
        <v>4613.25</v>
      </c>
      <c r="J759" s="44"/>
    </row>
    <row r="760" spans="1:10" x14ac:dyDescent="0.25">
      <c r="A760" s="7">
        <v>44321.833333333336</v>
      </c>
      <c r="B760" s="1" t="s">
        <v>68</v>
      </c>
      <c r="C760" s="1">
        <v>13229.22</v>
      </c>
      <c r="D760" s="1">
        <v>6133.44</v>
      </c>
      <c r="F760" s="7">
        <v>44321.833333333336</v>
      </c>
      <c r="G760" s="1" t="s">
        <v>68</v>
      </c>
      <c r="H760" s="1">
        <v>16346.03</v>
      </c>
      <c r="I760" s="1">
        <v>4751.84</v>
      </c>
      <c r="J760" s="44"/>
    </row>
    <row r="761" spans="1:10" x14ac:dyDescent="0.25">
      <c r="A761" s="7">
        <v>44321.875</v>
      </c>
      <c r="B761" s="1" t="s">
        <v>74</v>
      </c>
      <c r="C761" s="1">
        <v>10759.46</v>
      </c>
      <c r="D761" s="1">
        <v>2940.62</v>
      </c>
      <c r="F761" s="7">
        <v>44321.875</v>
      </c>
      <c r="G761" s="1" t="s">
        <v>74</v>
      </c>
      <c r="H761" s="1">
        <v>12665.68</v>
      </c>
      <c r="I761" s="1">
        <v>2321.52</v>
      </c>
      <c r="J761" s="44"/>
    </row>
    <row r="762" spans="1:10" x14ac:dyDescent="0.25">
      <c r="A762" s="7">
        <v>44321.875</v>
      </c>
      <c r="B762" s="1" t="s">
        <v>78</v>
      </c>
      <c r="C762" s="1">
        <v>4212.2</v>
      </c>
      <c r="D762" s="1">
        <v>2637.2</v>
      </c>
      <c r="F762" s="7">
        <v>44321.875</v>
      </c>
      <c r="G762" s="1" t="s">
        <v>78</v>
      </c>
      <c r="H762" s="1">
        <v>3261.82</v>
      </c>
      <c r="I762" s="1">
        <v>1669.47</v>
      </c>
      <c r="J762" s="44"/>
    </row>
    <row r="763" spans="1:10" x14ac:dyDescent="0.25">
      <c r="A763" s="7">
        <v>44321.875</v>
      </c>
      <c r="B763" s="1" t="s">
        <v>75</v>
      </c>
      <c r="C763" s="1">
        <v>1800.45</v>
      </c>
      <c r="D763" s="1">
        <v>1044.1199999999999</v>
      </c>
      <c r="F763" s="7">
        <v>44321.875</v>
      </c>
      <c r="G763" s="1" t="s">
        <v>75</v>
      </c>
      <c r="H763" s="1">
        <v>1732.51</v>
      </c>
      <c r="I763" s="1">
        <v>641.85</v>
      </c>
      <c r="J763" s="44"/>
    </row>
    <row r="764" spans="1:10" x14ac:dyDescent="0.25">
      <c r="A764" s="7">
        <v>44321.875</v>
      </c>
      <c r="B764" s="1" t="s">
        <v>73</v>
      </c>
      <c r="C764" s="1">
        <v>9302.7900000000009</v>
      </c>
      <c r="D764" s="1">
        <v>1667.55</v>
      </c>
      <c r="F764" s="7">
        <v>44321.875</v>
      </c>
      <c r="G764" s="1" t="s">
        <v>73</v>
      </c>
      <c r="H764" s="1">
        <v>10633.15</v>
      </c>
      <c r="I764" s="1">
        <v>1428.48</v>
      </c>
      <c r="J764" s="44"/>
    </row>
    <row r="765" spans="1:10" x14ac:dyDescent="0.25">
      <c r="A765" s="7">
        <v>44321.875</v>
      </c>
      <c r="B765" s="1" t="s">
        <v>68</v>
      </c>
      <c r="C765" s="1">
        <v>11455.4</v>
      </c>
      <c r="D765" s="1">
        <v>5242.1499999999996</v>
      </c>
      <c r="F765" s="7">
        <v>44321.875</v>
      </c>
      <c r="G765" s="1" t="s">
        <v>68</v>
      </c>
      <c r="H765" s="1">
        <v>14032.97</v>
      </c>
      <c r="I765" s="1">
        <v>4082.66</v>
      </c>
      <c r="J765" s="44"/>
    </row>
    <row r="766" spans="1:10" x14ac:dyDescent="0.25">
      <c r="A766" s="7">
        <v>44321.875</v>
      </c>
      <c r="B766" s="1" t="s">
        <v>77</v>
      </c>
      <c r="C766" s="1">
        <v>20279.641</v>
      </c>
      <c r="D766" s="1">
        <v>7188.93</v>
      </c>
      <c r="F766" s="7">
        <v>44321.875</v>
      </c>
      <c r="G766" s="1" t="s">
        <v>77</v>
      </c>
      <c r="H766" s="1">
        <v>16911.240000000002</v>
      </c>
      <c r="I766" s="1">
        <v>4673.2700000000004</v>
      </c>
      <c r="J766" s="44"/>
    </row>
    <row r="767" spans="1:10" x14ac:dyDescent="0.25">
      <c r="A767" s="7">
        <v>44321.875</v>
      </c>
      <c r="B767" s="1" t="s">
        <v>71</v>
      </c>
      <c r="C767" s="1">
        <v>11237.05</v>
      </c>
      <c r="D767" s="1">
        <v>4395.92</v>
      </c>
      <c r="F767" s="7">
        <v>44321.875</v>
      </c>
      <c r="G767" s="1" t="s">
        <v>71</v>
      </c>
      <c r="H767" s="1">
        <v>13934.07</v>
      </c>
      <c r="I767" s="1">
        <v>3346.84</v>
      </c>
      <c r="J767" s="44"/>
    </row>
    <row r="768" spans="1:10" x14ac:dyDescent="0.25">
      <c r="A768" s="7">
        <v>44321.875</v>
      </c>
      <c r="B768" s="1" t="s">
        <v>70</v>
      </c>
      <c r="C768" s="1">
        <v>9785.7999999999993</v>
      </c>
      <c r="D768" s="1">
        <v>4772.29</v>
      </c>
      <c r="F768" s="7">
        <v>44321.875</v>
      </c>
      <c r="G768" s="1" t="s">
        <v>70</v>
      </c>
      <c r="H768" s="1">
        <v>9690.4500000000007</v>
      </c>
      <c r="I768" s="1">
        <v>3872.95</v>
      </c>
      <c r="J768" s="44"/>
    </row>
    <row r="769" spans="1:10" x14ac:dyDescent="0.25">
      <c r="A769" s="7">
        <v>44321.875</v>
      </c>
      <c r="B769" s="1" t="s">
        <v>76</v>
      </c>
      <c r="C769" s="1">
        <v>16443.550999999999</v>
      </c>
      <c r="D769" s="1">
        <v>4762.58</v>
      </c>
      <c r="F769" s="7">
        <v>44321.875</v>
      </c>
      <c r="G769" s="1" t="s">
        <v>76</v>
      </c>
      <c r="H769" s="1">
        <v>19699.419999999998</v>
      </c>
      <c r="I769" s="1">
        <v>4143.12</v>
      </c>
      <c r="J769" s="44"/>
    </row>
    <row r="770" spans="1:10" x14ac:dyDescent="0.25">
      <c r="A770" s="7">
        <v>44321.875</v>
      </c>
      <c r="B770" s="1" t="s">
        <v>72</v>
      </c>
      <c r="C770" s="1">
        <v>15943.03</v>
      </c>
      <c r="D770" s="1">
        <v>10115.01</v>
      </c>
      <c r="F770" s="7">
        <v>44321.875</v>
      </c>
      <c r="G770" s="1" t="s">
        <v>72</v>
      </c>
      <c r="H770" s="1">
        <v>12416.25</v>
      </c>
      <c r="I770" s="1">
        <v>7265.17</v>
      </c>
      <c r="J770" s="44"/>
    </row>
    <row r="771" spans="1:10" x14ac:dyDescent="0.25">
      <c r="A771" s="7">
        <v>44321.875</v>
      </c>
      <c r="B771" s="1" t="s">
        <v>69</v>
      </c>
      <c r="C771" s="1">
        <v>8726.9699999999993</v>
      </c>
      <c r="D771" s="1">
        <v>7711.87</v>
      </c>
      <c r="F771" s="7">
        <v>44321.875</v>
      </c>
      <c r="G771" s="1" t="s">
        <v>69</v>
      </c>
      <c r="H771" s="1">
        <v>6368.52</v>
      </c>
      <c r="I771" s="1">
        <v>5263.4</v>
      </c>
      <c r="J771" s="44"/>
    </row>
    <row r="772" spans="1:10" x14ac:dyDescent="0.25">
      <c r="A772" s="7">
        <v>44321.916666666664</v>
      </c>
      <c r="B772" s="1" t="s">
        <v>75</v>
      </c>
      <c r="C772" s="1">
        <v>1654.85</v>
      </c>
      <c r="D772" s="1">
        <v>1067.33</v>
      </c>
      <c r="F772" s="7">
        <v>44321.916666666664</v>
      </c>
      <c r="G772" s="1" t="s">
        <v>75</v>
      </c>
      <c r="H772" s="1">
        <v>1587.01</v>
      </c>
      <c r="I772" s="1">
        <v>673.46</v>
      </c>
      <c r="J772" s="44"/>
    </row>
    <row r="773" spans="1:10" x14ac:dyDescent="0.25">
      <c r="A773" s="7">
        <v>44321.916666666664</v>
      </c>
      <c r="B773" s="1" t="s">
        <v>74</v>
      </c>
      <c r="C773" s="1">
        <v>7088.49</v>
      </c>
      <c r="D773" s="1">
        <v>2223.02</v>
      </c>
      <c r="F773" s="7">
        <v>44321.916666666664</v>
      </c>
      <c r="G773" s="1" t="s">
        <v>74</v>
      </c>
      <c r="H773" s="1">
        <v>8342.83</v>
      </c>
      <c r="I773" s="1">
        <v>1754.83</v>
      </c>
      <c r="J773" s="44"/>
    </row>
    <row r="774" spans="1:10" x14ac:dyDescent="0.25">
      <c r="A774" s="7">
        <v>44321.916666666664</v>
      </c>
      <c r="B774" s="1" t="s">
        <v>78</v>
      </c>
      <c r="C774" s="1">
        <v>3670.53</v>
      </c>
      <c r="D774" s="1">
        <v>2418.21</v>
      </c>
      <c r="F774" s="7">
        <v>44321.916666666664</v>
      </c>
      <c r="G774" s="1" t="s">
        <v>78</v>
      </c>
      <c r="H774" s="1">
        <v>2980.55</v>
      </c>
      <c r="I774" s="1">
        <v>1614.93</v>
      </c>
      <c r="J774" s="44"/>
    </row>
    <row r="775" spans="1:10" x14ac:dyDescent="0.25">
      <c r="A775" s="7">
        <v>44321.916666666664</v>
      </c>
      <c r="B775" s="1" t="s">
        <v>68</v>
      </c>
      <c r="C775" s="1">
        <v>7432.78</v>
      </c>
      <c r="D775" s="1">
        <v>3860</v>
      </c>
      <c r="F775" s="7">
        <v>44321.916666666664</v>
      </c>
      <c r="G775" s="1" t="s">
        <v>68</v>
      </c>
      <c r="H775" s="1">
        <v>9319.0400000000009</v>
      </c>
      <c r="I775" s="1">
        <v>3068.24</v>
      </c>
      <c r="J775" s="44"/>
    </row>
    <row r="776" spans="1:10" x14ac:dyDescent="0.25">
      <c r="A776" s="7">
        <v>44321.916666666664</v>
      </c>
      <c r="B776" s="1" t="s">
        <v>71</v>
      </c>
      <c r="C776" s="1">
        <v>6584.42</v>
      </c>
      <c r="D776" s="1">
        <v>2984.92</v>
      </c>
      <c r="F776" s="7">
        <v>44321.916666666664</v>
      </c>
      <c r="G776" s="1" t="s">
        <v>71</v>
      </c>
      <c r="H776" s="1">
        <v>8644.34</v>
      </c>
      <c r="I776" s="1">
        <v>2342.5500000000002</v>
      </c>
      <c r="J776" s="44"/>
    </row>
    <row r="777" spans="1:10" x14ac:dyDescent="0.25">
      <c r="A777" s="7">
        <v>44321.916666666664</v>
      </c>
      <c r="B777" s="1" t="s">
        <v>76</v>
      </c>
      <c r="C777" s="1">
        <v>11824.68</v>
      </c>
      <c r="D777" s="1">
        <v>3646.43</v>
      </c>
      <c r="F777" s="7">
        <v>44321.916666666664</v>
      </c>
      <c r="G777" s="1" t="s">
        <v>76</v>
      </c>
      <c r="H777" s="1">
        <v>13956.68</v>
      </c>
      <c r="I777" s="1">
        <v>3220.17</v>
      </c>
      <c r="J777" s="44"/>
    </row>
    <row r="778" spans="1:10" x14ac:dyDescent="0.25">
      <c r="A778" s="7">
        <v>44321.916666666664</v>
      </c>
      <c r="B778" s="1" t="s">
        <v>72</v>
      </c>
      <c r="C778" s="1">
        <v>14195.67</v>
      </c>
      <c r="D778" s="1">
        <v>9323.85</v>
      </c>
      <c r="F778" s="7">
        <v>44321.916666666664</v>
      </c>
      <c r="G778" s="1" t="s">
        <v>72</v>
      </c>
      <c r="H778" s="1">
        <v>11740.22</v>
      </c>
      <c r="I778" s="1">
        <v>7171.73</v>
      </c>
      <c r="J778" s="44"/>
    </row>
    <row r="779" spans="1:10" x14ac:dyDescent="0.25">
      <c r="A779" s="7">
        <v>44321.916666666664</v>
      </c>
      <c r="B779" s="1" t="s">
        <v>73</v>
      </c>
      <c r="C779" s="1">
        <v>6368.59</v>
      </c>
      <c r="D779" s="1">
        <v>1341.82</v>
      </c>
      <c r="F779" s="7">
        <v>44321.916666666664</v>
      </c>
      <c r="G779" s="1" t="s">
        <v>73</v>
      </c>
      <c r="H779" s="1">
        <v>7739.2</v>
      </c>
      <c r="I779" s="1">
        <v>1199.71</v>
      </c>
      <c r="J779" s="44"/>
    </row>
    <row r="780" spans="1:10" x14ac:dyDescent="0.25">
      <c r="A780" s="7">
        <v>44321.916666666664</v>
      </c>
      <c r="B780" s="1" t="s">
        <v>77</v>
      </c>
      <c r="C780" s="1">
        <v>15520.22</v>
      </c>
      <c r="D780" s="1">
        <v>5691.18</v>
      </c>
      <c r="F780" s="7">
        <v>44321.916666666664</v>
      </c>
      <c r="G780" s="1" t="s">
        <v>77</v>
      </c>
      <c r="H780" s="1">
        <v>13925.58</v>
      </c>
      <c r="I780" s="1">
        <v>4006.11</v>
      </c>
      <c r="J780" s="44"/>
    </row>
    <row r="781" spans="1:10" x14ac:dyDescent="0.25">
      <c r="A781" s="7">
        <v>44321.916666666664</v>
      </c>
      <c r="B781" s="1" t="s">
        <v>70</v>
      </c>
      <c r="C781" s="1">
        <v>7819.64</v>
      </c>
      <c r="D781" s="1">
        <v>3978.02</v>
      </c>
      <c r="F781" s="7">
        <v>44321.916666666664</v>
      </c>
      <c r="G781" s="1" t="s">
        <v>70</v>
      </c>
      <c r="H781" s="1">
        <v>8009.54</v>
      </c>
      <c r="I781" s="1">
        <v>3295.49</v>
      </c>
      <c r="J781" s="44"/>
    </row>
    <row r="782" spans="1:10" x14ac:dyDescent="0.25">
      <c r="A782" s="7">
        <v>44321.916666666664</v>
      </c>
      <c r="B782" s="1" t="s">
        <v>69</v>
      </c>
      <c r="C782" s="1">
        <v>8040.71</v>
      </c>
      <c r="D782" s="1">
        <v>7344.16</v>
      </c>
      <c r="F782" s="7">
        <v>44321.916666666664</v>
      </c>
      <c r="G782" s="1" t="s">
        <v>69</v>
      </c>
      <c r="H782" s="1">
        <v>6376.4</v>
      </c>
      <c r="I782" s="1">
        <v>5305.56</v>
      </c>
      <c r="J782" s="44"/>
    </row>
    <row r="783" spans="1:10" x14ac:dyDescent="0.25">
      <c r="A783" s="7">
        <v>44321.958333333336</v>
      </c>
      <c r="B783" s="1" t="s">
        <v>75</v>
      </c>
      <c r="C783" s="1">
        <v>1009.99</v>
      </c>
      <c r="D783" s="1">
        <v>709.1</v>
      </c>
      <c r="F783" s="7">
        <v>44321.958333333336</v>
      </c>
      <c r="G783" s="1" t="s">
        <v>75</v>
      </c>
      <c r="H783" s="1">
        <v>964.79</v>
      </c>
      <c r="I783" s="1">
        <v>471.89</v>
      </c>
      <c r="J783" s="44"/>
    </row>
    <row r="784" spans="1:10" x14ac:dyDescent="0.25">
      <c r="A784" s="7">
        <v>44321.958333333336</v>
      </c>
      <c r="B784" s="1" t="s">
        <v>74</v>
      </c>
      <c r="C784" s="1">
        <v>2930.96</v>
      </c>
      <c r="D784" s="1">
        <v>1102.55</v>
      </c>
      <c r="F784" s="7">
        <v>44321.958333333336</v>
      </c>
      <c r="G784" s="1" t="s">
        <v>74</v>
      </c>
      <c r="H784" s="1">
        <v>3338.96</v>
      </c>
      <c r="I784" s="1">
        <v>868.66</v>
      </c>
      <c r="J784" s="44"/>
    </row>
    <row r="785" spans="1:20" x14ac:dyDescent="0.25">
      <c r="A785" s="7">
        <v>44321.958333333336</v>
      </c>
      <c r="B785" s="1" t="s">
        <v>78</v>
      </c>
      <c r="C785" s="1">
        <v>2102.08</v>
      </c>
      <c r="D785" s="1">
        <v>1422.64</v>
      </c>
      <c r="F785" s="7">
        <v>44321.958333333336</v>
      </c>
      <c r="G785" s="1" t="s">
        <v>78</v>
      </c>
      <c r="H785" s="1">
        <v>1751.52</v>
      </c>
      <c r="I785" s="1">
        <v>987.71</v>
      </c>
      <c r="J785" s="44"/>
    </row>
    <row r="786" spans="1:20" x14ac:dyDescent="0.25">
      <c r="A786" s="7">
        <v>44321.958333333336</v>
      </c>
      <c r="B786" s="1" t="s">
        <v>76</v>
      </c>
      <c r="C786" s="1">
        <v>5452.72</v>
      </c>
      <c r="D786" s="1">
        <v>1821.21</v>
      </c>
      <c r="F786" s="7">
        <v>44321.958333333336</v>
      </c>
      <c r="G786" s="1" t="s">
        <v>76</v>
      </c>
      <c r="H786" s="1">
        <v>6105.34</v>
      </c>
      <c r="I786" s="1">
        <v>1624.57</v>
      </c>
      <c r="J786" s="44"/>
    </row>
    <row r="787" spans="1:20" x14ac:dyDescent="0.25">
      <c r="A787" s="7">
        <v>44321.958333333336</v>
      </c>
      <c r="B787" s="1" t="s">
        <v>72</v>
      </c>
      <c r="C787" s="1">
        <v>7797.4</v>
      </c>
      <c r="D787" s="1">
        <v>5628.13</v>
      </c>
      <c r="F787" s="7">
        <v>44321.958333333336</v>
      </c>
      <c r="G787" s="1" t="s">
        <v>72</v>
      </c>
      <c r="H787" s="1">
        <v>7005.89</v>
      </c>
      <c r="I787" s="1">
        <v>4453.7</v>
      </c>
      <c r="J787" s="44"/>
    </row>
    <row r="788" spans="1:20" x14ac:dyDescent="0.25">
      <c r="A788" s="7">
        <v>44321.958333333336</v>
      </c>
      <c r="B788" s="1" t="s">
        <v>68</v>
      </c>
      <c r="C788" s="1">
        <v>2992.73</v>
      </c>
      <c r="D788" s="1">
        <v>1924.88</v>
      </c>
      <c r="F788" s="7">
        <v>44321.958333333336</v>
      </c>
      <c r="G788" s="1" t="s">
        <v>68</v>
      </c>
      <c r="H788" s="1">
        <v>3821.66</v>
      </c>
      <c r="I788" s="1">
        <v>1512.22</v>
      </c>
      <c r="J788" s="44"/>
    </row>
    <row r="789" spans="1:20" x14ac:dyDescent="0.25">
      <c r="A789" s="7">
        <v>44321.958333333336</v>
      </c>
      <c r="B789" s="1" t="s">
        <v>69</v>
      </c>
      <c r="C789" s="1">
        <v>4578.7700000000004</v>
      </c>
      <c r="D789" s="1">
        <v>4436.96</v>
      </c>
      <c r="F789" s="7">
        <v>44321.958333333336</v>
      </c>
      <c r="G789" s="1" t="s">
        <v>69</v>
      </c>
      <c r="H789" s="1">
        <v>4041.23</v>
      </c>
      <c r="I789" s="1">
        <v>3367.96</v>
      </c>
      <c r="J789" s="44"/>
    </row>
    <row r="790" spans="1:20" x14ac:dyDescent="0.25">
      <c r="A790" s="7">
        <v>44321.958333333336</v>
      </c>
      <c r="B790" s="1" t="s">
        <v>70</v>
      </c>
      <c r="C790" s="1">
        <v>3724.2</v>
      </c>
      <c r="D790" s="1">
        <v>2114.2600000000002</v>
      </c>
      <c r="F790" s="7">
        <v>44321.958333333336</v>
      </c>
      <c r="G790" s="1" t="s">
        <v>70</v>
      </c>
      <c r="H790" s="1">
        <v>3966.2</v>
      </c>
      <c r="I790" s="1">
        <v>1783.51</v>
      </c>
      <c r="J790" s="44"/>
    </row>
    <row r="791" spans="1:20" x14ac:dyDescent="0.25">
      <c r="A791" s="7">
        <v>44321.958333333336</v>
      </c>
      <c r="B791" s="1" t="s">
        <v>73</v>
      </c>
      <c r="C791" s="1">
        <v>2662.09</v>
      </c>
      <c r="D791" s="1">
        <v>710.55</v>
      </c>
      <c r="F791" s="7">
        <v>44321.958333333336</v>
      </c>
      <c r="G791" s="1" t="s">
        <v>73</v>
      </c>
      <c r="H791" s="1">
        <v>3322.44</v>
      </c>
      <c r="I791" s="1">
        <v>615.47</v>
      </c>
      <c r="J791" s="44"/>
    </row>
    <row r="792" spans="1:20" x14ac:dyDescent="0.25">
      <c r="A792" s="7">
        <v>44321.958333333336</v>
      </c>
      <c r="B792" s="1" t="s">
        <v>71</v>
      </c>
      <c r="C792" s="1">
        <v>2392.36</v>
      </c>
      <c r="D792" s="1">
        <v>1397.21</v>
      </c>
      <c r="F792" s="7">
        <v>44321.958333333336</v>
      </c>
      <c r="G792" s="1" t="s">
        <v>71</v>
      </c>
      <c r="H792" s="1">
        <v>3305.23</v>
      </c>
      <c r="I792" s="1">
        <v>1056.6199999999999</v>
      </c>
      <c r="J792" s="44"/>
    </row>
    <row r="793" spans="1:20" x14ac:dyDescent="0.25">
      <c r="A793" s="7">
        <v>44321.958333333336</v>
      </c>
      <c r="B793" s="1" t="s">
        <v>77</v>
      </c>
      <c r="C793" s="1">
        <v>7196.23</v>
      </c>
      <c r="D793" s="1">
        <v>2747.42</v>
      </c>
      <c r="F793" s="7">
        <v>44321.958333333336</v>
      </c>
      <c r="G793" s="1" t="s">
        <v>77</v>
      </c>
      <c r="H793" s="1">
        <v>7177.31</v>
      </c>
      <c r="I793" s="1">
        <v>2069.2399999999998</v>
      </c>
      <c r="J793" s="44"/>
    </row>
    <row r="794" spans="1:20" x14ac:dyDescent="0.25">
      <c r="A794" s="7"/>
      <c r="B794" s="1"/>
      <c r="C794" s="1"/>
      <c r="D794" s="1"/>
      <c r="E794" s="8"/>
      <c r="F794" s="7"/>
      <c r="G794" s="1"/>
      <c r="H794" s="1"/>
      <c r="I794" s="1"/>
      <c r="J794" s="8"/>
      <c r="O794" s="8"/>
      <c r="T794" s="8"/>
    </row>
    <row r="795" spans="1:20" x14ac:dyDescent="0.25">
      <c r="A795" s="7"/>
      <c r="B795" s="1"/>
      <c r="C795" s="1"/>
      <c r="D795" s="1"/>
      <c r="F795" s="7"/>
      <c r="G795" s="1"/>
      <c r="H795" s="1"/>
      <c r="I795" s="1"/>
    </row>
    <row r="796" spans="1:20" x14ac:dyDescent="0.25">
      <c r="A796" s="7"/>
      <c r="B796" s="1"/>
      <c r="C796" s="1"/>
      <c r="D796" s="1"/>
      <c r="F796" s="7"/>
      <c r="G796" s="1"/>
      <c r="H796" s="1"/>
      <c r="I796" s="1"/>
    </row>
    <row r="797" spans="1:20" x14ac:dyDescent="0.25">
      <c r="A797" s="7"/>
      <c r="B797" s="1"/>
      <c r="C797" s="1"/>
      <c r="D797" s="1"/>
      <c r="F797" s="7"/>
      <c r="G797" s="1"/>
      <c r="H797" s="1"/>
      <c r="I797" s="1"/>
    </row>
    <row r="798" spans="1:20" x14ac:dyDescent="0.25">
      <c r="A798" s="7"/>
      <c r="B798" s="1"/>
      <c r="C798" s="1"/>
      <c r="D798" s="1"/>
      <c r="F798" s="7"/>
      <c r="G798" s="1"/>
      <c r="H798" s="1"/>
      <c r="I798" s="1"/>
    </row>
    <row r="799" spans="1:20" x14ac:dyDescent="0.25">
      <c r="A799" s="7"/>
      <c r="B799" s="1"/>
      <c r="C799" s="1"/>
      <c r="D799" s="1"/>
      <c r="F799" s="7"/>
      <c r="G799" s="1"/>
      <c r="H799" s="1"/>
      <c r="I799" s="1"/>
    </row>
    <row r="800" spans="1:20" x14ac:dyDescent="0.25">
      <c r="A800" s="7"/>
      <c r="B800" s="1"/>
      <c r="C800" s="1"/>
      <c r="D800" s="1"/>
      <c r="F800" s="7"/>
      <c r="G800" s="1"/>
      <c r="H800" s="1"/>
      <c r="I800" s="1"/>
    </row>
    <row r="801" spans="1:9" x14ac:dyDescent="0.25">
      <c r="A801" s="7"/>
      <c r="B801" s="1"/>
      <c r="C801" s="1"/>
      <c r="D801" s="1"/>
      <c r="F801" s="7"/>
      <c r="G801" s="1"/>
      <c r="H801" s="1"/>
      <c r="I801" s="1"/>
    </row>
    <row r="802" spans="1:9" x14ac:dyDescent="0.25">
      <c r="A802" s="7"/>
      <c r="B802" s="1"/>
      <c r="C802" s="1"/>
      <c r="D802" s="1"/>
      <c r="F802" s="7"/>
      <c r="G802" s="1"/>
      <c r="H802" s="1"/>
      <c r="I802" s="1"/>
    </row>
    <row r="803" spans="1:9" x14ac:dyDescent="0.25">
      <c r="A803" s="7"/>
      <c r="B803" s="1"/>
      <c r="C803" s="1"/>
      <c r="D803" s="1"/>
      <c r="F803" s="7"/>
      <c r="G803" s="1"/>
      <c r="H803" s="1"/>
      <c r="I803" s="1"/>
    </row>
    <row r="804" spans="1:9" x14ac:dyDescent="0.25">
      <c r="A804" s="7"/>
      <c r="B804" s="1"/>
      <c r="C804" s="1"/>
      <c r="D804" s="1"/>
      <c r="F804" s="7"/>
      <c r="G804" s="1"/>
      <c r="H804" s="1"/>
      <c r="I804" s="1"/>
    </row>
    <row r="805" spans="1:9" x14ac:dyDescent="0.25">
      <c r="A805" s="7"/>
      <c r="B805" s="1"/>
      <c r="C805" s="1"/>
      <c r="D805" s="1"/>
      <c r="F805" s="7"/>
      <c r="G805" s="1"/>
      <c r="H805" s="1"/>
      <c r="I805" s="1"/>
    </row>
    <row r="806" spans="1:9" x14ac:dyDescent="0.25">
      <c r="A806" s="7"/>
      <c r="B806" s="1"/>
      <c r="C806" s="1"/>
      <c r="D806" s="1"/>
      <c r="F806" s="7"/>
      <c r="G806" s="1"/>
      <c r="H806" s="1"/>
      <c r="I806" s="1"/>
    </row>
    <row r="807" spans="1:9" x14ac:dyDescent="0.25">
      <c r="A807" s="7"/>
      <c r="B807" s="1"/>
      <c r="C807" s="1"/>
      <c r="D807" s="1"/>
      <c r="F807" s="7"/>
      <c r="G807" s="1"/>
      <c r="H807" s="1"/>
      <c r="I807" s="1"/>
    </row>
    <row r="808" spans="1:9" x14ac:dyDescent="0.25">
      <c r="A808" s="7"/>
      <c r="B808" s="1"/>
      <c r="C808" s="1"/>
      <c r="D808" s="1"/>
      <c r="F808" s="7"/>
      <c r="G808" s="1"/>
      <c r="H808" s="1"/>
      <c r="I808" s="1"/>
    </row>
    <row r="809" spans="1:9" x14ac:dyDescent="0.25">
      <c r="A809" s="7"/>
      <c r="B809" s="1"/>
      <c r="C809" s="1"/>
      <c r="D809" s="1"/>
      <c r="F809" s="7"/>
      <c r="G809" s="1"/>
      <c r="H809" s="1"/>
      <c r="I809" s="1"/>
    </row>
    <row r="810" spans="1:9" x14ac:dyDescent="0.25">
      <c r="A810" s="7"/>
      <c r="B810" s="1"/>
      <c r="C810" s="1"/>
      <c r="D810" s="1"/>
      <c r="F810" s="7"/>
      <c r="G810" s="1"/>
      <c r="H810" s="1"/>
      <c r="I810" s="1"/>
    </row>
    <row r="811" spans="1:9" x14ac:dyDescent="0.25">
      <c r="A811" s="7"/>
      <c r="B811" s="1"/>
      <c r="C811" s="1"/>
      <c r="D811" s="1"/>
      <c r="F811" s="7"/>
      <c r="G811" s="1"/>
      <c r="H811" s="1"/>
      <c r="I811" s="1"/>
    </row>
    <row r="812" spans="1:9" x14ac:dyDescent="0.25">
      <c r="A812" s="7"/>
      <c r="B812" s="1"/>
      <c r="C812" s="1"/>
      <c r="D812" s="1"/>
      <c r="F812" s="7"/>
      <c r="G812" s="1"/>
      <c r="H812" s="1"/>
      <c r="I812" s="1"/>
    </row>
    <row r="813" spans="1:9" x14ac:dyDescent="0.25">
      <c r="A813" s="7"/>
      <c r="B813" s="1"/>
      <c r="C813" s="1"/>
      <c r="D813" s="1"/>
      <c r="F813" s="7"/>
      <c r="G813" s="1"/>
      <c r="H813" s="1"/>
      <c r="I813" s="1"/>
    </row>
    <row r="814" spans="1:9" x14ac:dyDescent="0.25">
      <c r="A814" s="7"/>
      <c r="B814" s="1"/>
      <c r="C814" s="1"/>
      <c r="D814" s="1"/>
      <c r="F814" s="7"/>
      <c r="G814" s="1"/>
      <c r="H814" s="1"/>
      <c r="I814" s="1"/>
    </row>
    <row r="815" spans="1:9" x14ac:dyDescent="0.25">
      <c r="A815" s="7"/>
      <c r="B815" s="1"/>
      <c r="C815" s="1"/>
      <c r="D815" s="1"/>
      <c r="F815" s="7"/>
      <c r="G815" s="1"/>
      <c r="H815" s="1"/>
      <c r="I815" s="1"/>
    </row>
    <row r="816" spans="1:9" x14ac:dyDescent="0.25">
      <c r="A816" s="7"/>
      <c r="B816" s="1"/>
      <c r="C816" s="1"/>
      <c r="D816" s="1"/>
      <c r="F816" s="7"/>
      <c r="G816" s="1"/>
      <c r="H816" s="1"/>
      <c r="I816" s="1"/>
    </row>
    <row r="817" spans="1:9" x14ac:dyDescent="0.25">
      <c r="A817" s="7"/>
      <c r="B817" s="1"/>
      <c r="C817" s="1"/>
      <c r="D817" s="1"/>
      <c r="F817" s="7"/>
      <c r="G817" s="1"/>
      <c r="H817" s="1"/>
      <c r="I817" s="1"/>
    </row>
    <row r="818" spans="1:9" x14ac:dyDescent="0.25">
      <c r="A818" s="7"/>
      <c r="B818" s="1"/>
      <c r="C818" s="1"/>
      <c r="D818" s="1"/>
      <c r="F818" s="7"/>
      <c r="G818" s="1"/>
      <c r="H818" s="1"/>
      <c r="I818" s="1"/>
    </row>
    <row r="819" spans="1:9" x14ac:dyDescent="0.25">
      <c r="A819" s="7"/>
      <c r="B819" s="1"/>
      <c r="C819" s="1"/>
      <c r="D819" s="1"/>
      <c r="F819" s="7"/>
      <c r="G819" s="1"/>
      <c r="H819" s="1"/>
      <c r="I819" s="1"/>
    </row>
    <row r="820" spans="1:9" x14ac:dyDescent="0.25">
      <c r="A820" s="7"/>
      <c r="B820" s="1"/>
      <c r="C820" s="1"/>
      <c r="D820" s="1"/>
      <c r="F820" s="7"/>
      <c r="G820" s="1"/>
      <c r="H820" s="1"/>
      <c r="I820" s="1"/>
    </row>
    <row r="821" spans="1:9" x14ac:dyDescent="0.25">
      <c r="A821" s="7"/>
      <c r="B821" s="1"/>
      <c r="C821" s="1"/>
      <c r="D821" s="1"/>
      <c r="F821" s="7"/>
      <c r="G821" s="1"/>
      <c r="H821" s="1"/>
      <c r="I821" s="1"/>
    </row>
    <row r="822" spans="1:9" x14ac:dyDescent="0.25">
      <c r="A822" s="7"/>
      <c r="B822" s="1"/>
      <c r="C822" s="1"/>
      <c r="D822" s="1"/>
      <c r="F822" s="7"/>
      <c r="G822" s="1"/>
      <c r="H822" s="1"/>
      <c r="I822" s="1"/>
    </row>
    <row r="823" spans="1:9" x14ac:dyDescent="0.25">
      <c r="A823" s="7"/>
      <c r="B823" s="1"/>
      <c r="C823" s="1"/>
      <c r="D823" s="1"/>
      <c r="F823" s="7"/>
      <c r="G823" s="1"/>
      <c r="H823" s="1"/>
      <c r="I823" s="1"/>
    </row>
    <row r="824" spans="1:9" x14ac:dyDescent="0.25">
      <c r="A824" s="7"/>
      <c r="B824" s="1"/>
      <c r="C824" s="1"/>
      <c r="D824" s="1"/>
      <c r="F824" s="7"/>
      <c r="G824" s="1"/>
      <c r="H824" s="1"/>
      <c r="I824" s="1"/>
    </row>
    <row r="825" spans="1:9" x14ac:dyDescent="0.25">
      <c r="A825" s="7"/>
      <c r="B825" s="1"/>
      <c r="C825" s="1"/>
      <c r="D825" s="1"/>
      <c r="F825" s="7"/>
      <c r="G825" s="1"/>
      <c r="H825" s="1"/>
      <c r="I825" s="1"/>
    </row>
    <row r="826" spans="1:9" x14ac:dyDescent="0.25">
      <c r="A826" s="7"/>
      <c r="B826" s="1"/>
      <c r="C826" s="1"/>
      <c r="D826" s="1"/>
      <c r="F826" s="7"/>
      <c r="G826" s="1"/>
      <c r="H826" s="1"/>
      <c r="I826" s="1"/>
    </row>
    <row r="827" spans="1:9" x14ac:dyDescent="0.25">
      <c r="A827" s="7"/>
      <c r="B827" s="1"/>
      <c r="C827" s="1"/>
      <c r="D827" s="1"/>
      <c r="F827" s="7"/>
      <c r="G827" s="1"/>
      <c r="H827" s="1"/>
      <c r="I827" s="1"/>
    </row>
    <row r="828" spans="1:9" x14ac:dyDescent="0.25">
      <c r="A828" s="7"/>
      <c r="B828" s="1"/>
      <c r="C828" s="1"/>
      <c r="D828" s="1"/>
      <c r="F828" s="7"/>
      <c r="G828" s="1"/>
      <c r="H828" s="1"/>
      <c r="I828" s="1"/>
    </row>
    <row r="829" spans="1:9" x14ac:dyDescent="0.25">
      <c r="A829" s="7"/>
      <c r="B829" s="1"/>
      <c r="C829" s="1"/>
      <c r="D829" s="1"/>
      <c r="F829" s="7"/>
      <c r="G829" s="1"/>
      <c r="H829" s="1"/>
      <c r="I829" s="1"/>
    </row>
    <row r="830" spans="1:9" x14ac:dyDescent="0.25">
      <c r="A830" s="7"/>
      <c r="B830" s="1"/>
      <c r="C830" s="1"/>
      <c r="D830" s="1"/>
      <c r="F830" s="7"/>
      <c r="G830" s="1"/>
      <c r="H830" s="1"/>
      <c r="I830" s="1"/>
    </row>
    <row r="831" spans="1:9" x14ac:dyDescent="0.25">
      <c r="A831" s="7"/>
      <c r="B831" s="1"/>
      <c r="C831" s="1"/>
      <c r="D831" s="1"/>
      <c r="F831" s="7"/>
      <c r="G831" s="1"/>
      <c r="H831" s="1"/>
      <c r="I831" s="1"/>
    </row>
    <row r="832" spans="1:9" x14ac:dyDescent="0.25">
      <c r="A832" s="7"/>
      <c r="B832" s="1"/>
      <c r="C832" s="1"/>
      <c r="D832" s="1"/>
      <c r="F832" s="7"/>
      <c r="G832" s="1"/>
      <c r="H832" s="1"/>
      <c r="I832" s="1"/>
    </row>
    <row r="833" spans="1:9" x14ac:dyDescent="0.25">
      <c r="A833" s="7"/>
      <c r="B833" s="1"/>
      <c r="C833" s="1"/>
      <c r="D833" s="1"/>
      <c r="F833" s="7"/>
      <c r="G833" s="1"/>
      <c r="H833" s="1"/>
      <c r="I833" s="1"/>
    </row>
    <row r="834" spans="1:9" x14ac:dyDescent="0.25">
      <c r="A834" s="7"/>
      <c r="B834" s="1"/>
      <c r="C834" s="1"/>
      <c r="D834" s="1"/>
      <c r="F834" s="7"/>
      <c r="G834" s="1"/>
      <c r="H834" s="1"/>
      <c r="I834" s="1"/>
    </row>
    <row r="835" spans="1:9" x14ac:dyDescent="0.25">
      <c r="A835" s="7"/>
      <c r="B835" s="1"/>
      <c r="C835" s="1"/>
      <c r="D835" s="1"/>
      <c r="F835" s="7"/>
      <c r="G835" s="1"/>
      <c r="H835" s="1"/>
      <c r="I835" s="1"/>
    </row>
    <row r="836" spans="1:9" x14ac:dyDescent="0.25">
      <c r="A836" s="7"/>
      <c r="B836" s="1"/>
      <c r="C836" s="1"/>
      <c r="D836" s="1"/>
      <c r="F836" s="7"/>
      <c r="G836" s="1"/>
      <c r="H836" s="1"/>
      <c r="I836" s="1"/>
    </row>
    <row r="837" spans="1:9" x14ac:dyDescent="0.25">
      <c r="A837" s="7"/>
      <c r="B837" s="1"/>
      <c r="C837" s="1"/>
      <c r="D837" s="1"/>
      <c r="F837" s="7"/>
      <c r="G837" s="1"/>
      <c r="H837" s="1"/>
      <c r="I837" s="1"/>
    </row>
    <row r="838" spans="1:9" x14ac:dyDescent="0.25">
      <c r="A838" s="7"/>
      <c r="B838" s="1"/>
      <c r="C838" s="1"/>
      <c r="D838" s="1"/>
      <c r="F838" s="7"/>
      <c r="G838" s="1"/>
      <c r="H838" s="1"/>
      <c r="I838" s="1"/>
    </row>
    <row r="839" spans="1:9" x14ac:dyDescent="0.25">
      <c r="A839" s="7"/>
      <c r="B839" s="1"/>
      <c r="C839" s="1"/>
      <c r="D839" s="1"/>
      <c r="F839" s="7"/>
      <c r="G839" s="1"/>
      <c r="H839" s="1"/>
      <c r="I839" s="1"/>
    </row>
    <row r="840" spans="1:9" x14ac:dyDescent="0.25">
      <c r="A840" s="7"/>
      <c r="B840" s="1"/>
      <c r="C840" s="1"/>
      <c r="D840" s="1"/>
      <c r="F840" s="7"/>
      <c r="G840" s="1"/>
      <c r="H840" s="1"/>
      <c r="I840" s="1"/>
    </row>
    <row r="841" spans="1:9" x14ac:dyDescent="0.25">
      <c r="A841" s="7"/>
      <c r="B841" s="1"/>
      <c r="C841" s="1"/>
      <c r="D841" s="1"/>
      <c r="F841" s="7"/>
      <c r="G841" s="1"/>
      <c r="H841" s="1"/>
      <c r="I841" s="1"/>
    </row>
    <row r="842" spans="1:9" x14ac:dyDescent="0.25">
      <c r="A842" s="7"/>
      <c r="B842" s="1"/>
      <c r="C842" s="1"/>
      <c r="D842" s="1"/>
      <c r="F842" s="7"/>
      <c r="G842" s="1"/>
      <c r="H842" s="1"/>
      <c r="I842" s="1"/>
    </row>
    <row r="843" spans="1:9" x14ac:dyDescent="0.25">
      <c r="A843" s="7"/>
      <c r="B843" s="1"/>
      <c r="C843" s="1"/>
      <c r="D843" s="1"/>
      <c r="F843" s="7"/>
      <c r="G843" s="1"/>
      <c r="H843" s="1"/>
      <c r="I843" s="1"/>
    </row>
    <row r="844" spans="1:9" x14ac:dyDescent="0.25">
      <c r="A844" s="7"/>
      <c r="B844" s="1"/>
      <c r="C844" s="1"/>
      <c r="D844" s="1"/>
      <c r="F844" s="7"/>
      <c r="G844" s="1"/>
      <c r="H844" s="1"/>
      <c r="I844" s="1"/>
    </row>
    <row r="845" spans="1:9" x14ac:dyDescent="0.25">
      <c r="A845" s="7"/>
      <c r="B845" s="1"/>
      <c r="C845" s="1"/>
      <c r="D845" s="1"/>
      <c r="F845" s="7"/>
      <c r="G845" s="1"/>
      <c r="H845" s="1"/>
      <c r="I845" s="1"/>
    </row>
    <row r="846" spans="1:9" x14ac:dyDescent="0.25">
      <c r="A846" s="7"/>
      <c r="B846" s="1"/>
      <c r="C846" s="1"/>
      <c r="D846" s="1"/>
      <c r="F846" s="7"/>
      <c r="G846" s="1"/>
      <c r="H846" s="1"/>
      <c r="I846" s="1"/>
    </row>
    <row r="847" spans="1:9" x14ac:dyDescent="0.25">
      <c r="A847" s="7"/>
      <c r="B847" s="1"/>
      <c r="C847" s="1"/>
      <c r="D847" s="1"/>
      <c r="F847" s="7"/>
      <c r="G847" s="1"/>
      <c r="H847" s="1"/>
      <c r="I847" s="1"/>
    </row>
    <row r="848" spans="1:9" x14ac:dyDescent="0.25">
      <c r="A848" s="7"/>
      <c r="B848" s="1"/>
      <c r="C848" s="1"/>
      <c r="D848" s="1"/>
      <c r="F848" s="7"/>
      <c r="G848" s="1"/>
      <c r="H848" s="1"/>
      <c r="I848" s="1"/>
    </row>
    <row r="849" spans="1:9" x14ac:dyDescent="0.25">
      <c r="A849" s="7"/>
      <c r="B849" s="1"/>
      <c r="C849" s="1"/>
      <c r="D849" s="1"/>
      <c r="F849" s="7"/>
      <c r="G849" s="1"/>
      <c r="H849" s="1"/>
      <c r="I849" s="1"/>
    </row>
    <row r="850" spans="1:9" x14ac:dyDescent="0.25">
      <c r="A850" s="7"/>
      <c r="B850" s="1"/>
      <c r="C850" s="1"/>
      <c r="D850" s="1"/>
      <c r="F850" s="7"/>
      <c r="G850" s="1"/>
      <c r="H850" s="1"/>
      <c r="I850" s="1"/>
    </row>
    <row r="851" spans="1:9" x14ac:dyDescent="0.25">
      <c r="A851" s="7"/>
      <c r="B851" s="1"/>
      <c r="C851" s="1"/>
      <c r="D851" s="1"/>
      <c r="F851" s="7"/>
      <c r="G851" s="1"/>
      <c r="H851" s="1"/>
      <c r="I851" s="1"/>
    </row>
    <row r="852" spans="1:9" x14ac:dyDescent="0.25">
      <c r="A852" s="7"/>
      <c r="B852" s="1"/>
      <c r="C852" s="1"/>
      <c r="D852" s="1"/>
      <c r="F852" s="7"/>
      <c r="G852" s="1"/>
      <c r="H852" s="1"/>
      <c r="I852" s="1"/>
    </row>
    <row r="853" spans="1:9" x14ac:dyDescent="0.25">
      <c r="A853" s="7"/>
      <c r="B853" s="1"/>
      <c r="C853" s="1"/>
      <c r="D853" s="1"/>
      <c r="F853" s="7"/>
      <c r="G853" s="1"/>
      <c r="H853" s="1"/>
      <c r="I853" s="1"/>
    </row>
    <row r="854" spans="1:9" x14ac:dyDescent="0.25">
      <c r="A854" s="7"/>
      <c r="B854" s="1"/>
      <c r="C854" s="1"/>
      <c r="D854" s="1"/>
      <c r="F854" s="7"/>
      <c r="G854" s="1"/>
      <c r="H854" s="1"/>
      <c r="I854" s="1"/>
    </row>
    <row r="855" spans="1:9" x14ac:dyDescent="0.25">
      <c r="A855" s="7"/>
      <c r="B855" s="1"/>
      <c r="C855" s="1"/>
      <c r="D855" s="1"/>
      <c r="F855" s="7"/>
      <c r="G855" s="1"/>
      <c r="H855" s="1"/>
      <c r="I855" s="1"/>
    </row>
    <row r="856" spans="1:9" x14ac:dyDescent="0.25">
      <c r="A856" s="7"/>
      <c r="B856" s="1"/>
      <c r="C856" s="1"/>
      <c r="D856" s="1"/>
      <c r="F856" s="7"/>
      <c r="G856" s="1"/>
      <c r="H856" s="1"/>
      <c r="I856" s="1"/>
    </row>
    <row r="857" spans="1:9" x14ac:dyDescent="0.25">
      <c r="A857" s="7"/>
      <c r="B857" s="1"/>
      <c r="C857" s="1"/>
      <c r="D857" s="1"/>
      <c r="F857" s="7"/>
      <c r="G857" s="1"/>
      <c r="H857" s="1"/>
      <c r="I857" s="1"/>
    </row>
    <row r="858" spans="1:9" x14ac:dyDescent="0.25">
      <c r="A858" s="7"/>
      <c r="B858" s="1"/>
      <c r="C858" s="1"/>
      <c r="D858" s="1"/>
      <c r="F858" s="7"/>
      <c r="G858" s="1"/>
      <c r="H858" s="1"/>
      <c r="I858" s="1"/>
    </row>
    <row r="859" spans="1:9" x14ac:dyDescent="0.25">
      <c r="A859" s="7"/>
      <c r="B859" s="1"/>
      <c r="C859" s="1"/>
      <c r="D859" s="1"/>
      <c r="F859" s="7"/>
      <c r="G859" s="1"/>
      <c r="H859" s="1"/>
      <c r="I859" s="1"/>
    </row>
    <row r="860" spans="1:9" x14ac:dyDescent="0.25">
      <c r="A860" s="7"/>
      <c r="B860" s="1"/>
      <c r="C860" s="1"/>
      <c r="D860" s="1"/>
      <c r="F860" s="7"/>
      <c r="G860" s="1"/>
      <c r="H860" s="1"/>
      <c r="I860" s="1"/>
    </row>
    <row r="861" spans="1:9" x14ac:dyDescent="0.25">
      <c r="A861" s="7"/>
      <c r="B861" s="1"/>
      <c r="C861" s="1"/>
      <c r="D861" s="1"/>
      <c r="F861" s="7"/>
      <c r="G861" s="1"/>
      <c r="H861" s="1"/>
      <c r="I861" s="1"/>
    </row>
    <row r="862" spans="1:9" x14ac:dyDescent="0.25">
      <c r="A862" s="7"/>
      <c r="B862" s="1"/>
      <c r="C862" s="1"/>
      <c r="D862" s="1"/>
      <c r="F862" s="7"/>
      <c r="G862" s="1"/>
      <c r="H862" s="1"/>
      <c r="I862" s="1"/>
    </row>
    <row r="863" spans="1:9" x14ac:dyDescent="0.25">
      <c r="A863" s="7"/>
      <c r="B863" s="1"/>
      <c r="C863" s="1"/>
      <c r="D863" s="1"/>
      <c r="F863" s="7"/>
      <c r="G863" s="1"/>
      <c r="H863" s="1"/>
      <c r="I863" s="1"/>
    </row>
    <row r="864" spans="1:9" x14ac:dyDescent="0.25">
      <c r="A864" s="7"/>
      <c r="B864" s="1"/>
      <c r="C864" s="1"/>
      <c r="D864" s="1"/>
      <c r="F864" s="7"/>
      <c r="G864" s="1"/>
      <c r="H864" s="1"/>
      <c r="I864" s="1"/>
    </row>
    <row r="865" spans="1:9" x14ac:dyDescent="0.25">
      <c r="A865" s="7"/>
      <c r="B865" s="1"/>
      <c r="C865" s="1"/>
      <c r="D865" s="1"/>
      <c r="F865" s="7"/>
      <c r="G865" s="1"/>
      <c r="H865" s="1"/>
      <c r="I865" s="1"/>
    </row>
    <row r="866" spans="1:9" x14ac:dyDescent="0.25">
      <c r="A866" s="7"/>
      <c r="B866" s="1"/>
      <c r="C866" s="1"/>
      <c r="D866" s="1"/>
      <c r="F866" s="7"/>
      <c r="G866" s="1"/>
      <c r="H866" s="1"/>
      <c r="I866" s="1"/>
    </row>
    <row r="867" spans="1:9" x14ac:dyDescent="0.25">
      <c r="A867" s="7"/>
      <c r="B867" s="1"/>
      <c r="C867" s="1"/>
      <c r="D867" s="1"/>
      <c r="F867" s="7"/>
      <c r="G867" s="1"/>
      <c r="H867" s="1"/>
      <c r="I867" s="1"/>
    </row>
    <row r="868" spans="1:9" x14ac:dyDescent="0.25">
      <c r="A868" s="7"/>
      <c r="B868" s="1"/>
      <c r="C868" s="1"/>
      <c r="D868" s="1"/>
      <c r="F868" s="7"/>
      <c r="G868" s="1"/>
      <c r="H868" s="1"/>
      <c r="I868" s="1"/>
    </row>
    <row r="869" spans="1:9" x14ac:dyDescent="0.25">
      <c r="A869" s="7"/>
      <c r="B869" s="1"/>
      <c r="C869" s="1"/>
      <c r="D869" s="1"/>
      <c r="F869" s="7"/>
      <c r="G869" s="1"/>
      <c r="H869" s="1"/>
      <c r="I869" s="1"/>
    </row>
    <row r="870" spans="1:9" x14ac:dyDescent="0.25">
      <c r="A870" s="7"/>
      <c r="B870" s="1"/>
      <c r="C870" s="1"/>
      <c r="D870" s="1"/>
      <c r="F870" s="7"/>
      <c r="G870" s="1"/>
      <c r="H870" s="1"/>
      <c r="I870" s="1"/>
    </row>
    <row r="871" spans="1:9" x14ac:dyDescent="0.25">
      <c r="A871" s="7"/>
      <c r="B871" s="1"/>
      <c r="C871" s="1"/>
      <c r="D871" s="1"/>
      <c r="F871" s="7"/>
      <c r="G871" s="1"/>
      <c r="H871" s="1"/>
      <c r="I871" s="1"/>
    </row>
    <row r="872" spans="1:9" x14ac:dyDescent="0.25">
      <c r="A872" s="7"/>
      <c r="B872" s="1"/>
      <c r="C872" s="1"/>
      <c r="D872" s="1"/>
      <c r="F872" s="7"/>
      <c r="G872" s="1"/>
      <c r="H872" s="1"/>
      <c r="I872" s="1"/>
    </row>
    <row r="873" spans="1:9" x14ac:dyDescent="0.25">
      <c r="A873" s="7"/>
      <c r="B873" s="1"/>
      <c r="C873" s="1"/>
      <c r="D873" s="1"/>
      <c r="F873" s="7"/>
      <c r="G873" s="1"/>
      <c r="H873" s="1"/>
      <c r="I873" s="1"/>
    </row>
    <row r="874" spans="1:9" x14ac:dyDescent="0.25">
      <c r="A874" s="7"/>
      <c r="B874" s="1"/>
      <c r="C874" s="1"/>
      <c r="D874" s="1"/>
      <c r="F874" s="7"/>
      <c r="G874" s="1"/>
      <c r="H874" s="1"/>
      <c r="I874" s="1"/>
    </row>
    <row r="875" spans="1:9" x14ac:dyDescent="0.25">
      <c r="A875" s="7"/>
      <c r="B875" s="1"/>
      <c r="C875" s="1"/>
      <c r="D875" s="1"/>
      <c r="F875" s="7"/>
      <c r="G875" s="1"/>
      <c r="H875" s="1"/>
      <c r="I875" s="1"/>
    </row>
    <row r="876" spans="1:9" x14ac:dyDescent="0.25">
      <c r="A876" s="7"/>
      <c r="B876" s="1"/>
      <c r="C876" s="1"/>
      <c r="D876" s="1"/>
      <c r="F876" s="7"/>
      <c r="G876" s="1"/>
      <c r="H876" s="1"/>
      <c r="I876" s="1"/>
    </row>
    <row r="877" spans="1:9" x14ac:dyDescent="0.25">
      <c r="A877" s="7"/>
      <c r="B877" s="1"/>
      <c r="C877" s="1"/>
      <c r="D877" s="1"/>
      <c r="F877" s="7"/>
      <c r="G877" s="1"/>
      <c r="H877" s="1"/>
      <c r="I877" s="1"/>
    </row>
    <row r="878" spans="1:9" x14ac:dyDescent="0.25">
      <c r="A878" s="7"/>
      <c r="B878" s="1"/>
      <c r="C878" s="1"/>
      <c r="D878" s="1"/>
      <c r="F878" s="7"/>
      <c r="G878" s="1"/>
      <c r="H878" s="1"/>
      <c r="I878" s="1"/>
    </row>
    <row r="879" spans="1:9" x14ac:dyDescent="0.25">
      <c r="A879" s="7"/>
      <c r="B879" s="1"/>
      <c r="C879" s="1"/>
      <c r="D879" s="1"/>
      <c r="F879" s="7"/>
      <c r="G879" s="1"/>
      <c r="H879" s="1"/>
      <c r="I879" s="1"/>
    </row>
    <row r="880" spans="1:9" x14ac:dyDescent="0.25">
      <c r="A880" s="7"/>
      <c r="B880" s="1"/>
      <c r="C880" s="1"/>
      <c r="D880" s="1"/>
      <c r="F880" s="7"/>
      <c r="G880" s="1"/>
      <c r="H880" s="1"/>
      <c r="I880" s="1"/>
    </row>
    <row r="881" spans="1:9" x14ac:dyDescent="0.25">
      <c r="A881" s="7"/>
      <c r="B881" s="1"/>
      <c r="C881" s="1"/>
      <c r="D881" s="1"/>
      <c r="F881" s="7"/>
      <c r="G881" s="1"/>
      <c r="H881" s="1"/>
      <c r="I881" s="1"/>
    </row>
    <row r="882" spans="1:9" x14ac:dyDescent="0.25">
      <c r="A882" s="7"/>
      <c r="B882" s="1"/>
      <c r="C882" s="1"/>
      <c r="D882" s="1"/>
      <c r="F882" s="7"/>
      <c r="G882" s="1"/>
      <c r="H882" s="1"/>
      <c r="I882" s="1"/>
    </row>
    <row r="883" spans="1:9" x14ac:dyDescent="0.25">
      <c r="A883" s="7"/>
      <c r="B883" s="1"/>
      <c r="C883" s="1"/>
      <c r="D883" s="1"/>
      <c r="F883" s="7"/>
      <c r="G883" s="1"/>
      <c r="H883" s="1"/>
      <c r="I883" s="1"/>
    </row>
    <row r="884" spans="1:9" x14ac:dyDescent="0.25">
      <c r="A884" s="7"/>
      <c r="B884" s="1"/>
      <c r="C884" s="1"/>
      <c r="D884" s="1"/>
      <c r="F884" s="7"/>
      <c r="G884" s="1"/>
      <c r="H884" s="1"/>
      <c r="I884" s="1"/>
    </row>
    <row r="885" spans="1:9" x14ac:dyDescent="0.25">
      <c r="A885" s="7"/>
      <c r="B885" s="1"/>
      <c r="C885" s="1"/>
      <c r="D885" s="1"/>
      <c r="F885" s="7"/>
      <c r="G885" s="1"/>
      <c r="H885" s="1"/>
      <c r="I885" s="1"/>
    </row>
    <row r="886" spans="1:9" x14ac:dyDescent="0.25">
      <c r="A886" s="7"/>
      <c r="B886" s="1"/>
      <c r="C886" s="1"/>
      <c r="D886" s="1"/>
      <c r="F886" s="7"/>
      <c r="G886" s="1"/>
      <c r="H886" s="1"/>
      <c r="I886" s="1"/>
    </row>
    <row r="887" spans="1:9" x14ac:dyDescent="0.25">
      <c r="A887" s="7"/>
      <c r="B887" s="1"/>
      <c r="C887" s="1"/>
      <c r="D887" s="1"/>
      <c r="F887" s="7"/>
      <c r="G887" s="1"/>
      <c r="H887" s="1"/>
      <c r="I887" s="1"/>
    </row>
    <row r="888" spans="1:9" x14ac:dyDescent="0.25">
      <c r="A888" s="7"/>
      <c r="B888" s="1"/>
      <c r="C888" s="1"/>
      <c r="D888" s="1"/>
      <c r="F888" s="7"/>
      <c r="G888" s="1"/>
      <c r="H888" s="1"/>
      <c r="I888" s="1"/>
    </row>
    <row r="889" spans="1:9" x14ac:dyDescent="0.25">
      <c r="A889" s="7"/>
      <c r="B889" s="1"/>
      <c r="C889" s="1"/>
      <c r="D889" s="1"/>
      <c r="F889" s="7"/>
      <c r="G889" s="1"/>
      <c r="H889" s="1"/>
      <c r="I889" s="1"/>
    </row>
    <row r="890" spans="1:9" x14ac:dyDescent="0.25">
      <c r="A890" s="7"/>
      <c r="B890" s="1"/>
      <c r="C890" s="1"/>
      <c r="D890" s="1"/>
      <c r="F890" s="7"/>
      <c r="G890" s="1"/>
      <c r="H890" s="1"/>
      <c r="I890" s="1"/>
    </row>
    <row r="891" spans="1:9" x14ac:dyDescent="0.25">
      <c r="A891" s="7"/>
      <c r="B891" s="1"/>
      <c r="C891" s="1"/>
      <c r="D891" s="1"/>
      <c r="F891" s="7"/>
      <c r="G891" s="1"/>
      <c r="H891" s="1"/>
      <c r="I891" s="1"/>
    </row>
    <row r="892" spans="1:9" x14ac:dyDescent="0.25">
      <c r="A892" s="7"/>
      <c r="B892" s="1"/>
      <c r="C892" s="1"/>
      <c r="D892" s="1"/>
      <c r="F892" s="7"/>
      <c r="G892" s="1"/>
      <c r="H892" s="1"/>
      <c r="I892" s="1"/>
    </row>
    <row r="893" spans="1:9" x14ac:dyDescent="0.25">
      <c r="A893" s="7"/>
      <c r="B893" s="1"/>
      <c r="C893" s="1"/>
      <c r="D893" s="1"/>
      <c r="F893" s="7"/>
      <c r="G893" s="1"/>
      <c r="H893" s="1"/>
      <c r="I893" s="1"/>
    </row>
    <row r="894" spans="1:9" x14ac:dyDescent="0.25">
      <c r="A894" s="7"/>
      <c r="B894" s="1"/>
      <c r="C894" s="1"/>
      <c r="D894" s="1"/>
      <c r="F894" s="7"/>
      <c r="G894" s="1"/>
      <c r="H894" s="1"/>
      <c r="I894" s="1"/>
    </row>
    <row r="895" spans="1:9" x14ac:dyDescent="0.25">
      <c r="A895" s="7"/>
      <c r="B895" s="1"/>
      <c r="C895" s="1"/>
      <c r="D895" s="1"/>
      <c r="F895" s="7"/>
      <c r="G895" s="1"/>
      <c r="H895" s="1"/>
      <c r="I895" s="1"/>
    </row>
    <row r="896" spans="1:9" x14ac:dyDescent="0.25">
      <c r="A896" s="7"/>
      <c r="B896" s="1"/>
      <c r="C896" s="1"/>
      <c r="D896" s="1"/>
      <c r="F896" s="7"/>
      <c r="G896" s="1"/>
      <c r="H896" s="1"/>
      <c r="I896" s="1"/>
    </row>
    <row r="897" spans="1:9" x14ac:dyDescent="0.25">
      <c r="A897" s="7"/>
      <c r="B897" s="1"/>
      <c r="C897" s="1"/>
      <c r="D897" s="1"/>
      <c r="F897" s="7"/>
      <c r="G897" s="1"/>
      <c r="H897" s="1"/>
      <c r="I897" s="1"/>
    </row>
    <row r="898" spans="1:9" x14ac:dyDescent="0.25">
      <c r="A898" s="7"/>
      <c r="B898" s="1"/>
      <c r="C898" s="1"/>
      <c r="D898" s="1"/>
      <c r="F898" s="7"/>
      <c r="G898" s="1"/>
      <c r="H898" s="1"/>
      <c r="I898" s="1"/>
    </row>
    <row r="899" spans="1:9" x14ac:dyDescent="0.25">
      <c r="A899" s="7"/>
      <c r="B899" s="1"/>
      <c r="C899" s="1"/>
      <c r="D899" s="1"/>
      <c r="F899" s="7"/>
      <c r="G899" s="1"/>
      <c r="H899" s="1"/>
      <c r="I899" s="1"/>
    </row>
    <row r="900" spans="1:9" x14ac:dyDescent="0.25">
      <c r="A900" s="7"/>
      <c r="B900" s="1"/>
      <c r="C900" s="1"/>
      <c r="D900" s="1"/>
      <c r="F900" s="7"/>
      <c r="G900" s="1"/>
      <c r="H900" s="1"/>
      <c r="I900" s="1"/>
    </row>
    <row r="901" spans="1:9" x14ac:dyDescent="0.25">
      <c r="A901" s="7"/>
      <c r="B901" s="1"/>
      <c r="C901" s="1"/>
      <c r="D901" s="1"/>
      <c r="F901" s="7"/>
      <c r="G901" s="1"/>
      <c r="H901" s="1"/>
      <c r="I901" s="1"/>
    </row>
    <row r="902" spans="1:9" x14ac:dyDescent="0.25">
      <c r="A902" s="7"/>
      <c r="B902" s="1"/>
      <c r="C902" s="1"/>
      <c r="D902" s="1"/>
      <c r="F902" s="7"/>
      <c r="G902" s="1"/>
      <c r="H902" s="1"/>
      <c r="I902" s="1"/>
    </row>
    <row r="903" spans="1:9" x14ac:dyDescent="0.25">
      <c r="A903" s="7"/>
      <c r="B903" s="1"/>
      <c r="C903" s="1"/>
      <c r="D903" s="1"/>
      <c r="F903" s="7"/>
      <c r="G903" s="1"/>
      <c r="H903" s="1"/>
      <c r="I903" s="1"/>
    </row>
    <row r="904" spans="1:9" x14ac:dyDescent="0.25">
      <c r="A904" s="7"/>
      <c r="B904" s="1"/>
      <c r="C904" s="1"/>
      <c r="D904" s="1"/>
      <c r="F904" s="7"/>
      <c r="G904" s="1"/>
      <c r="H904" s="1"/>
      <c r="I904" s="1"/>
    </row>
    <row r="905" spans="1:9" x14ac:dyDescent="0.25">
      <c r="A905" s="7"/>
      <c r="B905" s="1"/>
      <c r="C905" s="1"/>
      <c r="D905" s="1"/>
      <c r="F905" s="7"/>
      <c r="G905" s="1"/>
      <c r="H905" s="1"/>
      <c r="I905" s="1"/>
    </row>
    <row r="906" spans="1:9" x14ac:dyDescent="0.25">
      <c r="A906" s="7"/>
      <c r="B906" s="1"/>
      <c r="C906" s="1"/>
      <c r="D906" s="1"/>
      <c r="F906" s="7"/>
      <c r="G906" s="1"/>
      <c r="H906" s="1"/>
      <c r="I906" s="1"/>
    </row>
    <row r="907" spans="1:9" x14ac:dyDescent="0.25">
      <c r="A907" s="7"/>
      <c r="B907" s="1"/>
      <c r="C907" s="1"/>
      <c r="D907" s="1"/>
      <c r="F907" s="7"/>
      <c r="G907" s="1"/>
      <c r="H907" s="1"/>
      <c r="I907" s="1"/>
    </row>
    <row r="908" spans="1:9" x14ac:dyDescent="0.25">
      <c r="A908" s="7"/>
      <c r="B908" s="1"/>
      <c r="C908" s="1"/>
      <c r="D908" s="1"/>
      <c r="F908" s="7"/>
      <c r="G908" s="1"/>
      <c r="H908" s="1"/>
      <c r="I908" s="1"/>
    </row>
    <row r="909" spans="1:9" x14ac:dyDescent="0.25">
      <c r="A909" s="7"/>
      <c r="B909" s="1"/>
      <c r="C909" s="1"/>
      <c r="D909" s="1"/>
      <c r="F909" s="7"/>
      <c r="G909" s="1"/>
      <c r="H909" s="1"/>
      <c r="I909" s="1"/>
    </row>
    <row r="910" spans="1:9" x14ac:dyDescent="0.25">
      <c r="A910" s="7"/>
      <c r="B910" s="1"/>
      <c r="C910" s="1"/>
      <c r="D910" s="1"/>
      <c r="F910" s="7"/>
      <c r="G910" s="1"/>
      <c r="H910" s="1"/>
      <c r="I910" s="1"/>
    </row>
    <row r="911" spans="1:9" x14ac:dyDescent="0.25">
      <c r="A911" s="7"/>
      <c r="B911" s="1"/>
      <c r="C911" s="1"/>
      <c r="D911" s="1"/>
      <c r="F911" s="7"/>
      <c r="G911" s="1"/>
      <c r="H911" s="1"/>
      <c r="I911" s="1"/>
    </row>
    <row r="912" spans="1:9" x14ac:dyDescent="0.25">
      <c r="A912" s="7"/>
      <c r="B912" s="1"/>
      <c r="C912" s="1"/>
      <c r="D912" s="1"/>
      <c r="F912" s="7"/>
      <c r="G912" s="1"/>
      <c r="H912" s="1"/>
      <c r="I912" s="1"/>
    </row>
    <row r="913" spans="1:9" x14ac:dyDescent="0.25">
      <c r="A913" s="7"/>
      <c r="B913" s="1"/>
      <c r="C913" s="1"/>
      <c r="D913" s="1"/>
      <c r="F913" s="7"/>
      <c r="G913" s="1"/>
      <c r="H913" s="1"/>
      <c r="I913" s="1"/>
    </row>
    <row r="914" spans="1:9" x14ac:dyDescent="0.25">
      <c r="A914" s="7"/>
      <c r="B914" s="1"/>
      <c r="C914" s="1"/>
      <c r="D914" s="1"/>
      <c r="F914" s="7"/>
      <c r="G914" s="1"/>
      <c r="H914" s="1"/>
      <c r="I914" s="1"/>
    </row>
    <row r="915" spans="1:9" x14ac:dyDescent="0.25">
      <c r="A915" s="7"/>
      <c r="B915" s="1"/>
      <c r="C915" s="1"/>
      <c r="D915" s="1"/>
      <c r="F915" s="7"/>
      <c r="G915" s="1"/>
      <c r="H915" s="1"/>
      <c r="I915" s="1"/>
    </row>
    <row r="916" spans="1:9" x14ac:dyDescent="0.25">
      <c r="A916" s="7"/>
      <c r="B916" s="1"/>
      <c r="C916" s="1"/>
      <c r="D916" s="1"/>
      <c r="F916" s="7"/>
      <c r="G916" s="1"/>
      <c r="H916" s="1"/>
      <c r="I916" s="1"/>
    </row>
    <row r="917" spans="1:9" x14ac:dyDescent="0.25">
      <c r="A917" s="7"/>
      <c r="B917" s="1"/>
      <c r="C917" s="1"/>
      <c r="D917" s="1"/>
      <c r="F917" s="7"/>
      <c r="G917" s="1"/>
      <c r="H917" s="1"/>
      <c r="I917" s="1"/>
    </row>
    <row r="918" spans="1:9" x14ac:dyDescent="0.25">
      <c r="A918" s="7"/>
      <c r="B918" s="1"/>
      <c r="C918" s="1"/>
      <c r="D918" s="1"/>
      <c r="F918" s="7"/>
      <c r="G918" s="1"/>
      <c r="H918" s="1"/>
      <c r="I918" s="1"/>
    </row>
    <row r="919" spans="1:9" x14ac:dyDescent="0.25">
      <c r="A919" s="7"/>
      <c r="B919" s="1"/>
      <c r="C919" s="1"/>
      <c r="D919" s="1"/>
      <c r="F919" s="7"/>
      <c r="G919" s="1"/>
      <c r="H919" s="1"/>
      <c r="I919" s="1"/>
    </row>
    <row r="920" spans="1:9" x14ac:dyDescent="0.25">
      <c r="A920" s="7"/>
      <c r="B920" s="1"/>
      <c r="C920" s="1"/>
      <c r="D920" s="1"/>
      <c r="F920" s="7"/>
      <c r="G920" s="1"/>
      <c r="H920" s="1"/>
      <c r="I920" s="1"/>
    </row>
    <row r="921" spans="1:9" x14ac:dyDescent="0.25">
      <c r="A921" s="7"/>
      <c r="B921" s="1"/>
      <c r="C921" s="1"/>
      <c r="D921" s="1"/>
      <c r="F921" s="7"/>
      <c r="G921" s="1"/>
      <c r="H921" s="1"/>
      <c r="I921" s="1"/>
    </row>
    <row r="922" spans="1:9" x14ac:dyDescent="0.25">
      <c r="A922" s="7"/>
      <c r="B922" s="1"/>
      <c r="C922" s="1"/>
      <c r="D922" s="1"/>
      <c r="F922" s="7"/>
      <c r="G922" s="1"/>
      <c r="H922" s="1"/>
      <c r="I922" s="1"/>
    </row>
    <row r="923" spans="1:9" x14ac:dyDescent="0.25">
      <c r="A923" s="7"/>
      <c r="B923" s="1"/>
      <c r="C923" s="1"/>
      <c r="D923" s="1"/>
      <c r="F923" s="7"/>
      <c r="G923" s="1"/>
      <c r="H923" s="1"/>
      <c r="I923" s="1"/>
    </row>
    <row r="924" spans="1:9" x14ac:dyDescent="0.25">
      <c r="A924" s="7"/>
      <c r="B924" s="1"/>
      <c r="C924" s="1"/>
      <c r="D924" s="1"/>
      <c r="F924" s="7"/>
      <c r="G924" s="1"/>
      <c r="H924" s="1"/>
      <c r="I924" s="1"/>
    </row>
    <row r="925" spans="1:9" x14ac:dyDescent="0.25">
      <c r="A925" s="7"/>
      <c r="B925" s="1"/>
      <c r="C925" s="1"/>
      <c r="D925" s="1"/>
      <c r="F925" s="7"/>
      <c r="G925" s="1"/>
      <c r="H925" s="1"/>
      <c r="I925" s="1"/>
    </row>
    <row r="926" spans="1:9" x14ac:dyDescent="0.25">
      <c r="A926" s="7"/>
      <c r="B926" s="1"/>
      <c r="C926" s="1"/>
      <c r="D926" s="1"/>
      <c r="F926" s="7"/>
      <c r="G926" s="1"/>
      <c r="H926" s="1"/>
      <c r="I926" s="1"/>
    </row>
    <row r="927" spans="1:9" x14ac:dyDescent="0.25">
      <c r="A927" s="7"/>
      <c r="B927" s="1"/>
      <c r="C927" s="1"/>
      <c r="D927" s="1"/>
      <c r="F927" s="7"/>
      <c r="G927" s="1"/>
      <c r="H927" s="1"/>
      <c r="I927" s="1"/>
    </row>
    <row r="928" spans="1:9" x14ac:dyDescent="0.25">
      <c r="A928" s="7"/>
      <c r="B928" s="1"/>
      <c r="C928" s="1"/>
      <c r="D928" s="1"/>
      <c r="F928" s="7"/>
      <c r="G928" s="1"/>
      <c r="H928" s="1"/>
      <c r="I928" s="1"/>
    </row>
    <row r="929" spans="1:9" x14ac:dyDescent="0.25">
      <c r="A929" s="7"/>
      <c r="B929" s="1"/>
      <c r="C929" s="1"/>
      <c r="D929" s="1"/>
      <c r="F929" s="7"/>
      <c r="G929" s="1"/>
      <c r="H929" s="1"/>
      <c r="I929" s="1"/>
    </row>
    <row r="930" spans="1:9" x14ac:dyDescent="0.25">
      <c r="A930" s="7"/>
      <c r="B930" s="1"/>
      <c r="C930" s="1"/>
      <c r="D930" s="1"/>
      <c r="F930" s="7"/>
      <c r="G930" s="1"/>
      <c r="H930" s="1"/>
      <c r="I930" s="1"/>
    </row>
    <row r="931" spans="1:9" x14ac:dyDescent="0.25">
      <c r="A931" s="7"/>
      <c r="B931" s="1"/>
      <c r="C931" s="1"/>
      <c r="D931" s="1"/>
      <c r="F931" s="7"/>
      <c r="G931" s="1"/>
      <c r="H931" s="1"/>
      <c r="I931" s="1"/>
    </row>
    <row r="932" spans="1:9" x14ac:dyDescent="0.25">
      <c r="A932" s="7"/>
      <c r="B932" s="1"/>
      <c r="C932" s="1"/>
      <c r="D932" s="1"/>
      <c r="F932" s="7"/>
      <c r="G932" s="1"/>
      <c r="H932" s="1"/>
      <c r="I932" s="1"/>
    </row>
    <row r="933" spans="1:9" x14ac:dyDescent="0.25">
      <c r="A933" s="7"/>
      <c r="B933" s="1"/>
      <c r="C933" s="1"/>
      <c r="D933" s="1"/>
      <c r="F933" s="7"/>
      <c r="G933" s="1"/>
      <c r="H933" s="1"/>
      <c r="I933" s="1"/>
    </row>
    <row r="934" spans="1:9" x14ac:dyDescent="0.25">
      <c r="A934" s="7"/>
      <c r="B934" s="1"/>
      <c r="C934" s="1"/>
      <c r="D934" s="1"/>
      <c r="F934" s="7"/>
      <c r="G934" s="1"/>
      <c r="H934" s="1"/>
      <c r="I934" s="1"/>
    </row>
    <row r="935" spans="1:9" x14ac:dyDescent="0.25">
      <c r="A935" s="7"/>
      <c r="B935" s="1"/>
      <c r="C935" s="1"/>
      <c r="D935" s="1"/>
      <c r="F935" s="7"/>
      <c r="G935" s="1"/>
      <c r="H935" s="1"/>
      <c r="I935" s="1"/>
    </row>
    <row r="936" spans="1:9" x14ac:dyDescent="0.25">
      <c r="A936" s="7"/>
      <c r="B936" s="1"/>
      <c r="C936" s="1"/>
      <c r="D936" s="1"/>
      <c r="F936" s="7"/>
      <c r="G936" s="1"/>
      <c r="H936" s="1"/>
      <c r="I936" s="1"/>
    </row>
    <row r="937" spans="1:9" x14ac:dyDescent="0.25">
      <c r="A937" s="7"/>
      <c r="B937" s="1"/>
      <c r="C937" s="1"/>
      <c r="D937" s="1"/>
      <c r="F937" s="7"/>
      <c r="G937" s="1"/>
      <c r="H937" s="1"/>
      <c r="I937" s="1"/>
    </row>
    <row r="938" spans="1:9" x14ac:dyDescent="0.25">
      <c r="A938" s="7"/>
      <c r="B938" s="1"/>
      <c r="C938" s="1"/>
      <c r="D938" s="1"/>
      <c r="F938" s="7"/>
      <c r="G938" s="1"/>
      <c r="H938" s="1"/>
      <c r="I938" s="1"/>
    </row>
    <row r="939" spans="1:9" x14ac:dyDescent="0.25">
      <c r="A939" s="7"/>
      <c r="B939" s="1"/>
      <c r="C939" s="1"/>
      <c r="D939" s="1"/>
      <c r="F939" s="7"/>
      <c r="G939" s="1"/>
      <c r="H939" s="1"/>
      <c r="I939" s="1"/>
    </row>
    <row r="940" spans="1:9" x14ac:dyDescent="0.25">
      <c r="A940" s="7"/>
      <c r="B940" s="1"/>
      <c r="C940" s="1"/>
      <c r="D940" s="1"/>
      <c r="F940" s="7"/>
      <c r="G940" s="1"/>
      <c r="H940" s="1"/>
      <c r="I940" s="1"/>
    </row>
    <row r="941" spans="1:9" x14ac:dyDescent="0.25">
      <c r="A941" s="7"/>
      <c r="B941" s="1"/>
      <c r="C941" s="1"/>
      <c r="D941" s="1"/>
      <c r="F941" s="7"/>
      <c r="G941" s="1"/>
      <c r="H941" s="1"/>
      <c r="I941" s="1"/>
    </row>
    <row r="942" spans="1:9" x14ac:dyDescent="0.25">
      <c r="A942" s="7"/>
      <c r="B942" s="1"/>
      <c r="C942" s="1"/>
      <c r="D942" s="1"/>
      <c r="F942" s="7"/>
      <c r="G942" s="1"/>
      <c r="H942" s="1"/>
      <c r="I942" s="1"/>
    </row>
    <row r="943" spans="1:9" x14ac:dyDescent="0.25">
      <c r="A943" s="7"/>
      <c r="B943" s="1"/>
      <c r="C943" s="1"/>
      <c r="D943" s="1"/>
      <c r="F943" s="7"/>
      <c r="G943" s="1"/>
      <c r="H943" s="1"/>
      <c r="I943" s="1"/>
    </row>
    <row r="944" spans="1:9" x14ac:dyDescent="0.25">
      <c r="A944" s="7"/>
      <c r="B944" s="1"/>
      <c r="C944" s="1"/>
      <c r="D944" s="1"/>
      <c r="F944" s="7"/>
      <c r="G944" s="1"/>
      <c r="H944" s="1"/>
      <c r="I944" s="1"/>
    </row>
    <row r="945" spans="1:9" x14ac:dyDescent="0.25">
      <c r="A945" s="7"/>
      <c r="B945" s="1"/>
      <c r="C945" s="1"/>
      <c r="D945" s="1"/>
      <c r="F945" s="7"/>
      <c r="G945" s="1"/>
      <c r="H945" s="1"/>
      <c r="I945" s="1"/>
    </row>
    <row r="946" spans="1:9" x14ac:dyDescent="0.25">
      <c r="A946" s="7"/>
      <c r="B946" s="1"/>
      <c r="C946" s="1"/>
      <c r="D946" s="1"/>
      <c r="F946" s="7"/>
      <c r="G946" s="1"/>
      <c r="H946" s="1"/>
      <c r="I946" s="1"/>
    </row>
    <row r="947" spans="1:9" x14ac:dyDescent="0.25">
      <c r="A947" s="7"/>
      <c r="B947" s="1"/>
      <c r="C947" s="1"/>
      <c r="D947" s="1"/>
      <c r="F947" s="7"/>
      <c r="G947" s="1"/>
      <c r="H947" s="1"/>
      <c r="I947" s="1"/>
    </row>
    <row r="948" spans="1:9" x14ac:dyDescent="0.25">
      <c r="A948" s="7"/>
      <c r="B948" s="1"/>
      <c r="C948" s="1"/>
      <c r="D948" s="1"/>
      <c r="F948" s="7"/>
      <c r="G948" s="1"/>
      <c r="H948" s="1"/>
      <c r="I948" s="1"/>
    </row>
    <row r="949" spans="1:9" x14ac:dyDescent="0.25">
      <c r="A949" s="7"/>
      <c r="B949" s="1"/>
      <c r="C949" s="1"/>
      <c r="D949" s="1"/>
      <c r="F949" s="7"/>
      <c r="G949" s="1"/>
      <c r="H949" s="1"/>
      <c r="I949" s="1"/>
    </row>
    <row r="950" spans="1:9" x14ac:dyDescent="0.25">
      <c r="A950" s="7"/>
      <c r="B950" s="1"/>
      <c r="C950" s="1"/>
      <c r="D950" s="1"/>
      <c r="F950" s="7"/>
      <c r="G950" s="1"/>
      <c r="H950" s="1"/>
      <c r="I950" s="1"/>
    </row>
    <row r="951" spans="1:9" x14ac:dyDescent="0.25">
      <c r="A951" s="7"/>
      <c r="B951" s="1"/>
      <c r="C951" s="1"/>
      <c r="D951" s="1"/>
      <c r="F951" s="7"/>
      <c r="G951" s="1"/>
      <c r="H951" s="1"/>
      <c r="I951" s="1"/>
    </row>
    <row r="952" spans="1:9" x14ac:dyDescent="0.25">
      <c r="A952" s="7"/>
      <c r="B952" s="1"/>
      <c r="C952" s="1"/>
      <c r="D952" s="1"/>
      <c r="F952" s="7"/>
      <c r="G952" s="1"/>
      <c r="H952" s="1"/>
      <c r="I952" s="1"/>
    </row>
    <row r="953" spans="1:9" x14ac:dyDescent="0.25">
      <c r="A953" s="7"/>
      <c r="B953" s="1"/>
      <c r="C953" s="1"/>
      <c r="D953" s="1"/>
      <c r="F953" s="7"/>
      <c r="G953" s="1"/>
      <c r="H953" s="1"/>
      <c r="I953" s="1"/>
    </row>
    <row r="954" spans="1:9" x14ac:dyDescent="0.25">
      <c r="A954" s="7"/>
      <c r="B954" s="1"/>
      <c r="C954" s="1"/>
      <c r="D954" s="1"/>
      <c r="F954" s="7"/>
      <c r="G954" s="1"/>
      <c r="H954" s="1"/>
      <c r="I954" s="1"/>
    </row>
    <row r="955" spans="1:9" x14ac:dyDescent="0.25">
      <c r="A955" s="7"/>
      <c r="B955" s="1"/>
      <c r="C955" s="1"/>
      <c r="D955" s="1"/>
      <c r="F955" s="7"/>
      <c r="G955" s="1"/>
      <c r="H955" s="1"/>
      <c r="I955" s="1"/>
    </row>
    <row r="956" spans="1:9" x14ac:dyDescent="0.25">
      <c r="A956" s="7"/>
      <c r="B956" s="1"/>
      <c r="C956" s="1"/>
      <c r="D956" s="1"/>
      <c r="F956" s="7"/>
      <c r="G956" s="1"/>
      <c r="H956" s="1"/>
      <c r="I956" s="1"/>
    </row>
    <row r="957" spans="1:9" x14ac:dyDescent="0.25">
      <c r="A957" s="7"/>
      <c r="B957" s="1"/>
      <c r="C957" s="1"/>
      <c r="D957" s="1"/>
      <c r="F957" s="7"/>
      <c r="G957" s="1"/>
      <c r="H957" s="1"/>
      <c r="I957" s="1"/>
    </row>
    <row r="958" spans="1:9" x14ac:dyDescent="0.25">
      <c r="A958" s="7"/>
      <c r="B958" s="1"/>
      <c r="C958" s="1"/>
      <c r="D958" s="1"/>
      <c r="F958" s="7"/>
      <c r="G958" s="1"/>
      <c r="H958" s="1"/>
      <c r="I958" s="1"/>
    </row>
    <row r="959" spans="1:9" x14ac:dyDescent="0.25">
      <c r="A959" s="7"/>
      <c r="B959" s="1"/>
      <c r="C959" s="1"/>
      <c r="D959" s="1"/>
      <c r="F959" s="7"/>
      <c r="G959" s="1"/>
      <c r="H959" s="1"/>
      <c r="I959" s="1"/>
    </row>
    <row r="960" spans="1:9" x14ac:dyDescent="0.25">
      <c r="A960" s="7"/>
      <c r="B960" s="1"/>
      <c r="C960" s="1"/>
      <c r="D960" s="1"/>
      <c r="F960" s="7"/>
      <c r="G960" s="1"/>
      <c r="H960" s="1"/>
      <c r="I960" s="1"/>
    </row>
    <row r="961" spans="1:9" x14ac:dyDescent="0.25">
      <c r="A961" s="7"/>
      <c r="B961" s="1"/>
      <c r="C961" s="1"/>
      <c r="D961" s="1"/>
      <c r="F961" s="7"/>
      <c r="G961" s="1"/>
      <c r="H961" s="1"/>
      <c r="I961" s="1"/>
    </row>
    <row r="962" spans="1:9" x14ac:dyDescent="0.25">
      <c r="A962" s="7"/>
      <c r="B962" s="1"/>
      <c r="C962" s="1"/>
      <c r="D962" s="1"/>
      <c r="F962" s="7"/>
      <c r="G962" s="1"/>
      <c r="H962" s="1"/>
      <c r="I962" s="1"/>
    </row>
    <row r="963" spans="1:9" x14ac:dyDescent="0.25">
      <c r="A963" s="7"/>
      <c r="B963" s="1"/>
      <c r="C963" s="1"/>
      <c r="D963" s="1"/>
      <c r="F963" s="7"/>
      <c r="G963" s="1"/>
      <c r="H963" s="1"/>
      <c r="I963" s="1"/>
    </row>
    <row r="964" spans="1:9" x14ac:dyDescent="0.25">
      <c r="A964" s="7"/>
      <c r="B964" s="1"/>
      <c r="C964" s="1"/>
      <c r="D964" s="1"/>
      <c r="F964" s="7"/>
      <c r="G964" s="1"/>
      <c r="H964" s="1"/>
      <c r="I964" s="1"/>
    </row>
    <row r="965" spans="1:9" x14ac:dyDescent="0.25">
      <c r="A965" s="7"/>
      <c r="B965" s="1"/>
      <c r="C965" s="1"/>
      <c r="D965" s="1"/>
      <c r="F965" s="7"/>
      <c r="G965" s="1"/>
      <c r="H965" s="1"/>
      <c r="I965" s="1"/>
    </row>
    <row r="966" spans="1:9" x14ac:dyDescent="0.25">
      <c r="A966" s="7"/>
      <c r="B966" s="1"/>
      <c r="C966" s="1"/>
      <c r="D966" s="1"/>
      <c r="F966" s="7"/>
      <c r="G966" s="1"/>
      <c r="H966" s="1"/>
      <c r="I966" s="1"/>
    </row>
    <row r="967" spans="1:9" x14ac:dyDescent="0.25">
      <c r="A967" s="7"/>
      <c r="B967" s="1"/>
      <c r="C967" s="1"/>
      <c r="D967" s="1"/>
      <c r="F967" s="7"/>
      <c r="G967" s="1"/>
      <c r="H967" s="1"/>
      <c r="I967" s="1"/>
    </row>
    <row r="968" spans="1:9" x14ac:dyDescent="0.25">
      <c r="A968" s="7"/>
      <c r="B968" s="1"/>
      <c r="C968" s="1"/>
      <c r="D968" s="1"/>
      <c r="F968" s="7"/>
      <c r="G968" s="1"/>
      <c r="H968" s="1"/>
      <c r="I968" s="1"/>
    </row>
    <row r="969" spans="1:9" x14ac:dyDescent="0.25">
      <c r="A969" s="7"/>
      <c r="B969" s="1"/>
      <c r="C969" s="1"/>
      <c r="D969" s="1"/>
      <c r="F969" s="7"/>
      <c r="G969" s="1"/>
      <c r="H969" s="1"/>
      <c r="I969" s="1"/>
    </row>
    <row r="970" spans="1:9" x14ac:dyDescent="0.25">
      <c r="A970" s="7"/>
      <c r="B970" s="1"/>
      <c r="C970" s="1"/>
      <c r="D970" s="1"/>
      <c r="F970" s="7"/>
      <c r="G970" s="1"/>
      <c r="H970" s="1"/>
      <c r="I970" s="1"/>
    </row>
    <row r="971" spans="1:9" x14ac:dyDescent="0.25">
      <c r="A971" s="7"/>
      <c r="B971" s="1"/>
      <c r="C971" s="1"/>
      <c r="D971" s="1"/>
      <c r="F971" s="7"/>
      <c r="G971" s="1"/>
      <c r="H971" s="1"/>
      <c r="I971" s="1"/>
    </row>
    <row r="972" spans="1:9" x14ac:dyDescent="0.25">
      <c r="A972" s="7"/>
      <c r="B972" s="1"/>
      <c r="C972" s="1"/>
      <c r="D972" s="1"/>
      <c r="F972" s="7"/>
      <c r="G972" s="1"/>
      <c r="H972" s="1"/>
      <c r="I972" s="1"/>
    </row>
    <row r="973" spans="1:9" x14ac:dyDescent="0.25">
      <c r="A973" s="7"/>
      <c r="B973" s="1"/>
      <c r="C973" s="1"/>
      <c r="D973" s="1"/>
      <c r="F973" s="7"/>
      <c r="G973" s="1"/>
      <c r="H973" s="1"/>
      <c r="I973" s="1"/>
    </row>
    <row r="974" spans="1:9" x14ac:dyDescent="0.25">
      <c r="A974" s="7"/>
      <c r="B974" s="1"/>
      <c r="C974" s="1"/>
      <c r="D974" s="1"/>
      <c r="F974" s="7"/>
      <c r="G974" s="1"/>
      <c r="H974" s="1"/>
      <c r="I974" s="1"/>
    </row>
    <row r="975" spans="1:9" x14ac:dyDescent="0.25">
      <c r="A975" s="7"/>
      <c r="B975" s="1"/>
      <c r="C975" s="1"/>
      <c r="D975" s="1"/>
      <c r="F975" s="7"/>
      <c r="G975" s="1"/>
      <c r="H975" s="1"/>
      <c r="I975" s="1"/>
    </row>
    <row r="976" spans="1:9" x14ac:dyDescent="0.25">
      <c r="A976" s="7"/>
      <c r="B976" s="1"/>
      <c r="C976" s="1"/>
      <c r="D976" s="1"/>
      <c r="F976" s="7"/>
      <c r="G976" s="1"/>
      <c r="H976" s="1"/>
      <c r="I976" s="1"/>
    </row>
    <row r="977" spans="1:9" x14ac:dyDescent="0.25">
      <c r="A977" s="7"/>
      <c r="B977" s="1"/>
      <c r="C977" s="1"/>
      <c r="D977" s="1"/>
      <c r="F977" s="7"/>
      <c r="G977" s="1"/>
      <c r="H977" s="1"/>
      <c r="I977" s="1"/>
    </row>
    <row r="978" spans="1:9" x14ac:dyDescent="0.25">
      <c r="A978" s="7"/>
      <c r="B978" s="1"/>
      <c r="C978" s="1"/>
      <c r="D978" s="1"/>
      <c r="F978" s="7"/>
      <c r="G978" s="1"/>
      <c r="H978" s="1"/>
      <c r="I978" s="1"/>
    </row>
    <row r="979" spans="1:9" x14ac:dyDescent="0.25">
      <c r="A979" s="7"/>
      <c r="B979" s="1"/>
      <c r="C979" s="1"/>
      <c r="D979" s="1"/>
      <c r="F979" s="7"/>
      <c r="G979" s="1"/>
      <c r="H979" s="1"/>
      <c r="I979" s="1"/>
    </row>
    <row r="980" spans="1:9" x14ac:dyDescent="0.25">
      <c r="A980" s="7"/>
      <c r="B980" s="1"/>
      <c r="C980" s="1"/>
      <c r="D980" s="1"/>
      <c r="F980" s="7"/>
      <c r="G980" s="1"/>
      <c r="H980" s="1"/>
      <c r="I980" s="1"/>
    </row>
    <row r="981" spans="1:9" x14ac:dyDescent="0.25">
      <c r="A981" s="7"/>
      <c r="B981" s="1"/>
      <c r="C981" s="1"/>
      <c r="D981" s="1"/>
      <c r="F981" s="7"/>
      <c r="G981" s="1"/>
      <c r="H981" s="1"/>
      <c r="I981" s="1"/>
    </row>
    <row r="982" spans="1:9" x14ac:dyDescent="0.25">
      <c r="A982" s="7"/>
      <c r="B982" s="1"/>
      <c r="C982" s="1"/>
      <c r="D982" s="1"/>
      <c r="F982" s="7"/>
      <c r="G982" s="1"/>
      <c r="H982" s="1"/>
      <c r="I982" s="1"/>
    </row>
    <row r="983" spans="1:9" x14ac:dyDescent="0.25">
      <c r="A983" s="7"/>
      <c r="B983" s="1"/>
      <c r="C983" s="1"/>
      <c r="D983" s="1"/>
      <c r="F983" s="7"/>
      <c r="G983" s="1"/>
      <c r="H983" s="1"/>
      <c r="I983" s="1"/>
    </row>
    <row r="984" spans="1:9" x14ac:dyDescent="0.25">
      <c r="A984" s="7"/>
      <c r="B984" s="1"/>
      <c r="C984" s="1"/>
      <c r="D984" s="1"/>
      <c r="F984" s="7"/>
      <c r="G984" s="1"/>
      <c r="H984" s="1"/>
      <c r="I984" s="1"/>
    </row>
    <row r="985" spans="1:9" x14ac:dyDescent="0.25">
      <c r="A985" s="7"/>
      <c r="B985" s="1"/>
      <c r="C985" s="1"/>
      <c r="D985" s="1"/>
      <c r="F985" s="7"/>
      <c r="G985" s="1"/>
      <c r="H985" s="1"/>
      <c r="I985" s="1"/>
    </row>
    <row r="986" spans="1:9" x14ac:dyDescent="0.25">
      <c r="A986" s="7"/>
      <c r="B986" s="1"/>
      <c r="C986" s="1"/>
      <c r="D986" s="1"/>
      <c r="F986" s="7"/>
      <c r="G986" s="1"/>
      <c r="H986" s="1"/>
      <c r="I986" s="1"/>
    </row>
    <row r="987" spans="1:9" x14ac:dyDescent="0.25">
      <c r="A987" s="7"/>
      <c r="B987" s="1"/>
      <c r="C987" s="1"/>
      <c r="D987" s="1"/>
      <c r="F987" s="7"/>
      <c r="G987" s="1"/>
      <c r="H987" s="1"/>
      <c r="I987" s="1"/>
    </row>
    <row r="988" spans="1:9" x14ac:dyDescent="0.25">
      <c r="A988" s="7"/>
      <c r="B988" s="1"/>
      <c r="C988" s="1"/>
      <c r="D988" s="1"/>
      <c r="F988" s="7"/>
      <c r="G988" s="1"/>
      <c r="H988" s="1"/>
      <c r="I988" s="1"/>
    </row>
    <row r="989" spans="1:9" x14ac:dyDescent="0.25">
      <c r="A989" s="7"/>
      <c r="B989" s="1"/>
      <c r="C989" s="1"/>
      <c r="D989" s="1"/>
      <c r="F989" s="7"/>
      <c r="G989" s="1"/>
      <c r="H989" s="1"/>
      <c r="I989" s="1"/>
    </row>
    <row r="990" spans="1:9" x14ac:dyDescent="0.25">
      <c r="A990" s="7"/>
      <c r="B990" s="1"/>
      <c r="C990" s="1"/>
      <c r="D990" s="1"/>
      <c r="F990" s="7"/>
      <c r="G990" s="1"/>
      <c r="H990" s="1"/>
      <c r="I990" s="1"/>
    </row>
    <row r="991" spans="1:9" x14ac:dyDescent="0.25">
      <c r="A991" s="7"/>
      <c r="B991" s="1"/>
      <c r="C991" s="1"/>
      <c r="D991" s="1"/>
      <c r="F991" s="7"/>
      <c r="G991" s="1"/>
      <c r="H991" s="1"/>
      <c r="I991" s="1"/>
    </row>
    <row r="992" spans="1:9" x14ac:dyDescent="0.25">
      <c r="A992" s="7"/>
      <c r="B992" s="1"/>
      <c r="C992" s="1"/>
      <c r="D992" s="1"/>
      <c r="F992" s="7"/>
      <c r="G992" s="1"/>
      <c r="H992" s="1"/>
      <c r="I992" s="1"/>
    </row>
    <row r="993" spans="1:9" x14ac:dyDescent="0.25">
      <c r="A993" s="7"/>
      <c r="B993" s="1"/>
      <c r="C993" s="1"/>
      <c r="D993" s="1"/>
      <c r="F993" s="7"/>
      <c r="G993" s="1"/>
      <c r="H993" s="1"/>
      <c r="I993" s="1"/>
    </row>
    <row r="994" spans="1:9" x14ac:dyDescent="0.25">
      <c r="A994" s="7"/>
      <c r="B994" s="1"/>
      <c r="C994" s="1"/>
      <c r="D994" s="1"/>
      <c r="F994" s="7"/>
      <c r="G994" s="1"/>
      <c r="H994" s="1"/>
      <c r="I994" s="1"/>
    </row>
    <row r="995" spans="1:9" x14ac:dyDescent="0.25">
      <c r="A995" s="7"/>
      <c r="B995" s="1"/>
      <c r="C995" s="1"/>
      <c r="D995" s="1"/>
      <c r="F995" s="7"/>
      <c r="G995" s="1"/>
      <c r="H995" s="1"/>
      <c r="I995" s="1"/>
    </row>
    <row r="996" spans="1:9" x14ac:dyDescent="0.25">
      <c r="A996" s="7"/>
      <c r="B996" s="1"/>
      <c r="C996" s="1"/>
      <c r="D996" s="1"/>
      <c r="F996" s="7"/>
      <c r="G996" s="1"/>
      <c r="H996" s="1"/>
      <c r="I996" s="1"/>
    </row>
    <row r="997" spans="1:9" x14ac:dyDescent="0.25">
      <c r="A997" s="7"/>
      <c r="B997" s="1"/>
      <c r="C997" s="1"/>
      <c r="D997" s="1"/>
      <c r="F997" s="7"/>
      <c r="G997" s="1"/>
      <c r="H997" s="1"/>
      <c r="I997" s="1"/>
    </row>
    <row r="998" spans="1:9" x14ac:dyDescent="0.25">
      <c r="A998" s="7"/>
      <c r="B998" s="1"/>
      <c r="C998" s="1"/>
      <c r="D998" s="1"/>
      <c r="F998" s="7"/>
      <c r="G998" s="1"/>
      <c r="H998" s="1"/>
      <c r="I998" s="1"/>
    </row>
    <row r="999" spans="1:9" x14ac:dyDescent="0.25">
      <c r="A999" s="7"/>
      <c r="B999" s="1"/>
      <c r="C999" s="1"/>
      <c r="D999" s="1"/>
      <c r="F999" s="7"/>
      <c r="G999" s="1"/>
      <c r="H999" s="1"/>
      <c r="I999" s="1"/>
    </row>
    <row r="1000" spans="1:9" x14ac:dyDescent="0.25">
      <c r="A1000" s="7"/>
      <c r="B1000" s="1"/>
      <c r="C1000" s="1"/>
      <c r="D1000" s="1"/>
      <c r="F1000" s="7"/>
      <c r="G1000" s="1"/>
      <c r="H1000" s="1"/>
      <c r="I1000" s="1"/>
    </row>
    <row r="1001" spans="1:9" x14ac:dyDescent="0.25">
      <c r="A1001" s="7"/>
      <c r="B1001" s="1"/>
      <c r="C1001" s="1"/>
      <c r="D1001" s="1"/>
      <c r="F1001" s="7"/>
      <c r="G1001" s="1"/>
      <c r="H1001" s="1"/>
      <c r="I1001" s="1"/>
    </row>
    <row r="1002" spans="1:9" x14ac:dyDescent="0.25">
      <c r="A1002" s="7"/>
      <c r="B1002" s="1"/>
      <c r="C1002" s="1"/>
      <c r="D1002" s="1"/>
      <c r="F1002" s="7"/>
      <c r="G1002" s="1"/>
      <c r="H1002" s="1"/>
      <c r="I1002" s="1"/>
    </row>
    <row r="1003" spans="1:9" x14ac:dyDescent="0.25">
      <c r="A1003" s="7"/>
      <c r="B1003" s="1"/>
      <c r="C1003" s="1"/>
      <c r="D1003" s="1"/>
      <c r="F1003" s="7"/>
      <c r="G1003" s="1"/>
      <c r="H1003" s="1"/>
      <c r="I1003" s="1"/>
    </row>
    <row r="1004" spans="1:9" x14ac:dyDescent="0.25">
      <c r="A1004" s="7"/>
      <c r="B1004" s="1"/>
      <c r="C1004" s="1"/>
      <c r="D1004" s="1"/>
      <c r="F1004" s="7"/>
      <c r="G1004" s="1"/>
      <c r="H1004" s="1"/>
      <c r="I1004" s="1"/>
    </row>
    <row r="1005" spans="1:9" x14ac:dyDescent="0.25">
      <c r="A1005" s="7"/>
      <c r="B1005" s="1"/>
      <c r="C1005" s="1"/>
      <c r="D1005" s="1"/>
      <c r="F1005" s="7"/>
      <c r="G1005" s="1"/>
      <c r="H1005" s="1"/>
      <c r="I1005" s="1"/>
    </row>
    <row r="1006" spans="1:9" x14ac:dyDescent="0.25">
      <c r="A1006" s="7"/>
      <c r="B1006" s="1"/>
      <c r="C1006" s="1"/>
      <c r="D1006" s="1"/>
      <c r="F1006" s="7"/>
      <c r="G1006" s="1"/>
      <c r="H1006" s="1"/>
      <c r="I1006" s="1"/>
    </row>
    <row r="1007" spans="1:9" x14ac:dyDescent="0.25">
      <c r="A1007" s="7"/>
      <c r="B1007" s="1"/>
      <c r="C1007" s="1"/>
      <c r="D1007" s="1"/>
      <c r="F1007" s="7"/>
      <c r="G1007" s="1"/>
      <c r="H1007" s="1"/>
      <c r="I1007" s="1"/>
    </row>
    <row r="1008" spans="1:9" x14ac:dyDescent="0.25">
      <c r="A1008" s="7"/>
      <c r="B1008" s="1"/>
      <c r="C1008" s="1"/>
      <c r="D1008" s="1"/>
      <c r="F1008" s="7"/>
      <c r="G1008" s="1"/>
      <c r="H1008" s="1"/>
      <c r="I1008" s="1"/>
    </row>
    <row r="1009" spans="1:9" x14ac:dyDescent="0.25">
      <c r="A1009" s="7"/>
      <c r="B1009" s="1"/>
      <c r="C1009" s="1"/>
      <c r="D1009" s="1"/>
      <c r="F1009" s="7"/>
      <c r="G1009" s="1"/>
      <c r="H1009" s="1"/>
      <c r="I1009" s="1"/>
    </row>
    <row r="1010" spans="1:9" x14ac:dyDescent="0.25">
      <c r="A1010" s="7"/>
      <c r="B1010" s="1"/>
      <c r="C1010" s="1"/>
      <c r="D1010" s="1"/>
      <c r="F1010" s="7"/>
      <c r="G1010" s="1"/>
      <c r="H1010" s="1"/>
      <c r="I1010" s="1"/>
    </row>
    <row r="1011" spans="1:9" x14ac:dyDescent="0.25">
      <c r="A1011" s="7"/>
      <c r="B1011" s="1"/>
      <c r="C1011" s="1"/>
      <c r="D1011" s="1"/>
      <c r="F1011" s="7"/>
      <c r="G1011" s="1"/>
      <c r="H1011" s="1"/>
      <c r="I1011" s="1"/>
    </row>
    <row r="1012" spans="1:9" x14ac:dyDescent="0.25">
      <c r="A1012" s="7"/>
      <c r="B1012" s="1"/>
      <c r="C1012" s="1"/>
      <c r="D1012" s="1"/>
      <c r="F1012" s="7"/>
      <c r="G1012" s="1"/>
      <c r="H1012" s="1"/>
      <c r="I1012" s="1"/>
    </row>
    <row r="1013" spans="1:9" x14ac:dyDescent="0.25">
      <c r="A1013" s="7"/>
      <c r="B1013" s="1"/>
      <c r="C1013" s="1"/>
      <c r="D1013" s="1"/>
      <c r="F1013" s="7"/>
      <c r="G1013" s="1"/>
      <c r="H1013" s="1"/>
      <c r="I1013" s="1"/>
    </row>
    <row r="1014" spans="1:9" x14ac:dyDescent="0.25">
      <c r="A1014" s="7"/>
      <c r="B1014" s="1"/>
      <c r="C1014" s="1"/>
      <c r="D1014" s="1"/>
      <c r="F1014" s="7"/>
      <c r="G1014" s="1"/>
      <c r="H1014" s="1"/>
      <c r="I1014" s="1"/>
    </row>
    <row r="1015" spans="1:9" x14ac:dyDescent="0.25">
      <c r="A1015" s="7"/>
      <c r="B1015" s="1"/>
      <c r="C1015" s="1"/>
      <c r="D1015" s="1"/>
      <c r="F1015" s="7"/>
      <c r="G1015" s="1"/>
      <c r="H1015" s="1"/>
      <c r="I1015" s="1"/>
    </row>
    <row r="1016" spans="1:9" x14ac:dyDescent="0.25">
      <c r="A1016" s="7"/>
      <c r="B1016" s="1"/>
      <c r="C1016" s="1"/>
      <c r="D1016" s="1"/>
      <c r="F1016" s="7"/>
      <c r="G1016" s="1"/>
      <c r="H1016" s="1"/>
      <c r="I1016" s="1"/>
    </row>
    <row r="1017" spans="1:9" x14ac:dyDescent="0.25">
      <c r="A1017" s="7"/>
      <c r="B1017" s="1"/>
      <c r="C1017" s="1"/>
      <c r="D1017" s="1"/>
      <c r="F1017" s="7"/>
      <c r="G1017" s="1"/>
      <c r="H1017" s="1"/>
      <c r="I1017" s="1"/>
    </row>
    <row r="1018" spans="1:9" x14ac:dyDescent="0.25">
      <c r="A1018" s="7"/>
      <c r="B1018" s="1"/>
      <c r="C1018" s="1"/>
      <c r="D1018" s="1"/>
      <c r="F1018" s="7"/>
      <c r="G1018" s="1"/>
      <c r="H1018" s="1"/>
      <c r="I1018" s="1"/>
    </row>
    <row r="1019" spans="1:9" x14ac:dyDescent="0.25">
      <c r="A1019" s="7"/>
      <c r="B1019" s="1"/>
      <c r="C1019" s="1"/>
      <c r="D1019" s="1"/>
      <c r="F1019" s="7"/>
      <c r="G1019" s="1"/>
      <c r="H1019" s="1"/>
      <c r="I1019" s="1"/>
    </row>
    <row r="1020" spans="1:9" x14ac:dyDescent="0.25">
      <c r="A1020" s="7"/>
      <c r="B1020" s="1"/>
      <c r="C1020" s="1"/>
      <c r="D1020" s="1"/>
      <c r="F1020" s="7"/>
      <c r="G1020" s="1"/>
      <c r="H1020" s="1"/>
      <c r="I1020" s="1"/>
    </row>
    <row r="1021" spans="1:9" x14ac:dyDescent="0.25">
      <c r="A1021" s="7"/>
      <c r="B1021" s="1"/>
      <c r="C1021" s="1"/>
      <c r="D1021" s="1"/>
      <c r="F1021" s="7"/>
      <c r="G1021" s="1"/>
      <c r="H1021" s="1"/>
      <c r="I1021" s="1"/>
    </row>
    <row r="1022" spans="1:9" x14ac:dyDescent="0.25">
      <c r="A1022" s="7"/>
      <c r="B1022" s="1"/>
      <c r="C1022" s="1"/>
      <c r="D1022" s="1"/>
      <c r="F1022" s="7"/>
      <c r="G1022" s="1"/>
      <c r="H1022" s="1"/>
      <c r="I1022" s="1"/>
    </row>
    <row r="1023" spans="1:9" x14ac:dyDescent="0.25">
      <c r="A1023" s="7"/>
      <c r="B1023" s="1"/>
      <c r="C1023" s="1"/>
      <c r="D1023" s="1"/>
      <c r="F1023" s="7"/>
      <c r="G1023" s="1"/>
      <c r="H1023" s="1"/>
      <c r="I1023" s="1"/>
    </row>
    <row r="1024" spans="1:9" x14ac:dyDescent="0.25">
      <c r="A1024" s="7"/>
      <c r="B1024" s="1"/>
      <c r="C1024" s="1"/>
      <c r="D1024" s="1"/>
      <c r="F1024" s="7"/>
      <c r="G1024" s="1"/>
      <c r="H1024" s="1"/>
      <c r="I1024" s="1"/>
    </row>
    <row r="1025" spans="1:9" x14ac:dyDescent="0.25">
      <c r="A1025" s="7"/>
      <c r="B1025" s="1"/>
      <c r="C1025" s="1"/>
      <c r="D1025" s="1"/>
      <c r="F1025" s="7"/>
      <c r="G1025" s="1"/>
      <c r="H1025" s="1"/>
      <c r="I1025" s="1"/>
    </row>
    <row r="1026" spans="1:9" x14ac:dyDescent="0.25">
      <c r="A1026" s="7"/>
      <c r="B1026" s="1"/>
      <c r="C1026" s="1"/>
      <c r="D1026" s="1"/>
      <c r="F1026" s="7"/>
      <c r="G1026" s="1"/>
      <c r="H1026" s="1"/>
      <c r="I1026" s="1"/>
    </row>
    <row r="1027" spans="1:9" x14ac:dyDescent="0.25">
      <c r="A1027" s="7"/>
      <c r="B1027" s="1"/>
      <c r="C1027" s="1"/>
      <c r="D1027" s="1"/>
      <c r="F1027" s="7"/>
      <c r="G1027" s="1"/>
      <c r="H1027" s="1"/>
      <c r="I1027" s="1"/>
    </row>
    <row r="1028" spans="1:9" x14ac:dyDescent="0.25">
      <c r="A1028" s="7"/>
      <c r="B1028" s="1"/>
      <c r="C1028" s="1"/>
      <c r="D1028" s="1"/>
      <c r="F1028" s="7"/>
      <c r="G1028" s="1"/>
      <c r="H1028" s="1"/>
      <c r="I1028" s="1"/>
    </row>
    <row r="1029" spans="1:9" x14ac:dyDescent="0.25">
      <c r="A1029" s="7"/>
      <c r="B1029" s="1"/>
      <c r="C1029" s="1"/>
      <c r="D1029" s="1"/>
      <c r="F1029" s="7"/>
      <c r="G1029" s="1"/>
      <c r="H1029" s="1"/>
      <c r="I1029" s="1"/>
    </row>
    <row r="1030" spans="1:9" x14ac:dyDescent="0.25">
      <c r="A1030" s="7"/>
      <c r="B1030" s="1"/>
      <c r="C1030" s="1"/>
      <c r="D1030" s="1"/>
      <c r="F1030" s="7"/>
      <c r="G1030" s="1"/>
      <c r="H1030" s="1"/>
      <c r="I1030" s="1"/>
    </row>
    <row r="1031" spans="1:9" x14ac:dyDescent="0.25">
      <c r="A1031" s="7"/>
      <c r="B1031" s="1"/>
      <c r="C1031" s="1"/>
      <c r="D1031" s="1"/>
      <c r="F1031" s="7"/>
      <c r="G1031" s="1"/>
      <c r="H1031" s="1"/>
      <c r="I1031" s="1"/>
    </row>
    <row r="1032" spans="1:9" x14ac:dyDescent="0.25">
      <c r="A1032" s="7"/>
      <c r="B1032" s="1"/>
      <c r="C1032" s="1"/>
      <c r="D1032" s="1"/>
      <c r="F1032" s="7"/>
      <c r="G1032" s="1"/>
      <c r="H1032" s="1"/>
      <c r="I1032" s="1"/>
    </row>
    <row r="1033" spans="1:9" x14ac:dyDescent="0.25">
      <c r="A1033" s="7"/>
      <c r="B1033" s="1"/>
      <c r="C1033" s="1"/>
      <c r="D1033" s="1"/>
      <c r="F1033" s="7"/>
      <c r="G1033" s="1"/>
      <c r="H1033" s="1"/>
      <c r="I1033" s="1"/>
    </row>
    <row r="1034" spans="1:9" x14ac:dyDescent="0.25">
      <c r="A1034" s="7"/>
      <c r="B1034" s="1"/>
      <c r="C1034" s="1"/>
      <c r="D1034" s="1"/>
      <c r="F1034" s="7"/>
      <c r="G1034" s="1"/>
      <c r="H1034" s="1"/>
      <c r="I1034" s="1"/>
    </row>
    <row r="1035" spans="1:9" x14ac:dyDescent="0.25">
      <c r="A1035" s="7"/>
      <c r="B1035" s="1"/>
      <c r="C1035" s="1"/>
      <c r="D1035" s="1"/>
      <c r="F1035" s="7"/>
      <c r="G1035" s="1"/>
      <c r="H1035" s="1"/>
      <c r="I1035" s="1"/>
    </row>
    <row r="1036" spans="1:9" x14ac:dyDescent="0.25">
      <c r="A1036" s="7"/>
      <c r="B1036" s="1"/>
      <c r="C1036" s="1"/>
      <c r="D1036" s="1"/>
      <c r="F1036" s="7"/>
      <c r="G1036" s="1"/>
      <c r="H1036" s="1"/>
      <c r="I1036" s="1"/>
    </row>
    <row r="1037" spans="1:9" x14ac:dyDescent="0.25">
      <c r="A1037" s="7"/>
      <c r="B1037" s="1"/>
      <c r="C1037" s="1"/>
      <c r="D1037" s="1"/>
      <c r="F1037" s="7"/>
      <c r="G1037" s="1"/>
      <c r="H1037" s="1"/>
      <c r="I1037" s="1"/>
    </row>
    <row r="1038" spans="1:9" x14ac:dyDescent="0.25">
      <c r="A1038" s="7"/>
      <c r="B1038" s="1"/>
      <c r="C1038" s="1"/>
      <c r="D1038" s="1"/>
      <c r="F1038" s="7"/>
      <c r="G1038" s="1"/>
      <c r="H1038" s="1"/>
      <c r="I1038" s="1"/>
    </row>
    <row r="1039" spans="1:9" x14ac:dyDescent="0.25">
      <c r="A1039" s="7"/>
      <c r="B1039" s="1"/>
      <c r="C1039" s="1"/>
      <c r="D1039" s="1"/>
      <c r="F1039" s="7"/>
      <c r="G1039" s="1"/>
      <c r="H1039" s="1"/>
      <c r="I1039" s="1"/>
    </row>
    <row r="1040" spans="1:9" x14ac:dyDescent="0.25">
      <c r="A1040" s="7"/>
      <c r="B1040" s="1"/>
      <c r="C1040" s="1"/>
      <c r="D1040" s="1"/>
      <c r="F1040" s="7"/>
      <c r="G1040" s="1"/>
      <c r="H1040" s="1"/>
      <c r="I1040" s="1"/>
    </row>
    <row r="1041" spans="1:9" x14ac:dyDescent="0.25">
      <c r="A1041" s="7"/>
      <c r="B1041" s="1"/>
      <c r="C1041" s="1"/>
      <c r="D1041" s="1"/>
      <c r="F1041" s="7"/>
      <c r="G1041" s="1"/>
      <c r="H1041" s="1"/>
      <c r="I1041" s="1"/>
    </row>
    <row r="1042" spans="1:9" x14ac:dyDescent="0.25">
      <c r="A1042" s="7"/>
      <c r="B1042" s="1"/>
      <c r="C1042" s="1"/>
      <c r="D1042" s="1"/>
      <c r="F1042" s="7"/>
      <c r="G1042" s="1"/>
      <c r="H1042" s="1"/>
      <c r="I1042" s="1"/>
    </row>
    <row r="1043" spans="1:9" x14ac:dyDescent="0.25">
      <c r="A1043" s="7"/>
      <c r="B1043" s="1"/>
      <c r="C1043" s="1"/>
      <c r="D1043" s="1"/>
      <c r="F1043" s="7"/>
      <c r="G1043" s="1"/>
      <c r="H1043" s="1"/>
      <c r="I1043" s="1"/>
    </row>
    <row r="1044" spans="1:9" x14ac:dyDescent="0.25">
      <c r="A1044" s="7"/>
      <c r="B1044" s="1"/>
      <c r="C1044" s="1"/>
      <c r="D1044" s="1"/>
      <c r="F1044" s="7"/>
      <c r="G1044" s="1"/>
      <c r="H1044" s="1"/>
      <c r="I1044" s="1"/>
    </row>
    <row r="1045" spans="1:9" x14ac:dyDescent="0.25">
      <c r="A1045" s="7"/>
      <c r="B1045" s="1"/>
      <c r="C1045" s="1"/>
      <c r="D1045" s="1"/>
      <c r="F1045" s="7"/>
      <c r="G1045" s="1"/>
      <c r="H1045" s="1"/>
      <c r="I1045" s="1"/>
    </row>
    <row r="1046" spans="1:9" x14ac:dyDescent="0.25">
      <c r="A1046" s="7"/>
      <c r="B1046" s="1"/>
      <c r="C1046" s="1"/>
      <c r="D1046" s="1"/>
      <c r="F1046" s="7"/>
      <c r="G1046" s="1"/>
      <c r="H1046" s="1"/>
      <c r="I1046" s="1"/>
    </row>
    <row r="1047" spans="1:9" x14ac:dyDescent="0.25">
      <c r="A1047" s="7"/>
      <c r="B1047" s="1"/>
      <c r="C1047" s="1"/>
      <c r="D1047" s="1"/>
      <c r="F1047" s="7"/>
      <c r="G1047" s="1"/>
      <c r="H1047" s="1"/>
      <c r="I1047" s="1"/>
    </row>
    <row r="1048" spans="1:9" x14ac:dyDescent="0.25">
      <c r="A1048" s="7"/>
      <c r="B1048" s="1"/>
      <c r="C1048" s="1"/>
      <c r="D1048" s="1"/>
      <c r="F1048" s="7"/>
      <c r="G1048" s="1"/>
      <c r="H1048" s="1"/>
      <c r="I1048" s="1"/>
    </row>
    <row r="1049" spans="1:9" x14ac:dyDescent="0.25">
      <c r="A1049" s="7"/>
      <c r="B1049" s="1"/>
      <c r="C1049" s="1"/>
      <c r="D1049" s="1"/>
      <c r="F1049" s="7"/>
      <c r="G1049" s="1"/>
      <c r="H1049" s="1"/>
      <c r="I1049" s="1"/>
    </row>
    <row r="1050" spans="1:9" x14ac:dyDescent="0.25">
      <c r="A1050" s="7"/>
      <c r="B1050" s="1"/>
      <c r="C1050" s="1"/>
      <c r="D1050" s="1"/>
      <c r="F1050" s="7"/>
      <c r="G1050" s="1"/>
      <c r="H1050" s="1"/>
      <c r="I1050" s="1"/>
    </row>
    <row r="1051" spans="1:9" x14ac:dyDescent="0.25">
      <c r="A1051" s="7"/>
      <c r="B1051" s="1"/>
      <c r="C1051" s="1"/>
      <c r="D1051" s="1"/>
      <c r="F1051" s="7"/>
      <c r="G1051" s="1"/>
      <c r="H1051" s="1"/>
      <c r="I1051" s="1"/>
    </row>
    <row r="1052" spans="1:9" x14ac:dyDescent="0.25">
      <c r="A1052" s="7"/>
      <c r="B1052" s="1"/>
      <c r="C1052" s="1"/>
      <c r="D1052" s="1"/>
      <c r="F1052" s="7"/>
      <c r="G1052" s="1"/>
      <c r="H1052" s="1"/>
      <c r="I1052" s="1"/>
    </row>
    <row r="1053" spans="1:9" x14ac:dyDescent="0.25">
      <c r="A1053" s="7"/>
      <c r="B1053" s="1"/>
      <c r="C1053" s="1"/>
      <c r="D1053" s="1"/>
      <c r="F1053" s="7"/>
      <c r="G1053" s="1"/>
      <c r="H1053" s="1"/>
      <c r="I1053" s="1"/>
    </row>
    <row r="1054" spans="1:9" x14ac:dyDescent="0.25">
      <c r="A1054" s="7"/>
      <c r="B1054" s="1"/>
      <c r="C1054" s="1"/>
      <c r="D1054" s="1"/>
      <c r="F1054" s="7"/>
      <c r="G1054" s="1"/>
      <c r="H1054" s="1"/>
      <c r="I1054" s="1"/>
    </row>
    <row r="1055" spans="1:9" x14ac:dyDescent="0.25">
      <c r="A1055" s="7"/>
      <c r="B1055" s="1"/>
      <c r="C1055" s="1"/>
      <c r="D1055" s="1"/>
      <c r="F1055" s="7"/>
      <c r="G1055" s="1"/>
      <c r="H1055" s="1"/>
      <c r="I1055" s="1"/>
    </row>
    <row r="1056" spans="1:9" x14ac:dyDescent="0.25">
      <c r="A1056" s="7"/>
      <c r="B1056" s="1"/>
      <c r="C1056" s="1"/>
      <c r="D1056" s="1"/>
      <c r="F1056" s="7"/>
      <c r="G1056" s="1"/>
      <c r="H1056" s="1"/>
      <c r="I1056" s="1"/>
    </row>
    <row r="1057" spans="1:9" x14ac:dyDescent="0.25">
      <c r="A1057" s="7"/>
      <c r="B1057" s="1"/>
      <c r="C1057" s="1"/>
      <c r="D1057" s="1"/>
      <c r="F1057" s="7"/>
      <c r="G1057" s="1"/>
      <c r="H1057" s="1"/>
      <c r="I1057" s="1"/>
    </row>
    <row r="1058" spans="1:9" x14ac:dyDescent="0.25">
      <c r="A1058" s="7"/>
      <c r="B1058" s="1"/>
      <c r="C1058" s="1"/>
      <c r="D1058" s="1"/>
      <c r="F1058" s="7"/>
      <c r="G1058" s="1"/>
      <c r="H1058" s="1"/>
      <c r="I1058" s="1"/>
    </row>
    <row r="1059" spans="1:9" x14ac:dyDescent="0.25">
      <c r="A1059" s="7"/>
      <c r="B1059" s="1"/>
      <c r="C1059" s="1"/>
      <c r="D1059" s="1"/>
      <c r="F1059" s="7"/>
      <c r="G1059" s="1"/>
      <c r="H1059" s="1"/>
      <c r="I1059" s="1"/>
    </row>
    <row r="1060" spans="1:9" x14ac:dyDescent="0.25">
      <c r="A1060" s="7"/>
      <c r="B1060" s="1"/>
      <c r="C1060" s="1"/>
      <c r="D1060" s="1"/>
      <c r="F1060" s="7"/>
      <c r="G1060" s="1"/>
      <c r="H1060" s="1"/>
      <c r="I1060" s="1"/>
    </row>
    <row r="1061" spans="1:9" x14ac:dyDescent="0.25">
      <c r="A1061" s="7"/>
      <c r="B1061" s="1"/>
      <c r="C1061" s="1"/>
      <c r="D1061" s="1"/>
      <c r="F1061" s="7"/>
      <c r="G1061" s="1"/>
      <c r="H1061" s="1"/>
      <c r="I1061" s="1"/>
    </row>
    <row r="1062" spans="1:9" x14ac:dyDescent="0.25">
      <c r="A1062" s="7"/>
      <c r="B1062" s="1"/>
      <c r="C1062" s="1"/>
      <c r="D1062" s="1"/>
      <c r="F1062" s="7"/>
      <c r="G1062" s="1"/>
      <c r="H1062" s="1"/>
      <c r="I1062" s="1"/>
    </row>
    <row r="1063" spans="1:9" x14ac:dyDescent="0.25">
      <c r="A1063" s="7"/>
      <c r="B1063" s="1"/>
      <c r="C1063" s="1"/>
      <c r="D1063" s="1"/>
      <c r="F1063" s="7"/>
      <c r="G1063" s="1"/>
      <c r="H1063" s="1"/>
      <c r="I1063" s="1"/>
    </row>
    <row r="1064" spans="1:9" x14ac:dyDescent="0.25">
      <c r="A1064" s="7"/>
      <c r="B1064" s="1"/>
      <c r="C1064" s="1"/>
      <c r="D1064" s="1"/>
      <c r="F1064" s="7"/>
      <c r="G1064" s="1"/>
      <c r="H1064" s="1"/>
      <c r="I1064" s="1"/>
    </row>
    <row r="1065" spans="1:9" x14ac:dyDescent="0.25">
      <c r="A1065" s="7"/>
      <c r="B1065" s="1"/>
      <c r="C1065" s="1"/>
      <c r="D1065" s="1"/>
      <c r="F1065" s="7"/>
      <c r="G1065" s="1"/>
      <c r="H1065" s="1"/>
      <c r="I1065" s="1"/>
    </row>
    <row r="1066" spans="1:9" x14ac:dyDescent="0.25">
      <c r="A1066" s="7"/>
      <c r="B1066" s="1"/>
      <c r="C1066" s="1"/>
      <c r="D1066" s="1"/>
      <c r="F1066" s="7"/>
      <c r="G1066" s="1"/>
      <c r="H1066" s="1"/>
      <c r="I1066" s="1"/>
    </row>
    <row r="1067" spans="1:9" x14ac:dyDescent="0.25">
      <c r="A1067" s="7"/>
      <c r="B1067" s="1"/>
      <c r="C1067" s="1"/>
      <c r="D1067" s="1"/>
      <c r="F1067" s="7"/>
      <c r="G1067" s="1"/>
      <c r="H1067" s="1"/>
      <c r="I1067" s="1"/>
    </row>
    <row r="1068" spans="1:9" x14ac:dyDescent="0.25">
      <c r="A1068" s="7"/>
      <c r="B1068" s="1"/>
      <c r="C1068" s="1"/>
      <c r="D1068" s="1"/>
      <c r="F1068" s="7"/>
      <c r="G1068" s="1"/>
      <c r="H1068" s="1"/>
      <c r="I1068" s="1"/>
    </row>
    <row r="1069" spans="1:9" x14ac:dyDescent="0.25">
      <c r="A1069" s="7"/>
      <c r="B1069" s="1"/>
      <c r="C1069" s="1"/>
      <c r="D1069" s="1"/>
      <c r="F1069" s="7"/>
      <c r="G1069" s="1"/>
      <c r="H1069" s="1"/>
      <c r="I1069" s="1"/>
    </row>
    <row r="1070" spans="1:9" x14ac:dyDescent="0.25">
      <c r="A1070" s="7"/>
      <c r="B1070" s="1"/>
      <c r="C1070" s="1"/>
      <c r="D1070" s="1"/>
      <c r="F1070" s="7"/>
      <c r="G1070" s="1"/>
      <c r="H1070" s="1"/>
      <c r="I1070" s="1"/>
    </row>
    <row r="1071" spans="1:9" x14ac:dyDescent="0.25">
      <c r="A1071" s="7"/>
      <c r="B1071" s="1"/>
      <c r="C1071" s="1"/>
      <c r="D1071" s="1"/>
      <c r="F1071" s="7"/>
      <c r="G1071" s="1"/>
      <c r="H1071" s="1"/>
      <c r="I1071" s="1"/>
    </row>
    <row r="1072" spans="1:9" x14ac:dyDescent="0.25">
      <c r="A1072" s="7"/>
      <c r="B1072" s="1"/>
      <c r="C1072" s="1"/>
      <c r="D1072" s="1"/>
      <c r="F1072" s="7"/>
      <c r="G1072" s="1"/>
      <c r="H1072" s="1"/>
      <c r="I1072" s="1"/>
    </row>
    <row r="1073" spans="1:9" x14ac:dyDescent="0.25">
      <c r="A1073" s="7"/>
      <c r="B1073" s="1"/>
      <c r="C1073" s="1"/>
      <c r="D1073" s="1"/>
      <c r="F1073" s="7"/>
      <c r="G1073" s="1"/>
      <c r="H1073" s="1"/>
      <c r="I1073" s="1"/>
    </row>
    <row r="1074" spans="1:9" x14ac:dyDescent="0.25">
      <c r="A1074" s="7"/>
      <c r="B1074" s="1"/>
      <c r="C1074" s="1"/>
      <c r="D1074" s="1"/>
      <c r="F1074" s="7"/>
      <c r="G1074" s="1"/>
      <c r="H1074" s="1"/>
      <c r="I1074" s="1"/>
    </row>
    <row r="1075" spans="1:9" x14ac:dyDescent="0.25">
      <c r="A1075" s="7"/>
      <c r="B1075" s="1"/>
      <c r="C1075" s="1"/>
      <c r="D1075" s="1"/>
      <c r="F1075" s="7"/>
      <c r="G1075" s="1"/>
      <c r="H1075" s="1"/>
      <c r="I1075" s="1"/>
    </row>
    <row r="1076" spans="1:9" x14ac:dyDescent="0.25">
      <c r="A1076" s="7"/>
      <c r="B1076" s="1"/>
      <c r="C1076" s="1"/>
      <c r="D1076" s="1"/>
      <c r="F1076" s="7"/>
      <c r="G1076" s="1"/>
      <c r="H1076" s="1"/>
      <c r="I1076" s="1"/>
    </row>
    <row r="1077" spans="1:9" x14ac:dyDescent="0.25">
      <c r="A1077" s="7"/>
      <c r="B1077" s="1"/>
      <c r="C1077" s="1"/>
      <c r="D1077" s="1"/>
      <c r="F1077" s="7"/>
      <c r="G1077" s="1"/>
      <c r="H1077" s="1"/>
      <c r="I1077" s="1"/>
    </row>
    <row r="1078" spans="1:9" x14ac:dyDescent="0.25">
      <c r="A1078" s="7"/>
      <c r="B1078" s="1"/>
      <c r="C1078" s="1"/>
      <c r="D1078" s="1"/>
      <c r="F1078" s="7"/>
      <c r="G1078" s="1"/>
      <c r="H1078" s="1"/>
      <c r="I1078" s="1"/>
    </row>
    <row r="1079" spans="1:9" x14ac:dyDescent="0.25">
      <c r="A1079" s="7"/>
      <c r="B1079" s="1"/>
      <c r="C1079" s="1"/>
      <c r="D1079" s="1"/>
      <c r="F1079" s="7"/>
      <c r="G1079" s="1"/>
      <c r="H1079" s="1"/>
      <c r="I1079" s="1"/>
    </row>
    <row r="1080" spans="1:9" x14ac:dyDescent="0.25">
      <c r="A1080" s="7"/>
      <c r="B1080" s="1"/>
      <c r="C1080" s="1"/>
      <c r="D1080" s="1"/>
      <c r="F1080" s="7"/>
      <c r="G1080" s="1"/>
      <c r="H1080" s="1"/>
      <c r="I1080" s="1"/>
    </row>
    <row r="1081" spans="1:9" x14ac:dyDescent="0.25">
      <c r="A1081" s="7"/>
      <c r="B1081" s="1"/>
      <c r="C1081" s="1"/>
      <c r="D1081" s="1"/>
      <c r="F1081" s="7"/>
      <c r="G1081" s="1"/>
      <c r="H1081" s="1"/>
      <c r="I1081" s="1"/>
    </row>
    <row r="1082" spans="1:9" x14ac:dyDescent="0.25">
      <c r="A1082" s="7"/>
      <c r="B1082" s="1"/>
      <c r="C1082" s="1"/>
      <c r="D1082" s="1"/>
      <c r="F1082" s="7"/>
      <c r="G1082" s="1"/>
      <c r="H1082" s="1"/>
      <c r="I1082" s="1"/>
    </row>
    <row r="1083" spans="1:9" x14ac:dyDescent="0.25">
      <c r="A1083" s="7"/>
      <c r="B1083" s="1"/>
      <c r="C1083" s="1"/>
      <c r="D1083" s="1"/>
      <c r="F1083" s="7"/>
      <c r="G1083" s="1"/>
      <c r="H1083" s="1"/>
      <c r="I1083" s="1"/>
    </row>
    <row r="1084" spans="1:9" x14ac:dyDescent="0.25">
      <c r="A1084" s="7"/>
      <c r="B1084" s="1"/>
      <c r="C1084" s="1"/>
      <c r="D1084" s="1"/>
      <c r="F1084" s="7"/>
      <c r="G1084" s="1"/>
      <c r="H1084" s="1"/>
      <c r="I1084" s="1"/>
    </row>
    <row r="1085" spans="1:9" x14ac:dyDescent="0.25">
      <c r="A1085" s="7"/>
      <c r="B1085" s="1"/>
      <c r="C1085" s="1"/>
      <c r="D1085" s="1"/>
      <c r="F1085" s="7"/>
      <c r="G1085" s="1"/>
      <c r="H1085" s="1"/>
      <c r="I1085" s="1"/>
    </row>
    <row r="1086" spans="1:9" x14ac:dyDescent="0.25">
      <c r="A1086" s="7"/>
      <c r="B1086" s="1"/>
      <c r="C1086" s="1"/>
      <c r="D1086" s="1"/>
      <c r="F1086" s="7"/>
      <c r="G1086" s="1"/>
      <c r="H1086" s="1"/>
      <c r="I1086" s="1"/>
    </row>
    <row r="1087" spans="1:9" x14ac:dyDescent="0.25">
      <c r="A1087" s="7"/>
      <c r="B1087" s="1"/>
      <c r="C1087" s="1"/>
      <c r="D1087" s="1"/>
      <c r="F1087" s="7"/>
      <c r="G1087" s="1"/>
      <c r="H1087" s="1"/>
      <c r="I1087" s="1"/>
    </row>
    <row r="1088" spans="1:9" x14ac:dyDescent="0.25">
      <c r="A1088" s="7"/>
      <c r="B1088" s="1"/>
      <c r="C1088" s="1"/>
      <c r="D1088" s="1"/>
      <c r="F1088" s="7"/>
      <c r="G1088" s="1"/>
      <c r="H1088" s="1"/>
      <c r="I1088" s="1"/>
    </row>
    <row r="1089" spans="1:9" x14ac:dyDescent="0.25">
      <c r="A1089" s="7"/>
      <c r="B1089" s="1"/>
      <c r="C1089" s="1"/>
      <c r="D1089" s="1"/>
      <c r="F1089" s="7"/>
      <c r="G1089" s="1"/>
      <c r="H1089" s="1"/>
      <c r="I1089" s="1"/>
    </row>
    <row r="1090" spans="1:9" x14ac:dyDescent="0.25">
      <c r="A1090" s="7"/>
      <c r="B1090" s="1"/>
      <c r="C1090" s="1"/>
      <c r="D1090" s="1"/>
      <c r="F1090" s="7"/>
      <c r="G1090" s="1"/>
      <c r="H1090" s="1"/>
      <c r="I1090" s="1"/>
    </row>
    <row r="1091" spans="1:9" x14ac:dyDescent="0.25">
      <c r="A1091" s="7"/>
      <c r="B1091" s="1"/>
      <c r="C1091" s="1"/>
      <c r="D1091" s="1"/>
      <c r="F1091" s="7"/>
      <c r="G1091" s="1"/>
      <c r="H1091" s="1"/>
      <c r="I1091" s="1"/>
    </row>
    <row r="1092" spans="1:9" x14ac:dyDescent="0.25">
      <c r="A1092" s="7"/>
      <c r="B1092" s="1"/>
      <c r="C1092" s="1"/>
      <c r="D1092" s="1"/>
      <c r="F1092" s="7"/>
      <c r="G1092" s="1"/>
      <c r="H1092" s="1"/>
      <c r="I1092" s="1"/>
    </row>
    <row r="1093" spans="1:9" x14ac:dyDescent="0.25">
      <c r="A1093" s="7"/>
      <c r="B1093" s="1"/>
      <c r="C1093" s="1"/>
      <c r="D1093" s="1"/>
      <c r="F1093" s="7"/>
      <c r="G1093" s="1"/>
      <c r="H1093" s="1"/>
      <c r="I1093" s="1"/>
    </row>
    <row r="1094" spans="1:9" x14ac:dyDescent="0.25">
      <c r="A1094" s="7"/>
      <c r="B1094" s="1"/>
      <c r="C1094" s="1"/>
      <c r="D1094" s="1"/>
      <c r="F1094" s="7"/>
      <c r="G1094" s="1"/>
      <c r="H1094" s="1"/>
      <c r="I1094" s="1"/>
    </row>
    <row r="1095" spans="1:9" x14ac:dyDescent="0.25">
      <c r="A1095" s="7"/>
      <c r="B1095" s="1"/>
      <c r="C1095" s="1"/>
      <c r="D1095" s="1"/>
      <c r="F1095" s="7"/>
      <c r="G1095" s="1"/>
      <c r="H1095" s="1"/>
      <c r="I1095" s="1"/>
    </row>
    <row r="1096" spans="1:9" x14ac:dyDescent="0.25">
      <c r="A1096" s="7"/>
      <c r="B1096" s="1"/>
      <c r="C1096" s="1"/>
      <c r="D1096" s="1"/>
      <c r="F1096" s="7"/>
      <c r="G1096" s="1"/>
      <c r="H1096" s="1"/>
      <c r="I1096" s="1"/>
    </row>
    <row r="1097" spans="1:9" x14ac:dyDescent="0.25">
      <c r="A1097" s="7"/>
      <c r="B1097" s="1"/>
      <c r="C1097" s="1"/>
      <c r="D1097" s="1"/>
      <c r="F1097" s="7"/>
      <c r="G1097" s="1"/>
      <c r="H1097" s="1"/>
      <c r="I1097" s="1"/>
    </row>
    <row r="1098" spans="1:9" x14ac:dyDescent="0.25">
      <c r="A1098" s="7"/>
      <c r="B1098" s="1"/>
      <c r="C1098" s="1"/>
      <c r="D1098" s="1"/>
      <c r="F1098" s="7"/>
      <c r="G1098" s="1"/>
      <c r="H1098" s="1"/>
      <c r="I1098" s="1"/>
    </row>
    <row r="1099" spans="1:9" x14ac:dyDescent="0.25">
      <c r="A1099" s="7"/>
      <c r="B1099" s="1"/>
      <c r="C1099" s="1"/>
      <c r="D1099" s="1"/>
      <c r="F1099" s="7"/>
      <c r="G1099" s="1"/>
      <c r="H1099" s="1"/>
      <c r="I1099" s="1"/>
    </row>
    <row r="1100" spans="1:9" x14ac:dyDescent="0.25">
      <c r="A1100" s="7"/>
      <c r="B1100" s="1"/>
      <c r="C1100" s="1"/>
      <c r="D1100" s="1"/>
      <c r="F1100" s="7"/>
      <c r="G1100" s="1"/>
      <c r="H1100" s="1"/>
      <c r="I1100" s="1"/>
    </row>
    <row r="1101" spans="1:9" x14ac:dyDescent="0.25">
      <c r="A1101" s="7"/>
      <c r="B1101" s="1"/>
      <c r="C1101" s="1"/>
      <c r="D1101" s="1"/>
      <c r="F1101" s="7"/>
      <c r="G1101" s="1"/>
      <c r="H1101" s="1"/>
      <c r="I1101" s="1"/>
    </row>
    <row r="1102" spans="1:9" x14ac:dyDescent="0.25">
      <c r="A1102" s="7"/>
      <c r="B1102" s="1"/>
      <c r="C1102" s="1"/>
      <c r="D1102" s="1"/>
      <c r="F1102" s="7"/>
      <c r="G1102" s="1"/>
      <c r="H1102" s="1"/>
      <c r="I1102" s="1"/>
    </row>
    <row r="1103" spans="1:9" x14ac:dyDescent="0.25">
      <c r="A1103" s="7"/>
      <c r="B1103" s="1"/>
      <c r="C1103" s="1"/>
      <c r="D1103" s="1"/>
      <c r="F1103" s="7"/>
      <c r="G1103" s="1"/>
      <c r="H1103" s="1"/>
      <c r="I1103" s="1"/>
    </row>
    <row r="1104" spans="1:9" x14ac:dyDescent="0.25">
      <c r="A1104" s="7"/>
      <c r="B1104" s="1"/>
      <c r="C1104" s="1"/>
      <c r="D1104" s="1"/>
      <c r="F1104" s="7"/>
      <c r="G1104" s="1"/>
      <c r="H1104" s="1"/>
      <c r="I1104" s="1"/>
    </row>
    <row r="1105" spans="1:9" x14ac:dyDescent="0.25">
      <c r="A1105" s="7"/>
      <c r="B1105" s="1"/>
      <c r="C1105" s="1"/>
      <c r="D1105" s="1"/>
      <c r="F1105" s="7"/>
      <c r="G1105" s="1"/>
      <c r="H1105" s="1"/>
      <c r="I1105" s="1"/>
    </row>
    <row r="1106" spans="1:9" x14ac:dyDescent="0.25">
      <c r="A1106" s="7"/>
      <c r="B1106" s="1"/>
      <c r="C1106" s="1"/>
      <c r="D1106" s="1"/>
      <c r="F1106" s="7"/>
      <c r="G1106" s="1"/>
      <c r="H1106" s="1"/>
      <c r="I1106" s="1"/>
    </row>
    <row r="1107" spans="1:9" x14ac:dyDescent="0.25">
      <c r="A1107" s="7"/>
      <c r="B1107" s="1"/>
      <c r="C1107" s="1"/>
      <c r="D1107" s="1"/>
      <c r="F1107" s="7"/>
      <c r="G1107" s="1"/>
      <c r="H1107" s="1"/>
      <c r="I1107" s="1"/>
    </row>
    <row r="1108" spans="1:9" x14ac:dyDescent="0.25">
      <c r="A1108" s="7"/>
      <c r="B1108" s="1"/>
      <c r="C1108" s="1"/>
      <c r="D1108" s="1"/>
      <c r="F1108" s="7"/>
      <c r="G1108" s="1"/>
      <c r="H1108" s="1"/>
      <c r="I1108" s="1"/>
    </row>
    <row r="1109" spans="1:9" x14ac:dyDescent="0.25">
      <c r="A1109" s="7"/>
      <c r="B1109" s="1"/>
      <c r="C1109" s="1"/>
      <c r="D1109" s="1"/>
      <c r="F1109" s="7"/>
      <c r="G1109" s="1"/>
      <c r="H1109" s="1"/>
      <c r="I1109" s="1"/>
    </row>
    <row r="1110" spans="1:9" x14ac:dyDescent="0.25">
      <c r="A1110" s="7"/>
      <c r="B1110" s="1"/>
      <c r="C1110" s="1"/>
      <c r="D1110" s="1"/>
      <c r="F1110" s="7"/>
      <c r="G1110" s="1"/>
      <c r="H1110" s="1"/>
      <c r="I1110" s="1"/>
    </row>
    <row r="1111" spans="1:9" x14ac:dyDescent="0.25">
      <c r="A1111" s="7"/>
      <c r="B1111" s="1"/>
      <c r="C1111" s="1"/>
      <c r="D1111" s="1"/>
      <c r="F1111" s="7"/>
      <c r="G1111" s="1"/>
      <c r="H1111" s="1"/>
      <c r="I1111" s="1"/>
    </row>
    <row r="1112" spans="1:9" x14ac:dyDescent="0.25">
      <c r="A1112" s="7"/>
      <c r="B1112" s="1"/>
      <c r="C1112" s="1"/>
      <c r="D1112" s="1"/>
      <c r="F1112" s="7"/>
      <c r="G1112" s="1"/>
      <c r="H1112" s="1"/>
      <c r="I1112" s="1"/>
    </row>
    <row r="1113" spans="1:9" x14ac:dyDescent="0.25">
      <c r="A1113" s="7"/>
      <c r="B1113" s="1"/>
      <c r="C1113" s="1"/>
      <c r="D1113" s="1"/>
      <c r="F1113" s="7"/>
      <c r="G1113" s="1"/>
      <c r="H1113" s="1"/>
      <c r="I1113" s="1"/>
    </row>
    <row r="1114" spans="1:9" x14ac:dyDescent="0.25">
      <c r="A1114" s="7"/>
      <c r="B1114" s="1"/>
      <c r="C1114" s="1"/>
      <c r="D1114" s="1"/>
      <c r="F1114" s="7"/>
      <c r="G1114" s="1"/>
      <c r="H1114" s="1"/>
      <c r="I1114" s="1"/>
    </row>
    <row r="1115" spans="1:9" x14ac:dyDescent="0.25">
      <c r="A1115" s="7"/>
      <c r="B1115" s="1"/>
      <c r="C1115" s="1"/>
      <c r="D1115" s="1"/>
      <c r="F1115" s="7"/>
      <c r="G1115" s="1"/>
      <c r="H1115" s="1"/>
      <c r="I1115" s="1"/>
    </row>
    <row r="1116" spans="1:9" x14ac:dyDescent="0.25">
      <c r="A1116" s="7"/>
      <c r="B1116" s="1"/>
      <c r="C1116" s="1"/>
      <c r="D1116" s="1"/>
      <c r="F1116" s="7"/>
      <c r="G1116" s="1"/>
      <c r="H1116" s="1"/>
      <c r="I1116" s="1"/>
    </row>
    <row r="1117" spans="1:9" x14ac:dyDescent="0.25">
      <c r="A1117" s="7"/>
      <c r="B1117" s="1"/>
      <c r="C1117" s="1"/>
      <c r="D1117" s="1"/>
      <c r="F1117" s="7"/>
      <c r="G1117" s="1"/>
      <c r="H1117" s="1"/>
      <c r="I1117" s="1"/>
    </row>
    <row r="1118" spans="1:9" x14ac:dyDescent="0.25">
      <c r="A1118" s="7"/>
      <c r="B1118" s="1"/>
      <c r="C1118" s="1"/>
      <c r="D1118" s="1"/>
      <c r="F1118" s="7"/>
      <c r="G1118" s="1"/>
      <c r="H1118" s="1"/>
      <c r="I1118" s="1"/>
    </row>
    <row r="1119" spans="1:9" x14ac:dyDescent="0.25">
      <c r="A1119" s="7"/>
      <c r="B1119" s="1"/>
      <c r="C1119" s="1"/>
      <c r="D1119" s="1"/>
      <c r="F1119" s="7"/>
      <c r="G1119" s="1"/>
      <c r="H1119" s="1"/>
      <c r="I1119" s="1"/>
    </row>
    <row r="1120" spans="1:9" x14ac:dyDescent="0.25">
      <c r="A1120" s="7"/>
      <c r="B1120" s="1"/>
      <c r="C1120" s="1"/>
      <c r="D1120" s="1"/>
      <c r="F1120" s="7"/>
      <c r="G1120" s="1"/>
      <c r="H1120" s="1"/>
      <c r="I1120" s="1"/>
    </row>
    <row r="1121" spans="1:9" x14ac:dyDescent="0.25">
      <c r="A1121" s="7"/>
      <c r="B1121" s="1"/>
      <c r="C1121" s="1"/>
      <c r="D1121" s="1"/>
      <c r="F1121" s="7"/>
      <c r="G1121" s="1"/>
      <c r="H1121" s="1"/>
      <c r="I1121" s="1"/>
    </row>
    <row r="1122" spans="1:9" x14ac:dyDescent="0.25">
      <c r="A1122" s="7"/>
      <c r="B1122" s="1"/>
      <c r="C1122" s="1"/>
      <c r="D1122" s="1"/>
      <c r="F1122" s="7"/>
      <c r="G1122" s="1"/>
      <c r="H1122" s="1"/>
      <c r="I1122" s="1"/>
    </row>
    <row r="1123" spans="1:9" x14ac:dyDescent="0.25">
      <c r="A1123" s="7"/>
      <c r="B1123" s="1"/>
      <c r="C1123" s="1"/>
      <c r="D1123" s="1"/>
      <c r="F1123" s="7"/>
      <c r="G1123" s="1"/>
      <c r="H1123" s="1"/>
      <c r="I1123" s="1"/>
    </row>
    <row r="1124" spans="1:9" x14ac:dyDescent="0.25">
      <c r="A1124" s="7"/>
      <c r="B1124" s="1"/>
      <c r="C1124" s="1"/>
      <c r="D1124" s="1"/>
      <c r="F1124" s="7"/>
      <c r="G1124" s="1"/>
      <c r="H1124" s="1"/>
      <c r="I1124" s="1"/>
    </row>
    <row r="1125" spans="1:9" x14ac:dyDescent="0.25">
      <c r="A1125" s="7"/>
      <c r="B1125" s="1"/>
      <c r="C1125" s="1"/>
      <c r="D1125" s="1"/>
      <c r="F1125" s="7"/>
      <c r="G1125" s="1"/>
      <c r="H1125" s="1"/>
      <c r="I1125" s="1"/>
    </row>
    <row r="1126" spans="1:9" x14ac:dyDescent="0.25">
      <c r="A1126" s="7"/>
      <c r="B1126" s="1"/>
      <c r="C1126" s="1"/>
      <c r="D1126" s="1"/>
      <c r="F1126" s="7"/>
      <c r="G1126" s="1"/>
      <c r="H1126" s="1"/>
      <c r="I1126" s="1"/>
    </row>
    <row r="1127" spans="1:9" x14ac:dyDescent="0.25">
      <c r="A1127" s="7"/>
      <c r="B1127" s="1"/>
      <c r="C1127" s="1"/>
      <c r="D1127" s="1"/>
      <c r="F1127" s="7"/>
      <c r="G1127" s="1"/>
      <c r="H1127" s="1"/>
      <c r="I1127" s="1"/>
    </row>
    <row r="1128" spans="1:9" x14ac:dyDescent="0.25">
      <c r="A1128" s="7"/>
      <c r="B1128" s="1"/>
      <c r="C1128" s="1"/>
      <c r="D1128" s="1"/>
      <c r="F1128" s="7"/>
      <c r="G1128" s="1"/>
      <c r="H1128" s="1"/>
      <c r="I1128" s="1"/>
    </row>
    <row r="1129" spans="1:9" x14ac:dyDescent="0.25">
      <c r="A1129" s="7"/>
      <c r="B1129" s="1"/>
      <c r="C1129" s="1"/>
      <c r="D1129" s="1"/>
      <c r="F1129" s="7"/>
      <c r="G1129" s="1"/>
      <c r="H1129" s="1"/>
      <c r="I1129" s="1"/>
    </row>
    <row r="1130" spans="1:9" x14ac:dyDescent="0.25">
      <c r="A1130" s="7"/>
      <c r="B1130" s="1"/>
      <c r="C1130" s="1"/>
      <c r="D1130" s="1"/>
      <c r="F1130" s="7"/>
      <c r="G1130" s="1"/>
      <c r="H1130" s="1"/>
      <c r="I1130" s="1"/>
    </row>
    <row r="1131" spans="1:9" x14ac:dyDescent="0.25">
      <c r="A1131" s="7"/>
      <c r="B1131" s="1"/>
      <c r="C1131" s="1"/>
      <c r="D1131" s="1"/>
      <c r="F1131" s="7"/>
      <c r="G1131" s="1"/>
      <c r="H1131" s="1"/>
      <c r="I1131" s="1"/>
    </row>
    <row r="1132" spans="1:9" x14ac:dyDescent="0.25">
      <c r="A1132" s="7"/>
      <c r="B1132" s="1"/>
      <c r="C1132" s="1"/>
      <c r="D1132" s="1"/>
      <c r="F1132" s="7"/>
      <c r="G1132" s="1"/>
      <c r="H1132" s="1"/>
      <c r="I1132" s="1"/>
    </row>
    <row r="1133" spans="1:9" x14ac:dyDescent="0.25">
      <c r="A1133" s="7"/>
      <c r="B1133" s="1"/>
      <c r="C1133" s="1"/>
      <c r="D1133" s="1"/>
      <c r="F1133" s="7"/>
      <c r="G1133" s="1"/>
      <c r="H1133" s="1"/>
      <c r="I1133" s="1"/>
    </row>
    <row r="1134" spans="1:9" x14ac:dyDescent="0.25">
      <c r="A1134" s="7"/>
      <c r="B1134" s="1"/>
      <c r="C1134" s="1"/>
      <c r="D1134" s="1"/>
      <c r="F1134" s="7"/>
      <c r="G1134" s="1"/>
      <c r="H1134" s="1"/>
      <c r="I1134" s="1"/>
    </row>
    <row r="1135" spans="1:9" x14ac:dyDescent="0.25">
      <c r="A1135" s="7"/>
      <c r="B1135" s="1"/>
      <c r="C1135" s="1"/>
      <c r="D1135" s="1"/>
      <c r="F1135" s="7"/>
      <c r="G1135" s="1"/>
      <c r="H1135" s="1"/>
      <c r="I1135" s="1"/>
    </row>
    <row r="1136" spans="1:9" x14ac:dyDescent="0.25">
      <c r="A1136" s="7"/>
      <c r="B1136" s="1"/>
      <c r="C1136" s="1"/>
      <c r="D1136" s="1"/>
      <c r="F1136" s="7"/>
      <c r="G1136" s="1"/>
      <c r="H1136" s="1"/>
      <c r="I1136" s="1"/>
    </row>
    <row r="1137" spans="1:9" x14ac:dyDescent="0.25">
      <c r="A1137" s="7"/>
      <c r="B1137" s="1"/>
      <c r="C1137" s="1"/>
      <c r="D1137" s="1"/>
      <c r="F1137" s="7"/>
      <c r="G1137" s="1"/>
      <c r="H1137" s="1"/>
      <c r="I1137" s="1"/>
    </row>
    <row r="1138" spans="1:9" x14ac:dyDescent="0.25">
      <c r="A1138" s="7"/>
      <c r="B1138" s="1"/>
      <c r="C1138" s="1"/>
      <c r="D1138" s="1"/>
      <c r="F1138" s="7"/>
      <c r="G1138" s="1"/>
      <c r="H1138" s="1"/>
      <c r="I1138" s="1"/>
    </row>
    <row r="1139" spans="1:9" x14ac:dyDescent="0.25">
      <c r="A1139" s="7"/>
      <c r="B1139" s="1"/>
      <c r="C1139" s="1"/>
      <c r="D1139" s="1"/>
      <c r="F1139" s="7"/>
      <c r="G1139" s="1"/>
      <c r="H1139" s="1"/>
      <c r="I1139" s="1"/>
    </row>
    <row r="1140" spans="1:9" x14ac:dyDescent="0.25">
      <c r="A1140" s="7"/>
      <c r="B1140" s="1"/>
      <c r="C1140" s="1"/>
      <c r="D1140" s="1"/>
      <c r="F1140" s="7"/>
      <c r="G1140" s="1"/>
      <c r="H1140" s="1"/>
      <c r="I1140" s="1"/>
    </row>
    <row r="1141" spans="1:9" x14ac:dyDescent="0.25">
      <c r="A1141" s="7"/>
      <c r="B1141" s="1"/>
      <c r="C1141" s="1"/>
      <c r="D1141" s="1"/>
      <c r="F1141" s="7"/>
      <c r="G1141" s="1"/>
      <c r="H1141" s="1"/>
      <c r="I1141" s="1"/>
    </row>
    <row r="1142" spans="1:9" x14ac:dyDescent="0.25">
      <c r="A1142" s="7"/>
      <c r="B1142" s="1"/>
      <c r="C1142" s="1"/>
      <c r="D1142" s="1"/>
      <c r="F1142" s="7"/>
      <c r="G1142" s="1"/>
      <c r="H1142" s="1"/>
      <c r="I1142" s="1"/>
    </row>
    <row r="1143" spans="1:9" x14ac:dyDescent="0.25">
      <c r="A1143" s="7"/>
      <c r="B1143" s="1"/>
      <c r="C1143" s="1"/>
      <c r="D1143" s="1"/>
      <c r="F1143" s="7"/>
      <c r="G1143" s="1"/>
      <c r="H1143" s="1"/>
      <c r="I1143" s="1"/>
    </row>
    <row r="1144" spans="1:9" x14ac:dyDescent="0.25">
      <c r="A1144" s="7"/>
      <c r="B1144" s="1"/>
      <c r="C1144" s="1"/>
      <c r="D1144" s="1"/>
      <c r="F1144" s="7"/>
      <c r="G1144" s="1"/>
      <c r="H1144" s="1"/>
      <c r="I1144" s="1"/>
    </row>
    <row r="1145" spans="1:9" x14ac:dyDescent="0.25">
      <c r="A1145" s="7"/>
      <c r="B1145" s="1"/>
      <c r="C1145" s="1"/>
      <c r="D1145" s="1"/>
      <c r="F1145" s="7"/>
      <c r="G1145" s="1"/>
      <c r="H1145" s="1"/>
      <c r="I1145" s="1"/>
    </row>
    <row r="1146" spans="1:9" x14ac:dyDescent="0.25">
      <c r="A1146" s="7"/>
      <c r="B1146" s="1"/>
      <c r="C1146" s="1"/>
      <c r="D1146" s="1"/>
      <c r="F1146" s="7"/>
      <c r="G1146" s="1"/>
      <c r="H1146" s="1"/>
      <c r="I1146" s="1"/>
    </row>
    <row r="1147" spans="1:9" x14ac:dyDescent="0.25">
      <c r="A1147" s="7"/>
      <c r="B1147" s="1"/>
      <c r="C1147" s="1"/>
      <c r="D1147" s="1"/>
      <c r="F1147" s="7"/>
      <c r="G1147" s="1"/>
      <c r="H1147" s="1"/>
      <c r="I1147" s="1"/>
    </row>
    <row r="1148" spans="1:9" x14ac:dyDescent="0.25">
      <c r="A1148" s="7"/>
      <c r="B1148" s="1"/>
      <c r="C1148" s="1"/>
      <c r="D1148" s="1"/>
      <c r="F1148" s="7"/>
      <c r="G1148" s="1"/>
      <c r="H1148" s="1"/>
      <c r="I1148" s="1"/>
    </row>
    <row r="1149" spans="1:9" x14ac:dyDescent="0.25">
      <c r="A1149" s="7"/>
      <c r="B1149" s="1"/>
      <c r="C1149" s="1"/>
      <c r="D1149" s="1"/>
      <c r="F1149" s="7"/>
      <c r="G1149" s="1"/>
      <c r="H1149" s="1"/>
      <c r="I1149" s="1"/>
    </row>
    <row r="1150" spans="1:9" x14ac:dyDescent="0.25">
      <c r="A1150" s="7"/>
      <c r="B1150" s="1"/>
      <c r="C1150" s="1"/>
      <c r="D1150" s="1"/>
      <c r="F1150" s="7"/>
      <c r="G1150" s="1"/>
      <c r="H1150" s="1"/>
      <c r="I1150" s="1"/>
    </row>
    <row r="1151" spans="1:9" x14ac:dyDescent="0.25">
      <c r="A1151" s="7"/>
      <c r="B1151" s="1"/>
      <c r="C1151" s="1"/>
      <c r="D1151" s="1"/>
      <c r="F1151" s="7"/>
      <c r="G1151" s="1"/>
      <c r="H1151" s="1"/>
      <c r="I1151" s="1"/>
    </row>
    <row r="1152" spans="1:9" x14ac:dyDescent="0.25">
      <c r="A1152" s="7"/>
      <c r="B1152" s="1"/>
      <c r="C1152" s="1"/>
      <c r="D1152" s="1"/>
      <c r="F1152" s="7"/>
      <c r="G1152" s="1"/>
      <c r="H1152" s="1"/>
      <c r="I1152" s="1"/>
    </row>
    <row r="1153" spans="1:9" x14ac:dyDescent="0.25">
      <c r="A1153" s="7"/>
      <c r="B1153" s="1"/>
      <c r="C1153" s="1"/>
      <c r="D1153" s="1"/>
      <c r="F1153" s="7"/>
      <c r="G1153" s="1"/>
      <c r="H1153" s="1"/>
      <c r="I1153" s="1"/>
    </row>
    <row r="1154" spans="1:9" x14ac:dyDescent="0.25">
      <c r="A1154" s="7"/>
      <c r="B1154" s="1"/>
      <c r="C1154" s="1"/>
      <c r="D1154" s="1"/>
      <c r="F1154" s="7"/>
      <c r="G1154" s="1"/>
      <c r="H1154" s="1"/>
      <c r="I1154" s="1"/>
    </row>
    <row r="1155" spans="1:9" x14ac:dyDescent="0.25">
      <c r="A1155" s="7"/>
      <c r="B1155" s="1"/>
      <c r="C1155" s="1"/>
      <c r="D1155" s="1"/>
      <c r="F1155" s="7"/>
      <c r="G1155" s="1"/>
      <c r="H1155" s="1"/>
      <c r="I1155" s="1"/>
    </row>
    <row r="1156" spans="1:9" x14ac:dyDescent="0.25">
      <c r="A1156" s="7"/>
      <c r="B1156" s="1"/>
      <c r="C1156" s="1"/>
      <c r="D1156" s="1"/>
      <c r="F1156" s="7"/>
      <c r="G1156" s="1"/>
      <c r="H1156" s="1"/>
      <c r="I1156" s="1"/>
    </row>
    <row r="1157" spans="1:9" x14ac:dyDescent="0.25">
      <c r="A1157" s="7"/>
      <c r="B1157" s="1"/>
      <c r="C1157" s="1"/>
      <c r="D1157" s="1"/>
      <c r="F1157" s="7"/>
      <c r="G1157" s="1"/>
      <c r="H1157" s="1"/>
      <c r="I1157" s="1"/>
    </row>
    <row r="1158" spans="1:9" x14ac:dyDescent="0.25">
      <c r="A1158" s="7"/>
      <c r="B1158" s="1"/>
      <c r="C1158" s="1"/>
      <c r="D1158" s="1"/>
      <c r="F1158" s="7"/>
      <c r="G1158" s="1"/>
      <c r="H1158" s="1"/>
      <c r="I1158" s="1"/>
    </row>
    <row r="1159" spans="1:9" x14ac:dyDescent="0.25">
      <c r="A1159" s="7"/>
      <c r="B1159" s="1"/>
      <c r="C1159" s="1"/>
      <c r="D1159" s="1"/>
      <c r="F1159" s="7"/>
      <c r="G1159" s="1"/>
      <c r="H1159" s="1"/>
      <c r="I1159" s="1"/>
    </row>
    <row r="1160" spans="1:9" x14ac:dyDescent="0.25">
      <c r="A1160" s="7"/>
      <c r="B1160" s="1"/>
      <c r="C1160" s="1"/>
      <c r="D1160" s="1"/>
      <c r="F1160" s="7"/>
      <c r="G1160" s="1"/>
      <c r="H1160" s="1"/>
      <c r="I1160" s="1"/>
    </row>
    <row r="1161" spans="1:9" x14ac:dyDescent="0.25">
      <c r="A1161" s="7"/>
      <c r="B1161" s="1"/>
      <c r="C1161" s="1"/>
      <c r="D1161" s="1"/>
      <c r="F1161" s="7"/>
      <c r="G1161" s="1"/>
      <c r="H1161" s="1"/>
      <c r="I1161" s="1"/>
    </row>
    <row r="1162" spans="1:9" x14ac:dyDescent="0.25">
      <c r="A1162" s="7"/>
      <c r="B1162" s="1"/>
      <c r="C1162" s="1"/>
      <c r="D1162" s="1"/>
      <c r="F1162" s="7"/>
      <c r="G1162" s="1"/>
      <c r="H1162" s="1"/>
      <c r="I1162" s="1"/>
    </row>
    <row r="1163" spans="1:9" x14ac:dyDescent="0.25">
      <c r="A1163" s="7"/>
      <c r="B1163" s="1"/>
      <c r="C1163" s="1"/>
      <c r="D1163" s="1"/>
      <c r="F1163" s="7"/>
      <c r="G1163" s="1"/>
      <c r="H1163" s="1"/>
      <c r="I1163" s="1"/>
    </row>
    <row r="1164" spans="1:9" x14ac:dyDescent="0.25">
      <c r="A1164" s="7"/>
      <c r="B1164" s="1"/>
      <c r="C1164" s="1"/>
      <c r="D1164" s="1"/>
      <c r="F1164" s="7"/>
      <c r="G1164" s="1"/>
      <c r="H1164" s="1"/>
      <c r="I1164" s="1"/>
    </row>
    <row r="1165" spans="1:9" x14ac:dyDescent="0.25">
      <c r="A1165" s="7"/>
      <c r="B1165" s="1"/>
      <c r="C1165" s="1"/>
      <c r="D1165" s="1"/>
      <c r="F1165" s="7"/>
      <c r="G1165" s="1"/>
      <c r="H1165" s="1"/>
      <c r="I1165" s="1"/>
    </row>
    <row r="1166" spans="1:9" x14ac:dyDescent="0.25">
      <c r="A1166" s="7"/>
      <c r="B1166" s="1"/>
      <c r="C1166" s="1"/>
      <c r="D1166" s="1"/>
      <c r="F1166" s="7"/>
      <c r="G1166" s="1"/>
      <c r="H1166" s="1"/>
      <c r="I1166" s="1"/>
    </row>
    <row r="1167" spans="1:9" x14ac:dyDescent="0.25">
      <c r="A1167" s="7"/>
      <c r="B1167" s="1"/>
      <c r="C1167" s="1"/>
      <c r="D1167" s="1"/>
      <c r="F1167" s="7"/>
      <c r="G1167" s="1"/>
      <c r="H1167" s="1"/>
      <c r="I1167" s="1"/>
    </row>
    <row r="1168" spans="1:9" x14ac:dyDescent="0.25">
      <c r="A1168" s="7"/>
      <c r="B1168" s="1"/>
      <c r="C1168" s="1"/>
      <c r="D1168" s="1"/>
      <c r="F1168" s="7"/>
      <c r="G1168" s="1"/>
      <c r="H1168" s="1"/>
      <c r="I1168" s="1"/>
    </row>
    <row r="1169" spans="1:9" x14ac:dyDescent="0.25">
      <c r="A1169" s="7"/>
      <c r="B1169" s="1"/>
      <c r="C1169" s="1"/>
      <c r="D1169" s="1"/>
      <c r="F1169" s="7"/>
      <c r="G1169" s="1"/>
      <c r="H1169" s="1"/>
      <c r="I1169" s="1"/>
    </row>
    <row r="1170" spans="1:9" x14ac:dyDescent="0.25">
      <c r="A1170" s="7"/>
      <c r="B1170" s="1"/>
      <c r="C1170" s="1"/>
      <c r="D1170" s="1"/>
      <c r="F1170" s="7"/>
      <c r="G1170" s="1"/>
      <c r="H1170" s="1"/>
      <c r="I1170" s="1"/>
    </row>
    <row r="1171" spans="1:9" x14ac:dyDescent="0.25">
      <c r="A1171" s="7"/>
      <c r="B1171" s="1"/>
      <c r="C1171" s="1"/>
      <c r="D1171" s="1"/>
      <c r="F1171" s="7"/>
      <c r="G1171" s="1"/>
      <c r="H1171" s="1"/>
      <c r="I1171" s="1"/>
    </row>
    <row r="1172" spans="1:9" x14ac:dyDescent="0.25">
      <c r="A1172" s="7"/>
      <c r="B1172" s="1"/>
      <c r="C1172" s="1"/>
      <c r="D1172" s="1"/>
      <c r="F1172" s="7"/>
      <c r="G1172" s="1"/>
      <c r="H1172" s="1"/>
      <c r="I1172" s="1"/>
    </row>
    <row r="1173" spans="1:9" x14ac:dyDescent="0.25">
      <c r="A1173" s="7"/>
      <c r="B1173" s="1"/>
      <c r="C1173" s="1"/>
      <c r="D1173" s="1"/>
      <c r="F1173" s="7"/>
      <c r="G1173" s="1"/>
      <c r="H1173" s="1"/>
      <c r="I1173" s="1"/>
    </row>
    <row r="1174" spans="1:9" x14ac:dyDescent="0.25">
      <c r="A1174" s="7"/>
      <c r="B1174" s="1"/>
      <c r="C1174" s="1"/>
      <c r="D1174" s="1"/>
      <c r="F1174" s="7"/>
      <c r="G1174" s="1"/>
      <c r="H1174" s="1"/>
      <c r="I1174" s="1"/>
    </row>
    <row r="1175" spans="1:9" x14ac:dyDescent="0.25">
      <c r="A1175" s="7"/>
      <c r="B1175" s="1"/>
      <c r="C1175" s="1"/>
      <c r="D1175" s="1"/>
      <c r="F1175" s="7"/>
      <c r="G1175" s="1"/>
      <c r="H1175" s="1"/>
      <c r="I1175" s="1"/>
    </row>
    <row r="1176" spans="1:9" x14ac:dyDescent="0.25">
      <c r="A1176" s="7"/>
      <c r="B1176" s="1"/>
      <c r="C1176" s="1"/>
      <c r="D1176" s="1"/>
      <c r="F1176" s="7"/>
      <c r="G1176" s="1"/>
      <c r="H1176" s="1"/>
      <c r="I1176" s="1"/>
    </row>
    <row r="1177" spans="1:9" x14ac:dyDescent="0.25">
      <c r="A1177" s="7"/>
      <c r="B1177" s="1"/>
      <c r="C1177" s="1"/>
      <c r="D1177" s="1"/>
      <c r="F1177" s="7"/>
      <c r="G1177" s="1"/>
      <c r="H1177" s="1"/>
      <c r="I1177" s="1"/>
    </row>
    <row r="1178" spans="1:9" x14ac:dyDescent="0.25">
      <c r="A1178" s="7"/>
      <c r="B1178" s="1"/>
      <c r="C1178" s="1"/>
      <c r="D1178" s="1"/>
      <c r="F1178" s="7"/>
      <c r="G1178" s="1"/>
      <c r="H1178" s="1"/>
      <c r="I1178" s="1"/>
    </row>
    <row r="1179" spans="1:9" x14ac:dyDescent="0.25">
      <c r="A1179" s="7"/>
      <c r="B1179" s="1"/>
      <c r="C1179" s="1"/>
      <c r="D1179" s="1"/>
      <c r="F1179" s="7"/>
      <c r="G1179" s="1"/>
      <c r="H1179" s="1"/>
      <c r="I1179" s="1"/>
    </row>
    <row r="1180" spans="1:9" x14ac:dyDescent="0.25">
      <c r="A1180" s="7"/>
      <c r="B1180" s="1"/>
      <c r="C1180" s="1"/>
      <c r="D1180" s="1"/>
      <c r="F1180" s="7"/>
      <c r="G1180" s="1"/>
      <c r="H1180" s="1"/>
      <c r="I1180" s="1"/>
    </row>
    <row r="1181" spans="1:9" x14ac:dyDescent="0.25">
      <c r="A1181" s="7"/>
      <c r="B1181" s="1"/>
      <c r="C1181" s="1"/>
      <c r="D1181" s="1"/>
      <c r="F1181" s="7"/>
      <c r="G1181" s="1"/>
      <c r="H1181" s="1"/>
      <c r="I1181" s="1"/>
    </row>
    <row r="1182" spans="1:9" x14ac:dyDescent="0.25">
      <c r="A1182" s="7"/>
      <c r="B1182" s="1"/>
      <c r="C1182" s="1"/>
      <c r="D1182" s="1"/>
      <c r="F1182" s="7"/>
      <c r="G1182" s="1"/>
      <c r="H1182" s="1"/>
      <c r="I1182" s="1"/>
    </row>
    <row r="1183" spans="1:9" x14ac:dyDescent="0.25">
      <c r="A1183" s="7"/>
      <c r="B1183" s="1"/>
      <c r="C1183" s="1"/>
      <c r="D1183" s="1"/>
      <c r="F1183" s="7"/>
      <c r="G1183" s="1"/>
      <c r="H1183" s="1"/>
      <c r="I1183" s="1"/>
    </row>
    <row r="1184" spans="1:9" x14ac:dyDescent="0.25">
      <c r="A1184" s="7"/>
      <c r="B1184" s="1"/>
      <c r="C1184" s="1"/>
      <c r="D1184" s="1"/>
      <c r="F1184" s="7"/>
      <c r="G1184" s="1"/>
      <c r="H1184" s="1"/>
      <c r="I1184" s="1"/>
    </row>
    <row r="1185" spans="1:9" x14ac:dyDescent="0.25">
      <c r="A1185" s="7"/>
      <c r="B1185" s="1"/>
      <c r="C1185" s="1"/>
      <c r="D1185" s="1"/>
      <c r="F1185" s="7"/>
      <c r="G1185" s="1"/>
      <c r="H1185" s="1"/>
      <c r="I1185" s="1"/>
    </row>
    <row r="1186" spans="1:9" x14ac:dyDescent="0.25">
      <c r="A1186" s="7"/>
      <c r="B1186" s="1"/>
      <c r="C1186" s="1"/>
      <c r="D1186" s="1"/>
      <c r="F1186" s="7"/>
      <c r="G1186" s="1"/>
      <c r="H1186" s="1"/>
      <c r="I1186" s="1"/>
    </row>
    <row r="1187" spans="1:9" x14ac:dyDescent="0.25">
      <c r="A1187" s="7"/>
      <c r="B1187" s="1"/>
      <c r="C1187" s="1"/>
      <c r="D1187" s="1"/>
      <c r="F1187" s="7"/>
      <c r="G1187" s="1"/>
      <c r="H1187" s="1"/>
      <c r="I1187" s="1"/>
    </row>
    <row r="1188" spans="1:9" x14ac:dyDescent="0.25">
      <c r="A1188" s="7"/>
      <c r="B1188" s="1"/>
      <c r="C1188" s="1"/>
      <c r="D1188" s="1"/>
      <c r="F1188" s="7"/>
      <c r="G1188" s="1"/>
      <c r="H1188" s="1"/>
      <c r="I1188" s="1"/>
    </row>
    <row r="1189" spans="1:9" x14ac:dyDescent="0.25">
      <c r="A1189" s="7"/>
      <c r="B1189" s="1"/>
      <c r="C1189" s="1"/>
      <c r="D1189" s="1"/>
      <c r="F1189" s="7"/>
      <c r="G1189" s="1"/>
      <c r="H1189" s="1"/>
      <c r="I1189" s="1"/>
    </row>
    <row r="1190" spans="1:9" x14ac:dyDescent="0.25">
      <c r="A1190" s="7"/>
      <c r="B1190" s="1"/>
      <c r="C1190" s="1"/>
      <c r="D1190" s="1"/>
      <c r="F1190" s="7"/>
      <c r="G1190" s="1"/>
      <c r="H1190" s="1"/>
      <c r="I1190" s="1"/>
    </row>
    <row r="1191" spans="1:9" x14ac:dyDescent="0.25">
      <c r="A1191" s="7"/>
      <c r="B1191" s="1"/>
      <c r="C1191" s="1"/>
      <c r="D1191" s="1"/>
      <c r="F1191" s="7"/>
      <c r="G1191" s="1"/>
      <c r="H1191" s="1"/>
      <c r="I1191" s="1"/>
    </row>
    <row r="1192" spans="1:9" x14ac:dyDescent="0.25">
      <c r="A1192" s="7"/>
      <c r="B1192" s="1"/>
      <c r="C1192" s="1"/>
      <c r="D1192" s="1"/>
      <c r="F1192" s="7"/>
      <c r="G1192" s="1"/>
      <c r="H1192" s="1"/>
      <c r="I1192" s="1"/>
    </row>
    <row r="1193" spans="1:9" x14ac:dyDescent="0.25">
      <c r="A1193" s="7"/>
      <c r="B1193" s="1"/>
      <c r="C1193" s="1"/>
      <c r="D1193" s="1"/>
      <c r="F1193" s="7"/>
      <c r="G1193" s="1"/>
      <c r="H1193" s="1"/>
      <c r="I1193" s="1"/>
    </row>
    <row r="1194" spans="1:9" x14ac:dyDescent="0.25">
      <c r="A1194" s="7"/>
      <c r="B1194" s="1"/>
      <c r="C1194" s="1"/>
      <c r="D1194" s="1"/>
      <c r="F1194" s="7"/>
      <c r="G1194" s="1"/>
      <c r="H1194" s="1"/>
      <c r="I1194" s="1"/>
    </row>
    <row r="1195" spans="1:9" x14ac:dyDescent="0.25">
      <c r="A1195" s="7"/>
      <c r="B1195" s="1"/>
      <c r="C1195" s="1"/>
      <c r="D1195" s="1"/>
      <c r="F1195" s="7"/>
      <c r="G1195" s="1"/>
      <c r="H1195" s="1"/>
      <c r="I1195" s="1"/>
    </row>
    <row r="1196" spans="1:9" x14ac:dyDescent="0.25">
      <c r="A1196" s="7"/>
      <c r="B1196" s="1"/>
      <c r="C1196" s="1"/>
      <c r="D1196" s="1"/>
      <c r="F1196" s="7"/>
      <c r="G1196" s="1"/>
      <c r="H1196" s="1"/>
      <c r="I1196" s="1"/>
    </row>
    <row r="1197" spans="1:9" x14ac:dyDescent="0.25">
      <c r="A1197" s="7"/>
      <c r="B1197" s="1"/>
      <c r="C1197" s="1"/>
      <c r="D1197" s="1"/>
      <c r="F1197" s="7"/>
      <c r="G1197" s="1"/>
      <c r="H1197" s="1"/>
      <c r="I1197" s="1"/>
    </row>
    <row r="1198" spans="1:9" x14ac:dyDescent="0.25">
      <c r="A1198" s="7"/>
      <c r="B1198" s="1"/>
      <c r="C1198" s="1"/>
      <c r="D1198" s="1"/>
      <c r="F1198" s="7"/>
      <c r="G1198" s="1"/>
      <c r="H1198" s="1"/>
      <c r="I1198" s="1"/>
    </row>
    <row r="1199" spans="1:9" x14ac:dyDescent="0.25">
      <c r="A1199" s="7"/>
      <c r="B1199" s="1"/>
      <c r="C1199" s="1"/>
      <c r="D1199" s="1"/>
      <c r="F1199" s="7"/>
      <c r="G1199" s="1"/>
      <c r="H1199" s="1"/>
      <c r="I1199" s="1"/>
    </row>
    <row r="1200" spans="1:9" x14ac:dyDescent="0.25">
      <c r="A1200" s="7"/>
      <c r="B1200" s="1"/>
      <c r="C1200" s="1"/>
      <c r="D1200" s="1"/>
      <c r="F1200" s="7"/>
      <c r="G1200" s="1"/>
      <c r="H1200" s="1"/>
      <c r="I1200" s="1"/>
    </row>
    <row r="1201" spans="1:9" x14ac:dyDescent="0.25">
      <c r="A1201" s="7"/>
      <c r="B1201" s="1"/>
      <c r="C1201" s="1"/>
      <c r="D1201" s="1"/>
      <c r="F1201" s="7"/>
      <c r="G1201" s="1"/>
      <c r="H1201" s="1"/>
      <c r="I1201" s="1"/>
    </row>
    <row r="1202" spans="1:9" x14ac:dyDescent="0.25">
      <c r="A1202" s="7"/>
      <c r="B1202" s="1"/>
      <c r="C1202" s="1"/>
      <c r="D1202" s="1"/>
      <c r="F1202" s="7"/>
      <c r="G1202" s="1"/>
      <c r="H1202" s="1"/>
      <c r="I1202" s="1"/>
    </row>
    <row r="1203" spans="1:9" x14ac:dyDescent="0.25">
      <c r="A1203" s="7"/>
      <c r="B1203" s="1"/>
      <c r="C1203" s="1"/>
      <c r="D1203" s="1"/>
      <c r="F1203" s="7"/>
      <c r="G1203" s="1"/>
      <c r="H1203" s="1"/>
      <c r="I1203" s="1"/>
    </row>
    <row r="1204" spans="1:9" x14ac:dyDescent="0.25">
      <c r="A1204" s="7"/>
      <c r="B1204" s="1"/>
      <c r="C1204" s="1"/>
      <c r="D1204" s="1"/>
      <c r="F1204" s="7"/>
      <c r="G1204" s="1"/>
      <c r="H1204" s="1"/>
      <c r="I1204" s="1"/>
    </row>
    <row r="1205" spans="1:9" x14ac:dyDescent="0.25">
      <c r="A1205" s="7"/>
      <c r="B1205" s="1"/>
      <c r="C1205" s="1"/>
      <c r="D1205" s="1"/>
      <c r="F1205" s="7"/>
      <c r="G1205" s="1"/>
      <c r="H1205" s="1"/>
      <c r="I1205" s="1"/>
    </row>
    <row r="1206" spans="1:9" x14ac:dyDescent="0.25">
      <c r="A1206" s="7"/>
      <c r="B1206" s="1"/>
      <c r="C1206" s="1"/>
      <c r="D1206" s="1"/>
      <c r="F1206" s="7"/>
      <c r="G1206" s="1"/>
      <c r="H1206" s="1"/>
      <c r="I1206" s="1"/>
    </row>
    <row r="1207" spans="1:9" x14ac:dyDescent="0.25">
      <c r="A1207" s="7"/>
      <c r="B1207" s="1"/>
      <c r="C1207" s="1"/>
      <c r="D1207" s="1"/>
      <c r="F1207" s="7"/>
      <c r="G1207" s="1"/>
      <c r="H1207" s="1"/>
      <c r="I1207" s="1"/>
    </row>
    <row r="1208" spans="1:9" x14ac:dyDescent="0.25">
      <c r="A1208" s="7"/>
      <c r="B1208" s="1"/>
      <c r="C1208" s="1"/>
      <c r="D1208" s="1"/>
      <c r="F1208" s="7"/>
      <c r="G1208" s="1"/>
      <c r="H1208" s="1"/>
      <c r="I1208" s="1"/>
    </row>
    <row r="1209" spans="1:9" x14ac:dyDescent="0.25">
      <c r="A1209" s="7"/>
      <c r="B1209" s="1"/>
      <c r="C1209" s="1"/>
      <c r="D1209" s="1"/>
      <c r="F1209" s="7"/>
      <c r="G1209" s="1"/>
      <c r="H1209" s="1"/>
      <c r="I1209" s="1"/>
    </row>
    <row r="1210" spans="1:9" x14ac:dyDescent="0.25">
      <c r="A1210" s="7"/>
      <c r="B1210" s="1"/>
      <c r="C1210" s="1"/>
      <c r="D1210" s="1"/>
      <c r="F1210" s="7"/>
      <c r="G1210" s="1"/>
      <c r="H1210" s="1"/>
      <c r="I1210" s="1"/>
    </row>
    <row r="1211" spans="1:9" x14ac:dyDescent="0.25">
      <c r="A1211" s="7"/>
      <c r="B1211" s="1"/>
      <c r="C1211" s="1"/>
      <c r="D1211" s="1"/>
      <c r="F1211" s="7"/>
      <c r="G1211" s="1"/>
      <c r="H1211" s="1"/>
      <c r="I1211" s="1"/>
    </row>
    <row r="1212" spans="1:9" x14ac:dyDescent="0.25">
      <c r="A1212" s="7"/>
      <c r="B1212" s="1"/>
      <c r="C1212" s="1"/>
      <c r="D1212" s="1"/>
      <c r="F1212" s="7"/>
      <c r="G1212" s="1"/>
      <c r="H1212" s="1"/>
      <c r="I1212" s="1"/>
    </row>
    <row r="1213" spans="1:9" x14ac:dyDescent="0.25">
      <c r="A1213" s="7"/>
      <c r="B1213" s="1"/>
      <c r="C1213" s="1"/>
      <c r="D1213" s="1"/>
      <c r="F1213" s="7"/>
      <c r="G1213" s="1"/>
      <c r="H1213" s="1"/>
      <c r="I1213" s="1"/>
    </row>
    <row r="1214" spans="1:9" x14ac:dyDescent="0.25">
      <c r="A1214" s="7"/>
      <c r="B1214" s="1"/>
      <c r="C1214" s="1"/>
      <c r="D1214" s="1"/>
      <c r="F1214" s="7"/>
      <c r="G1214" s="1"/>
      <c r="H1214" s="1"/>
      <c r="I1214" s="1"/>
    </row>
    <row r="1215" spans="1:9" x14ac:dyDescent="0.25">
      <c r="A1215" s="7"/>
      <c r="B1215" s="1"/>
      <c r="C1215" s="1"/>
      <c r="D1215" s="1"/>
      <c r="F1215" s="7"/>
      <c r="G1215" s="1"/>
      <c r="H1215" s="1"/>
      <c r="I1215" s="1"/>
    </row>
    <row r="1216" spans="1:9" x14ac:dyDescent="0.25">
      <c r="A1216" s="7"/>
      <c r="B1216" s="1"/>
      <c r="C1216" s="1"/>
      <c r="D1216" s="1"/>
      <c r="F1216" s="7"/>
      <c r="G1216" s="1"/>
      <c r="H1216" s="1"/>
      <c r="I1216" s="1"/>
    </row>
    <row r="1217" spans="1:9" x14ac:dyDescent="0.25">
      <c r="A1217" s="7"/>
      <c r="B1217" s="1"/>
      <c r="C1217" s="1"/>
      <c r="D1217" s="1"/>
      <c r="F1217" s="7"/>
      <c r="G1217" s="1"/>
      <c r="H1217" s="1"/>
      <c r="I1217" s="1"/>
    </row>
    <row r="1218" spans="1:9" x14ac:dyDescent="0.25">
      <c r="A1218" s="7"/>
      <c r="B1218" s="1"/>
      <c r="C1218" s="1"/>
      <c r="D1218" s="1"/>
      <c r="F1218" s="7"/>
      <c r="G1218" s="1"/>
      <c r="H1218" s="1"/>
      <c r="I1218" s="1"/>
    </row>
    <row r="1219" spans="1:9" x14ac:dyDescent="0.25">
      <c r="A1219" s="7"/>
      <c r="B1219" s="1"/>
      <c r="C1219" s="1"/>
      <c r="D1219" s="1"/>
      <c r="F1219" s="7"/>
      <c r="G1219" s="1"/>
      <c r="H1219" s="1"/>
      <c r="I1219" s="1"/>
    </row>
    <row r="1220" spans="1:9" x14ac:dyDescent="0.25">
      <c r="A1220" s="7"/>
      <c r="B1220" s="1"/>
      <c r="C1220" s="1"/>
      <c r="D1220" s="1"/>
      <c r="F1220" s="7"/>
      <c r="G1220" s="1"/>
      <c r="H1220" s="1"/>
      <c r="I1220" s="1"/>
    </row>
    <row r="1221" spans="1:9" x14ac:dyDescent="0.25">
      <c r="A1221" s="7"/>
      <c r="B1221" s="1"/>
      <c r="C1221" s="1"/>
      <c r="D1221" s="1"/>
      <c r="F1221" s="7"/>
      <c r="G1221" s="1"/>
      <c r="H1221" s="1"/>
      <c r="I1221" s="1"/>
    </row>
    <row r="1222" spans="1:9" x14ac:dyDescent="0.25">
      <c r="A1222" s="7"/>
      <c r="B1222" s="1"/>
      <c r="C1222" s="1"/>
      <c r="D1222" s="1"/>
      <c r="F1222" s="7"/>
      <c r="G1222" s="1"/>
      <c r="H1222" s="1"/>
      <c r="I1222" s="1"/>
    </row>
    <row r="1223" spans="1:9" x14ac:dyDescent="0.25">
      <c r="A1223" s="7"/>
      <c r="B1223" s="1"/>
      <c r="C1223" s="1"/>
      <c r="D1223" s="1"/>
      <c r="F1223" s="7"/>
      <c r="G1223" s="1"/>
      <c r="H1223" s="1"/>
      <c r="I1223" s="1"/>
    </row>
    <row r="1224" spans="1:9" x14ac:dyDescent="0.25">
      <c r="A1224" s="7"/>
      <c r="B1224" s="1"/>
      <c r="C1224" s="1"/>
      <c r="D1224" s="1"/>
      <c r="F1224" s="7"/>
      <c r="G1224" s="1"/>
      <c r="H1224" s="1"/>
      <c r="I1224" s="1"/>
    </row>
    <row r="1225" spans="1:9" x14ac:dyDescent="0.25">
      <c r="A1225" s="7"/>
      <c r="B1225" s="1"/>
      <c r="C1225" s="1"/>
      <c r="D1225" s="1"/>
      <c r="F1225" s="7"/>
      <c r="G1225" s="1"/>
      <c r="H1225" s="1"/>
      <c r="I1225" s="1"/>
    </row>
    <row r="1226" spans="1:9" x14ac:dyDescent="0.25">
      <c r="A1226" s="7"/>
      <c r="B1226" s="1"/>
      <c r="C1226" s="1"/>
      <c r="D1226" s="1"/>
      <c r="F1226" s="7"/>
      <c r="G1226" s="1"/>
      <c r="H1226" s="1"/>
      <c r="I1226" s="1"/>
    </row>
    <row r="1227" spans="1:9" x14ac:dyDescent="0.25">
      <c r="A1227" s="7"/>
      <c r="B1227" s="1"/>
      <c r="C1227" s="1"/>
      <c r="D1227" s="1"/>
      <c r="F1227" s="7"/>
      <c r="G1227" s="1"/>
      <c r="H1227" s="1"/>
      <c r="I1227" s="1"/>
    </row>
    <row r="1228" spans="1:9" x14ac:dyDescent="0.25">
      <c r="A1228" s="7"/>
      <c r="B1228" s="1"/>
      <c r="C1228" s="1"/>
      <c r="D1228" s="1"/>
      <c r="F1228" s="7"/>
      <c r="G1228" s="1"/>
      <c r="H1228" s="1"/>
      <c r="I1228" s="1"/>
    </row>
    <row r="1229" spans="1:9" x14ac:dyDescent="0.25">
      <c r="A1229" s="7"/>
      <c r="B1229" s="1"/>
      <c r="C1229" s="1"/>
      <c r="D1229" s="1"/>
      <c r="F1229" s="7"/>
      <c r="G1229" s="1"/>
      <c r="H1229" s="1"/>
      <c r="I1229" s="1"/>
    </row>
    <row r="1230" spans="1:9" x14ac:dyDescent="0.25">
      <c r="A1230" s="7"/>
      <c r="B1230" s="1"/>
      <c r="C1230" s="1"/>
      <c r="D1230" s="1"/>
      <c r="F1230" s="7"/>
      <c r="G1230" s="1"/>
      <c r="H1230" s="1"/>
      <c r="I1230" s="1"/>
    </row>
    <row r="1231" spans="1:9" x14ac:dyDescent="0.25">
      <c r="A1231" s="7"/>
      <c r="B1231" s="1"/>
      <c r="C1231" s="1"/>
      <c r="D1231" s="1"/>
      <c r="F1231" s="7"/>
      <c r="G1231" s="1"/>
      <c r="H1231" s="1"/>
      <c r="I1231" s="1"/>
    </row>
    <row r="1232" spans="1:9" x14ac:dyDescent="0.25">
      <c r="A1232" s="7"/>
      <c r="B1232" s="1"/>
      <c r="C1232" s="1"/>
      <c r="D1232" s="1"/>
      <c r="F1232" s="7"/>
      <c r="G1232" s="1"/>
      <c r="H1232" s="1"/>
      <c r="I1232" s="1"/>
    </row>
    <row r="1233" spans="1:9" x14ac:dyDescent="0.25">
      <c r="A1233" s="7"/>
      <c r="B1233" s="1"/>
      <c r="C1233" s="1"/>
      <c r="D1233" s="1"/>
      <c r="F1233" s="7"/>
      <c r="G1233" s="1"/>
      <c r="H1233" s="1"/>
      <c r="I1233" s="1"/>
    </row>
    <row r="1234" spans="1:9" x14ac:dyDescent="0.25">
      <c r="A1234" s="7"/>
      <c r="B1234" s="1"/>
      <c r="C1234" s="1"/>
      <c r="D1234" s="1"/>
      <c r="F1234" s="7"/>
      <c r="G1234" s="1"/>
      <c r="H1234" s="1"/>
      <c r="I1234" s="1"/>
    </row>
    <row r="1235" spans="1:9" x14ac:dyDescent="0.25">
      <c r="A1235" s="7"/>
      <c r="B1235" s="1"/>
      <c r="C1235" s="1"/>
      <c r="D1235" s="1"/>
      <c r="F1235" s="7"/>
      <c r="G1235" s="1"/>
      <c r="H1235" s="1"/>
      <c r="I1235" s="1"/>
    </row>
    <row r="1236" spans="1:9" x14ac:dyDescent="0.25">
      <c r="A1236" s="7"/>
      <c r="B1236" s="1"/>
      <c r="C1236" s="1"/>
      <c r="D1236" s="1"/>
      <c r="F1236" s="7"/>
      <c r="G1236" s="1"/>
      <c r="H1236" s="1"/>
      <c r="I1236" s="1"/>
    </row>
    <row r="1237" spans="1:9" x14ac:dyDescent="0.25">
      <c r="A1237" s="7"/>
      <c r="B1237" s="1"/>
      <c r="C1237" s="1"/>
      <c r="D1237" s="1"/>
      <c r="F1237" s="7"/>
      <c r="G1237" s="1"/>
      <c r="H1237" s="1"/>
      <c r="I1237" s="1"/>
    </row>
    <row r="1238" spans="1:9" x14ac:dyDescent="0.25">
      <c r="A1238" s="7"/>
      <c r="B1238" s="1"/>
      <c r="C1238" s="1"/>
      <c r="D1238" s="1"/>
      <c r="F1238" s="7"/>
      <c r="G1238" s="1"/>
      <c r="H1238" s="1"/>
      <c r="I1238" s="1"/>
    </row>
    <row r="1239" spans="1:9" x14ac:dyDescent="0.25">
      <c r="A1239" s="7"/>
      <c r="B1239" s="1"/>
      <c r="C1239" s="1"/>
      <c r="D1239" s="1"/>
      <c r="F1239" s="7"/>
      <c r="G1239" s="1"/>
      <c r="H1239" s="1"/>
      <c r="I1239" s="1"/>
    </row>
    <row r="1240" spans="1:9" x14ac:dyDescent="0.25">
      <c r="A1240" s="7"/>
      <c r="B1240" s="1"/>
      <c r="C1240" s="1"/>
      <c r="D1240" s="1"/>
      <c r="F1240" s="7"/>
      <c r="G1240" s="1"/>
      <c r="H1240" s="1"/>
      <c r="I1240" s="1"/>
    </row>
    <row r="1241" spans="1:9" x14ac:dyDescent="0.25">
      <c r="A1241" s="7"/>
      <c r="B1241" s="1"/>
      <c r="C1241" s="1"/>
      <c r="D1241" s="1"/>
      <c r="F1241" s="7"/>
      <c r="G1241" s="1"/>
      <c r="H1241" s="1"/>
      <c r="I1241" s="1"/>
    </row>
    <row r="1242" spans="1:9" x14ac:dyDescent="0.25">
      <c r="A1242" s="7"/>
      <c r="B1242" s="1"/>
      <c r="C1242" s="1"/>
      <c r="D1242" s="1"/>
      <c r="F1242" s="7"/>
      <c r="G1242" s="1"/>
      <c r="H1242" s="1"/>
      <c r="I1242" s="1"/>
    </row>
    <row r="1243" spans="1:9" x14ac:dyDescent="0.25">
      <c r="A1243" s="7"/>
      <c r="B1243" s="1"/>
      <c r="C1243" s="1"/>
      <c r="D1243" s="1"/>
      <c r="F1243" s="7"/>
      <c r="G1243" s="1"/>
      <c r="H1243" s="1"/>
      <c r="I1243" s="1"/>
    </row>
    <row r="1244" spans="1:9" x14ac:dyDescent="0.25">
      <c r="A1244" s="7"/>
      <c r="B1244" s="1"/>
      <c r="C1244" s="1"/>
      <c r="D1244" s="1"/>
      <c r="F1244" s="7"/>
      <c r="G1244" s="1"/>
      <c r="H1244" s="1"/>
      <c r="I1244" s="1"/>
    </row>
    <row r="1245" spans="1:9" x14ac:dyDescent="0.25">
      <c r="A1245" s="7"/>
      <c r="B1245" s="1"/>
      <c r="C1245" s="1"/>
      <c r="D1245" s="1"/>
      <c r="F1245" s="7"/>
      <c r="G1245" s="1"/>
      <c r="H1245" s="1"/>
      <c r="I1245" s="1"/>
    </row>
    <row r="1246" spans="1:9" x14ac:dyDescent="0.25">
      <c r="A1246" s="7"/>
      <c r="B1246" s="1"/>
      <c r="C1246" s="1"/>
      <c r="D1246" s="1"/>
      <c r="F1246" s="7"/>
      <c r="G1246" s="1"/>
      <c r="H1246" s="1"/>
      <c r="I1246" s="1"/>
    </row>
    <row r="1247" spans="1:9" x14ac:dyDescent="0.25">
      <c r="A1247" s="7"/>
      <c r="B1247" s="1"/>
      <c r="C1247" s="1"/>
      <c r="D1247" s="1"/>
      <c r="F1247" s="7"/>
      <c r="G1247" s="1"/>
      <c r="H1247" s="1"/>
      <c r="I1247" s="1"/>
    </row>
    <row r="1248" spans="1:9" x14ac:dyDescent="0.25">
      <c r="A1248" s="7"/>
      <c r="B1248" s="1"/>
      <c r="C1248" s="1"/>
      <c r="D1248" s="1"/>
      <c r="F1248" s="7"/>
      <c r="G1248" s="1"/>
      <c r="H1248" s="1"/>
      <c r="I1248" s="1"/>
    </row>
    <row r="1249" spans="1:9" x14ac:dyDescent="0.25">
      <c r="A1249" s="7"/>
      <c r="B1249" s="1"/>
      <c r="C1249" s="1"/>
      <c r="D1249" s="1"/>
      <c r="F1249" s="7"/>
      <c r="G1249" s="1"/>
      <c r="H1249" s="1"/>
      <c r="I1249" s="1"/>
    </row>
    <row r="1250" spans="1:9" x14ac:dyDescent="0.25">
      <c r="A1250" s="7"/>
      <c r="B1250" s="1"/>
      <c r="C1250" s="1"/>
      <c r="D1250" s="1"/>
      <c r="F1250" s="7"/>
      <c r="G1250" s="1"/>
      <c r="H1250" s="1"/>
      <c r="I1250" s="1"/>
    </row>
    <row r="1251" spans="1:9" x14ac:dyDescent="0.25">
      <c r="A1251" s="7"/>
      <c r="B1251" s="1"/>
      <c r="C1251" s="1"/>
      <c r="D1251" s="1"/>
      <c r="F1251" s="7"/>
      <c r="G1251" s="1"/>
      <c r="H1251" s="1"/>
      <c r="I1251" s="1"/>
    </row>
    <row r="1252" spans="1:9" x14ac:dyDescent="0.25">
      <c r="A1252" s="7"/>
      <c r="B1252" s="1"/>
      <c r="C1252" s="1"/>
      <c r="D1252" s="1"/>
      <c r="F1252" s="7"/>
      <c r="G1252" s="1"/>
      <c r="H1252" s="1"/>
      <c r="I1252" s="1"/>
    </row>
    <row r="1253" spans="1:9" x14ac:dyDescent="0.25">
      <c r="A1253" s="7"/>
      <c r="B1253" s="1"/>
      <c r="C1253" s="1"/>
      <c r="D1253" s="1"/>
      <c r="F1253" s="7"/>
      <c r="G1253" s="1"/>
      <c r="H1253" s="1"/>
      <c r="I1253" s="1"/>
    </row>
    <row r="1254" spans="1:9" x14ac:dyDescent="0.25">
      <c r="A1254" s="7"/>
      <c r="B1254" s="1"/>
      <c r="C1254" s="1"/>
      <c r="D1254" s="1"/>
      <c r="F1254" s="7"/>
      <c r="G1254" s="1"/>
      <c r="H1254" s="1"/>
      <c r="I1254" s="1"/>
    </row>
    <row r="1255" spans="1:9" x14ac:dyDescent="0.25">
      <c r="A1255" s="7"/>
      <c r="B1255" s="1"/>
      <c r="C1255" s="1"/>
      <c r="D1255" s="1"/>
      <c r="F1255" s="7"/>
      <c r="G1255" s="1"/>
      <c r="H1255" s="1"/>
      <c r="I1255" s="1"/>
    </row>
    <row r="1256" spans="1:9" x14ac:dyDescent="0.25">
      <c r="A1256" s="7"/>
      <c r="B1256" s="1"/>
      <c r="C1256" s="1"/>
      <c r="D1256" s="1"/>
      <c r="F1256" s="7"/>
      <c r="G1256" s="1"/>
      <c r="H1256" s="1"/>
      <c r="I1256" s="1"/>
    </row>
    <row r="1257" spans="1:9" x14ac:dyDescent="0.25">
      <c r="A1257" s="7"/>
      <c r="B1257" s="1"/>
      <c r="C1257" s="1"/>
      <c r="D1257" s="1"/>
      <c r="F1257" s="7"/>
      <c r="G1257" s="1"/>
      <c r="H1257" s="1"/>
      <c r="I1257" s="1"/>
    </row>
    <row r="1258" spans="1:9" x14ac:dyDescent="0.25">
      <c r="A1258" s="7"/>
      <c r="B1258" s="1"/>
      <c r="C1258" s="1"/>
      <c r="D1258" s="1"/>
      <c r="F1258" s="7"/>
      <c r="G1258" s="1"/>
      <c r="H1258" s="1"/>
      <c r="I1258" s="1"/>
    </row>
    <row r="1259" spans="1:9" x14ac:dyDescent="0.25">
      <c r="A1259" s="7"/>
      <c r="B1259" s="1"/>
      <c r="C1259" s="1"/>
      <c r="D1259" s="1"/>
      <c r="F1259" s="7"/>
      <c r="G1259" s="1"/>
      <c r="H1259" s="1"/>
      <c r="I1259" s="1"/>
    </row>
    <row r="1260" spans="1:9" x14ac:dyDescent="0.25">
      <c r="A1260" s="7"/>
      <c r="B1260" s="1"/>
      <c r="C1260" s="1"/>
      <c r="D1260" s="1"/>
      <c r="F1260" s="7"/>
      <c r="G1260" s="1"/>
      <c r="H1260" s="1"/>
      <c r="I1260" s="1"/>
    </row>
    <row r="1261" spans="1:9" x14ac:dyDescent="0.25">
      <c r="A1261" s="7"/>
      <c r="B1261" s="1"/>
      <c r="C1261" s="1"/>
      <c r="D1261" s="1"/>
      <c r="F1261" s="7"/>
      <c r="G1261" s="1"/>
      <c r="H1261" s="1"/>
      <c r="I1261" s="1"/>
    </row>
    <row r="1262" spans="1:9" x14ac:dyDescent="0.25">
      <c r="A1262" s="7"/>
      <c r="B1262" s="1"/>
      <c r="C1262" s="1"/>
      <c r="D1262" s="1"/>
      <c r="F1262" s="7"/>
      <c r="G1262" s="1"/>
      <c r="H1262" s="1"/>
      <c r="I1262" s="1"/>
    </row>
    <row r="1263" spans="1:9" x14ac:dyDescent="0.25">
      <c r="A1263" s="7"/>
      <c r="B1263" s="1"/>
      <c r="C1263" s="1"/>
      <c r="D1263" s="1"/>
      <c r="F1263" s="7"/>
      <c r="G1263" s="1"/>
      <c r="H1263" s="1"/>
      <c r="I1263" s="1"/>
    </row>
    <row r="1264" spans="1:9" x14ac:dyDescent="0.25">
      <c r="A1264" s="7"/>
      <c r="B1264" s="1"/>
      <c r="C1264" s="1"/>
      <c r="D1264" s="1"/>
      <c r="F1264" s="7"/>
      <c r="G1264" s="1"/>
      <c r="H1264" s="1"/>
      <c r="I1264" s="1"/>
    </row>
    <row r="1265" spans="1:9" x14ac:dyDescent="0.25">
      <c r="A1265" s="7"/>
      <c r="B1265" s="1"/>
      <c r="C1265" s="1"/>
      <c r="D1265" s="1"/>
      <c r="F1265" s="7"/>
      <c r="G1265" s="1"/>
      <c r="H1265" s="1"/>
      <c r="I1265" s="1"/>
    </row>
    <row r="1266" spans="1:9" x14ac:dyDescent="0.25">
      <c r="A1266" s="7"/>
      <c r="B1266" s="1"/>
      <c r="C1266" s="1"/>
      <c r="D1266" s="1"/>
      <c r="F1266" s="7"/>
      <c r="G1266" s="1"/>
      <c r="H1266" s="1"/>
      <c r="I1266" s="1"/>
    </row>
    <row r="1267" spans="1:9" x14ac:dyDescent="0.25">
      <c r="A1267" s="7"/>
      <c r="B1267" s="1"/>
      <c r="C1267" s="1"/>
      <c r="D1267" s="1"/>
      <c r="F1267" s="7"/>
      <c r="G1267" s="1"/>
      <c r="H1267" s="1"/>
      <c r="I1267" s="1"/>
    </row>
    <row r="1268" spans="1:9" x14ac:dyDescent="0.25">
      <c r="A1268" s="7"/>
      <c r="B1268" s="1"/>
      <c r="C1268" s="1"/>
      <c r="D1268" s="1"/>
      <c r="F1268" s="7"/>
      <c r="G1268" s="1"/>
      <c r="H1268" s="1"/>
      <c r="I1268" s="1"/>
    </row>
    <row r="1269" spans="1:9" x14ac:dyDescent="0.25">
      <c r="A1269" s="7"/>
      <c r="B1269" s="1"/>
      <c r="C1269" s="1"/>
      <c r="D1269" s="1"/>
      <c r="F1269" s="7"/>
      <c r="G1269" s="1"/>
      <c r="H1269" s="1"/>
      <c r="I1269" s="1"/>
    </row>
    <row r="1270" spans="1:9" x14ac:dyDescent="0.25">
      <c r="A1270" s="7"/>
      <c r="B1270" s="1"/>
      <c r="C1270" s="1"/>
      <c r="D1270" s="1"/>
      <c r="F1270" s="7"/>
      <c r="G1270" s="1"/>
      <c r="H1270" s="1"/>
      <c r="I1270" s="1"/>
    </row>
    <row r="1271" spans="1:9" x14ac:dyDescent="0.25">
      <c r="A1271" s="7"/>
      <c r="B1271" s="1"/>
      <c r="C1271" s="1"/>
      <c r="D1271" s="1"/>
      <c r="F1271" s="7"/>
      <c r="G1271" s="1"/>
      <c r="H1271" s="1"/>
      <c r="I1271" s="1"/>
    </row>
    <row r="1272" spans="1:9" x14ac:dyDescent="0.25">
      <c r="A1272" s="7"/>
      <c r="B1272" s="1"/>
      <c r="C1272" s="1"/>
      <c r="D1272" s="1"/>
      <c r="F1272" s="7"/>
      <c r="G1272" s="1"/>
      <c r="H1272" s="1"/>
      <c r="I1272" s="1"/>
    </row>
    <row r="1273" spans="1:9" x14ac:dyDescent="0.25">
      <c r="A1273" s="7"/>
      <c r="B1273" s="1"/>
      <c r="C1273" s="1"/>
      <c r="D1273" s="1"/>
      <c r="F1273" s="7"/>
      <c r="G1273" s="1"/>
      <c r="H1273" s="1"/>
      <c r="I1273" s="1"/>
    </row>
    <row r="1274" spans="1:9" x14ac:dyDescent="0.25">
      <c r="A1274" s="7"/>
      <c r="B1274" s="1"/>
      <c r="C1274" s="1"/>
      <c r="D1274" s="1"/>
      <c r="F1274" s="7"/>
      <c r="G1274" s="1"/>
      <c r="H1274" s="1"/>
      <c r="I1274" s="1"/>
    </row>
    <row r="1275" spans="1:9" x14ac:dyDescent="0.25">
      <c r="A1275" s="7"/>
      <c r="B1275" s="1"/>
      <c r="C1275" s="1"/>
      <c r="D1275" s="1"/>
      <c r="F1275" s="7"/>
      <c r="G1275" s="1"/>
      <c r="H1275" s="1"/>
      <c r="I1275" s="1"/>
    </row>
    <row r="1276" spans="1:9" x14ac:dyDescent="0.25">
      <c r="A1276" s="7"/>
      <c r="B1276" s="1"/>
      <c r="C1276" s="1"/>
      <c r="D1276" s="1"/>
      <c r="F1276" s="7"/>
      <c r="G1276" s="1"/>
      <c r="H1276" s="1"/>
      <c r="I1276" s="1"/>
    </row>
    <row r="1277" spans="1:9" x14ac:dyDescent="0.25">
      <c r="A1277" s="7"/>
      <c r="B1277" s="1"/>
      <c r="C1277" s="1"/>
      <c r="D1277" s="1"/>
      <c r="F1277" s="7"/>
      <c r="G1277" s="1"/>
      <c r="H1277" s="1"/>
      <c r="I1277" s="1"/>
    </row>
    <row r="1278" spans="1:9" x14ac:dyDescent="0.25">
      <c r="A1278" s="7"/>
      <c r="B1278" s="1"/>
      <c r="C1278" s="1"/>
      <c r="D1278" s="1"/>
      <c r="F1278" s="7"/>
      <c r="G1278" s="1"/>
      <c r="H1278" s="1"/>
      <c r="I1278" s="1"/>
    </row>
    <row r="1279" spans="1:9" x14ac:dyDescent="0.25">
      <c r="A1279" s="7"/>
      <c r="B1279" s="1"/>
      <c r="C1279" s="1"/>
      <c r="D1279" s="1"/>
      <c r="F1279" s="7"/>
      <c r="G1279" s="1"/>
      <c r="H1279" s="1"/>
      <c r="I1279" s="1"/>
    </row>
    <row r="1280" spans="1:9" x14ac:dyDescent="0.25">
      <c r="A1280" s="7"/>
      <c r="B1280" s="1"/>
      <c r="C1280" s="1"/>
      <c r="D1280" s="1"/>
      <c r="F1280" s="7"/>
      <c r="G1280" s="1"/>
      <c r="H1280" s="1"/>
      <c r="I1280" s="1"/>
    </row>
    <row r="1281" spans="1:9" x14ac:dyDescent="0.25">
      <c r="A1281" s="7"/>
      <c r="B1281" s="1"/>
      <c r="C1281" s="1"/>
      <c r="D1281" s="1"/>
      <c r="F1281" s="7"/>
      <c r="G1281" s="1"/>
      <c r="H1281" s="1"/>
      <c r="I1281" s="1"/>
    </row>
    <row r="1282" spans="1:9" x14ac:dyDescent="0.25">
      <c r="A1282" s="7"/>
      <c r="B1282" s="1"/>
      <c r="C1282" s="1"/>
      <c r="D1282" s="1"/>
      <c r="F1282" s="7"/>
      <c r="G1282" s="1"/>
      <c r="H1282" s="1"/>
      <c r="I1282" s="1"/>
    </row>
    <row r="1283" spans="1:9" x14ac:dyDescent="0.25">
      <c r="A1283" s="7"/>
      <c r="B1283" s="1"/>
      <c r="C1283" s="1"/>
      <c r="D1283" s="1"/>
      <c r="F1283" s="7"/>
      <c r="G1283" s="1"/>
      <c r="H1283" s="1"/>
      <c r="I1283" s="1"/>
    </row>
    <row r="1284" spans="1:9" x14ac:dyDescent="0.25">
      <c r="A1284" s="7"/>
      <c r="B1284" s="1"/>
      <c r="C1284" s="1"/>
      <c r="D1284" s="1"/>
      <c r="F1284" s="7"/>
      <c r="G1284" s="1"/>
      <c r="H1284" s="1"/>
      <c r="I1284" s="1"/>
    </row>
    <row r="1285" spans="1:9" x14ac:dyDescent="0.25">
      <c r="A1285" s="7"/>
      <c r="B1285" s="1"/>
      <c r="C1285" s="1"/>
      <c r="D1285" s="1"/>
      <c r="F1285" s="7"/>
      <c r="G1285" s="1"/>
      <c r="H1285" s="1"/>
      <c r="I1285" s="1"/>
    </row>
    <row r="1286" spans="1:9" x14ac:dyDescent="0.25">
      <c r="A1286" s="7"/>
      <c r="B1286" s="1"/>
      <c r="C1286" s="1"/>
      <c r="D1286" s="1"/>
      <c r="F1286" s="7"/>
      <c r="G1286" s="1"/>
      <c r="H1286" s="1"/>
      <c r="I1286" s="1"/>
    </row>
    <row r="1287" spans="1:9" x14ac:dyDescent="0.25">
      <c r="A1287" s="7"/>
      <c r="B1287" s="1"/>
      <c r="C1287" s="1"/>
      <c r="D1287" s="1"/>
      <c r="F1287" s="7"/>
      <c r="G1287" s="1"/>
      <c r="H1287" s="1"/>
      <c r="I1287" s="1"/>
    </row>
    <row r="1288" spans="1:9" x14ac:dyDescent="0.25">
      <c r="A1288" s="7"/>
      <c r="B1288" s="1"/>
      <c r="C1288" s="1"/>
      <c r="D1288" s="1"/>
      <c r="F1288" s="7"/>
      <c r="G1288" s="1"/>
      <c r="H1288" s="1"/>
      <c r="I1288" s="1"/>
    </row>
    <row r="1289" spans="1:9" x14ac:dyDescent="0.25">
      <c r="A1289" s="7"/>
      <c r="B1289" s="1"/>
      <c r="C1289" s="1"/>
      <c r="D1289" s="1"/>
      <c r="F1289" s="7"/>
      <c r="G1289" s="1"/>
      <c r="H1289" s="1"/>
      <c r="I1289" s="1"/>
    </row>
    <row r="1290" spans="1:9" x14ac:dyDescent="0.25">
      <c r="A1290" s="7"/>
      <c r="B1290" s="1"/>
      <c r="C1290" s="1"/>
      <c r="D1290" s="1"/>
      <c r="F1290" s="7"/>
      <c r="G1290" s="1"/>
      <c r="H1290" s="1"/>
      <c r="I1290" s="1"/>
    </row>
    <row r="1291" spans="1:9" x14ac:dyDescent="0.25">
      <c r="A1291" s="7"/>
      <c r="B1291" s="1"/>
      <c r="C1291" s="1"/>
      <c r="D1291" s="1"/>
      <c r="F1291" s="7"/>
      <c r="G1291" s="1"/>
      <c r="H1291" s="1"/>
      <c r="I1291" s="1"/>
    </row>
    <row r="1292" spans="1:9" x14ac:dyDescent="0.25">
      <c r="A1292" s="7"/>
      <c r="B1292" s="1"/>
      <c r="C1292" s="1"/>
      <c r="D1292" s="1"/>
      <c r="F1292" s="7"/>
      <c r="G1292" s="1"/>
      <c r="H1292" s="1"/>
      <c r="I1292" s="1"/>
    </row>
    <row r="1293" spans="1:9" x14ac:dyDescent="0.25">
      <c r="A1293" s="7"/>
      <c r="B1293" s="1"/>
      <c r="C1293" s="1"/>
      <c r="D1293" s="1"/>
      <c r="F1293" s="7"/>
      <c r="G1293" s="1"/>
      <c r="H1293" s="1"/>
      <c r="I1293" s="1"/>
    </row>
    <row r="1294" spans="1:9" x14ac:dyDescent="0.25">
      <c r="A1294" s="7"/>
      <c r="B1294" s="1"/>
      <c r="C1294" s="1"/>
      <c r="D1294" s="1"/>
      <c r="F1294" s="7"/>
      <c r="G1294" s="1"/>
      <c r="H1294" s="1"/>
      <c r="I1294" s="1"/>
    </row>
    <row r="1295" spans="1:9" x14ac:dyDescent="0.25">
      <c r="A1295" s="7"/>
      <c r="B1295" s="1"/>
      <c r="C1295" s="1"/>
      <c r="D1295" s="1"/>
      <c r="F1295" s="7"/>
      <c r="G1295" s="1"/>
      <c r="H1295" s="1"/>
      <c r="I1295" s="1"/>
    </row>
    <row r="1296" spans="1:9" x14ac:dyDescent="0.25">
      <c r="A1296" s="7"/>
      <c r="B1296" s="1"/>
      <c r="C1296" s="1"/>
      <c r="D1296" s="1"/>
      <c r="F1296" s="7"/>
      <c r="G1296" s="1"/>
      <c r="H1296" s="1"/>
      <c r="I1296" s="1"/>
    </row>
    <row r="1297" spans="1:9" x14ac:dyDescent="0.25">
      <c r="A1297" s="7"/>
      <c r="B1297" s="1"/>
      <c r="C1297" s="1"/>
      <c r="D1297" s="1"/>
      <c r="F1297" s="7"/>
      <c r="G1297" s="1"/>
      <c r="H1297" s="1"/>
      <c r="I1297" s="1"/>
    </row>
    <row r="1298" spans="1:9" x14ac:dyDescent="0.25">
      <c r="A1298" s="7"/>
      <c r="B1298" s="1"/>
      <c r="C1298" s="1"/>
      <c r="D1298" s="1"/>
      <c r="F1298" s="7"/>
      <c r="G1298" s="1"/>
      <c r="H1298" s="1"/>
      <c r="I1298" s="1"/>
    </row>
    <row r="1299" spans="1:9" x14ac:dyDescent="0.25">
      <c r="A1299" s="7"/>
      <c r="B1299" s="1"/>
      <c r="C1299" s="1"/>
      <c r="D1299" s="1"/>
      <c r="F1299" s="7"/>
      <c r="G1299" s="1"/>
      <c r="H1299" s="1"/>
      <c r="I1299" s="1"/>
    </row>
    <row r="1300" spans="1:9" x14ac:dyDescent="0.25">
      <c r="A1300" s="7"/>
      <c r="B1300" s="1"/>
      <c r="C1300" s="1"/>
      <c r="D1300" s="1"/>
      <c r="F1300" s="7"/>
      <c r="G1300" s="1"/>
      <c r="H1300" s="1"/>
      <c r="I1300" s="1"/>
    </row>
    <row r="1301" spans="1:9" x14ac:dyDescent="0.25">
      <c r="A1301" s="7"/>
      <c r="B1301" s="1"/>
      <c r="C1301" s="1"/>
      <c r="D1301" s="1"/>
      <c r="F1301" s="7"/>
      <c r="G1301" s="1"/>
      <c r="H1301" s="1"/>
      <c r="I1301" s="1"/>
    </row>
    <row r="1302" spans="1:9" x14ac:dyDescent="0.25">
      <c r="A1302" s="7"/>
      <c r="B1302" s="1"/>
      <c r="C1302" s="1"/>
      <c r="D1302" s="1"/>
      <c r="F1302" s="7"/>
      <c r="G1302" s="1"/>
      <c r="H1302" s="1"/>
      <c r="I1302" s="1"/>
    </row>
    <row r="1303" spans="1:9" x14ac:dyDescent="0.25">
      <c r="A1303" s="7"/>
      <c r="B1303" s="1"/>
      <c r="C1303" s="1"/>
      <c r="D1303" s="1"/>
      <c r="F1303" s="7"/>
      <c r="G1303" s="1"/>
      <c r="H1303" s="1"/>
      <c r="I1303" s="1"/>
    </row>
    <row r="1304" spans="1:9" x14ac:dyDescent="0.25">
      <c r="A1304" s="7"/>
      <c r="B1304" s="1"/>
      <c r="C1304" s="1"/>
      <c r="D1304" s="1"/>
      <c r="F1304" s="7"/>
      <c r="G1304" s="1"/>
      <c r="H1304" s="1"/>
      <c r="I1304" s="1"/>
    </row>
    <row r="1305" spans="1:9" x14ac:dyDescent="0.25">
      <c r="A1305" s="7"/>
      <c r="B1305" s="1"/>
      <c r="C1305" s="1"/>
      <c r="D1305" s="1"/>
      <c r="F1305" s="7"/>
      <c r="G1305" s="1"/>
      <c r="H1305" s="1"/>
      <c r="I1305" s="1"/>
    </row>
    <row r="1306" spans="1:9" x14ac:dyDescent="0.25">
      <c r="A1306" s="7"/>
      <c r="B1306" s="1"/>
      <c r="C1306" s="1"/>
      <c r="D1306" s="1"/>
      <c r="F1306" s="7"/>
      <c r="G1306" s="1"/>
      <c r="H1306" s="1"/>
      <c r="I1306" s="1"/>
    </row>
    <row r="1307" spans="1:9" x14ac:dyDescent="0.25">
      <c r="A1307" s="7"/>
      <c r="B1307" s="1"/>
      <c r="C1307" s="1"/>
      <c r="D1307" s="1"/>
      <c r="F1307" s="7"/>
      <c r="G1307" s="1"/>
      <c r="H1307" s="1"/>
      <c r="I1307" s="1"/>
    </row>
    <row r="1308" spans="1:9" x14ac:dyDescent="0.25">
      <c r="A1308" s="7"/>
      <c r="B1308" s="1"/>
      <c r="C1308" s="1"/>
      <c r="D1308" s="1"/>
      <c r="F1308" s="7"/>
      <c r="G1308" s="1"/>
      <c r="H1308" s="1"/>
      <c r="I1308" s="1"/>
    </row>
    <row r="1309" spans="1:9" x14ac:dyDescent="0.25">
      <c r="A1309" s="7"/>
      <c r="B1309" s="1"/>
      <c r="C1309" s="1"/>
      <c r="D1309" s="1"/>
      <c r="F1309" s="7"/>
      <c r="G1309" s="1"/>
      <c r="H1309" s="1"/>
      <c r="I1309" s="1"/>
    </row>
    <row r="1310" spans="1:9" x14ac:dyDescent="0.25">
      <c r="A1310" s="7"/>
      <c r="B1310" s="1"/>
      <c r="C1310" s="1"/>
      <c r="D1310" s="1"/>
      <c r="F1310" s="7"/>
      <c r="G1310" s="1"/>
      <c r="H1310" s="1"/>
      <c r="I1310" s="1"/>
    </row>
    <row r="1311" spans="1:9" x14ac:dyDescent="0.25">
      <c r="A1311" s="7"/>
      <c r="B1311" s="1"/>
      <c r="C1311" s="1"/>
      <c r="D1311" s="1"/>
      <c r="F1311" s="7"/>
      <c r="G1311" s="1"/>
      <c r="H1311" s="1"/>
      <c r="I1311" s="1"/>
    </row>
    <row r="1312" spans="1:9" x14ac:dyDescent="0.25">
      <c r="A1312" s="7"/>
      <c r="B1312" s="1"/>
      <c r="C1312" s="1"/>
      <c r="D1312" s="1"/>
      <c r="F1312" s="7"/>
      <c r="G1312" s="1"/>
      <c r="H1312" s="1"/>
      <c r="I1312" s="1"/>
    </row>
    <row r="1313" spans="1:9" x14ac:dyDescent="0.25">
      <c r="A1313" s="7"/>
      <c r="B1313" s="1"/>
      <c r="C1313" s="1"/>
      <c r="D1313" s="1"/>
      <c r="F1313" s="7"/>
      <c r="G1313" s="1"/>
      <c r="H1313" s="1"/>
      <c r="I1313" s="1"/>
    </row>
    <row r="1314" spans="1:9" x14ac:dyDescent="0.25">
      <c r="A1314" s="7"/>
      <c r="B1314" s="1"/>
      <c r="C1314" s="1"/>
      <c r="D1314" s="1"/>
      <c r="F1314" s="7"/>
      <c r="G1314" s="1"/>
      <c r="H1314" s="1"/>
      <c r="I1314" s="1"/>
    </row>
    <row r="1315" spans="1:9" x14ac:dyDescent="0.25">
      <c r="A1315" s="7"/>
      <c r="B1315" s="1"/>
      <c r="C1315" s="1"/>
      <c r="D1315" s="1"/>
      <c r="F1315" s="7"/>
      <c r="G1315" s="1"/>
      <c r="H1315" s="1"/>
      <c r="I1315" s="1"/>
    </row>
    <row r="1316" spans="1:9" x14ac:dyDescent="0.25">
      <c r="A1316" s="7"/>
      <c r="B1316" s="1"/>
      <c r="C1316" s="1"/>
      <c r="D1316" s="1"/>
      <c r="F1316" s="7"/>
      <c r="G1316" s="1"/>
      <c r="H1316" s="1"/>
      <c r="I1316" s="1"/>
    </row>
    <row r="1317" spans="1:9" x14ac:dyDescent="0.25">
      <c r="A1317" s="7"/>
      <c r="B1317" s="1"/>
      <c r="C1317" s="1"/>
      <c r="D1317" s="1"/>
      <c r="F1317" s="7"/>
      <c r="G1317" s="1"/>
      <c r="H1317" s="1"/>
      <c r="I1317" s="1"/>
    </row>
    <row r="1318" spans="1:9" x14ac:dyDescent="0.25">
      <c r="A1318" s="7"/>
      <c r="B1318" s="1"/>
      <c r="C1318" s="1"/>
      <c r="D1318" s="1"/>
      <c r="F1318" s="7"/>
      <c r="G1318" s="1"/>
      <c r="H1318" s="1"/>
      <c r="I1318" s="1"/>
    </row>
    <row r="1319" spans="1:9" x14ac:dyDescent="0.25">
      <c r="A1319" s="7"/>
      <c r="B1319" s="1"/>
      <c r="C1319" s="1"/>
      <c r="D1319" s="1"/>
      <c r="F1319" s="7"/>
      <c r="G1319" s="1"/>
      <c r="H1319" s="1"/>
      <c r="I1319" s="1"/>
    </row>
    <row r="1320" spans="1:9" x14ac:dyDescent="0.25">
      <c r="A1320" s="7"/>
      <c r="B1320" s="1"/>
      <c r="C1320" s="1"/>
      <c r="D1320" s="1"/>
      <c r="F1320" s="7"/>
      <c r="G1320" s="1"/>
      <c r="H1320" s="1"/>
      <c r="I1320" s="1"/>
    </row>
    <row r="1321" spans="1:9" x14ac:dyDescent="0.25">
      <c r="A1321" s="7"/>
      <c r="B1321" s="1"/>
      <c r="C1321" s="1"/>
      <c r="D1321" s="1"/>
      <c r="F1321" s="7"/>
      <c r="G1321" s="1"/>
      <c r="H1321" s="1"/>
      <c r="I1321" s="1"/>
    </row>
    <row r="1322" spans="1:9" x14ac:dyDescent="0.25">
      <c r="A1322" s="7"/>
      <c r="B1322" s="1"/>
      <c r="C1322" s="1"/>
      <c r="D1322" s="1"/>
      <c r="F1322" s="7"/>
      <c r="G1322" s="1"/>
      <c r="H1322" s="1"/>
      <c r="I1322" s="1"/>
    </row>
    <row r="1323" spans="1:9" x14ac:dyDescent="0.25">
      <c r="A1323" s="7"/>
      <c r="B1323" s="1"/>
      <c r="C1323" s="1"/>
      <c r="D1323" s="1"/>
      <c r="F1323" s="7"/>
      <c r="G1323" s="1"/>
      <c r="H1323" s="1"/>
      <c r="I1323" s="1"/>
    </row>
    <row r="1324" spans="1:9" x14ac:dyDescent="0.25">
      <c r="A1324" s="7"/>
      <c r="B1324" s="1"/>
      <c r="C1324" s="1"/>
      <c r="D1324" s="1"/>
      <c r="F1324" s="7"/>
      <c r="G1324" s="1"/>
      <c r="H1324" s="1"/>
      <c r="I1324" s="1"/>
    </row>
    <row r="1325" spans="1:9" x14ac:dyDescent="0.25">
      <c r="A1325" s="7"/>
      <c r="B1325" s="1"/>
      <c r="C1325" s="1"/>
      <c r="D1325" s="1"/>
      <c r="F1325" s="7"/>
      <c r="G1325" s="1"/>
      <c r="H1325" s="1"/>
      <c r="I1325" s="1"/>
    </row>
    <row r="1326" spans="1:9" x14ac:dyDescent="0.25">
      <c r="A1326" s="7"/>
      <c r="B1326" s="1"/>
      <c r="C1326" s="1"/>
      <c r="D1326" s="1"/>
      <c r="F1326" s="7"/>
      <c r="G1326" s="1"/>
      <c r="H1326" s="1"/>
      <c r="I1326" s="1"/>
    </row>
    <row r="1327" spans="1:9" x14ac:dyDescent="0.25">
      <c r="A1327" s="7"/>
      <c r="B1327" s="1"/>
      <c r="C1327" s="1"/>
      <c r="D1327" s="1"/>
      <c r="F1327" s="7"/>
      <c r="G1327" s="1"/>
      <c r="H1327" s="1"/>
      <c r="I1327" s="1"/>
    </row>
    <row r="1328" spans="1:9" x14ac:dyDescent="0.25">
      <c r="A1328" s="7"/>
      <c r="B1328" s="1"/>
      <c r="C1328" s="1"/>
      <c r="D1328" s="1"/>
      <c r="F1328" s="7"/>
      <c r="G1328" s="1"/>
      <c r="H1328" s="1"/>
      <c r="I1328" s="1"/>
    </row>
    <row r="1329" spans="1:9" x14ac:dyDescent="0.25">
      <c r="A1329" s="7"/>
      <c r="B1329" s="1"/>
      <c r="C1329" s="1"/>
      <c r="D1329" s="1"/>
      <c r="F1329" s="7"/>
      <c r="G1329" s="1"/>
      <c r="H1329" s="1"/>
      <c r="I1329" s="1"/>
    </row>
    <row r="1330" spans="1:9" x14ac:dyDescent="0.25">
      <c r="A1330" s="7"/>
      <c r="B1330" s="1"/>
      <c r="C1330" s="1"/>
      <c r="D1330" s="1"/>
      <c r="F1330" s="7"/>
      <c r="G1330" s="1"/>
      <c r="H1330" s="1"/>
      <c r="I1330" s="1"/>
    </row>
    <row r="1331" spans="1:9" x14ac:dyDescent="0.25">
      <c r="A1331" s="7"/>
      <c r="B1331" s="1"/>
      <c r="C1331" s="1"/>
      <c r="D1331" s="1"/>
      <c r="F1331" s="7"/>
      <c r="G1331" s="1"/>
      <c r="H1331" s="1"/>
      <c r="I1331" s="1"/>
    </row>
    <row r="1332" spans="1:9" x14ac:dyDescent="0.25">
      <c r="A1332" s="7"/>
      <c r="B1332" s="1"/>
      <c r="C1332" s="1"/>
      <c r="D1332" s="1"/>
      <c r="F1332" s="7"/>
      <c r="G1332" s="1"/>
      <c r="H1332" s="1"/>
      <c r="I1332" s="1"/>
    </row>
    <row r="1333" spans="1:9" x14ac:dyDescent="0.25">
      <c r="A1333" s="7"/>
      <c r="B1333" s="1"/>
      <c r="C1333" s="1"/>
      <c r="D1333" s="1"/>
      <c r="F1333" s="7"/>
      <c r="G1333" s="1"/>
      <c r="H1333" s="1"/>
      <c r="I1333" s="1"/>
    </row>
    <row r="1334" spans="1:9" x14ac:dyDescent="0.25">
      <c r="A1334" s="7"/>
      <c r="B1334" s="1"/>
      <c r="C1334" s="1"/>
      <c r="D1334" s="1"/>
      <c r="F1334" s="7"/>
      <c r="G1334" s="1"/>
      <c r="H1334" s="1"/>
      <c r="I1334" s="1"/>
    </row>
    <row r="1335" spans="1:9" x14ac:dyDescent="0.25">
      <c r="A1335" s="7"/>
      <c r="B1335" s="1"/>
      <c r="C1335" s="1"/>
      <c r="D1335" s="1"/>
      <c r="F1335" s="7"/>
      <c r="G1335" s="1"/>
      <c r="H1335" s="1"/>
      <c r="I1335" s="1"/>
    </row>
    <row r="1336" spans="1:9" x14ac:dyDescent="0.25">
      <c r="A1336" s="7"/>
      <c r="B1336" s="1"/>
      <c r="C1336" s="1"/>
      <c r="D1336" s="1"/>
      <c r="F1336" s="7"/>
      <c r="G1336" s="1"/>
      <c r="H1336" s="1"/>
      <c r="I1336" s="1"/>
    </row>
    <row r="1337" spans="1:9" x14ac:dyDescent="0.25">
      <c r="A1337" s="7"/>
      <c r="B1337" s="1"/>
      <c r="C1337" s="1"/>
      <c r="D1337" s="1"/>
      <c r="F1337" s="7"/>
      <c r="G1337" s="1"/>
      <c r="H1337" s="1"/>
      <c r="I1337" s="1"/>
    </row>
    <row r="1338" spans="1:9" x14ac:dyDescent="0.25">
      <c r="A1338" s="7"/>
      <c r="B1338" s="1"/>
      <c r="C1338" s="1"/>
      <c r="D1338" s="1"/>
      <c r="F1338" s="7"/>
      <c r="G1338" s="1"/>
      <c r="H1338" s="1"/>
      <c r="I1338" s="1"/>
    </row>
    <row r="1339" spans="1:9" x14ac:dyDescent="0.25">
      <c r="A1339" s="7"/>
      <c r="B1339" s="1"/>
      <c r="C1339" s="1"/>
      <c r="D1339" s="1"/>
      <c r="F1339" s="7"/>
      <c r="G1339" s="1"/>
      <c r="H1339" s="1"/>
      <c r="I1339" s="1"/>
    </row>
    <row r="1340" spans="1:9" x14ac:dyDescent="0.25">
      <c r="A1340" s="7"/>
      <c r="B1340" s="1"/>
      <c r="C1340" s="1"/>
      <c r="D1340" s="1"/>
      <c r="F1340" s="7"/>
      <c r="G1340" s="1"/>
      <c r="H1340" s="1"/>
      <c r="I1340" s="1"/>
    </row>
    <row r="1341" spans="1:9" x14ac:dyDescent="0.25">
      <c r="A1341" s="7"/>
      <c r="B1341" s="1"/>
      <c r="C1341" s="1"/>
      <c r="D1341" s="1"/>
      <c r="F1341" s="7"/>
      <c r="G1341" s="1"/>
      <c r="H1341" s="1"/>
      <c r="I1341" s="1"/>
    </row>
    <row r="1342" spans="1:9" x14ac:dyDescent="0.25">
      <c r="A1342" s="7"/>
      <c r="B1342" s="1"/>
      <c r="C1342" s="1"/>
      <c r="D1342" s="1"/>
      <c r="F1342" s="7"/>
      <c r="G1342" s="1"/>
      <c r="H1342" s="1"/>
      <c r="I1342" s="1"/>
    </row>
    <row r="1343" spans="1:9" x14ac:dyDescent="0.25">
      <c r="A1343" s="7"/>
      <c r="B1343" s="1"/>
      <c r="C1343" s="1"/>
      <c r="D1343" s="1"/>
      <c r="F1343" s="7"/>
      <c r="G1343" s="1"/>
      <c r="H1343" s="1"/>
      <c r="I1343" s="1"/>
    </row>
    <row r="1344" spans="1:9" x14ac:dyDescent="0.25">
      <c r="A1344" s="7"/>
      <c r="B1344" s="1"/>
      <c r="C1344" s="1"/>
      <c r="D1344" s="1"/>
      <c r="F1344" s="7"/>
      <c r="G1344" s="1"/>
      <c r="H1344" s="1"/>
      <c r="I1344" s="1"/>
    </row>
    <row r="1345" spans="1:9" x14ac:dyDescent="0.25">
      <c r="A1345" s="7"/>
      <c r="B1345" s="1"/>
      <c r="C1345" s="1"/>
      <c r="D1345" s="1"/>
      <c r="F1345" s="7"/>
      <c r="G1345" s="1"/>
      <c r="H1345" s="1"/>
      <c r="I1345" s="1"/>
    </row>
    <row r="1346" spans="1:9" x14ac:dyDescent="0.25">
      <c r="A1346" s="7"/>
      <c r="B1346" s="1"/>
      <c r="C1346" s="1"/>
      <c r="D1346" s="1"/>
      <c r="F1346" s="7"/>
      <c r="G1346" s="1"/>
      <c r="H1346" s="1"/>
      <c r="I1346" s="1"/>
    </row>
    <row r="1347" spans="1:9" x14ac:dyDescent="0.25">
      <c r="A1347" s="7"/>
      <c r="B1347" s="1"/>
      <c r="C1347" s="1"/>
      <c r="D1347" s="1"/>
      <c r="F1347" s="7"/>
      <c r="G1347" s="1"/>
      <c r="H1347" s="1"/>
      <c r="I1347" s="1"/>
    </row>
    <row r="1348" spans="1:9" x14ac:dyDescent="0.25">
      <c r="A1348" s="7"/>
      <c r="B1348" s="1"/>
      <c r="C1348" s="1"/>
      <c r="D1348" s="1"/>
      <c r="F1348" s="7"/>
      <c r="G1348" s="1"/>
      <c r="H1348" s="1"/>
      <c r="I1348" s="1"/>
    </row>
    <row r="1349" spans="1:9" x14ac:dyDescent="0.25">
      <c r="A1349" s="7"/>
      <c r="B1349" s="1"/>
      <c r="C1349" s="1"/>
      <c r="D1349" s="1"/>
      <c r="F1349" s="7"/>
      <c r="G1349" s="1"/>
      <c r="H1349" s="1"/>
      <c r="I1349" s="1"/>
    </row>
    <row r="1350" spans="1:9" x14ac:dyDescent="0.25">
      <c r="A1350" s="7"/>
      <c r="B1350" s="1"/>
      <c r="C1350" s="1"/>
      <c r="D1350" s="1"/>
      <c r="F1350" s="7"/>
      <c r="G1350" s="1"/>
      <c r="H1350" s="1"/>
      <c r="I1350" s="1"/>
    </row>
    <row r="1351" spans="1:9" x14ac:dyDescent="0.25">
      <c r="A1351" s="7"/>
      <c r="B1351" s="1"/>
      <c r="C1351" s="1"/>
      <c r="D1351" s="1"/>
      <c r="F1351" s="7"/>
      <c r="G1351" s="1"/>
      <c r="H1351" s="1"/>
      <c r="I1351" s="1"/>
    </row>
    <row r="1352" spans="1:9" x14ac:dyDescent="0.25">
      <c r="A1352" s="7"/>
      <c r="B1352" s="1"/>
      <c r="C1352" s="1"/>
      <c r="D1352" s="1"/>
      <c r="F1352" s="7"/>
      <c r="G1352" s="1"/>
      <c r="H1352" s="1"/>
      <c r="I1352" s="1"/>
    </row>
    <row r="1353" spans="1:9" x14ac:dyDescent="0.25">
      <c r="A1353" s="7"/>
      <c r="B1353" s="1"/>
      <c r="C1353" s="1"/>
      <c r="D1353" s="1"/>
      <c r="F1353" s="7"/>
      <c r="G1353" s="1"/>
      <c r="H1353" s="1"/>
      <c r="I1353" s="1"/>
    </row>
    <row r="1354" spans="1:9" x14ac:dyDescent="0.25">
      <c r="A1354" s="7"/>
      <c r="B1354" s="1"/>
      <c r="C1354" s="1"/>
      <c r="D1354" s="1"/>
      <c r="F1354" s="7"/>
      <c r="G1354" s="1"/>
      <c r="H1354" s="1"/>
      <c r="I1354" s="1"/>
    </row>
    <row r="1355" spans="1:9" x14ac:dyDescent="0.25">
      <c r="A1355" s="7"/>
      <c r="B1355" s="1"/>
      <c r="C1355" s="1"/>
      <c r="D1355" s="1"/>
      <c r="F1355" s="7"/>
      <c r="G1355" s="1"/>
      <c r="H1355" s="1"/>
      <c r="I1355" s="1"/>
    </row>
    <row r="1356" spans="1:9" x14ac:dyDescent="0.25">
      <c r="A1356" s="7"/>
      <c r="B1356" s="1"/>
      <c r="C1356" s="1"/>
      <c r="D1356" s="1"/>
      <c r="F1356" s="7"/>
      <c r="G1356" s="1"/>
      <c r="H1356" s="1"/>
      <c r="I1356" s="1"/>
    </row>
    <row r="1357" spans="1:9" x14ac:dyDescent="0.25">
      <c r="A1357" s="7"/>
      <c r="B1357" s="1"/>
      <c r="C1357" s="1"/>
      <c r="D1357" s="1"/>
      <c r="F1357" s="7"/>
      <c r="G1357" s="1"/>
      <c r="H1357" s="1"/>
      <c r="I1357" s="1"/>
    </row>
    <row r="1358" spans="1:9" x14ac:dyDescent="0.25">
      <c r="A1358" s="7"/>
      <c r="B1358" s="1"/>
      <c r="C1358" s="1"/>
      <c r="D1358" s="1"/>
      <c r="F1358" s="7"/>
      <c r="G1358" s="1"/>
      <c r="H1358" s="1"/>
      <c r="I1358" s="1"/>
    </row>
    <row r="1359" spans="1:9" x14ac:dyDescent="0.25">
      <c r="A1359" s="7"/>
      <c r="B1359" s="1"/>
      <c r="C1359" s="1"/>
      <c r="D1359" s="1"/>
      <c r="F1359" s="7"/>
      <c r="G1359" s="1"/>
      <c r="H1359" s="1"/>
      <c r="I1359" s="1"/>
    </row>
    <row r="1360" spans="1:9" x14ac:dyDescent="0.25">
      <c r="A1360" s="7"/>
      <c r="B1360" s="1"/>
      <c r="C1360" s="1"/>
      <c r="D1360" s="1"/>
      <c r="F1360" s="7"/>
      <c r="G1360" s="1"/>
      <c r="H1360" s="1"/>
      <c r="I1360" s="1"/>
    </row>
    <row r="1361" spans="1:9" x14ac:dyDescent="0.25">
      <c r="A1361" s="7"/>
      <c r="B1361" s="1"/>
      <c r="C1361" s="1"/>
      <c r="D1361" s="1"/>
      <c r="F1361" s="7"/>
      <c r="G1361" s="1"/>
      <c r="H1361" s="1"/>
      <c r="I1361" s="1"/>
    </row>
    <row r="1362" spans="1:9" x14ac:dyDescent="0.25">
      <c r="A1362" s="7"/>
      <c r="B1362" s="1"/>
      <c r="C1362" s="1"/>
      <c r="D1362" s="1"/>
      <c r="F1362" s="7"/>
      <c r="G1362" s="1"/>
      <c r="H1362" s="1"/>
      <c r="I1362" s="1"/>
    </row>
    <row r="1363" spans="1:9" x14ac:dyDescent="0.25">
      <c r="A1363" s="7"/>
      <c r="B1363" s="1"/>
      <c r="C1363" s="1"/>
      <c r="D1363" s="1"/>
      <c r="F1363" s="7"/>
      <c r="G1363" s="1"/>
      <c r="H1363" s="1"/>
      <c r="I1363" s="1"/>
    </row>
    <row r="1364" spans="1:9" x14ac:dyDescent="0.25">
      <c r="A1364" s="7"/>
      <c r="B1364" s="1"/>
      <c r="C1364" s="1"/>
      <c r="D1364" s="1"/>
      <c r="F1364" s="7"/>
      <c r="G1364" s="1"/>
      <c r="H1364" s="1"/>
      <c r="I1364" s="1"/>
    </row>
    <row r="1365" spans="1:9" x14ac:dyDescent="0.25">
      <c r="A1365" s="7"/>
      <c r="B1365" s="1"/>
      <c r="C1365" s="1"/>
      <c r="D1365" s="1"/>
      <c r="F1365" s="7"/>
      <c r="G1365" s="1"/>
      <c r="H1365" s="1"/>
      <c r="I1365" s="1"/>
    </row>
    <row r="1366" spans="1:9" x14ac:dyDescent="0.25">
      <c r="A1366" s="7"/>
      <c r="B1366" s="1"/>
      <c r="C1366" s="1"/>
      <c r="D1366" s="1"/>
      <c r="F1366" s="7"/>
      <c r="G1366" s="1"/>
      <c r="H1366" s="1"/>
      <c r="I1366" s="1"/>
    </row>
    <row r="1367" spans="1:9" x14ac:dyDescent="0.25">
      <c r="A1367" s="7"/>
      <c r="B1367" s="1"/>
      <c r="C1367" s="1"/>
      <c r="D1367" s="1"/>
      <c r="F1367" s="7"/>
      <c r="G1367" s="1"/>
      <c r="H1367" s="1"/>
      <c r="I1367" s="1"/>
    </row>
    <row r="1368" spans="1:9" x14ac:dyDescent="0.25">
      <c r="A1368" s="7"/>
      <c r="B1368" s="1"/>
      <c r="C1368" s="1"/>
      <c r="D1368" s="1"/>
      <c r="F1368" s="7"/>
      <c r="G1368" s="1"/>
      <c r="H1368" s="1"/>
      <c r="I1368" s="1"/>
    </row>
    <row r="1369" spans="1:9" x14ac:dyDescent="0.25">
      <c r="A1369" s="7"/>
      <c r="B1369" s="1"/>
      <c r="C1369" s="1"/>
      <c r="D1369" s="1"/>
      <c r="F1369" s="7"/>
      <c r="G1369" s="1"/>
      <c r="H1369" s="1"/>
      <c r="I1369" s="1"/>
    </row>
    <row r="1370" spans="1:9" x14ac:dyDescent="0.25">
      <c r="A1370" s="7"/>
      <c r="B1370" s="1"/>
      <c r="C1370" s="1"/>
      <c r="D1370" s="1"/>
      <c r="F1370" s="7"/>
      <c r="G1370" s="1"/>
      <c r="H1370" s="1"/>
      <c r="I1370" s="1"/>
    </row>
    <row r="1371" spans="1:9" x14ac:dyDescent="0.25">
      <c r="A1371" s="7"/>
      <c r="B1371" s="1"/>
      <c r="C1371" s="1"/>
      <c r="D1371" s="1"/>
      <c r="F1371" s="7"/>
      <c r="G1371" s="1"/>
      <c r="H1371" s="1"/>
      <c r="I1371" s="1"/>
    </row>
    <row r="1372" spans="1:9" x14ac:dyDescent="0.25">
      <c r="A1372" s="7"/>
      <c r="B1372" s="1"/>
      <c r="C1372" s="1"/>
      <c r="D1372" s="1"/>
      <c r="F1372" s="7"/>
      <c r="G1372" s="1"/>
      <c r="H1372" s="1"/>
      <c r="I1372" s="1"/>
    </row>
    <row r="1373" spans="1:9" x14ac:dyDescent="0.25">
      <c r="A1373" s="7"/>
      <c r="B1373" s="1"/>
      <c r="C1373" s="1"/>
      <c r="D1373" s="1"/>
      <c r="F1373" s="7"/>
      <c r="G1373" s="1"/>
      <c r="H1373" s="1"/>
      <c r="I1373" s="1"/>
    </row>
    <row r="1374" spans="1:9" x14ac:dyDescent="0.25">
      <c r="A1374" s="7"/>
      <c r="B1374" s="1"/>
      <c r="C1374" s="1"/>
      <c r="D1374" s="1"/>
      <c r="F1374" s="7"/>
      <c r="G1374" s="1"/>
      <c r="H1374" s="1"/>
      <c r="I1374" s="1"/>
    </row>
    <row r="1375" spans="1:9" x14ac:dyDescent="0.25">
      <c r="A1375" s="7"/>
      <c r="B1375" s="1"/>
      <c r="C1375" s="1"/>
      <c r="D1375" s="1"/>
      <c r="F1375" s="7"/>
      <c r="G1375" s="1"/>
      <c r="H1375" s="1"/>
      <c r="I1375" s="1"/>
    </row>
    <row r="1376" spans="1:9" x14ac:dyDescent="0.25">
      <c r="A1376" s="7"/>
      <c r="B1376" s="1"/>
      <c r="C1376" s="1"/>
      <c r="D1376" s="1"/>
      <c r="F1376" s="7"/>
      <c r="G1376" s="1"/>
      <c r="H1376" s="1"/>
      <c r="I1376" s="1"/>
    </row>
    <row r="1377" spans="1:9" x14ac:dyDescent="0.25">
      <c r="A1377" s="7"/>
      <c r="B1377" s="1"/>
      <c r="C1377" s="1"/>
      <c r="D1377" s="1"/>
      <c r="F1377" s="7"/>
      <c r="G1377" s="1"/>
      <c r="H1377" s="1"/>
      <c r="I1377" s="1"/>
    </row>
    <row r="1378" spans="1:9" x14ac:dyDescent="0.25">
      <c r="A1378" s="7"/>
      <c r="B1378" s="1"/>
      <c r="C1378" s="1"/>
      <c r="D1378" s="1"/>
      <c r="F1378" s="7"/>
      <c r="G1378" s="1"/>
      <c r="H1378" s="1"/>
      <c r="I1378" s="1"/>
    </row>
    <row r="1379" spans="1:9" x14ac:dyDescent="0.25">
      <c r="A1379" s="7"/>
      <c r="B1379" s="1"/>
      <c r="C1379" s="1"/>
      <c r="D1379" s="1"/>
      <c r="F1379" s="7"/>
      <c r="G1379" s="1"/>
      <c r="H1379" s="1"/>
      <c r="I1379" s="1"/>
    </row>
    <row r="1380" spans="1:9" x14ac:dyDescent="0.25">
      <c r="A1380" s="7"/>
      <c r="B1380" s="1"/>
      <c r="C1380" s="1"/>
      <c r="D1380" s="1"/>
      <c r="F1380" s="7"/>
      <c r="G1380" s="1"/>
      <c r="H1380" s="1"/>
      <c r="I1380" s="1"/>
    </row>
    <row r="1381" spans="1:9" x14ac:dyDescent="0.25">
      <c r="A1381" s="7"/>
      <c r="B1381" s="1"/>
      <c r="C1381" s="1"/>
      <c r="D1381" s="1"/>
      <c r="F1381" s="7"/>
      <c r="G1381" s="1"/>
      <c r="H1381" s="1"/>
      <c r="I1381" s="1"/>
    </row>
    <row r="1382" spans="1:9" x14ac:dyDescent="0.25">
      <c r="A1382" s="7"/>
      <c r="B1382" s="1"/>
      <c r="C1382" s="1"/>
      <c r="D1382" s="1"/>
      <c r="F1382" s="7"/>
      <c r="G1382" s="1"/>
      <c r="H1382" s="1"/>
      <c r="I1382" s="1"/>
    </row>
    <row r="1383" spans="1:9" x14ac:dyDescent="0.25">
      <c r="A1383" s="7"/>
      <c r="B1383" s="1"/>
      <c r="C1383" s="1"/>
      <c r="D1383" s="1"/>
      <c r="F1383" s="7"/>
      <c r="G1383" s="1"/>
      <c r="H1383" s="1"/>
      <c r="I1383" s="1"/>
    </row>
    <row r="1384" spans="1:9" x14ac:dyDescent="0.25">
      <c r="A1384" s="7"/>
      <c r="B1384" s="1"/>
      <c r="C1384" s="1"/>
      <c r="D1384" s="1"/>
      <c r="F1384" s="7"/>
      <c r="G1384" s="1"/>
      <c r="H1384" s="1"/>
      <c r="I1384" s="1"/>
    </row>
    <row r="1385" spans="1:9" x14ac:dyDescent="0.25">
      <c r="A1385" s="7"/>
      <c r="B1385" s="1"/>
      <c r="C1385" s="1"/>
      <c r="D1385" s="1"/>
      <c r="F1385" s="7"/>
      <c r="G1385" s="1"/>
      <c r="H1385" s="1"/>
      <c r="I1385" s="1"/>
    </row>
    <row r="1386" spans="1:9" x14ac:dyDescent="0.25">
      <c r="A1386" s="7"/>
      <c r="B1386" s="1"/>
      <c r="C1386" s="1"/>
      <c r="D1386" s="1"/>
      <c r="F1386" s="7"/>
      <c r="G1386" s="1"/>
      <c r="H1386" s="1"/>
      <c r="I1386" s="1"/>
    </row>
    <row r="1387" spans="1:9" x14ac:dyDescent="0.25">
      <c r="A1387" s="7"/>
      <c r="B1387" s="1"/>
      <c r="C1387" s="1"/>
      <c r="D1387" s="1"/>
      <c r="F1387" s="7"/>
      <c r="G1387" s="1"/>
      <c r="H1387" s="1"/>
      <c r="I1387" s="1"/>
    </row>
    <row r="1388" spans="1:9" x14ac:dyDescent="0.25">
      <c r="A1388" s="7"/>
      <c r="B1388" s="1"/>
      <c r="C1388" s="1"/>
      <c r="D1388" s="1"/>
      <c r="F1388" s="7"/>
      <c r="G1388" s="1"/>
      <c r="H1388" s="1"/>
      <c r="I1388" s="1"/>
    </row>
    <row r="1389" spans="1:9" x14ac:dyDescent="0.25">
      <c r="A1389" s="7"/>
      <c r="B1389" s="1"/>
      <c r="C1389" s="1"/>
      <c r="D1389" s="1"/>
      <c r="F1389" s="7"/>
      <c r="G1389" s="1"/>
      <c r="H1389" s="1"/>
      <c r="I1389" s="1"/>
    </row>
    <row r="1390" spans="1:9" x14ac:dyDescent="0.25">
      <c r="A1390" s="7"/>
      <c r="B1390" s="1"/>
      <c r="C1390" s="1"/>
      <c r="D1390" s="1"/>
      <c r="F1390" s="7"/>
      <c r="G1390" s="1"/>
      <c r="H1390" s="1"/>
      <c r="I1390" s="1"/>
    </row>
    <row r="1391" spans="1:9" x14ac:dyDescent="0.25">
      <c r="A1391" s="7"/>
      <c r="B1391" s="1"/>
      <c r="C1391" s="1"/>
      <c r="D1391" s="1"/>
      <c r="F1391" s="7"/>
      <c r="G1391" s="1"/>
      <c r="H1391" s="1"/>
      <c r="I1391" s="1"/>
    </row>
    <row r="1392" spans="1:9" x14ac:dyDescent="0.25">
      <c r="A1392" s="7"/>
      <c r="B1392" s="1"/>
      <c r="C1392" s="1"/>
      <c r="D1392" s="1"/>
      <c r="F1392" s="7"/>
      <c r="G1392" s="1"/>
      <c r="H1392" s="1"/>
      <c r="I1392" s="1"/>
    </row>
    <row r="1393" spans="1:9" x14ac:dyDescent="0.25">
      <c r="A1393" s="7"/>
      <c r="B1393" s="1"/>
      <c r="C1393" s="1"/>
      <c r="D1393" s="1"/>
      <c r="F1393" s="7"/>
      <c r="G1393" s="1"/>
      <c r="H1393" s="1"/>
      <c r="I1393" s="1"/>
    </row>
    <row r="1394" spans="1:9" x14ac:dyDescent="0.25">
      <c r="A1394" s="7"/>
      <c r="B1394" s="1"/>
      <c r="C1394" s="1"/>
      <c r="D1394" s="1"/>
      <c r="F1394" s="7"/>
      <c r="G1394" s="1"/>
      <c r="H1394" s="1"/>
      <c r="I1394" s="1"/>
    </row>
    <row r="1395" spans="1:9" x14ac:dyDescent="0.25">
      <c r="A1395" s="7"/>
      <c r="B1395" s="1"/>
      <c r="C1395" s="1"/>
      <c r="D1395" s="1"/>
      <c r="F1395" s="7"/>
      <c r="G1395" s="1"/>
      <c r="H1395" s="1"/>
      <c r="I1395" s="1"/>
    </row>
    <row r="1396" spans="1:9" x14ac:dyDescent="0.25">
      <c r="A1396" s="7"/>
      <c r="B1396" s="1"/>
      <c r="C1396" s="1"/>
      <c r="D1396" s="1"/>
      <c r="F1396" s="7"/>
      <c r="G1396" s="1"/>
      <c r="H1396" s="1"/>
      <c r="I1396" s="1"/>
    </row>
    <row r="1397" spans="1:9" x14ac:dyDescent="0.25">
      <c r="A1397" s="7"/>
      <c r="B1397" s="1"/>
      <c r="C1397" s="1"/>
      <c r="D1397" s="1"/>
      <c r="F1397" s="7"/>
      <c r="G1397" s="1"/>
      <c r="H1397" s="1"/>
      <c r="I1397" s="1"/>
    </row>
    <row r="1398" spans="1:9" x14ac:dyDescent="0.25">
      <c r="A1398" s="7"/>
      <c r="B1398" s="1"/>
      <c r="C1398" s="1"/>
      <c r="D1398" s="1"/>
      <c r="F1398" s="7"/>
      <c r="G1398" s="1"/>
      <c r="H1398" s="1"/>
      <c r="I1398" s="1"/>
    </row>
    <row r="1399" spans="1:9" x14ac:dyDescent="0.25">
      <c r="A1399" s="7"/>
      <c r="B1399" s="1"/>
      <c r="C1399" s="1"/>
      <c r="D1399" s="1"/>
      <c r="F1399" s="7"/>
      <c r="G1399" s="1"/>
      <c r="H1399" s="1"/>
      <c r="I1399" s="1"/>
    </row>
    <row r="1400" spans="1:9" x14ac:dyDescent="0.25">
      <c r="A1400" s="7"/>
      <c r="B1400" s="1"/>
      <c r="C1400" s="1"/>
      <c r="D1400" s="1"/>
      <c r="F1400" s="7"/>
      <c r="G1400" s="1"/>
      <c r="H1400" s="1"/>
      <c r="I1400" s="1"/>
    </row>
    <row r="1401" spans="1:9" x14ac:dyDescent="0.25">
      <c r="A1401" s="7"/>
      <c r="B1401" s="1"/>
      <c r="C1401" s="1"/>
      <c r="D1401" s="1"/>
      <c r="F1401" s="7"/>
      <c r="G1401" s="1"/>
      <c r="H1401" s="1"/>
      <c r="I1401" s="1"/>
    </row>
    <row r="1402" spans="1:9" x14ac:dyDescent="0.25">
      <c r="A1402" s="7"/>
      <c r="B1402" s="1"/>
      <c r="C1402" s="1"/>
      <c r="D1402" s="1"/>
      <c r="F1402" s="7"/>
      <c r="G1402" s="1"/>
      <c r="H1402" s="1"/>
      <c r="I1402" s="1"/>
    </row>
    <row r="1403" spans="1:9" x14ac:dyDescent="0.25">
      <c r="A1403" s="7"/>
      <c r="B1403" s="1"/>
      <c r="C1403" s="1"/>
      <c r="D1403" s="1"/>
      <c r="F1403" s="7"/>
      <c r="G1403" s="1"/>
      <c r="H1403" s="1"/>
      <c r="I1403" s="1"/>
    </row>
    <row r="1404" spans="1:9" x14ac:dyDescent="0.25">
      <c r="A1404" s="7"/>
      <c r="B1404" s="1"/>
      <c r="C1404" s="1"/>
      <c r="D1404" s="1"/>
      <c r="F1404" s="7"/>
      <c r="G1404" s="1"/>
      <c r="H1404" s="1"/>
      <c r="I1404" s="1"/>
    </row>
    <row r="1405" spans="1:9" x14ac:dyDescent="0.25">
      <c r="A1405" s="7"/>
      <c r="B1405" s="1"/>
      <c r="C1405" s="1"/>
      <c r="D1405" s="1"/>
      <c r="F1405" s="7"/>
      <c r="G1405" s="1"/>
      <c r="H1405" s="1"/>
      <c r="I1405" s="1"/>
    </row>
    <row r="1406" spans="1:9" x14ac:dyDescent="0.25">
      <c r="A1406" s="7"/>
      <c r="B1406" s="1"/>
      <c r="C1406" s="1"/>
      <c r="D1406" s="1"/>
      <c r="F1406" s="7"/>
      <c r="G1406" s="1"/>
      <c r="H1406" s="1"/>
      <c r="I1406" s="1"/>
    </row>
    <row r="1407" spans="1:9" x14ac:dyDescent="0.25">
      <c r="A1407" s="7"/>
      <c r="B1407" s="1"/>
      <c r="C1407" s="1"/>
      <c r="D1407" s="1"/>
      <c r="F1407" s="7"/>
      <c r="G1407" s="1"/>
      <c r="H1407" s="1"/>
      <c r="I1407" s="1"/>
    </row>
    <row r="1408" spans="1:9" x14ac:dyDescent="0.25">
      <c r="A1408" s="7"/>
      <c r="B1408" s="1"/>
      <c r="C1408" s="1"/>
      <c r="D1408" s="1"/>
      <c r="F1408" s="7"/>
      <c r="G1408" s="1"/>
      <c r="H1408" s="1"/>
      <c r="I1408" s="1"/>
    </row>
    <row r="1409" spans="1:9" x14ac:dyDescent="0.25">
      <c r="A1409" s="7"/>
      <c r="B1409" s="1"/>
      <c r="C1409" s="1"/>
      <c r="D1409" s="1"/>
      <c r="F1409" s="7"/>
      <c r="G1409" s="1"/>
      <c r="H1409" s="1"/>
      <c r="I1409" s="1"/>
    </row>
    <row r="1410" spans="1:9" x14ac:dyDescent="0.25">
      <c r="A1410" s="7"/>
      <c r="B1410" s="1"/>
      <c r="C1410" s="1"/>
      <c r="D1410" s="1"/>
      <c r="F1410" s="7"/>
      <c r="G1410" s="1"/>
      <c r="H1410" s="1"/>
      <c r="I1410" s="1"/>
    </row>
    <row r="1411" spans="1:9" x14ac:dyDescent="0.25">
      <c r="A1411" s="7"/>
      <c r="B1411" s="1"/>
      <c r="C1411" s="1"/>
      <c r="D1411" s="1"/>
      <c r="F1411" s="7"/>
      <c r="G1411" s="1"/>
      <c r="H1411" s="1"/>
      <c r="I1411" s="1"/>
    </row>
    <row r="1412" spans="1:9" x14ac:dyDescent="0.25">
      <c r="A1412" s="7"/>
      <c r="B1412" s="1"/>
      <c r="C1412" s="1"/>
      <c r="D1412" s="1"/>
      <c r="F1412" s="7"/>
      <c r="G1412" s="1"/>
      <c r="H1412" s="1"/>
      <c r="I1412" s="1"/>
    </row>
    <row r="1413" spans="1:9" x14ac:dyDescent="0.25">
      <c r="A1413" s="7"/>
      <c r="B1413" s="1"/>
      <c r="C1413" s="1"/>
      <c r="D1413" s="1"/>
      <c r="F1413" s="7"/>
      <c r="G1413" s="1"/>
      <c r="H1413" s="1"/>
      <c r="I1413" s="1"/>
    </row>
    <row r="1414" spans="1:9" x14ac:dyDescent="0.25">
      <c r="A1414" s="7"/>
      <c r="B1414" s="1"/>
      <c r="C1414" s="1"/>
      <c r="D1414" s="1"/>
      <c r="F1414" s="7"/>
      <c r="G1414" s="1"/>
      <c r="H1414" s="1"/>
      <c r="I1414" s="1"/>
    </row>
    <row r="1415" spans="1:9" x14ac:dyDescent="0.25">
      <c r="A1415" s="7"/>
      <c r="B1415" s="1"/>
      <c r="C1415" s="1"/>
      <c r="D1415" s="1"/>
      <c r="F1415" s="7"/>
      <c r="G1415" s="1"/>
      <c r="H1415" s="1"/>
      <c r="I1415" s="1"/>
    </row>
    <row r="1416" spans="1:9" x14ac:dyDescent="0.25">
      <c r="A1416" s="7"/>
      <c r="B1416" s="1"/>
      <c r="C1416" s="1"/>
      <c r="D1416" s="1"/>
      <c r="F1416" s="7"/>
      <c r="G1416" s="1"/>
      <c r="H1416" s="1"/>
      <c r="I1416" s="1"/>
    </row>
    <row r="1417" spans="1:9" x14ac:dyDescent="0.25">
      <c r="A1417" s="7"/>
      <c r="B1417" s="1"/>
      <c r="C1417" s="1"/>
      <c r="D1417" s="1"/>
      <c r="F1417" s="7"/>
      <c r="G1417" s="1"/>
      <c r="H1417" s="1"/>
      <c r="I1417" s="1"/>
    </row>
    <row r="1418" spans="1:9" x14ac:dyDescent="0.25">
      <c r="A1418" s="7"/>
      <c r="B1418" s="1"/>
      <c r="C1418" s="1"/>
      <c r="D1418" s="1"/>
      <c r="F1418" s="7"/>
      <c r="G1418" s="1"/>
      <c r="H1418" s="1"/>
      <c r="I1418" s="1"/>
    </row>
    <row r="1419" spans="1:9" x14ac:dyDescent="0.25">
      <c r="A1419" s="7"/>
      <c r="B1419" s="1"/>
      <c r="C1419" s="1"/>
      <c r="D1419" s="1"/>
      <c r="F1419" s="7"/>
      <c r="G1419" s="1"/>
      <c r="H1419" s="1"/>
      <c r="I1419" s="1"/>
    </row>
    <row r="1420" spans="1:9" x14ac:dyDescent="0.25">
      <c r="A1420" s="7"/>
      <c r="B1420" s="1"/>
      <c r="C1420" s="1"/>
      <c r="D1420" s="1"/>
      <c r="F1420" s="7"/>
      <c r="G1420" s="1"/>
      <c r="H1420" s="1"/>
      <c r="I1420" s="1"/>
    </row>
    <row r="1421" spans="1:9" x14ac:dyDescent="0.25">
      <c r="A1421" s="7"/>
      <c r="B1421" s="1"/>
      <c r="C1421" s="1"/>
      <c r="D1421" s="1"/>
      <c r="F1421" s="7"/>
      <c r="G1421" s="1"/>
      <c r="H1421" s="1"/>
      <c r="I1421" s="1"/>
    </row>
    <row r="1422" spans="1:9" x14ac:dyDescent="0.25">
      <c r="A1422" s="7"/>
      <c r="B1422" s="1"/>
      <c r="C1422" s="1"/>
      <c r="D1422" s="1"/>
      <c r="F1422" s="7"/>
      <c r="G1422" s="1"/>
      <c r="H1422" s="1"/>
      <c r="I1422" s="1"/>
    </row>
    <row r="1423" spans="1:9" x14ac:dyDescent="0.25">
      <c r="A1423" s="7"/>
      <c r="B1423" s="1"/>
      <c r="C1423" s="1"/>
      <c r="D1423" s="1"/>
      <c r="F1423" s="7"/>
      <c r="G1423" s="1"/>
      <c r="H1423" s="1"/>
      <c r="I1423" s="1"/>
    </row>
    <row r="1424" spans="1:9" x14ac:dyDescent="0.25">
      <c r="A1424" s="7"/>
      <c r="B1424" s="1"/>
      <c r="C1424" s="1"/>
      <c r="D1424" s="1"/>
      <c r="F1424" s="7"/>
      <c r="G1424" s="1"/>
      <c r="H1424" s="1"/>
      <c r="I1424" s="1"/>
    </row>
    <row r="1425" spans="1:9" x14ac:dyDescent="0.25">
      <c r="A1425" s="7"/>
      <c r="B1425" s="1"/>
      <c r="C1425" s="1"/>
      <c r="D1425" s="1"/>
      <c r="F1425" s="7"/>
      <c r="G1425" s="1"/>
      <c r="H1425" s="1"/>
      <c r="I1425" s="1"/>
    </row>
    <row r="1426" spans="1:9" x14ac:dyDescent="0.25">
      <c r="A1426" s="7"/>
      <c r="B1426" s="1"/>
      <c r="C1426" s="1"/>
      <c r="D1426" s="1"/>
      <c r="F1426" s="7"/>
      <c r="G1426" s="1"/>
      <c r="H1426" s="1"/>
      <c r="I1426" s="1"/>
    </row>
    <row r="1427" spans="1:9" x14ac:dyDescent="0.25">
      <c r="A1427" s="7"/>
      <c r="B1427" s="1"/>
      <c r="C1427" s="1"/>
      <c r="D1427" s="1"/>
      <c r="F1427" s="7"/>
      <c r="G1427" s="1"/>
      <c r="H1427" s="1"/>
      <c r="I1427" s="1"/>
    </row>
    <row r="1428" spans="1:9" x14ac:dyDescent="0.25">
      <c r="A1428" s="7"/>
      <c r="B1428" s="1"/>
      <c r="C1428" s="1"/>
      <c r="D1428" s="1"/>
      <c r="F1428" s="7"/>
      <c r="G1428" s="1"/>
      <c r="H1428" s="1"/>
      <c r="I1428" s="1"/>
    </row>
    <row r="1429" spans="1:9" x14ac:dyDescent="0.25">
      <c r="A1429" s="7"/>
      <c r="B1429" s="1"/>
      <c r="C1429" s="1"/>
      <c r="D1429" s="1"/>
      <c r="F1429" s="7"/>
      <c r="G1429" s="1"/>
      <c r="H1429" s="1"/>
      <c r="I1429" s="1"/>
    </row>
    <row r="1430" spans="1:9" x14ac:dyDescent="0.25">
      <c r="A1430" s="7"/>
      <c r="B1430" s="1"/>
      <c r="C1430" s="1"/>
      <c r="D1430" s="1"/>
      <c r="F1430" s="7"/>
      <c r="G1430" s="1"/>
      <c r="H1430" s="1"/>
      <c r="I1430" s="1"/>
    </row>
    <row r="1431" spans="1:9" x14ac:dyDescent="0.25">
      <c r="A1431" s="7"/>
      <c r="B1431" s="1"/>
      <c r="C1431" s="1"/>
      <c r="D1431" s="1"/>
      <c r="F1431" s="7"/>
      <c r="G1431" s="1"/>
      <c r="H1431" s="1"/>
      <c r="I1431" s="1"/>
    </row>
    <row r="1432" spans="1:9" x14ac:dyDescent="0.25">
      <c r="A1432" s="7"/>
      <c r="B1432" s="1"/>
      <c r="C1432" s="1"/>
      <c r="D1432" s="1"/>
      <c r="F1432" s="7"/>
      <c r="G1432" s="1"/>
      <c r="H1432" s="1"/>
      <c r="I1432" s="1"/>
    </row>
    <row r="1433" spans="1:9" x14ac:dyDescent="0.25">
      <c r="A1433" s="7"/>
      <c r="B1433" s="1"/>
      <c r="C1433" s="1"/>
      <c r="D1433" s="1"/>
      <c r="F1433" s="7"/>
      <c r="G1433" s="1"/>
      <c r="H1433" s="1"/>
      <c r="I1433" s="1"/>
    </row>
    <row r="1434" spans="1:9" x14ac:dyDescent="0.25">
      <c r="A1434" s="7"/>
      <c r="B1434" s="1"/>
      <c r="C1434" s="1"/>
      <c r="D1434" s="1"/>
      <c r="F1434" s="7"/>
      <c r="G1434" s="1"/>
      <c r="H1434" s="1"/>
      <c r="I1434" s="1"/>
    </row>
    <row r="1435" spans="1:9" x14ac:dyDescent="0.25">
      <c r="A1435" s="7"/>
      <c r="B1435" s="1"/>
      <c r="C1435" s="1"/>
      <c r="D1435" s="1"/>
      <c r="F1435" s="7"/>
      <c r="G1435" s="1"/>
      <c r="H1435" s="1"/>
      <c r="I1435" s="1"/>
    </row>
    <row r="1436" spans="1:9" x14ac:dyDescent="0.25">
      <c r="A1436" s="7"/>
      <c r="B1436" s="1"/>
      <c r="C1436" s="1"/>
      <c r="D1436" s="1"/>
      <c r="F1436" s="7"/>
      <c r="G1436" s="1"/>
      <c r="H1436" s="1"/>
      <c r="I1436" s="1"/>
    </row>
    <row r="1437" spans="1:9" x14ac:dyDescent="0.25">
      <c r="A1437" s="7"/>
      <c r="B1437" s="1"/>
      <c r="C1437" s="1"/>
      <c r="D1437" s="1"/>
      <c r="F1437" s="7"/>
      <c r="G1437" s="1"/>
      <c r="H1437" s="1"/>
      <c r="I1437" s="1"/>
    </row>
    <row r="1438" spans="1:9" x14ac:dyDescent="0.25">
      <c r="A1438" s="7"/>
      <c r="B1438" s="1"/>
      <c r="C1438" s="1"/>
      <c r="D1438" s="1"/>
      <c r="F1438" s="7"/>
      <c r="G1438" s="1"/>
      <c r="H1438" s="1"/>
      <c r="I1438" s="1"/>
    </row>
    <row r="1439" spans="1:9" x14ac:dyDescent="0.25">
      <c r="A1439" s="7"/>
      <c r="B1439" s="1"/>
      <c r="C1439" s="1"/>
      <c r="D1439" s="1"/>
      <c r="F1439" s="7"/>
      <c r="G1439" s="1"/>
      <c r="H1439" s="1"/>
      <c r="I1439" s="1"/>
    </row>
    <row r="1440" spans="1:9" x14ac:dyDescent="0.25">
      <c r="A1440" s="7"/>
      <c r="B1440" s="1"/>
      <c r="C1440" s="1"/>
      <c r="D1440" s="1"/>
      <c r="F1440" s="7"/>
      <c r="G1440" s="1"/>
      <c r="H1440" s="1"/>
      <c r="I1440" s="1"/>
    </row>
    <row r="1441" spans="1:9" x14ac:dyDescent="0.25">
      <c r="A1441" s="7"/>
      <c r="B1441" s="1"/>
      <c r="C1441" s="1"/>
      <c r="D1441" s="1"/>
      <c r="F1441" s="7"/>
      <c r="G1441" s="1"/>
      <c r="H1441" s="1"/>
      <c r="I1441" s="1"/>
    </row>
    <row r="1442" spans="1:9" x14ac:dyDescent="0.25">
      <c r="A1442" s="7"/>
      <c r="B1442" s="1"/>
      <c r="C1442" s="1"/>
      <c r="D1442" s="1"/>
      <c r="F1442" s="7"/>
      <c r="G1442" s="1"/>
      <c r="H1442" s="1"/>
      <c r="I1442" s="1"/>
    </row>
    <row r="1443" spans="1:9" x14ac:dyDescent="0.25">
      <c r="A1443" s="7"/>
      <c r="B1443" s="1"/>
      <c r="C1443" s="1"/>
      <c r="D1443" s="1"/>
      <c r="F1443" s="7"/>
      <c r="G1443" s="1"/>
      <c r="H1443" s="1"/>
      <c r="I1443" s="1"/>
    </row>
    <row r="1444" spans="1:9" x14ac:dyDescent="0.25">
      <c r="A1444" s="7"/>
      <c r="B1444" s="1"/>
      <c r="C1444" s="1"/>
      <c r="D1444" s="1"/>
      <c r="F1444" s="7"/>
      <c r="G1444" s="1"/>
      <c r="H1444" s="1"/>
      <c r="I1444" s="1"/>
    </row>
    <row r="1445" spans="1:9" x14ac:dyDescent="0.25">
      <c r="A1445" s="7"/>
      <c r="B1445" s="1"/>
      <c r="C1445" s="1"/>
      <c r="D1445" s="1"/>
      <c r="F1445" s="7"/>
      <c r="G1445" s="1"/>
      <c r="H1445" s="1"/>
      <c r="I1445" s="1"/>
    </row>
    <row r="1446" spans="1:9" x14ac:dyDescent="0.25">
      <c r="A1446" s="7"/>
      <c r="B1446" s="1"/>
      <c r="C1446" s="1"/>
      <c r="D1446" s="1"/>
      <c r="F1446" s="7"/>
      <c r="G1446" s="1"/>
      <c r="H1446" s="1"/>
      <c r="I1446" s="1"/>
    </row>
    <row r="1447" spans="1:9" x14ac:dyDescent="0.25">
      <c r="A1447" s="7"/>
      <c r="B1447" s="1"/>
      <c r="C1447" s="1"/>
      <c r="D1447" s="1"/>
      <c r="F1447" s="7"/>
      <c r="G1447" s="1"/>
      <c r="H1447" s="1"/>
      <c r="I1447" s="1"/>
    </row>
    <row r="1448" spans="1:9" x14ac:dyDescent="0.25">
      <c r="A1448" s="7"/>
      <c r="B1448" s="1"/>
      <c r="C1448" s="1"/>
      <c r="D1448" s="1"/>
      <c r="F1448" s="7"/>
      <c r="G1448" s="1"/>
      <c r="H1448" s="1"/>
      <c r="I1448" s="1"/>
    </row>
    <row r="1449" spans="1:9" x14ac:dyDescent="0.25">
      <c r="A1449" s="7"/>
      <c r="B1449" s="1"/>
      <c r="C1449" s="1"/>
      <c r="D1449" s="1"/>
      <c r="F1449" s="7"/>
      <c r="G1449" s="1"/>
      <c r="H1449" s="1"/>
      <c r="I1449" s="1"/>
    </row>
    <row r="1450" spans="1:9" x14ac:dyDescent="0.25">
      <c r="A1450" s="7"/>
      <c r="B1450" s="1"/>
      <c r="C1450" s="1"/>
      <c r="D1450" s="1"/>
      <c r="F1450" s="7"/>
      <c r="G1450" s="1"/>
      <c r="H1450" s="1"/>
      <c r="I1450" s="1"/>
    </row>
    <row r="1451" spans="1:9" x14ac:dyDescent="0.25">
      <c r="A1451" s="7"/>
      <c r="B1451" s="1"/>
      <c r="C1451" s="1"/>
      <c r="D1451" s="1"/>
      <c r="F1451" s="7"/>
      <c r="G1451" s="1"/>
      <c r="H1451" s="1"/>
      <c r="I1451" s="1"/>
    </row>
    <row r="1452" spans="1:9" x14ac:dyDescent="0.25">
      <c r="A1452" s="7"/>
      <c r="B1452" s="1"/>
      <c r="C1452" s="1"/>
      <c r="D1452" s="1"/>
      <c r="F1452" s="7"/>
      <c r="G1452" s="1"/>
      <c r="H1452" s="1"/>
      <c r="I1452" s="1"/>
    </row>
    <row r="1453" spans="1:9" x14ac:dyDescent="0.25">
      <c r="A1453" s="7"/>
      <c r="B1453" s="1"/>
      <c r="C1453" s="1"/>
      <c r="D1453" s="1"/>
      <c r="F1453" s="7"/>
      <c r="G1453" s="1"/>
      <c r="H1453" s="1"/>
      <c r="I1453" s="1"/>
    </row>
    <row r="1454" spans="1:9" x14ac:dyDescent="0.25">
      <c r="A1454" s="7"/>
      <c r="B1454" s="1"/>
      <c r="C1454" s="1"/>
      <c r="D1454" s="1"/>
      <c r="F1454" s="7"/>
      <c r="G1454" s="1"/>
      <c r="H1454" s="1"/>
      <c r="I1454" s="1"/>
    </row>
    <row r="1455" spans="1:9" x14ac:dyDescent="0.25">
      <c r="A1455" s="7"/>
      <c r="B1455" s="1"/>
      <c r="C1455" s="1"/>
      <c r="D1455" s="1"/>
      <c r="F1455" s="7"/>
      <c r="G1455" s="1"/>
      <c r="H1455" s="1"/>
      <c r="I1455" s="1"/>
    </row>
    <row r="1456" spans="1:9" x14ac:dyDescent="0.25">
      <c r="A1456" s="7"/>
      <c r="B1456" s="1"/>
      <c r="C1456" s="1"/>
      <c r="D1456" s="1"/>
      <c r="F1456" s="7"/>
      <c r="G1456" s="1"/>
      <c r="H1456" s="1"/>
      <c r="I1456" s="1"/>
    </row>
    <row r="1457" spans="1:9" x14ac:dyDescent="0.25">
      <c r="A1457" s="7"/>
      <c r="B1457" s="1"/>
      <c r="C1457" s="1"/>
      <c r="D1457" s="1"/>
      <c r="F1457" s="7"/>
      <c r="G1457" s="1"/>
      <c r="H1457" s="1"/>
      <c r="I1457" s="1"/>
    </row>
    <row r="1458" spans="1:9" x14ac:dyDescent="0.25">
      <c r="A1458" s="7"/>
      <c r="B1458" s="1"/>
      <c r="C1458" s="1"/>
      <c r="D1458" s="1"/>
      <c r="F1458" s="7"/>
      <c r="G1458" s="1"/>
      <c r="H1458" s="1"/>
      <c r="I1458" s="1"/>
    </row>
    <row r="1459" spans="1:9" x14ac:dyDescent="0.25">
      <c r="A1459" s="7"/>
      <c r="B1459" s="1"/>
      <c r="C1459" s="1"/>
      <c r="D1459" s="1"/>
      <c r="F1459" s="7"/>
      <c r="G1459" s="1"/>
      <c r="H1459" s="1"/>
      <c r="I1459" s="1"/>
    </row>
    <row r="1460" spans="1:9" x14ac:dyDescent="0.25">
      <c r="A1460" s="7"/>
      <c r="B1460" s="1"/>
      <c r="C1460" s="1"/>
      <c r="D1460" s="1"/>
      <c r="F1460" s="7"/>
      <c r="G1460" s="1"/>
      <c r="H1460" s="1"/>
      <c r="I1460" s="1"/>
    </row>
    <row r="1461" spans="1:9" x14ac:dyDescent="0.25">
      <c r="A1461" s="7"/>
      <c r="B1461" s="1"/>
      <c r="C1461" s="1"/>
      <c r="D1461" s="1"/>
      <c r="F1461" s="7"/>
      <c r="G1461" s="1"/>
      <c r="H1461" s="1"/>
      <c r="I1461" s="1"/>
    </row>
    <row r="1462" spans="1:9" x14ac:dyDescent="0.25">
      <c r="A1462" s="7"/>
      <c r="B1462" s="1"/>
      <c r="C1462" s="1"/>
      <c r="D1462" s="1"/>
      <c r="F1462" s="7"/>
      <c r="G1462" s="1"/>
      <c r="H1462" s="1"/>
      <c r="I1462" s="1"/>
    </row>
    <row r="1463" spans="1:9" x14ac:dyDescent="0.25">
      <c r="A1463" s="7"/>
      <c r="B1463" s="1"/>
      <c r="C1463" s="1"/>
      <c r="D1463" s="1"/>
      <c r="F1463" s="7"/>
      <c r="G1463" s="1"/>
      <c r="H1463" s="1"/>
      <c r="I1463" s="1"/>
    </row>
    <row r="1464" spans="1:9" x14ac:dyDescent="0.25">
      <c r="A1464" s="7"/>
      <c r="B1464" s="1"/>
      <c r="C1464" s="1"/>
      <c r="D1464" s="1"/>
      <c r="F1464" s="7"/>
      <c r="G1464" s="1"/>
      <c r="H1464" s="1"/>
      <c r="I1464" s="1"/>
    </row>
    <row r="1465" spans="1:9" x14ac:dyDescent="0.25">
      <c r="A1465" s="7"/>
      <c r="B1465" s="1"/>
      <c r="C1465" s="1"/>
      <c r="D1465" s="1"/>
      <c r="F1465" s="7"/>
      <c r="G1465" s="1"/>
      <c r="H1465" s="1"/>
      <c r="I1465" s="1"/>
    </row>
    <row r="1466" spans="1:9" x14ac:dyDescent="0.25">
      <c r="A1466" s="7"/>
      <c r="B1466" s="1"/>
      <c r="C1466" s="1"/>
      <c r="D1466" s="1"/>
      <c r="F1466" s="7"/>
      <c r="G1466" s="1"/>
      <c r="H1466" s="1"/>
      <c r="I1466" s="1"/>
    </row>
    <row r="1467" spans="1:9" x14ac:dyDescent="0.25">
      <c r="A1467" s="7"/>
      <c r="B1467" s="1"/>
      <c r="C1467" s="1"/>
      <c r="D1467" s="1"/>
      <c r="F1467" s="7"/>
      <c r="G1467" s="1"/>
      <c r="H1467" s="1"/>
      <c r="I1467" s="1"/>
    </row>
    <row r="1468" spans="1:9" x14ac:dyDescent="0.25">
      <c r="A1468" s="7"/>
      <c r="B1468" s="1"/>
      <c r="C1468" s="1"/>
      <c r="D1468" s="1"/>
      <c r="F1468" s="7"/>
      <c r="G1468" s="1"/>
      <c r="H1468" s="1"/>
      <c r="I1468" s="1"/>
    </row>
    <row r="1469" spans="1:9" x14ac:dyDescent="0.25">
      <c r="A1469" s="7"/>
      <c r="B1469" s="1"/>
      <c r="C1469" s="1"/>
      <c r="D1469" s="1"/>
      <c r="F1469" s="7"/>
      <c r="G1469" s="1"/>
      <c r="H1469" s="1"/>
      <c r="I1469" s="1"/>
    </row>
    <row r="1470" spans="1:9" x14ac:dyDescent="0.25">
      <c r="A1470" s="7"/>
      <c r="B1470" s="1"/>
      <c r="C1470" s="1"/>
      <c r="D1470" s="1"/>
      <c r="F1470" s="7"/>
      <c r="G1470" s="1"/>
      <c r="H1470" s="1"/>
      <c r="I1470" s="1"/>
    </row>
    <row r="1471" spans="1:9" x14ac:dyDescent="0.25">
      <c r="A1471" s="7"/>
      <c r="B1471" s="1"/>
      <c r="C1471" s="1"/>
      <c r="D1471" s="1"/>
      <c r="F1471" s="7"/>
      <c r="G1471" s="1"/>
      <c r="H1471" s="1"/>
      <c r="I1471" s="1"/>
    </row>
    <row r="1472" spans="1:9" x14ac:dyDescent="0.25">
      <c r="A1472" s="7"/>
      <c r="B1472" s="1"/>
      <c r="C1472" s="1"/>
      <c r="D1472" s="1"/>
      <c r="F1472" s="7"/>
      <c r="G1472" s="1"/>
      <c r="H1472" s="1"/>
      <c r="I1472" s="1"/>
    </row>
    <row r="1473" spans="1:9" x14ac:dyDescent="0.25">
      <c r="A1473" s="7"/>
      <c r="B1473" s="1"/>
      <c r="C1473" s="1"/>
      <c r="D1473" s="1"/>
      <c r="F1473" s="7"/>
      <c r="G1473" s="1"/>
      <c r="H1473" s="1"/>
      <c r="I1473" s="1"/>
    </row>
    <row r="1474" spans="1:9" x14ac:dyDescent="0.25">
      <c r="A1474" s="7"/>
      <c r="B1474" s="1"/>
      <c r="C1474" s="1"/>
      <c r="D1474" s="1"/>
      <c r="F1474" s="7"/>
      <c r="G1474" s="1"/>
      <c r="H1474" s="1"/>
      <c r="I1474" s="1"/>
    </row>
    <row r="1475" spans="1:9" x14ac:dyDescent="0.25">
      <c r="A1475" s="7"/>
      <c r="B1475" s="1"/>
      <c r="C1475" s="1"/>
      <c r="D1475" s="1"/>
      <c r="F1475" s="7"/>
      <c r="G1475" s="1"/>
      <c r="H1475" s="1"/>
      <c r="I1475" s="1"/>
    </row>
    <row r="1476" spans="1:9" x14ac:dyDescent="0.25">
      <c r="A1476" s="7"/>
      <c r="B1476" s="1"/>
      <c r="C1476" s="1"/>
      <c r="D1476" s="1"/>
      <c r="F1476" s="7"/>
      <c r="G1476" s="1"/>
      <c r="H1476" s="1"/>
      <c r="I1476" s="1"/>
    </row>
    <row r="1477" spans="1:9" x14ac:dyDescent="0.25">
      <c r="A1477" s="7"/>
      <c r="B1477" s="1"/>
      <c r="C1477" s="1"/>
      <c r="D1477" s="1"/>
      <c r="F1477" s="7"/>
      <c r="G1477" s="1"/>
      <c r="H1477" s="1"/>
      <c r="I1477" s="1"/>
    </row>
    <row r="1478" spans="1:9" x14ac:dyDescent="0.25">
      <c r="A1478" s="7"/>
      <c r="B1478" s="1"/>
      <c r="C1478" s="1"/>
      <c r="D1478" s="1"/>
      <c r="F1478" s="7"/>
      <c r="G1478" s="1"/>
      <c r="H1478" s="1"/>
      <c r="I1478" s="1"/>
    </row>
    <row r="1479" spans="1:9" x14ac:dyDescent="0.25">
      <c r="A1479" s="7"/>
      <c r="B1479" s="1"/>
      <c r="C1479" s="1"/>
      <c r="D1479" s="1"/>
      <c r="F1479" s="7"/>
      <c r="G1479" s="1"/>
      <c r="H1479" s="1"/>
      <c r="I1479" s="1"/>
    </row>
    <row r="1480" spans="1:9" x14ac:dyDescent="0.25">
      <c r="A1480" s="7"/>
      <c r="B1480" s="1"/>
      <c r="C1480" s="1"/>
      <c r="D1480" s="1"/>
      <c r="F1480" s="7"/>
      <c r="G1480" s="1"/>
      <c r="H1480" s="1"/>
      <c r="I1480" s="1"/>
    </row>
    <row r="1481" spans="1:9" x14ac:dyDescent="0.25">
      <c r="A1481" s="7"/>
      <c r="B1481" s="1"/>
      <c r="C1481" s="1"/>
      <c r="D1481" s="1"/>
      <c r="F1481" s="7"/>
      <c r="G1481" s="1"/>
      <c r="H1481" s="1"/>
      <c r="I1481" s="1"/>
    </row>
    <row r="1482" spans="1:9" x14ac:dyDescent="0.25">
      <c r="A1482" s="7"/>
      <c r="B1482" s="1"/>
      <c r="C1482" s="1"/>
      <c r="D1482" s="1"/>
      <c r="F1482" s="7"/>
      <c r="G1482" s="1"/>
      <c r="H1482" s="1"/>
      <c r="I1482" s="1"/>
    </row>
    <row r="1483" spans="1:9" x14ac:dyDescent="0.25">
      <c r="A1483" s="7"/>
      <c r="B1483" s="1"/>
      <c r="C1483" s="1"/>
      <c r="D1483" s="1"/>
      <c r="F1483" s="7"/>
      <c r="G1483" s="1"/>
      <c r="H1483" s="1"/>
      <c r="I1483" s="1"/>
    </row>
    <row r="1484" spans="1:9" x14ac:dyDescent="0.25">
      <c r="A1484" s="7"/>
      <c r="B1484" s="1"/>
      <c r="C1484" s="1"/>
      <c r="D1484" s="1"/>
      <c r="F1484" s="7"/>
      <c r="G1484" s="1"/>
      <c r="H1484" s="1"/>
      <c r="I1484" s="1"/>
    </row>
    <row r="1485" spans="1:9" x14ac:dyDescent="0.25">
      <c r="A1485" s="7"/>
      <c r="B1485" s="1"/>
      <c r="C1485" s="1"/>
      <c r="D1485" s="1"/>
      <c r="F1485" s="7"/>
      <c r="G1485" s="1"/>
      <c r="H1485" s="1"/>
      <c r="I1485" s="1"/>
    </row>
    <row r="1486" spans="1:9" x14ac:dyDescent="0.25">
      <c r="A1486" s="7"/>
      <c r="B1486" s="1"/>
      <c r="C1486" s="1"/>
      <c r="D1486" s="1"/>
      <c r="F1486" s="7"/>
      <c r="G1486" s="1"/>
      <c r="H1486" s="1"/>
      <c r="I1486" s="1"/>
    </row>
    <row r="1487" spans="1:9" x14ac:dyDescent="0.25">
      <c r="A1487" s="7"/>
      <c r="B1487" s="1"/>
      <c r="C1487" s="1"/>
      <c r="D1487" s="1"/>
      <c r="F1487" s="7"/>
      <c r="G1487" s="1"/>
      <c r="H1487" s="1"/>
      <c r="I1487" s="1"/>
    </row>
    <row r="1488" spans="1:9" x14ac:dyDescent="0.25">
      <c r="A1488" s="7"/>
      <c r="B1488" s="1"/>
      <c r="C1488" s="1"/>
      <c r="D1488" s="1"/>
      <c r="F1488" s="7"/>
      <c r="G1488" s="1"/>
      <c r="H1488" s="1"/>
      <c r="I1488" s="1"/>
    </row>
    <row r="1489" spans="1:9" x14ac:dyDescent="0.25">
      <c r="A1489" s="7"/>
      <c r="B1489" s="1"/>
      <c r="C1489" s="1"/>
      <c r="D1489" s="1"/>
      <c r="F1489" s="7"/>
      <c r="G1489" s="1"/>
      <c r="H1489" s="1"/>
      <c r="I1489" s="1"/>
    </row>
    <row r="1490" spans="1:9" x14ac:dyDescent="0.25">
      <c r="A1490" s="7"/>
      <c r="B1490" s="1"/>
      <c r="C1490" s="1"/>
      <c r="D1490" s="1"/>
      <c r="F1490" s="7"/>
      <c r="G1490" s="1"/>
      <c r="H1490" s="1"/>
      <c r="I1490" s="1"/>
    </row>
    <row r="1491" spans="1:9" x14ac:dyDescent="0.25">
      <c r="A1491" s="7"/>
      <c r="B1491" s="1"/>
      <c r="C1491" s="1"/>
      <c r="D1491" s="1"/>
      <c r="F1491" s="7"/>
      <c r="G1491" s="1"/>
      <c r="H1491" s="1"/>
      <c r="I1491" s="1"/>
    </row>
    <row r="1492" spans="1:9" x14ac:dyDescent="0.25">
      <c r="A1492" s="7"/>
      <c r="B1492" s="1"/>
      <c r="C1492" s="1"/>
      <c r="D1492" s="1"/>
      <c r="F1492" s="7"/>
      <c r="G1492" s="1"/>
      <c r="H1492" s="1"/>
      <c r="I1492" s="1"/>
    </row>
    <row r="1493" spans="1:9" x14ac:dyDescent="0.25">
      <c r="A1493" s="7"/>
      <c r="B1493" s="1"/>
      <c r="C1493" s="1"/>
      <c r="D1493" s="1"/>
      <c r="F1493" s="7"/>
      <c r="G1493" s="1"/>
      <c r="H1493" s="1"/>
      <c r="I1493" s="1"/>
    </row>
    <row r="1494" spans="1:9" x14ac:dyDescent="0.25">
      <c r="A1494" s="7"/>
      <c r="B1494" s="1"/>
      <c r="C1494" s="1"/>
      <c r="D1494" s="1"/>
      <c r="F1494" s="7"/>
      <c r="G1494" s="1"/>
      <c r="H1494" s="1"/>
      <c r="I1494" s="1"/>
    </row>
    <row r="1495" spans="1:9" x14ac:dyDescent="0.25">
      <c r="A1495" s="7"/>
      <c r="B1495" s="1"/>
      <c r="C1495" s="1"/>
      <c r="D1495" s="1"/>
      <c r="F1495" s="7"/>
      <c r="G1495" s="1"/>
      <c r="H1495" s="1"/>
      <c r="I1495" s="1"/>
    </row>
    <row r="1496" spans="1:9" x14ac:dyDescent="0.25">
      <c r="A1496" s="7"/>
      <c r="B1496" s="1"/>
      <c r="C1496" s="1"/>
      <c r="D1496" s="1"/>
      <c r="F1496" s="7"/>
      <c r="G1496" s="1"/>
      <c r="H1496" s="1"/>
      <c r="I1496" s="1"/>
    </row>
    <row r="1497" spans="1:9" x14ac:dyDescent="0.25">
      <c r="A1497" s="7"/>
      <c r="B1497" s="1"/>
      <c r="C1497" s="1"/>
      <c r="D1497" s="1"/>
      <c r="F1497" s="7"/>
      <c r="G1497" s="1"/>
      <c r="H1497" s="1"/>
      <c r="I1497" s="1"/>
    </row>
    <row r="1498" spans="1:9" x14ac:dyDescent="0.25">
      <c r="A1498" s="7"/>
      <c r="B1498" s="1"/>
      <c r="C1498" s="1"/>
      <c r="D1498" s="1"/>
      <c r="F1498" s="7"/>
      <c r="G1498" s="1"/>
      <c r="H1498" s="1"/>
      <c r="I1498" s="1"/>
    </row>
    <row r="1499" spans="1:9" x14ac:dyDescent="0.25">
      <c r="A1499" s="7"/>
      <c r="B1499" s="1"/>
      <c r="C1499" s="1"/>
      <c r="D1499" s="1"/>
      <c r="F1499" s="7"/>
      <c r="G1499" s="1"/>
      <c r="H1499" s="1"/>
      <c r="I1499" s="1"/>
    </row>
    <row r="1500" spans="1:9" x14ac:dyDescent="0.25">
      <c r="A1500" s="7"/>
      <c r="B1500" s="1"/>
      <c r="C1500" s="1"/>
      <c r="D1500" s="1"/>
      <c r="F1500" s="7"/>
      <c r="G1500" s="1"/>
      <c r="H1500" s="1"/>
      <c r="I1500" s="1"/>
    </row>
    <row r="1501" spans="1:9" x14ac:dyDescent="0.25">
      <c r="A1501" s="7"/>
      <c r="B1501" s="1"/>
      <c r="C1501" s="1"/>
      <c r="D1501" s="1"/>
      <c r="F1501" s="7"/>
      <c r="G1501" s="1"/>
      <c r="H1501" s="1"/>
      <c r="I1501" s="1"/>
    </row>
    <row r="1502" spans="1:9" x14ac:dyDescent="0.25">
      <c r="A1502" s="7"/>
      <c r="B1502" s="1"/>
      <c r="C1502" s="1"/>
      <c r="D1502" s="1"/>
      <c r="F1502" s="7"/>
      <c r="G1502" s="1"/>
      <c r="H1502" s="1"/>
      <c r="I1502" s="1"/>
    </row>
    <row r="1503" spans="1:9" x14ac:dyDescent="0.25">
      <c r="A1503" s="7"/>
      <c r="B1503" s="1"/>
      <c r="C1503" s="1"/>
      <c r="D1503" s="1"/>
      <c r="F1503" s="7"/>
      <c r="G1503" s="1"/>
      <c r="H1503" s="1"/>
      <c r="I1503" s="1"/>
    </row>
    <row r="1504" spans="1:9" x14ac:dyDescent="0.25">
      <c r="A1504" s="7"/>
      <c r="B1504" s="1"/>
      <c r="C1504" s="1"/>
      <c r="D1504" s="1"/>
      <c r="F1504" s="7"/>
      <c r="G1504" s="1"/>
      <c r="H1504" s="1"/>
      <c r="I1504" s="1"/>
    </row>
    <row r="1505" spans="1:9" x14ac:dyDescent="0.25">
      <c r="A1505" s="7"/>
      <c r="B1505" s="1"/>
      <c r="C1505" s="1"/>
      <c r="D1505" s="1"/>
      <c r="F1505" s="7"/>
      <c r="G1505" s="1"/>
      <c r="H1505" s="1"/>
      <c r="I1505" s="1"/>
    </row>
    <row r="1506" spans="1:9" x14ac:dyDescent="0.25">
      <c r="A1506" s="7"/>
      <c r="B1506" s="1"/>
      <c r="C1506" s="1"/>
      <c r="D1506" s="1"/>
      <c r="F1506" s="7"/>
      <c r="G1506" s="1"/>
      <c r="H1506" s="1"/>
      <c r="I1506" s="1"/>
    </row>
    <row r="1507" spans="1:9" x14ac:dyDescent="0.25">
      <c r="A1507" s="7"/>
      <c r="B1507" s="1"/>
      <c r="C1507" s="1"/>
      <c r="D1507" s="1"/>
      <c r="F1507" s="7"/>
      <c r="G1507" s="1"/>
      <c r="H1507" s="1"/>
      <c r="I1507" s="1"/>
    </row>
    <row r="1508" spans="1:9" x14ac:dyDescent="0.25">
      <c r="A1508" s="7"/>
      <c r="B1508" s="1"/>
      <c r="C1508" s="1"/>
      <c r="D1508" s="1"/>
      <c r="F1508" s="7"/>
      <c r="G1508" s="1"/>
      <c r="H1508" s="1"/>
      <c r="I1508" s="1"/>
    </row>
    <row r="1509" spans="1:9" x14ac:dyDescent="0.25">
      <c r="A1509" s="7"/>
      <c r="B1509" s="1"/>
      <c r="C1509" s="1"/>
      <c r="D1509" s="1"/>
      <c r="F1509" s="7"/>
      <c r="G1509" s="1"/>
      <c r="H1509" s="1"/>
      <c r="I1509" s="1"/>
    </row>
    <row r="1510" spans="1:9" x14ac:dyDescent="0.25">
      <c r="A1510" s="7"/>
      <c r="B1510" s="1"/>
      <c r="C1510" s="1"/>
      <c r="D1510" s="1"/>
      <c r="F1510" s="7"/>
      <c r="G1510" s="1"/>
      <c r="H1510" s="1"/>
      <c r="I1510" s="1"/>
    </row>
    <row r="1511" spans="1:9" x14ac:dyDescent="0.25">
      <c r="A1511" s="7"/>
      <c r="B1511" s="1"/>
      <c r="C1511" s="1"/>
      <c r="D1511" s="1"/>
      <c r="F1511" s="7"/>
      <c r="G1511" s="1"/>
      <c r="H1511" s="1"/>
      <c r="I1511" s="1"/>
    </row>
    <row r="1512" spans="1:9" x14ac:dyDescent="0.25">
      <c r="A1512" s="7"/>
      <c r="B1512" s="1"/>
      <c r="C1512" s="1"/>
      <c r="D1512" s="1"/>
      <c r="F1512" s="7"/>
      <c r="G1512" s="1"/>
      <c r="H1512" s="1"/>
      <c r="I1512" s="1"/>
    </row>
    <row r="1513" spans="1:9" x14ac:dyDescent="0.25">
      <c r="A1513" s="7"/>
      <c r="B1513" s="1"/>
      <c r="C1513" s="1"/>
      <c r="D1513" s="1"/>
      <c r="F1513" s="7"/>
      <c r="G1513" s="1"/>
      <c r="H1513" s="1"/>
      <c r="I1513" s="1"/>
    </row>
    <row r="1514" spans="1:9" x14ac:dyDescent="0.25">
      <c r="A1514" s="7"/>
      <c r="B1514" s="1"/>
      <c r="C1514" s="1"/>
      <c r="D1514" s="1"/>
      <c r="F1514" s="7"/>
      <c r="G1514" s="1"/>
      <c r="H1514" s="1"/>
      <c r="I1514" s="1"/>
    </row>
    <row r="1515" spans="1:9" x14ac:dyDescent="0.25">
      <c r="A1515" s="7"/>
      <c r="B1515" s="1"/>
      <c r="C1515" s="1"/>
      <c r="D1515" s="1"/>
      <c r="F1515" s="7"/>
      <c r="G1515" s="1"/>
      <c r="H1515" s="1"/>
      <c r="I1515" s="1"/>
    </row>
    <row r="1516" spans="1:9" x14ac:dyDescent="0.25">
      <c r="A1516" s="7"/>
      <c r="B1516" s="1"/>
      <c r="C1516" s="1"/>
      <c r="D1516" s="1"/>
      <c r="F1516" s="7"/>
      <c r="G1516" s="1"/>
      <c r="H1516" s="1"/>
      <c r="I1516" s="1"/>
    </row>
    <row r="1517" spans="1:9" x14ac:dyDescent="0.25">
      <c r="A1517" s="7"/>
      <c r="B1517" s="1"/>
      <c r="C1517" s="1"/>
      <c r="D1517" s="1"/>
      <c r="F1517" s="7"/>
      <c r="G1517" s="1"/>
      <c r="H1517" s="1"/>
      <c r="I1517" s="1"/>
    </row>
    <row r="1518" spans="1:9" x14ac:dyDescent="0.25">
      <c r="A1518" s="7"/>
      <c r="B1518" s="1"/>
      <c r="C1518" s="1"/>
      <c r="D1518" s="1"/>
      <c r="F1518" s="7"/>
      <c r="G1518" s="1"/>
      <c r="H1518" s="1"/>
      <c r="I1518" s="1"/>
    </row>
    <row r="1519" spans="1:9" x14ac:dyDescent="0.25">
      <c r="A1519" s="7"/>
      <c r="B1519" s="1"/>
      <c r="C1519" s="1"/>
      <c r="D1519" s="1"/>
      <c r="F1519" s="7"/>
      <c r="G1519" s="1"/>
      <c r="H1519" s="1"/>
      <c r="I1519" s="1"/>
    </row>
    <row r="1520" spans="1:9" x14ac:dyDescent="0.25">
      <c r="A1520" s="7"/>
      <c r="B1520" s="1"/>
      <c r="C1520" s="1"/>
      <c r="D1520" s="1"/>
      <c r="F1520" s="7"/>
      <c r="G1520" s="1"/>
      <c r="H1520" s="1"/>
      <c r="I1520" s="1"/>
    </row>
    <row r="1521" spans="1:9" x14ac:dyDescent="0.25">
      <c r="A1521" s="7"/>
      <c r="B1521" s="1"/>
      <c r="C1521" s="1"/>
      <c r="D1521" s="1"/>
      <c r="F1521" s="7"/>
      <c r="G1521" s="1"/>
      <c r="H1521" s="1"/>
      <c r="I1521" s="1"/>
    </row>
    <row r="1522" spans="1:9" x14ac:dyDescent="0.25">
      <c r="A1522" s="7"/>
      <c r="B1522" s="1"/>
      <c r="C1522" s="1"/>
      <c r="D1522" s="1"/>
      <c r="F1522" s="7"/>
      <c r="G1522" s="1"/>
      <c r="H1522" s="1"/>
      <c r="I1522" s="1"/>
    </row>
    <row r="1523" spans="1:9" x14ac:dyDescent="0.25">
      <c r="A1523" s="7"/>
      <c r="B1523" s="1"/>
      <c r="C1523" s="1"/>
      <c r="D1523" s="1"/>
      <c r="F1523" s="7"/>
      <c r="G1523" s="1"/>
      <c r="H1523" s="1"/>
      <c r="I1523" s="1"/>
    </row>
    <row r="1524" spans="1:9" x14ac:dyDescent="0.25">
      <c r="A1524" s="7"/>
      <c r="B1524" s="1"/>
      <c r="C1524" s="1"/>
      <c r="D1524" s="1"/>
      <c r="F1524" s="7"/>
      <c r="G1524" s="1"/>
      <c r="H1524" s="1"/>
      <c r="I1524" s="1"/>
    </row>
    <row r="1525" spans="1:9" x14ac:dyDescent="0.25">
      <c r="A1525" s="7"/>
      <c r="B1525" s="1"/>
      <c r="C1525" s="1"/>
      <c r="D1525" s="1"/>
      <c r="F1525" s="7"/>
      <c r="G1525" s="1"/>
      <c r="H1525" s="1"/>
      <c r="I1525" s="1"/>
    </row>
    <row r="1526" spans="1:9" x14ac:dyDescent="0.25">
      <c r="A1526" s="7"/>
      <c r="B1526" s="1"/>
      <c r="C1526" s="1"/>
      <c r="D1526" s="1"/>
      <c r="F1526" s="7"/>
      <c r="G1526" s="1"/>
      <c r="H1526" s="1"/>
      <c r="I1526" s="1"/>
    </row>
    <row r="1527" spans="1:9" x14ac:dyDescent="0.25">
      <c r="A1527" s="7"/>
      <c r="B1527" s="1"/>
      <c r="C1527" s="1"/>
      <c r="D1527" s="1"/>
      <c r="F1527" s="7"/>
      <c r="G1527" s="1"/>
      <c r="H1527" s="1"/>
      <c r="I1527" s="1"/>
    </row>
    <row r="1528" spans="1:9" x14ac:dyDescent="0.25">
      <c r="A1528" s="7"/>
      <c r="B1528" s="1"/>
      <c r="C1528" s="1"/>
      <c r="D1528" s="1"/>
      <c r="F1528" s="7"/>
      <c r="G1528" s="1"/>
      <c r="H1528" s="1"/>
      <c r="I1528" s="1"/>
    </row>
    <row r="1529" spans="1:9" x14ac:dyDescent="0.25">
      <c r="A1529" s="7"/>
      <c r="B1529" s="1"/>
      <c r="C1529" s="1"/>
      <c r="D1529" s="1"/>
      <c r="F1529" s="7"/>
      <c r="G1529" s="1"/>
      <c r="H1529" s="1"/>
      <c r="I1529" s="1"/>
    </row>
    <row r="1530" spans="1:9" x14ac:dyDescent="0.25">
      <c r="A1530" s="7"/>
      <c r="B1530" s="1"/>
      <c r="C1530" s="1"/>
      <c r="D1530" s="1"/>
      <c r="F1530" s="7"/>
      <c r="G1530" s="1"/>
      <c r="H1530" s="1"/>
      <c r="I1530" s="1"/>
    </row>
    <row r="1531" spans="1:9" x14ac:dyDescent="0.25">
      <c r="A1531" s="7"/>
      <c r="B1531" s="1"/>
      <c r="C1531" s="1"/>
      <c r="D1531" s="1"/>
      <c r="F1531" s="7"/>
      <c r="G1531" s="1"/>
      <c r="H1531" s="1"/>
      <c r="I1531" s="1"/>
    </row>
    <row r="1532" spans="1:9" x14ac:dyDescent="0.25">
      <c r="A1532" s="7"/>
      <c r="B1532" s="1"/>
      <c r="C1532" s="1"/>
      <c r="D1532" s="1"/>
      <c r="F1532" s="7"/>
      <c r="G1532" s="1"/>
      <c r="H1532" s="1"/>
      <c r="I1532" s="1"/>
    </row>
    <row r="1533" spans="1:9" x14ac:dyDescent="0.25">
      <c r="A1533" s="7"/>
      <c r="B1533" s="1"/>
      <c r="C1533" s="1"/>
      <c r="D1533" s="1"/>
      <c r="F1533" s="7"/>
      <c r="G1533" s="1"/>
      <c r="H1533" s="1"/>
      <c r="I1533" s="1"/>
    </row>
    <row r="1534" spans="1:9" x14ac:dyDescent="0.25">
      <c r="A1534" s="7"/>
      <c r="B1534" s="1"/>
      <c r="C1534" s="1"/>
      <c r="D1534" s="1"/>
      <c r="F1534" s="7"/>
      <c r="G1534" s="1"/>
      <c r="H1534" s="1"/>
      <c r="I1534" s="1"/>
    </row>
    <row r="1535" spans="1:9" x14ac:dyDescent="0.25">
      <c r="A1535" s="7"/>
      <c r="B1535" s="1"/>
      <c r="C1535" s="1"/>
      <c r="D1535" s="1"/>
      <c r="F1535" s="7"/>
      <c r="G1535" s="1"/>
      <c r="H1535" s="1"/>
      <c r="I1535" s="1"/>
    </row>
    <row r="1536" spans="1:9" x14ac:dyDescent="0.25">
      <c r="A1536" s="7"/>
      <c r="B1536" s="1"/>
      <c r="C1536" s="1"/>
      <c r="D1536" s="1"/>
      <c r="F1536" s="7"/>
      <c r="G1536" s="1"/>
      <c r="H1536" s="1"/>
      <c r="I1536" s="1"/>
    </row>
    <row r="1537" spans="1:9" x14ac:dyDescent="0.25">
      <c r="A1537" s="7"/>
      <c r="B1537" s="1"/>
      <c r="C1537" s="1"/>
      <c r="D1537" s="1"/>
      <c r="F1537" s="7"/>
      <c r="G1537" s="1"/>
      <c r="H1537" s="1"/>
      <c r="I1537" s="1"/>
    </row>
    <row r="1538" spans="1:9" x14ac:dyDescent="0.25">
      <c r="A1538" s="7"/>
      <c r="B1538" s="1"/>
      <c r="C1538" s="1"/>
      <c r="D1538" s="1"/>
      <c r="F1538" s="7"/>
      <c r="G1538" s="1"/>
      <c r="H1538" s="1"/>
      <c r="I1538" s="1"/>
    </row>
    <row r="1539" spans="1:9" x14ac:dyDescent="0.25">
      <c r="A1539" s="7"/>
      <c r="B1539" s="1"/>
      <c r="C1539" s="1"/>
      <c r="D1539" s="1"/>
      <c r="F1539" s="7"/>
      <c r="G1539" s="1"/>
      <c r="H1539" s="1"/>
      <c r="I1539" s="1"/>
    </row>
    <row r="1540" spans="1:9" x14ac:dyDescent="0.25">
      <c r="A1540" s="7"/>
      <c r="B1540" s="1"/>
      <c r="C1540" s="1"/>
      <c r="D1540" s="1"/>
      <c r="F1540" s="7"/>
      <c r="G1540" s="1"/>
      <c r="H1540" s="1"/>
      <c r="I1540" s="1"/>
    </row>
    <row r="1541" spans="1:9" x14ac:dyDescent="0.25">
      <c r="A1541" s="7"/>
      <c r="B1541" s="1"/>
      <c r="C1541" s="1"/>
      <c r="D1541" s="1"/>
      <c r="F1541" s="7"/>
      <c r="G1541" s="1"/>
      <c r="H1541" s="1"/>
      <c r="I1541" s="1"/>
    </row>
    <row r="1542" spans="1:9" x14ac:dyDescent="0.25">
      <c r="A1542" s="7"/>
      <c r="B1542" s="1"/>
      <c r="C1542" s="1"/>
      <c r="D1542" s="1"/>
      <c r="F1542" s="7"/>
      <c r="G1542" s="1"/>
      <c r="H1542" s="1"/>
      <c r="I1542" s="1"/>
    </row>
    <row r="1543" spans="1:9" x14ac:dyDescent="0.25">
      <c r="A1543" s="7"/>
      <c r="B1543" s="1"/>
      <c r="C1543" s="1"/>
      <c r="D1543" s="1"/>
      <c r="F1543" s="7"/>
      <c r="G1543" s="1"/>
      <c r="H1543" s="1"/>
      <c r="I1543" s="1"/>
    </row>
    <row r="1544" spans="1:9" x14ac:dyDescent="0.25">
      <c r="A1544" s="7"/>
      <c r="B1544" s="1"/>
      <c r="C1544" s="1"/>
      <c r="D1544" s="1"/>
      <c r="F1544" s="7"/>
      <c r="G1544" s="1"/>
      <c r="H1544" s="1"/>
      <c r="I1544" s="1"/>
    </row>
    <row r="1545" spans="1:9" x14ac:dyDescent="0.25">
      <c r="A1545" s="7"/>
      <c r="B1545" s="1"/>
      <c r="C1545" s="1"/>
      <c r="D1545" s="1"/>
      <c r="F1545" s="7"/>
      <c r="G1545" s="1"/>
      <c r="H1545" s="1"/>
      <c r="I1545" s="1"/>
    </row>
    <row r="1546" spans="1:9" x14ac:dyDescent="0.25">
      <c r="A1546" s="7"/>
      <c r="B1546" s="1"/>
      <c r="C1546" s="1"/>
      <c r="D1546" s="1"/>
      <c r="F1546" s="7"/>
      <c r="G1546" s="1"/>
      <c r="H1546" s="1"/>
      <c r="I1546" s="1"/>
    </row>
    <row r="1547" spans="1:9" x14ac:dyDescent="0.25">
      <c r="A1547" s="7"/>
      <c r="B1547" s="1"/>
      <c r="C1547" s="1"/>
      <c r="D1547" s="1"/>
      <c r="F1547" s="7"/>
      <c r="G1547" s="1"/>
      <c r="H1547" s="1"/>
      <c r="I1547" s="1"/>
    </row>
    <row r="1548" spans="1:9" x14ac:dyDescent="0.25">
      <c r="A1548" s="7"/>
      <c r="B1548" s="1"/>
      <c r="C1548" s="1"/>
      <c r="D1548" s="1"/>
      <c r="F1548" s="7"/>
      <c r="G1548" s="1"/>
      <c r="H1548" s="1"/>
      <c r="I1548" s="1"/>
    </row>
    <row r="1549" spans="1:9" x14ac:dyDescent="0.25">
      <c r="A1549" s="7"/>
      <c r="B1549" s="1"/>
      <c r="C1549" s="1"/>
      <c r="D1549" s="1"/>
      <c r="F1549" s="7"/>
      <c r="G1549" s="1"/>
      <c r="H1549" s="1"/>
      <c r="I1549" s="1"/>
    </row>
    <row r="1550" spans="1:9" x14ac:dyDescent="0.25">
      <c r="A1550" s="7"/>
      <c r="B1550" s="1"/>
      <c r="C1550" s="1"/>
      <c r="D1550" s="1"/>
      <c r="F1550" s="7"/>
      <c r="G1550" s="1"/>
      <c r="H1550" s="1"/>
      <c r="I1550" s="1"/>
    </row>
    <row r="1551" spans="1:9" x14ac:dyDescent="0.25">
      <c r="A1551" s="7"/>
      <c r="B1551" s="1"/>
      <c r="C1551" s="1"/>
      <c r="D1551" s="1"/>
      <c r="F1551" s="7"/>
      <c r="G1551" s="1"/>
      <c r="H1551" s="1"/>
      <c r="I1551" s="1"/>
    </row>
    <row r="1552" spans="1:9" x14ac:dyDescent="0.25">
      <c r="A1552" s="7"/>
      <c r="B1552" s="1"/>
      <c r="C1552" s="1"/>
      <c r="D1552" s="1"/>
      <c r="F1552" s="7"/>
      <c r="G1552" s="1"/>
      <c r="H1552" s="1"/>
      <c r="I1552" s="1"/>
    </row>
    <row r="1553" spans="1:9" x14ac:dyDescent="0.25">
      <c r="A1553" s="7"/>
      <c r="B1553" s="1"/>
      <c r="C1553" s="1"/>
      <c r="D1553" s="1"/>
      <c r="F1553" s="7"/>
      <c r="G1553" s="1"/>
      <c r="H1553" s="1"/>
      <c r="I1553" s="1"/>
    </row>
    <row r="1554" spans="1:9" x14ac:dyDescent="0.25">
      <c r="A1554" s="7"/>
      <c r="B1554" s="1"/>
      <c r="C1554" s="1"/>
      <c r="D1554" s="1"/>
      <c r="F1554" s="7"/>
      <c r="G1554" s="1"/>
      <c r="H1554" s="1"/>
      <c r="I1554" s="1"/>
    </row>
    <row r="1555" spans="1:9" x14ac:dyDescent="0.25">
      <c r="A1555" s="7"/>
      <c r="B1555" s="1"/>
      <c r="C1555" s="1"/>
      <c r="D1555" s="1"/>
      <c r="F1555" s="7"/>
      <c r="G1555" s="1"/>
      <c r="H1555" s="1"/>
      <c r="I1555" s="1"/>
    </row>
    <row r="1556" spans="1:9" x14ac:dyDescent="0.25">
      <c r="A1556" s="7"/>
      <c r="B1556" s="1"/>
      <c r="C1556" s="1"/>
      <c r="D1556" s="1"/>
      <c r="F1556" s="7"/>
      <c r="G1556" s="1"/>
      <c r="H1556" s="1"/>
      <c r="I1556" s="1"/>
    </row>
    <row r="1557" spans="1:9" x14ac:dyDescent="0.25">
      <c r="A1557" s="7"/>
      <c r="B1557" s="1"/>
      <c r="C1557" s="1"/>
      <c r="D1557" s="1"/>
      <c r="F1557" s="7"/>
      <c r="G1557" s="1"/>
      <c r="H1557" s="1"/>
      <c r="I1557" s="1"/>
    </row>
    <row r="1558" spans="1:9" x14ac:dyDescent="0.25">
      <c r="A1558" s="7"/>
      <c r="B1558" s="1"/>
      <c r="C1558" s="1"/>
      <c r="D1558" s="1"/>
      <c r="F1558" s="7"/>
      <c r="G1558" s="1"/>
      <c r="H1558" s="1"/>
      <c r="I1558" s="1"/>
    </row>
    <row r="1559" spans="1:9" x14ac:dyDescent="0.25">
      <c r="A1559" s="7"/>
      <c r="B1559" s="1"/>
      <c r="C1559" s="1"/>
      <c r="D1559" s="1"/>
      <c r="F1559" s="7"/>
      <c r="G1559" s="1"/>
      <c r="H1559" s="1"/>
      <c r="I1559" s="1"/>
    </row>
    <row r="1560" spans="1:9" x14ac:dyDescent="0.25">
      <c r="A1560" s="7"/>
      <c r="B1560" s="1"/>
      <c r="C1560" s="1"/>
      <c r="D1560" s="1"/>
      <c r="F1560" s="7"/>
      <c r="G1560" s="1"/>
      <c r="H1560" s="1"/>
      <c r="I1560" s="1"/>
    </row>
    <row r="1561" spans="1:9" x14ac:dyDescent="0.25">
      <c r="A1561" s="7"/>
      <c r="B1561" s="1"/>
      <c r="C1561" s="1"/>
      <c r="D1561" s="1"/>
      <c r="F1561" s="7"/>
      <c r="G1561" s="1"/>
      <c r="H1561" s="1"/>
      <c r="I1561" s="1"/>
    </row>
    <row r="1562" spans="1:9" x14ac:dyDescent="0.25">
      <c r="A1562" s="7"/>
      <c r="B1562" s="1"/>
      <c r="C1562" s="1"/>
      <c r="D1562" s="1"/>
      <c r="F1562" s="7"/>
      <c r="G1562" s="1"/>
      <c r="H1562" s="1"/>
      <c r="I1562" s="1"/>
    </row>
    <row r="1563" spans="1:9" x14ac:dyDescent="0.25">
      <c r="A1563" s="7"/>
      <c r="B1563" s="1"/>
      <c r="C1563" s="1"/>
      <c r="D1563" s="1"/>
      <c r="F1563" s="7"/>
      <c r="G1563" s="1"/>
      <c r="H1563" s="1"/>
      <c r="I1563" s="1"/>
    </row>
    <row r="1564" spans="1:9" x14ac:dyDescent="0.25">
      <c r="A1564" s="7"/>
      <c r="B1564" s="1"/>
      <c r="C1564" s="1"/>
      <c r="D1564" s="1"/>
      <c r="F1564" s="7"/>
      <c r="G1564" s="1"/>
      <c r="H1564" s="1"/>
      <c r="I1564" s="1"/>
    </row>
    <row r="1565" spans="1:9" x14ac:dyDescent="0.25">
      <c r="A1565" s="7"/>
      <c r="B1565" s="1"/>
      <c r="C1565" s="1"/>
      <c r="D1565" s="1"/>
      <c r="F1565" s="7"/>
      <c r="G1565" s="1"/>
      <c r="H1565" s="1"/>
      <c r="I1565" s="1"/>
    </row>
    <row r="1566" spans="1:9" x14ac:dyDescent="0.25">
      <c r="A1566" s="7"/>
      <c r="B1566" s="1"/>
      <c r="C1566" s="1"/>
      <c r="D1566" s="1"/>
      <c r="F1566" s="7"/>
      <c r="G1566" s="1"/>
      <c r="H1566" s="1"/>
      <c r="I1566" s="1"/>
    </row>
    <row r="1567" spans="1:9" x14ac:dyDescent="0.25">
      <c r="A1567" s="7"/>
      <c r="B1567" s="1"/>
      <c r="C1567" s="1"/>
      <c r="D1567" s="1"/>
      <c r="F1567" s="7"/>
      <c r="G1567" s="1"/>
      <c r="H1567" s="1"/>
      <c r="I1567" s="1"/>
    </row>
    <row r="1568" spans="1:9" x14ac:dyDescent="0.25">
      <c r="A1568" s="7"/>
      <c r="B1568" s="1"/>
      <c r="C1568" s="1"/>
      <c r="D1568" s="1"/>
      <c r="F1568" s="7"/>
      <c r="G1568" s="1"/>
      <c r="H1568" s="1"/>
      <c r="I1568" s="1"/>
    </row>
    <row r="1569" spans="1:9" x14ac:dyDescent="0.25">
      <c r="A1569" s="7"/>
      <c r="B1569" s="1"/>
      <c r="C1569" s="1"/>
      <c r="D1569" s="1"/>
      <c r="F1569" s="7"/>
      <c r="G1569" s="1"/>
      <c r="H1569" s="1"/>
      <c r="I1569" s="1"/>
    </row>
    <row r="1570" spans="1:9" x14ac:dyDescent="0.25">
      <c r="A1570" s="7"/>
      <c r="B1570" s="1"/>
      <c r="C1570" s="1"/>
      <c r="D1570" s="1"/>
      <c r="F1570" s="7"/>
      <c r="G1570" s="1"/>
      <c r="H1570" s="1"/>
      <c r="I1570" s="1"/>
    </row>
    <row r="1571" spans="1:9" x14ac:dyDescent="0.25">
      <c r="A1571" s="7"/>
      <c r="B1571" s="1"/>
      <c r="C1571" s="1"/>
      <c r="D1571" s="1"/>
      <c r="F1571" s="7"/>
      <c r="G1571" s="1"/>
      <c r="H1571" s="1"/>
      <c r="I1571" s="1"/>
    </row>
    <row r="1572" spans="1:9" x14ac:dyDescent="0.25">
      <c r="A1572" s="7"/>
      <c r="B1572" s="1"/>
      <c r="C1572" s="1"/>
      <c r="D1572" s="1"/>
      <c r="F1572" s="7"/>
      <c r="G1572" s="1"/>
      <c r="H1572" s="1"/>
      <c r="I1572" s="1"/>
    </row>
    <row r="1573" spans="1:9" x14ac:dyDescent="0.25">
      <c r="A1573" s="7"/>
      <c r="B1573" s="1"/>
      <c r="C1573" s="1"/>
      <c r="D1573" s="1"/>
      <c r="F1573" s="7"/>
      <c r="G1573" s="1"/>
      <c r="H1573" s="1"/>
      <c r="I1573" s="1"/>
    </row>
    <row r="1574" spans="1:9" x14ac:dyDescent="0.25">
      <c r="A1574" s="7"/>
      <c r="B1574" s="1"/>
      <c r="C1574" s="1"/>
      <c r="D1574" s="1"/>
      <c r="F1574" s="7"/>
      <c r="G1574" s="1"/>
      <c r="H1574" s="1"/>
      <c r="I1574" s="1"/>
    </row>
    <row r="1575" spans="1:9" x14ac:dyDescent="0.25">
      <c r="A1575" s="7"/>
      <c r="B1575" s="1"/>
      <c r="C1575" s="1"/>
      <c r="D1575" s="1"/>
      <c r="F1575" s="7"/>
      <c r="G1575" s="1"/>
      <c r="H1575" s="1"/>
      <c r="I1575" s="1"/>
    </row>
    <row r="1576" spans="1:9" x14ac:dyDescent="0.25">
      <c r="A1576" s="7"/>
      <c r="B1576" s="1"/>
      <c r="C1576" s="1"/>
      <c r="D1576" s="1"/>
      <c r="F1576" s="7"/>
      <c r="G1576" s="1"/>
      <c r="H1576" s="1"/>
      <c r="I1576" s="1"/>
    </row>
    <row r="1577" spans="1:9" x14ac:dyDescent="0.25">
      <c r="A1577" s="7"/>
      <c r="B1577" s="1"/>
      <c r="C1577" s="1"/>
      <c r="D1577" s="1"/>
      <c r="F1577" s="7"/>
      <c r="G1577" s="1"/>
      <c r="H1577" s="1"/>
      <c r="I1577" s="1"/>
    </row>
    <row r="1578" spans="1:9" x14ac:dyDescent="0.25">
      <c r="A1578" s="7"/>
      <c r="B1578" s="1"/>
      <c r="C1578" s="1"/>
      <c r="D1578" s="1"/>
      <c r="F1578" s="7"/>
      <c r="G1578" s="1"/>
      <c r="H1578" s="1"/>
      <c r="I1578" s="1"/>
    </row>
    <row r="1579" spans="1:9" x14ac:dyDescent="0.25">
      <c r="A1579" s="7"/>
      <c r="B1579" s="1"/>
      <c r="C1579" s="1"/>
      <c r="D1579" s="1"/>
      <c r="F1579" s="7"/>
      <c r="G1579" s="1"/>
      <c r="H1579" s="1"/>
      <c r="I1579" s="1"/>
    </row>
    <row r="1580" spans="1:9" x14ac:dyDescent="0.25">
      <c r="A1580" s="7"/>
      <c r="B1580" s="1"/>
      <c r="C1580" s="1"/>
      <c r="D1580" s="1"/>
      <c r="F1580" s="7"/>
      <c r="G1580" s="1"/>
      <c r="H1580" s="1"/>
      <c r="I1580" s="1"/>
    </row>
    <row r="1581" spans="1:9" x14ac:dyDescent="0.25">
      <c r="A1581" s="7"/>
      <c r="B1581" s="1"/>
      <c r="C1581" s="1"/>
      <c r="D1581" s="1"/>
      <c r="F1581" s="7"/>
      <c r="G1581" s="1"/>
      <c r="H1581" s="1"/>
      <c r="I1581" s="1"/>
    </row>
    <row r="1582" spans="1:9" x14ac:dyDescent="0.25">
      <c r="A1582" s="7"/>
      <c r="B1582" s="1"/>
      <c r="C1582" s="1"/>
      <c r="D1582" s="1"/>
      <c r="F1582" s="7"/>
      <c r="G1582" s="1"/>
      <c r="H1582" s="1"/>
      <c r="I1582" s="1"/>
    </row>
    <row r="1583" spans="1:9" x14ac:dyDescent="0.25">
      <c r="A1583" s="7"/>
      <c r="B1583" s="1"/>
      <c r="C1583" s="1"/>
      <c r="D1583" s="1"/>
      <c r="F1583" s="7"/>
      <c r="G1583" s="1"/>
      <c r="H1583" s="1"/>
      <c r="I1583" s="1"/>
    </row>
    <row r="1584" spans="1:9" x14ac:dyDescent="0.25">
      <c r="A1584" s="7"/>
      <c r="B1584" s="1"/>
      <c r="C1584" s="1"/>
      <c r="D1584" s="1"/>
      <c r="F1584" s="7"/>
      <c r="G1584" s="1"/>
      <c r="H1584" s="1"/>
      <c r="I1584" s="1"/>
    </row>
    <row r="1585" spans="1:9" x14ac:dyDescent="0.25">
      <c r="A1585" s="7"/>
      <c r="B1585" s="1"/>
      <c r="C1585" s="1"/>
      <c r="D1585" s="1"/>
      <c r="F1585" s="7"/>
      <c r="G1585" s="1"/>
      <c r="H1585" s="1"/>
      <c r="I1585" s="1"/>
    </row>
    <row r="1586" spans="1:9" x14ac:dyDescent="0.25">
      <c r="A1586" s="7"/>
      <c r="B1586" s="1"/>
      <c r="C1586" s="1"/>
      <c r="D1586" s="1"/>
      <c r="F1586" s="7"/>
      <c r="G1586" s="1"/>
      <c r="H1586" s="1"/>
      <c r="I1586" s="1"/>
    </row>
    <row r="1587" spans="1:9" x14ac:dyDescent="0.25">
      <c r="A1587" s="7"/>
      <c r="B1587" s="1"/>
      <c r="C1587" s="1"/>
      <c r="D1587" s="1"/>
      <c r="F1587" s="7"/>
      <c r="G1587" s="1"/>
      <c r="H1587" s="1"/>
      <c r="I1587" s="1"/>
    </row>
    <row r="1588" spans="1:9" x14ac:dyDescent="0.25">
      <c r="A1588" s="7"/>
      <c r="B1588" s="1"/>
      <c r="C1588" s="1"/>
      <c r="D1588" s="1"/>
      <c r="F1588" s="7"/>
      <c r="G1588" s="1"/>
      <c r="H1588" s="1"/>
      <c r="I1588" s="1"/>
    </row>
    <row r="1589" spans="1:9" x14ac:dyDescent="0.25">
      <c r="A1589" s="7"/>
      <c r="B1589" s="1"/>
      <c r="C1589" s="1"/>
      <c r="D1589" s="1"/>
      <c r="F1589" s="7"/>
      <c r="G1589" s="1"/>
      <c r="H1589" s="1"/>
      <c r="I1589" s="1"/>
    </row>
    <row r="1590" spans="1:9" x14ac:dyDescent="0.25">
      <c r="A1590" s="7"/>
      <c r="B1590" s="1"/>
      <c r="C1590" s="1"/>
      <c r="D1590" s="1"/>
      <c r="F1590" s="7"/>
      <c r="G1590" s="1"/>
      <c r="H1590" s="1"/>
      <c r="I1590" s="1"/>
    </row>
    <row r="1591" spans="1:9" x14ac:dyDescent="0.25">
      <c r="A1591" s="7"/>
      <c r="B1591" s="1"/>
      <c r="C1591" s="1"/>
      <c r="D1591" s="1"/>
      <c r="F1591" s="7"/>
      <c r="G1591" s="1"/>
      <c r="H1591" s="1"/>
      <c r="I1591" s="1"/>
    </row>
    <row r="1592" spans="1:9" x14ac:dyDescent="0.25">
      <c r="A1592" s="7"/>
      <c r="B1592" s="1"/>
      <c r="C1592" s="1"/>
      <c r="D1592" s="1"/>
      <c r="F1592" s="7"/>
      <c r="G1592" s="1"/>
      <c r="H1592" s="1"/>
      <c r="I1592" s="1"/>
    </row>
    <row r="1593" spans="1:9" x14ac:dyDescent="0.25">
      <c r="A1593" s="7"/>
      <c r="B1593" s="1"/>
      <c r="C1593" s="1"/>
      <c r="D1593" s="1"/>
      <c r="F1593" s="7"/>
      <c r="G1593" s="1"/>
      <c r="H1593" s="1"/>
      <c r="I1593" s="1"/>
    </row>
    <row r="1594" spans="1:9" x14ac:dyDescent="0.25">
      <c r="A1594" s="7"/>
      <c r="B1594" s="1"/>
      <c r="C1594" s="1"/>
      <c r="D1594" s="1"/>
      <c r="F1594" s="7"/>
      <c r="G1594" s="1"/>
      <c r="H1594" s="1"/>
      <c r="I1594" s="1"/>
    </row>
    <row r="1595" spans="1:9" x14ac:dyDescent="0.25">
      <c r="A1595" s="7"/>
      <c r="B1595" s="1"/>
      <c r="C1595" s="1"/>
      <c r="D1595" s="1"/>
      <c r="F1595" s="7"/>
      <c r="G1595" s="1"/>
      <c r="H1595" s="1"/>
      <c r="I1595" s="1"/>
    </row>
    <row r="1596" spans="1:9" x14ac:dyDescent="0.25">
      <c r="A1596" s="7"/>
      <c r="B1596" s="1"/>
      <c r="C1596" s="1"/>
      <c r="D1596" s="1"/>
      <c r="F1596" s="7"/>
      <c r="G1596" s="1"/>
      <c r="H1596" s="1"/>
      <c r="I1596" s="1"/>
    </row>
    <row r="1597" spans="1:9" x14ac:dyDescent="0.25">
      <c r="A1597" s="7"/>
      <c r="B1597" s="1"/>
      <c r="C1597" s="1"/>
      <c r="D1597" s="1"/>
      <c r="F1597" s="7"/>
      <c r="G1597" s="1"/>
      <c r="H1597" s="1"/>
      <c r="I1597" s="1"/>
    </row>
    <row r="1598" spans="1:9" x14ac:dyDescent="0.25">
      <c r="A1598" s="7"/>
      <c r="B1598" s="1"/>
      <c r="C1598" s="1"/>
      <c r="D1598" s="1"/>
      <c r="F1598" s="7"/>
      <c r="G1598" s="1"/>
      <c r="H1598" s="1"/>
      <c r="I1598" s="1"/>
    </row>
    <row r="1599" spans="1:9" x14ac:dyDescent="0.25">
      <c r="A1599" s="7"/>
      <c r="B1599" s="1"/>
      <c r="C1599" s="1"/>
      <c r="D1599" s="1"/>
      <c r="F1599" s="7"/>
      <c r="G1599" s="1"/>
      <c r="H1599" s="1"/>
      <c r="I1599" s="1"/>
    </row>
    <row r="1600" spans="1:9" x14ac:dyDescent="0.25">
      <c r="A1600" s="7"/>
      <c r="B1600" s="1"/>
      <c r="C1600" s="1"/>
      <c r="D1600" s="1"/>
      <c r="F1600" s="7"/>
      <c r="G1600" s="1"/>
      <c r="H1600" s="1"/>
      <c r="I1600" s="1"/>
    </row>
    <row r="1601" spans="1:9" x14ac:dyDescent="0.25">
      <c r="A1601" s="7"/>
      <c r="B1601" s="1"/>
      <c r="C1601" s="1"/>
      <c r="D1601" s="1"/>
      <c r="F1601" s="7"/>
      <c r="G1601" s="1"/>
      <c r="H1601" s="1"/>
      <c r="I1601" s="1"/>
    </row>
    <row r="1602" spans="1:9" x14ac:dyDescent="0.25">
      <c r="A1602" s="7"/>
      <c r="B1602" s="1"/>
      <c r="C1602" s="1"/>
      <c r="D1602" s="1"/>
      <c r="F1602" s="7"/>
      <c r="G1602" s="1"/>
      <c r="H1602" s="1"/>
      <c r="I1602" s="1"/>
    </row>
    <row r="1603" spans="1:9" x14ac:dyDescent="0.25">
      <c r="A1603" s="7"/>
      <c r="B1603" s="1"/>
      <c r="C1603" s="1"/>
      <c r="D1603" s="1"/>
      <c r="F1603" s="7"/>
      <c r="G1603" s="1"/>
      <c r="H1603" s="1"/>
      <c r="I1603" s="1"/>
    </row>
    <row r="1604" spans="1:9" x14ac:dyDescent="0.25">
      <c r="A1604" s="7"/>
      <c r="B1604" s="1"/>
      <c r="C1604" s="1"/>
      <c r="D1604" s="1"/>
      <c r="F1604" s="7"/>
      <c r="G1604" s="1"/>
      <c r="H1604" s="1"/>
      <c r="I1604" s="1"/>
    </row>
    <row r="1605" spans="1:9" x14ac:dyDescent="0.25">
      <c r="A1605" s="7"/>
      <c r="B1605" s="1"/>
      <c r="C1605" s="1"/>
      <c r="D1605" s="1"/>
      <c r="F1605" s="7"/>
      <c r="G1605" s="1"/>
      <c r="H1605" s="1"/>
      <c r="I1605" s="1"/>
    </row>
    <row r="1606" spans="1:9" x14ac:dyDescent="0.25">
      <c r="A1606" s="7"/>
      <c r="B1606" s="1"/>
      <c r="C1606" s="1"/>
      <c r="D1606" s="1"/>
      <c r="F1606" s="7"/>
      <c r="G1606" s="1"/>
      <c r="H1606" s="1"/>
      <c r="I1606" s="1"/>
    </row>
    <row r="1607" spans="1:9" x14ac:dyDescent="0.25">
      <c r="A1607" s="7"/>
      <c r="B1607" s="1"/>
      <c r="C1607" s="1"/>
      <c r="D1607" s="1"/>
      <c r="F1607" s="7"/>
      <c r="G1607" s="1"/>
      <c r="H1607" s="1"/>
      <c r="I1607" s="1"/>
    </row>
    <row r="1608" spans="1:9" x14ac:dyDescent="0.25">
      <c r="A1608" s="7"/>
      <c r="B1608" s="1"/>
      <c r="C1608" s="1"/>
      <c r="D1608" s="1"/>
      <c r="F1608" s="7"/>
      <c r="G1608" s="1"/>
      <c r="H1608" s="1"/>
      <c r="I1608" s="1"/>
    </row>
    <row r="1609" spans="1:9" x14ac:dyDescent="0.25">
      <c r="A1609" s="7"/>
      <c r="B1609" s="1"/>
      <c r="C1609" s="1"/>
      <c r="D1609" s="1"/>
      <c r="F1609" s="7"/>
      <c r="G1609" s="1"/>
      <c r="H1609" s="1"/>
      <c r="I1609" s="1"/>
    </row>
    <row r="1610" spans="1:9" x14ac:dyDescent="0.25">
      <c r="A1610" s="7"/>
      <c r="B1610" s="1"/>
      <c r="C1610" s="1"/>
      <c r="D1610" s="1"/>
      <c r="F1610" s="7"/>
      <c r="G1610" s="1"/>
      <c r="H1610" s="1"/>
      <c r="I1610" s="1"/>
    </row>
    <row r="1611" spans="1:9" x14ac:dyDescent="0.25">
      <c r="A1611" s="7"/>
      <c r="B1611" s="1"/>
      <c r="C1611" s="1"/>
      <c r="D1611" s="1"/>
      <c r="F1611" s="7"/>
      <c r="G1611" s="1"/>
      <c r="H1611" s="1"/>
      <c r="I1611" s="1"/>
    </row>
    <row r="1612" spans="1:9" x14ac:dyDescent="0.25">
      <c r="A1612" s="7"/>
      <c r="B1612" s="1"/>
      <c r="C1612" s="1"/>
      <c r="D1612" s="1"/>
      <c r="F1612" s="7"/>
      <c r="G1612" s="1"/>
      <c r="H1612" s="1"/>
      <c r="I1612" s="1"/>
    </row>
    <row r="1613" spans="1:9" x14ac:dyDescent="0.25">
      <c r="A1613" s="7"/>
      <c r="B1613" s="1"/>
      <c r="C1613" s="1"/>
      <c r="D1613" s="1"/>
      <c r="F1613" s="7"/>
      <c r="G1613" s="1"/>
      <c r="H1613" s="1"/>
      <c r="I1613" s="1"/>
    </row>
    <row r="1614" spans="1:9" x14ac:dyDescent="0.25">
      <c r="A1614" s="7"/>
      <c r="B1614" s="1"/>
      <c r="C1614" s="1"/>
      <c r="D1614" s="1"/>
      <c r="F1614" s="7"/>
      <c r="G1614" s="1"/>
      <c r="H1614" s="1"/>
      <c r="I1614" s="1"/>
    </row>
    <row r="1615" spans="1:9" x14ac:dyDescent="0.25">
      <c r="A1615" s="7"/>
      <c r="B1615" s="1"/>
      <c r="C1615" s="1"/>
      <c r="D1615" s="1"/>
      <c r="F1615" s="7"/>
      <c r="G1615" s="1"/>
      <c r="H1615" s="1"/>
      <c r="I1615" s="1"/>
    </row>
    <row r="1616" spans="1:9" x14ac:dyDescent="0.25">
      <c r="A1616" s="7"/>
      <c r="B1616" s="1"/>
      <c r="C1616" s="1"/>
      <c r="D1616" s="1"/>
      <c r="F1616" s="7"/>
      <c r="G1616" s="1"/>
      <c r="H1616" s="1"/>
      <c r="I1616" s="1"/>
    </row>
    <row r="1617" spans="1:9" x14ac:dyDescent="0.25">
      <c r="A1617" s="7"/>
      <c r="B1617" s="1"/>
      <c r="C1617" s="1"/>
      <c r="D1617" s="1"/>
      <c r="F1617" s="7"/>
      <c r="G1617" s="1"/>
      <c r="H1617" s="1"/>
      <c r="I1617" s="1"/>
    </row>
    <row r="1618" spans="1:9" x14ac:dyDescent="0.25">
      <c r="A1618" s="7"/>
      <c r="B1618" s="1"/>
      <c r="C1618" s="1"/>
      <c r="D1618" s="1"/>
      <c r="F1618" s="7"/>
      <c r="G1618" s="1"/>
      <c r="H1618" s="1"/>
      <c r="I1618" s="1"/>
    </row>
    <row r="1619" spans="1:9" x14ac:dyDescent="0.25">
      <c r="A1619" s="7"/>
      <c r="B1619" s="1"/>
      <c r="C1619" s="1"/>
      <c r="D1619" s="1"/>
      <c r="F1619" s="7"/>
      <c r="G1619" s="1"/>
      <c r="H1619" s="1"/>
      <c r="I1619" s="1"/>
    </row>
    <row r="1620" spans="1:9" x14ac:dyDescent="0.25">
      <c r="A1620" s="7"/>
      <c r="B1620" s="1"/>
      <c r="C1620" s="1"/>
      <c r="D1620" s="1"/>
      <c r="F1620" s="7"/>
      <c r="G1620" s="1"/>
      <c r="H1620" s="1"/>
      <c r="I1620" s="1"/>
    </row>
    <row r="1621" spans="1:9" x14ac:dyDescent="0.25">
      <c r="A1621" s="7"/>
      <c r="B1621" s="1"/>
      <c r="C1621" s="1"/>
      <c r="D1621" s="1"/>
      <c r="F1621" s="7"/>
      <c r="G1621" s="1"/>
      <c r="H1621" s="1"/>
      <c r="I1621" s="1"/>
    </row>
    <row r="1622" spans="1:9" x14ac:dyDescent="0.25">
      <c r="A1622" s="7"/>
      <c r="B1622" s="1"/>
      <c r="C1622" s="1"/>
      <c r="D1622" s="1"/>
      <c r="F1622" s="7"/>
      <c r="G1622" s="1"/>
      <c r="H1622" s="1"/>
      <c r="I1622" s="1"/>
    </row>
    <row r="1623" spans="1:9" x14ac:dyDescent="0.25">
      <c r="A1623" s="7"/>
      <c r="B1623" s="1"/>
      <c r="C1623" s="1"/>
      <c r="D1623" s="1"/>
      <c r="F1623" s="7"/>
      <c r="G1623" s="1"/>
      <c r="H1623" s="1"/>
      <c r="I1623" s="1"/>
    </row>
    <row r="1624" spans="1:9" x14ac:dyDescent="0.25">
      <c r="A1624" s="7"/>
      <c r="B1624" s="1"/>
      <c r="C1624" s="1"/>
      <c r="D1624" s="1"/>
      <c r="F1624" s="7"/>
      <c r="G1624" s="1"/>
      <c r="H1624" s="1"/>
      <c r="I1624" s="1"/>
    </row>
    <row r="1625" spans="1:9" x14ac:dyDescent="0.25">
      <c r="A1625" s="7"/>
      <c r="B1625" s="1"/>
      <c r="C1625" s="1"/>
      <c r="D1625" s="1"/>
      <c r="F1625" s="7"/>
      <c r="G1625" s="1"/>
      <c r="H1625" s="1"/>
      <c r="I1625" s="1"/>
    </row>
    <row r="1626" spans="1:9" x14ac:dyDescent="0.25">
      <c r="A1626" s="7"/>
      <c r="B1626" s="1"/>
      <c r="C1626" s="1"/>
      <c r="D1626" s="1"/>
      <c r="F1626" s="7"/>
      <c r="G1626" s="1"/>
      <c r="H1626" s="1"/>
      <c r="I1626" s="1"/>
    </row>
    <row r="1627" spans="1:9" x14ac:dyDescent="0.25">
      <c r="A1627" s="7"/>
      <c r="B1627" s="1"/>
      <c r="C1627" s="1"/>
      <c r="D1627" s="1"/>
      <c r="F1627" s="7"/>
      <c r="G1627" s="1"/>
      <c r="H1627" s="1"/>
      <c r="I1627" s="1"/>
    </row>
    <row r="1628" spans="1:9" x14ac:dyDescent="0.25">
      <c r="A1628" s="7"/>
      <c r="B1628" s="1"/>
      <c r="C1628" s="1"/>
      <c r="D1628" s="1"/>
      <c r="F1628" s="7"/>
      <c r="G1628" s="1"/>
      <c r="H1628" s="1"/>
      <c r="I1628" s="1"/>
    </row>
    <row r="1629" spans="1:9" x14ac:dyDescent="0.25">
      <c r="A1629" s="7"/>
      <c r="B1629" s="1"/>
      <c r="C1629" s="1"/>
      <c r="D1629" s="1"/>
      <c r="F1629" s="7"/>
      <c r="G1629" s="1"/>
      <c r="H1629" s="1"/>
      <c r="I1629" s="1"/>
    </row>
    <row r="1630" spans="1:9" x14ac:dyDescent="0.25">
      <c r="A1630" s="7"/>
      <c r="B1630" s="1"/>
      <c r="C1630" s="1"/>
      <c r="D1630" s="1"/>
      <c r="F1630" s="7"/>
      <c r="G1630" s="1"/>
      <c r="H1630" s="1"/>
      <c r="I1630" s="1"/>
    </row>
    <row r="1631" spans="1:9" x14ac:dyDescent="0.25">
      <c r="A1631" s="7"/>
      <c r="B1631" s="1"/>
      <c r="C1631" s="1"/>
      <c r="D1631" s="1"/>
      <c r="F1631" s="7"/>
      <c r="G1631" s="1"/>
      <c r="H1631" s="1"/>
      <c r="I1631" s="1"/>
    </row>
    <row r="1632" spans="1:9" x14ac:dyDescent="0.25">
      <c r="A1632" s="7"/>
      <c r="B1632" s="1"/>
      <c r="C1632" s="1"/>
      <c r="D1632" s="1"/>
      <c r="F1632" s="7"/>
      <c r="G1632" s="1"/>
      <c r="H1632" s="1"/>
      <c r="I1632" s="1"/>
    </row>
    <row r="1633" spans="1:9" x14ac:dyDescent="0.25">
      <c r="A1633" s="7"/>
      <c r="B1633" s="1"/>
      <c r="C1633" s="1"/>
      <c r="D1633" s="1"/>
      <c r="F1633" s="7"/>
      <c r="G1633" s="1"/>
      <c r="H1633" s="1"/>
      <c r="I1633" s="1"/>
    </row>
    <row r="1634" spans="1:9" x14ac:dyDescent="0.25">
      <c r="A1634" s="7"/>
      <c r="B1634" s="1"/>
      <c r="C1634" s="1"/>
      <c r="D1634" s="1"/>
      <c r="F1634" s="7"/>
      <c r="G1634" s="1"/>
      <c r="H1634" s="1"/>
      <c r="I1634" s="1"/>
    </row>
    <row r="1635" spans="1:9" x14ac:dyDescent="0.25">
      <c r="A1635" s="7"/>
      <c r="B1635" s="1"/>
      <c r="C1635" s="1"/>
      <c r="D1635" s="1"/>
      <c r="F1635" s="7"/>
      <c r="G1635" s="1"/>
      <c r="H1635" s="1"/>
      <c r="I1635" s="1"/>
    </row>
    <row r="1636" spans="1:9" x14ac:dyDescent="0.25">
      <c r="A1636" s="7"/>
      <c r="B1636" s="1"/>
      <c r="C1636" s="1"/>
      <c r="D1636" s="1"/>
      <c r="F1636" s="7"/>
      <c r="G1636" s="1"/>
      <c r="H1636" s="1"/>
      <c r="I1636" s="1"/>
    </row>
    <row r="1637" spans="1:9" x14ac:dyDescent="0.25">
      <c r="A1637" s="7"/>
      <c r="B1637" s="1"/>
      <c r="C1637" s="1"/>
      <c r="D1637" s="1"/>
      <c r="F1637" s="7"/>
      <c r="G1637" s="1"/>
      <c r="H1637" s="1"/>
      <c r="I1637" s="1"/>
    </row>
    <row r="1638" spans="1:9" x14ac:dyDescent="0.25">
      <c r="A1638" s="7"/>
      <c r="B1638" s="1"/>
      <c r="C1638" s="1"/>
      <c r="D1638" s="1"/>
      <c r="F1638" s="7"/>
      <c r="G1638" s="1"/>
      <c r="H1638" s="1"/>
      <c r="I1638" s="1"/>
    </row>
    <row r="1639" spans="1:9" x14ac:dyDescent="0.25">
      <c r="A1639" s="7"/>
      <c r="B1639" s="1"/>
      <c r="C1639" s="1"/>
      <c r="D1639" s="1"/>
      <c r="F1639" s="7"/>
      <c r="G1639" s="1"/>
      <c r="H1639" s="1"/>
      <c r="I1639" s="1"/>
    </row>
    <row r="1640" spans="1:9" x14ac:dyDescent="0.25">
      <c r="A1640" s="7"/>
      <c r="B1640" s="1"/>
      <c r="C1640" s="1"/>
      <c r="D1640" s="1"/>
      <c r="F1640" s="7"/>
      <c r="G1640" s="1"/>
      <c r="H1640" s="1"/>
      <c r="I1640" s="1"/>
    </row>
    <row r="1641" spans="1:9" x14ac:dyDescent="0.25">
      <c r="A1641" s="7"/>
      <c r="B1641" s="1"/>
      <c r="C1641" s="1"/>
      <c r="D1641" s="1"/>
      <c r="F1641" s="7"/>
      <c r="G1641" s="1"/>
      <c r="H1641" s="1"/>
      <c r="I1641" s="1"/>
    </row>
    <row r="1642" spans="1:9" x14ac:dyDescent="0.25">
      <c r="A1642" s="7"/>
      <c r="B1642" s="1"/>
      <c r="C1642" s="1"/>
      <c r="D1642" s="1"/>
      <c r="F1642" s="7"/>
      <c r="G1642" s="1"/>
      <c r="H1642" s="1"/>
      <c r="I1642" s="1"/>
    </row>
    <row r="1643" spans="1:9" x14ac:dyDescent="0.25">
      <c r="A1643" s="7"/>
      <c r="B1643" s="1"/>
      <c r="C1643" s="1"/>
      <c r="D1643" s="1"/>
      <c r="F1643" s="7"/>
      <c r="G1643" s="1"/>
      <c r="H1643" s="1"/>
      <c r="I1643" s="1"/>
    </row>
    <row r="1644" spans="1:9" x14ac:dyDescent="0.25">
      <c r="A1644" s="7"/>
      <c r="B1644" s="1"/>
      <c r="C1644" s="1"/>
      <c r="D1644" s="1"/>
      <c r="F1644" s="7"/>
      <c r="G1644" s="1"/>
      <c r="H1644" s="1"/>
      <c r="I1644" s="1"/>
    </row>
    <row r="1645" spans="1:9" x14ac:dyDescent="0.25">
      <c r="A1645" s="7"/>
      <c r="B1645" s="1"/>
      <c r="C1645" s="1"/>
      <c r="D1645" s="1"/>
      <c r="F1645" s="7"/>
      <c r="G1645" s="1"/>
      <c r="H1645" s="1"/>
      <c r="I1645" s="1"/>
    </row>
    <row r="1646" spans="1:9" x14ac:dyDescent="0.25">
      <c r="A1646" s="7"/>
      <c r="B1646" s="1"/>
      <c r="C1646" s="1"/>
      <c r="D1646" s="1"/>
      <c r="F1646" s="7"/>
      <c r="G1646" s="1"/>
      <c r="H1646" s="1"/>
      <c r="I1646" s="1"/>
    </row>
    <row r="1647" spans="1:9" x14ac:dyDescent="0.25">
      <c r="A1647" s="7"/>
      <c r="B1647" s="1"/>
      <c r="C1647" s="1"/>
      <c r="D1647" s="1"/>
      <c r="F1647" s="7"/>
      <c r="G1647" s="1"/>
      <c r="H1647" s="1"/>
      <c r="I1647" s="1"/>
    </row>
    <row r="1648" spans="1:9" x14ac:dyDescent="0.25">
      <c r="A1648" s="7"/>
      <c r="B1648" s="1"/>
      <c r="C1648" s="1"/>
      <c r="D1648" s="1"/>
      <c r="F1648" s="7"/>
      <c r="G1648" s="1"/>
      <c r="H1648" s="1"/>
      <c r="I1648" s="1"/>
    </row>
    <row r="1649" spans="1:9" x14ac:dyDescent="0.25">
      <c r="A1649" s="7"/>
      <c r="B1649" s="1"/>
      <c r="C1649" s="1"/>
      <c r="D1649" s="1"/>
      <c r="F1649" s="7"/>
      <c r="G1649" s="1"/>
      <c r="H1649" s="1"/>
      <c r="I1649" s="1"/>
    </row>
    <row r="1650" spans="1:9" x14ac:dyDescent="0.25">
      <c r="A1650" s="7"/>
      <c r="B1650" s="1"/>
      <c r="C1650" s="1"/>
      <c r="D1650" s="1"/>
      <c r="F1650" s="7"/>
      <c r="G1650" s="1"/>
      <c r="H1650" s="1"/>
      <c r="I1650" s="1"/>
    </row>
    <row r="1651" spans="1:9" x14ac:dyDescent="0.25">
      <c r="A1651" s="7"/>
      <c r="B1651" s="1"/>
      <c r="C1651" s="1"/>
      <c r="D1651" s="1"/>
      <c r="F1651" s="7"/>
      <c r="G1651" s="1"/>
      <c r="H1651" s="1"/>
      <c r="I1651" s="1"/>
    </row>
    <row r="1652" spans="1:9" x14ac:dyDescent="0.25">
      <c r="A1652" s="7"/>
      <c r="B1652" s="1"/>
      <c r="C1652" s="1"/>
      <c r="D1652" s="1"/>
      <c r="F1652" s="7"/>
      <c r="G1652" s="1"/>
      <c r="H1652" s="1"/>
      <c r="I1652" s="1"/>
    </row>
    <row r="1653" spans="1:9" x14ac:dyDescent="0.25">
      <c r="A1653" s="7"/>
      <c r="B1653" s="1"/>
      <c r="C1653" s="1"/>
      <c r="D1653" s="1"/>
      <c r="F1653" s="7"/>
      <c r="G1653" s="1"/>
      <c r="H1653" s="1"/>
      <c r="I1653" s="1"/>
    </row>
    <row r="1654" spans="1:9" x14ac:dyDescent="0.25">
      <c r="A1654" s="7"/>
      <c r="B1654" s="1"/>
      <c r="C1654" s="1"/>
      <c r="D1654" s="1"/>
      <c r="F1654" s="7"/>
      <c r="G1654" s="1"/>
      <c r="H1654" s="1"/>
      <c r="I1654" s="1"/>
    </row>
    <row r="1655" spans="1:9" x14ac:dyDescent="0.25">
      <c r="A1655" s="7"/>
      <c r="B1655" s="1"/>
      <c r="C1655" s="1"/>
      <c r="D1655" s="1"/>
      <c r="F1655" s="7"/>
      <c r="G1655" s="1"/>
      <c r="H1655" s="1"/>
      <c r="I1655" s="1"/>
    </row>
    <row r="1656" spans="1:9" x14ac:dyDescent="0.25">
      <c r="A1656" s="7"/>
      <c r="B1656" s="1"/>
      <c r="C1656" s="1"/>
      <c r="D1656" s="1"/>
      <c r="F1656" s="7"/>
      <c r="G1656" s="1"/>
      <c r="H1656" s="1"/>
      <c r="I1656" s="1"/>
    </row>
    <row r="1657" spans="1:9" x14ac:dyDescent="0.25">
      <c r="A1657" s="7"/>
      <c r="B1657" s="1"/>
      <c r="C1657" s="1"/>
      <c r="D1657" s="1"/>
      <c r="F1657" s="7"/>
      <c r="G1657" s="1"/>
      <c r="H1657" s="1"/>
      <c r="I1657" s="1"/>
    </row>
    <row r="1658" spans="1:9" x14ac:dyDescent="0.25">
      <c r="A1658" s="7"/>
      <c r="B1658" s="1"/>
      <c r="C1658" s="1"/>
      <c r="D1658" s="1"/>
      <c r="F1658" s="7"/>
      <c r="G1658" s="1"/>
      <c r="H1658" s="1"/>
      <c r="I1658" s="1"/>
    </row>
    <row r="1659" spans="1:9" x14ac:dyDescent="0.25">
      <c r="A1659" s="7"/>
      <c r="B1659" s="1"/>
      <c r="C1659" s="1"/>
      <c r="D1659" s="1"/>
      <c r="F1659" s="7"/>
      <c r="G1659" s="1"/>
      <c r="H1659" s="1"/>
      <c r="I1659" s="1"/>
    </row>
    <row r="1660" spans="1:9" x14ac:dyDescent="0.25">
      <c r="A1660" s="7"/>
      <c r="B1660" s="1"/>
      <c r="C1660" s="1"/>
      <c r="D1660" s="1"/>
      <c r="F1660" s="7"/>
      <c r="G1660" s="1"/>
      <c r="H1660" s="1"/>
      <c r="I1660" s="1"/>
    </row>
    <row r="1661" spans="1:9" x14ac:dyDescent="0.25">
      <c r="A1661" s="7"/>
      <c r="B1661" s="1"/>
      <c r="C1661" s="1"/>
      <c r="D1661" s="1"/>
      <c r="F1661" s="7"/>
      <c r="G1661" s="1"/>
      <c r="H1661" s="1"/>
      <c r="I1661" s="1"/>
    </row>
    <row r="1662" spans="1:9" x14ac:dyDescent="0.25">
      <c r="A1662" s="7"/>
      <c r="B1662" s="1"/>
      <c r="C1662" s="1"/>
      <c r="D1662" s="1"/>
      <c r="F1662" s="7"/>
      <c r="G1662" s="1"/>
      <c r="H1662" s="1"/>
      <c r="I1662" s="1"/>
    </row>
    <row r="1663" spans="1:9" x14ac:dyDescent="0.25">
      <c r="A1663" s="7"/>
      <c r="B1663" s="1"/>
      <c r="C1663" s="1"/>
      <c r="D1663" s="1"/>
      <c r="F1663" s="7"/>
      <c r="G1663" s="1"/>
      <c r="H1663" s="1"/>
      <c r="I1663" s="1"/>
    </row>
    <row r="1664" spans="1:9" x14ac:dyDescent="0.25">
      <c r="A1664" s="7"/>
      <c r="B1664" s="1"/>
      <c r="C1664" s="1"/>
      <c r="D1664" s="1"/>
      <c r="F1664" s="7"/>
      <c r="G1664" s="1"/>
      <c r="H1664" s="1"/>
      <c r="I1664" s="1"/>
    </row>
    <row r="1665" spans="1:9" x14ac:dyDescent="0.25">
      <c r="A1665" s="7"/>
      <c r="B1665" s="1"/>
      <c r="C1665" s="1"/>
      <c r="D1665" s="1"/>
      <c r="F1665" s="7"/>
      <c r="G1665" s="1"/>
      <c r="H1665" s="1"/>
      <c r="I1665" s="1"/>
    </row>
    <row r="1666" spans="1:9" x14ac:dyDescent="0.25">
      <c r="A1666" s="7"/>
      <c r="B1666" s="1"/>
      <c r="C1666" s="1"/>
      <c r="D1666" s="1"/>
      <c r="F1666" s="7"/>
      <c r="G1666" s="1"/>
      <c r="H1666" s="1"/>
      <c r="I1666" s="1"/>
    </row>
    <row r="1667" spans="1:9" x14ac:dyDescent="0.25">
      <c r="A1667" s="7"/>
      <c r="B1667" s="1"/>
      <c r="C1667" s="1"/>
      <c r="D1667" s="1"/>
      <c r="F1667" s="7"/>
      <c r="G1667" s="1"/>
      <c r="H1667" s="1"/>
      <c r="I1667" s="1"/>
    </row>
    <row r="1668" spans="1:9" x14ac:dyDescent="0.25">
      <c r="A1668" s="7"/>
      <c r="B1668" s="1"/>
      <c r="C1668" s="1"/>
      <c r="D1668" s="1"/>
      <c r="F1668" s="7"/>
      <c r="G1668" s="1"/>
      <c r="H1668" s="1"/>
      <c r="I1668" s="1"/>
    </row>
    <row r="1669" spans="1:9" x14ac:dyDescent="0.25">
      <c r="A1669" s="7"/>
      <c r="B1669" s="1"/>
      <c r="C1669" s="1"/>
      <c r="D1669" s="1"/>
      <c r="F1669" s="7"/>
      <c r="G1669" s="1"/>
      <c r="H1669" s="1"/>
      <c r="I1669" s="1"/>
    </row>
    <row r="1670" spans="1:9" x14ac:dyDescent="0.25">
      <c r="A1670" s="7"/>
      <c r="B1670" s="1"/>
      <c r="C1670" s="1"/>
      <c r="D1670" s="1"/>
      <c r="F1670" s="7"/>
      <c r="G1670" s="1"/>
      <c r="H1670" s="1"/>
      <c r="I1670" s="1"/>
    </row>
    <row r="1671" spans="1:9" x14ac:dyDescent="0.25">
      <c r="A1671" s="7"/>
      <c r="B1671" s="1"/>
      <c r="C1671" s="1"/>
      <c r="D1671" s="1"/>
      <c r="F1671" s="7"/>
      <c r="G1671" s="1"/>
      <c r="H1671" s="1"/>
      <c r="I1671" s="1"/>
    </row>
    <row r="1672" spans="1:9" x14ac:dyDescent="0.25">
      <c r="A1672" s="7"/>
      <c r="B1672" s="1"/>
      <c r="C1672" s="1"/>
      <c r="D1672" s="1"/>
      <c r="F1672" s="7"/>
      <c r="G1672" s="1"/>
      <c r="H1672" s="1"/>
      <c r="I1672" s="1"/>
    </row>
    <row r="1673" spans="1:9" x14ac:dyDescent="0.25">
      <c r="A1673" s="7"/>
      <c r="B1673" s="1"/>
      <c r="C1673" s="1"/>
      <c r="D1673" s="1"/>
      <c r="F1673" s="7"/>
      <c r="G1673" s="1"/>
      <c r="H1673" s="1"/>
      <c r="I1673" s="1"/>
    </row>
    <row r="1674" spans="1:9" x14ac:dyDescent="0.25">
      <c r="A1674" s="7"/>
      <c r="B1674" s="1"/>
      <c r="C1674" s="1"/>
      <c r="D1674" s="1"/>
      <c r="F1674" s="7"/>
      <c r="G1674" s="1"/>
      <c r="H1674" s="1"/>
      <c r="I1674" s="1"/>
    </row>
    <row r="1675" spans="1:9" x14ac:dyDescent="0.25">
      <c r="A1675" s="7"/>
      <c r="B1675" s="1"/>
      <c r="C1675" s="1"/>
      <c r="D1675" s="1"/>
      <c r="F1675" s="7"/>
      <c r="G1675" s="1"/>
      <c r="H1675" s="1"/>
      <c r="I1675" s="1"/>
    </row>
    <row r="1676" spans="1:9" x14ac:dyDescent="0.25">
      <c r="A1676" s="7"/>
      <c r="B1676" s="1"/>
      <c r="C1676" s="1"/>
      <c r="D1676" s="1"/>
      <c r="F1676" s="7"/>
      <c r="G1676" s="1"/>
      <c r="H1676" s="1"/>
      <c r="I1676" s="1"/>
    </row>
    <row r="1677" spans="1:9" x14ac:dyDescent="0.25">
      <c r="A1677" s="7"/>
      <c r="B1677" s="1"/>
      <c r="C1677" s="1"/>
      <c r="D1677" s="1"/>
      <c r="F1677" s="7"/>
      <c r="G1677" s="1"/>
      <c r="H1677" s="1"/>
      <c r="I1677" s="1"/>
    </row>
    <row r="1678" spans="1:9" x14ac:dyDescent="0.25">
      <c r="A1678" s="7"/>
      <c r="B1678" s="1"/>
      <c r="C1678" s="1"/>
      <c r="D1678" s="1"/>
      <c r="F1678" s="7"/>
      <c r="G1678" s="1"/>
      <c r="H1678" s="1"/>
      <c r="I1678" s="1"/>
    </row>
    <row r="1679" spans="1:9" x14ac:dyDescent="0.25">
      <c r="A1679" s="7"/>
      <c r="B1679" s="1"/>
      <c r="C1679" s="1"/>
      <c r="D1679" s="1"/>
      <c r="F1679" s="7"/>
      <c r="G1679" s="1"/>
      <c r="H1679" s="1"/>
      <c r="I1679" s="1"/>
    </row>
    <row r="1680" spans="1:9" x14ac:dyDescent="0.25">
      <c r="A1680" s="7"/>
      <c r="B1680" s="1"/>
      <c r="C1680" s="1"/>
      <c r="D1680" s="1"/>
      <c r="F1680" s="7"/>
      <c r="G1680" s="1"/>
      <c r="H1680" s="1"/>
      <c r="I1680" s="1"/>
    </row>
    <row r="1681" spans="1:9" x14ac:dyDescent="0.25">
      <c r="A1681" s="7"/>
      <c r="B1681" s="1"/>
      <c r="C1681" s="1"/>
      <c r="D1681" s="1"/>
      <c r="F1681" s="7"/>
      <c r="G1681" s="1"/>
      <c r="H1681" s="1"/>
      <c r="I1681" s="1"/>
    </row>
    <row r="1682" spans="1:9" x14ac:dyDescent="0.25">
      <c r="A1682" s="7"/>
      <c r="B1682" s="1"/>
      <c r="C1682" s="1"/>
      <c r="D1682" s="1"/>
      <c r="F1682" s="7"/>
      <c r="G1682" s="1"/>
      <c r="H1682" s="1"/>
      <c r="I1682" s="1"/>
    </row>
    <row r="1683" spans="1:9" x14ac:dyDescent="0.25">
      <c r="A1683" s="7"/>
      <c r="B1683" s="1"/>
      <c r="C1683" s="1"/>
      <c r="D1683" s="1"/>
      <c r="F1683" s="7"/>
      <c r="G1683" s="1"/>
      <c r="H1683" s="1"/>
      <c r="I1683" s="1"/>
    </row>
    <row r="1684" spans="1:9" x14ac:dyDescent="0.25">
      <c r="A1684" s="7"/>
      <c r="B1684" s="1"/>
      <c r="C1684" s="1"/>
      <c r="D1684" s="1"/>
      <c r="F1684" s="7"/>
      <c r="G1684" s="1"/>
      <c r="H1684" s="1"/>
      <c r="I1684" s="1"/>
    </row>
    <row r="1685" spans="1:9" x14ac:dyDescent="0.25">
      <c r="A1685" s="7"/>
      <c r="B1685" s="1"/>
      <c r="C1685" s="1"/>
      <c r="D1685" s="1"/>
      <c r="F1685" s="7"/>
      <c r="G1685" s="1"/>
      <c r="H1685" s="1"/>
      <c r="I1685" s="1"/>
    </row>
    <row r="1686" spans="1:9" x14ac:dyDescent="0.25">
      <c r="A1686" s="7"/>
      <c r="B1686" s="1"/>
      <c r="C1686" s="1"/>
      <c r="D1686" s="1"/>
      <c r="F1686" s="7"/>
      <c r="G1686" s="1"/>
      <c r="H1686" s="1"/>
      <c r="I1686" s="1"/>
    </row>
    <row r="1687" spans="1:9" x14ac:dyDescent="0.25">
      <c r="A1687" s="7"/>
      <c r="B1687" s="1"/>
      <c r="C1687" s="1"/>
      <c r="D1687" s="1"/>
      <c r="F1687" s="7"/>
      <c r="G1687" s="1"/>
      <c r="H1687" s="1"/>
      <c r="I1687" s="1"/>
    </row>
    <row r="1688" spans="1:9" x14ac:dyDescent="0.25">
      <c r="A1688" s="7"/>
      <c r="B1688" s="1"/>
      <c r="C1688" s="1"/>
      <c r="D1688" s="1"/>
      <c r="F1688" s="7"/>
      <c r="G1688" s="1"/>
      <c r="H1688" s="1"/>
      <c r="I1688" s="1"/>
    </row>
    <row r="1689" spans="1:9" x14ac:dyDescent="0.25">
      <c r="A1689" s="7"/>
      <c r="B1689" s="1"/>
      <c r="C1689" s="1"/>
      <c r="D1689" s="1"/>
      <c r="F1689" s="7"/>
      <c r="G1689" s="1"/>
      <c r="H1689" s="1"/>
      <c r="I1689" s="1"/>
    </row>
    <row r="1690" spans="1:9" x14ac:dyDescent="0.25">
      <c r="A1690" s="7"/>
      <c r="B1690" s="1"/>
      <c r="C1690" s="1"/>
      <c r="D1690" s="1"/>
      <c r="F1690" s="7"/>
      <c r="G1690" s="1"/>
      <c r="H1690" s="1"/>
      <c r="I1690" s="1"/>
    </row>
    <row r="1691" spans="1:9" x14ac:dyDescent="0.25">
      <c r="A1691" s="7"/>
      <c r="B1691" s="1"/>
      <c r="C1691" s="1"/>
      <c r="D1691" s="1"/>
      <c r="F1691" s="7"/>
      <c r="G1691" s="1"/>
      <c r="H1691" s="1"/>
      <c r="I1691" s="1"/>
    </row>
    <row r="1692" spans="1:9" x14ac:dyDescent="0.25">
      <c r="A1692" s="7"/>
      <c r="B1692" s="1"/>
      <c r="C1692" s="1"/>
      <c r="D1692" s="1"/>
      <c r="F1692" s="7"/>
      <c r="G1692" s="1"/>
      <c r="H1692" s="1"/>
      <c r="I1692" s="1"/>
    </row>
    <row r="1693" spans="1:9" x14ac:dyDescent="0.25">
      <c r="A1693" s="7"/>
      <c r="B1693" s="1"/>
      <c r="C1693" s="1"/>
      <c r="D1693" s="1"/>
      <c r="F1693" s="7"/>
      <c r="G1693" s="1"/>
      <c r="H1693" s="1"/>
      <c r="I1693" s="1"/>
    </row>
    <row r="1694" spans="1:9" x14ac:dyDescent="0.25">
      <c r="A1694" s="7"/>
      <c r="B1694" s="1"/>
      <c r="C1694" s="1"/>
      <c r="D1694" s="1"/>
      <c r="F1694" s="7"/>
      <c r="G1694" s="1"/>
      <c r="H1694" s="1"/>
      <c r="I1694" s="1"/>
    </row>
    <row r="1695" spans="1:9" x14ac:dyDescent="0.25">
      <c r="A1695" s="7"/>
      <c r="B1695" s="1"/>
      <c r="C1695" s="1"/>
      <c r="D1695" s="1"/>
      <c r="F1695" s="7"/>
      <c r="G1695" s="1"/>
      <c r="H1695" s="1"/>
      <c r="I1695" s="1"/>
    </row>
    <row r="1696" spans="1:9" x14ac:dyDescent="0.25">
      <c r="A1696" s="7"/>
      <c r="B1696" s="1"/>
      <c r="C1696" s="1"/>
      <c r="D1696" s="1"/>
      <c r="F1696" s="7"/>
      <c r="G1696" s="1"/>
      <c r="H1696" s="1"/>
      <c r="I1696" s="1"/>
    </row>
    <row r="1697" spans="1:9" x14ac:dyDescent="0.25">
      <c r="A1697" s="7"/>
      <c r="B1697" s="1"/>
      <c r="C1697" s="1"/>
      <c r="D1697" s="1"/>
      <c r="F1697" s="7"/>
      <c r="G1697" s="1"/>
      <c r="H1697" s="1"/>
      <c r="I1697" s="1"/>
    </row>
    <row r="1698" spans="1:9" x14ac:dyDescent="0.25">
      <c r="A1698" s="7"/>
      <c r="B1698" s="1"/>
      <c r="C1698" s="1"/>
      <c r="D1698" s="1"/>
      <c r="F1698" s="7"/>
      <c r="G1698" s="1"/>
      <c r="H1698" s="1"/>
      <c r="I1698" s="1"/>
    </row>
    <row r="1699" spans="1:9" x14ac:dyDescent="0.25">
      <c r="A1699" s="7"/>
      <c r="B1699" s="1"/>
      <c r="C1699" s="1"/>
      <c r="D1699" s="1"/>
      <c r="F1699" s="7"/>
      <c r="G1699" s="1"/>
      <c r="H1699" s="1"/>
      <c r="I1699" s="1"/>
    </row>
    <row r="1700" spans="1:9" x14ac:dyDescent="0.25">
      <c r="A1700" s="7"/>
      <c r="B1700" s="1"/>
      <c r="C1700" s="1"/>
      <c r="D1700" s="1"/>
      <c r="F1700" s="7"/>
      <c r="G1700" s="1"/>
      <c r="H1700" s="1"/>
      <c r="I1700" s="1"/>
    </row>
    <row r="1701" spans="1:9" x14ac:dyDescent="0.25">
      <c r="A1701" s="7"/>
      <c r="B1701" s="1"/>
      <c r="C1701" s="1"/>
      <c r="D1701" s="1"/>
      <c r="F1701" s="7"/>
      <c r="G1701" s="1"/>
      <c r="H1701" s="1"/>
      <c r="I1701" s="1"/>
    </row>
    <row r="1702" spans="1:9" x14ac:dyDescent="0.25">
      <c r="A1702" s="7"/>
      <c r="B1702" s="1"/>
      <c r="C1702" s="1"/>
      <c r="D1702" s="1"/>
      <c r="F1702" s="7"/>
      <c r="G1702" s="1"/>
      <c r="H1702" s="1"/>
      <c r="I1702" s="1"/>
    </row>
    <row r="1703" spans="1:9" x14ac:dyDescent="0.25">
      <c r="A1703" s="7"/>
      <c r="B1703" s="1"/>
      <c r="C1703" s="1"/>
      <c r="D1703" s="1"/>
      <c r="F1703" s="7"/>
      <c r="G1703" s="1"/>
      <c r="H1703" s="1"/>
      <c r="I1703" s="1"/>
    </row>
    <row r="1704" spans="1:9" x14ac:dyDescent="0.25">
      <c r="A1704" s="7"/>
      <c r="B1704" s="1"/>
      <c r="C1704" s="1"/>
      <c r="D1704" s="1"/>
      <c r="F1704" s="7"/>
      <c r="G1704" s="1"/>
      <c r="H1704" s="1"/>
      <c r="I1704" s="1"/>
    </row>
    <row r="1705" spans="1:9" x14ac:dyDescent="0.25">
      <c r="A1705" s="7"/>
      <c r="B1705" s="1"/>
      <c r="C1705" s="1"/>
      <c r="D1705" s="1"/>
      <c r="F1705" s="7"/>
      <c r="G1705" s="1"/>
      <c r="H1705" s="1"/>
      <c r="I1705" s="1"/>
    </row>
    <row r="1706" spans="1:9" x14ac:dyDescent="0.25">
      <c r="A1706" s="7"/>
      <c r="B1706" s="1"/>
      <c r="C1706" s="1"/>
      <c r="D1706" s="1"/>
      <c r="F1706" s="7"/>
      <c r="G1706" s="1"/>
      <c r="H1706" s="1"/>
      <c r="I1706" s="1"/>
    </row>
    <row r="1707" spans="1:9" x14ac:dyDescent="0.25">
      <c r="A1707" s="7"/>
      <c r="B1707" s="1"/>
      <c r="C1707" s="1"/>
      <c r="D1707" s="1"/>
      <c r="F1707" s="7"/>
      <c r="G1707" s="1"/>
      <c r="H1707" s="1"/>
      <c r="I1707" s="1"/>
    </row>
    <row r="1708" spans="1:9" x14ac:dyDescent="0.25">
      <c r="A1708" s="7"/>
      <c r="B1708" s="1"/>
      <c r="C1708" s="1"/>
      <c r="D1708" s="1"/>
      <c r="F1708" s="7"/>
      <c r="G1708" s="1"/>
      <c r="H1708" s="1"/>
      <c r="I1708" s="1"/>
    </row>
    <row r="1709" spans="1:9" x14ac:dyDescent="0.25">
      <c r="A1709" s="7"/>
      <c r="B1709" s="1"/>
      <c r="C1709" s="1"/>
      <c r="D1709" s="1"/>
      <c r="F1709" s="7"/>
      <c r="G1709" s="1"/>
      <c r="H1709" s="1"/>
      <c r="I1709" s="1"/>
    </row>
    <row r="1710" spans="1:9" x14ac:dyDescent="0.25">
      <c r="A1710" s="7"/>
      <c r="B1710" s="1"/>
      <c r="C1710" s="1"/>
      <c r="D1710" s="1"/>
      <c r="F1710" s="7"/>
      <c r="G1710" s="1"/>
      <c r="H1710" s="1"/>
      <c r="I1710" s="1"/>
    </row>
    <row r="1711" spans="1:9" x14ac:dyDescent="0.25">
      <c r="A1711" s="7"/>
      <c r="B1711" s="1"/>
      <c r="C1711" s="1"/>
      <c r="D1711" s="1"/>
      <c r="F1711" s="7"/>
      <c r="G1711" s="1"/>
      <c r="H1711" s="1"/>
      <c r="I1711" s="1"/>
    </row>
    <row r="1712" spans="1:9" x14ac:dyDescent="0.25">
      <c r="A1712" s="7"/>
      <c r="B1712" s="1"/>
      <c r="C1712" s="1"/>
      <c r="D1712" s="1"/>
      <c r="F1712" s="7"/>
      <c r="G1712" s="1"/>
      <c r="H1712" s="1"/>
      <c r="I1712" s="1"/>
    </row>
    <row r="1713" spans="1:9" x14ac:dyDescent="0.25">
      <c r="A1713" s="7"/>
      <c r="B1713" s="1"/>
      <c r="C1713" s="1"/>
      <c r="D1713" s="1"/>
      <c r="F1713" s="7"/>
      <c r="G1713" s="1"/>
      <c r="H1713" s="1"/>
      <c r="I1713" s="1"/>
    </row>
    <row r="1714" spans="1:9" x14ac:dyDescent="0.25">
      <c r="A1714" s="7"/>
      <c r="B1714" s="1"/>
      <c r="C1714" s="1"/>
      <c r="D1714" s="1"/>
      <c r="F1714" s="7"/>
      <c r="G1714" s="1"/>
      <c r="H1714" s="1"/>
      <c r="I1714" s="1"/>
    </row>
    <row r="1715" spans="1:9" x14ac:dyDescent="0.25">
      <c r="A1715" s="7"/>
      <c r="B1715" s="1"/>
      <c r="C1715" s="1"/>
      <c r="D1715" s="1"/>
      <c r="F1715" s="7"/>
      <c r="G1715" s="1"/>
      <c r="H1715" s="1"/>
      <c r="I1715" s="1"/>
    </row>
    <row r="1716" spans="1:9" x14ac:dyDescent="0.25">
      <c r="A1716" s="7"/>
      <c r="B1716" s="1"/>
      <c r="C1716" s="1"/>
      <c r="D1716" s="1"/>
      <c r="F1716" s="7"/>
      <c r="G1716" s="1"/>
      <c r="H1716" s="1"/>
      <c r="I1716" s="1"/>
    </row>
    <row r="1717" spans="1:9" x14ac:dyDescent="0.25">
      <c r="A1717" s="7"/>
      <c r="B1717" s="1"/>
      <c r="C1717" s="1"/>
      <c r="D1717" s="1"/>
      <c r="F1717" s="7"/>
      <c r="G1717" s="1"/>
      <c r="H1717" s="1"/>
      <c r="I1717" s="1"/>
    </row>
    <row r="1718" spans="1:9" x14ac:dyDescent="0.25">
      <c r="A1718" s="7"/>
      <c r="B1718" s="1"/>
      <c r="C1718" s="1"/>
      <c r="D1718" s="1"/>
      <c r="F1718" s="7"/>
      <c r="G1718" s="1"/>
      <c r="H1718" s="1"/>
      <c r="I1718" s="1"/>
    </row>
    <row r="1719" spans="1:9" x14ac:dyDescent="0.25">
      <c r="A1719" s="7"/>
      <c r="B1719" s="1"/>
      <c r="C1719" s="1"/>
      <c r="D1719" s="1"/>
      <c r="F1719" s="7"/>
      <c r="G1719" s="1"/>
      <c r="H1719" s="1"/>
      <c r="I1719" s="1"/>
    </row>
    <row r="1720" spans="1:9" x14ac:dyDescent="0.25">
      <c r="A1720" s="7"/>
      <c r="B1720" s="1"/>
      <c r="C1720" s="1"/>
      <c r="D1720" s="1"/>
      <c r="F1720" s="7"/>
      <c r="G1720" s="1"/>
      <c r="H1720" s="1"/>
      <c r="I1720" s="1"/>
    </row>
    <row r="1721" spans="1:9" x14ac:dyDescent="0.25">
      <c r="A1721" s="7"/>
      <c r="B1721" s="1"/>
      <c r="C1721" s="1"/>
      <c r="D1721" s="1"/>
      <c r="F1721" s="7"/>
      <c r="G1721" s="1"/>
      <c r="H1721" s="1"/>
      <c r="I1721" s="1"/>
    </row>
    <row r="1722" spans="1:9" x14ac:dyDescent="0.25">
      <c r="A1722" s="7"/>
      <c r="B1722" s="1"/>
      <c r="C1722" s="1"/>
      <c r="D1722" s="1"/>
      <c r="F1722" s="7"/>
      <c r="G1722" s="1"/>
      <c r="H1722" s="1"/>
      <c r="I1722" s="1"/>
    </row>
    <row r="1723" spans="1:9" x14ac:dyDescent="0.25">
      <c r="A1723" s="7"/>
      <c r="B1723" s="1"/>
      <c r="C1723" s="1"/>
      <c r="D1723" s="1"/>
      <c r="F1723" s="7"/>
      <c r="G1723" s="1"/>
      <c r="H1723" s="1"/>
      <c r="I1723" s="1"/>
    </row>
    <row r="1724" spans="1:9" x14ac:dyDescent="0.25">
      <c r="A1724" s="7"/>
      <c r="B1724" s="1"/>
      <c r="C1724" s="1"/>
      <c r="D1724" s="1"/>
      <c r="F1724" s="7"/>
      <c r="G1724" s="1"/>
      <c r="H1724" s="1"/>
      <c r="I1724" s="1"/>
    </row>
    <row r="1725" spans="1:9" x14ac:dyDescent="0.25">
      <c r="A1725" s="7"/>
      <c r="B1725" s="1"/>
      <c r="C1725" s="1"/>
      <c r="D1725" s="1"/>
      <c r="F1725" s="7"/>
      <c r="G1725" s="1"/>
      <c r="H1725" s="1"/>
      <c r="I1725" s="1"/>
    </row>
    <row r="1726" spans="1:9" x14ac:dyDescent="0.25">
      <c r="A1726" s="7"/>
      <c r="B1726" s="1"/>
      <c r="C1726" s="1"/>
      <c r="D1726" s="1"/>
      <c r="F1726" s="7"/>
      <c r="G1726" s="1"/>
      <c r="H1726" s="1"/>
      <c r="I1726" s="1"/>
    </row>
    <row r="1727" spans="1:9" x14ac:dyDescent="0.25">
      <c r="A1727" s="7"/>
      <c r="B1727" s="1"/>
      <c r="C1727" s="1"/>
      <c r="D1727" s="1"/>
      <c r="F1727" s="7"/>
      <c r="G1727" s="1"/>
      <c r="H1727" s="1"/>
      <c r="I1727" s="1"/>
    </row>
    <row r="1728" spans="1:9" x14ac:dyDescent="0.25">
      <c r="A1728" s="7"/>
      <c r="B1728" s="1"/>
      <c r="C1728" s="1"/>
      <c r="D1728" s="1"/>
      <c r="F1728" s="7"/>
      <c r="G1728" s="1"/>
      <c r="H1728" s="1"/>
      <c r="I1728" s="1"/>
    </row>
    <row r="1729" spans="1:9" x14ac:dyDescent="0.25">
      <c r="A1729" s="7"/>
      <c r="B1729" s="1"/>
      <c r="C1729" s="1"/>
      <c r="D1729" s="1"/>
      <c r="F1729" s="7"/>
      <c r="G1729" s="1"/>
      <c r="H1729" s="1"/>
      <c r="I1729" s="1"/>
    </row>
    <row r="1730" spans="1:9" x14ac:dyDescent="0.25">
      <c r="A1730" s="7"/>
      <c r="B1730" s="1"/>
      <c r="C1730" s="1"/>
      <c r="D1730" s="1"/>
      <c r="F1730" s="7"/>
      <c r="G1730" s="1"/>
      <c r="H1730" s="1"/>
      <c r="I1730" s="1"/>
    </row>
    <row r="1731" spans="1:9" x14ac:dyDescent="0.25">
      <c r="A1731" s="7"/>
      <c r="B1731" s="1"/>
      <c r="C1731" s="1"/>
      <c r="D1731" s="1"/>
      <c r="F1731" s="7"/>
      <c r="G1731" s="1"/>
      <c r="H1731" s="1"/>
      <c r="I1731" s="1"/>
    </row>
    <row r="1732" spans="1:9" x14ac:dyDescent="0.25">
      <c r="A1732" s="7"/>
      <c r="B1732" s="1"/>
      <c r="C1732" s="1"/>
      <c r="D1732" s="1"/>
      <c r="F1732" s="7"/>
      <c r="G1732" s="1"/>
      <c r="H1732" s="1"/>
      <c r="I1732" s="1"/>
    </row>
    <row r="1733" spans="1:9" x14ac:dyDescent="0.25">
      <c r="A1733" s="7"/>
      <c r="B1733" s="1"/>
      <c r="C1733" s="1"/>
      <c r="D1733" s="1"/>
      <c r="F1733" s="7"/>
      <c r="G1733" s="1"/>
      <c r="H1733" s="1"/>
      <c r="I1733" s="1"/>
    </row>
    <row r="1734" spans="1:9" x14ac:dyDescent="0.25">
      <c r="A1734" s="7"/>
      <c r="B1734" s="1"/>
      <c r="C1734" s="1"/>
      <c r="D1734" s="1"/>
      <c r="F1734" s="7"/>
      <c r="G1734" s="1"/>
      <c r="H1734" s="1"/>
      <c r="I1734" s="1"/>
    </row>
    <row r="1735" spans="1:9" x14ac:dyDescent="0.25">
      <c r="A1735" s="7"/>
      <c r="B1735" s="1"/>
      <c r="C1735" s="1"/>
      <c r="D1735" s="1"/>
      <c r="F1735" s="7"/>
      <c r="G1735" s="1"/>
      <c r="H1735" s="1"/>
      <c r="I1735" s="1"/>
    </row>
    <row r="1736" spans="1:9" x14ac:dyDescent="0.25">
      <c r="A1736" s="7"/>
      <c r="B1736" s="1"/>
      <c r="C1736" s="1"/>
      <c r="D1736" s="1"/>
      <c r="F1736" s="7"/>
      <c r="G1736" s="1"/>
      <c r="H1736" s="1"/>
      <c r="I1736" s="1"/>
    </row>
    <row r="1737" spans="1:9" x14ac:dyDescent="0.25">
      <c r="A1737" s="7"/>
      <c r="B1737" s="1"/>
      <c r="C1737" s="1"/>
      <c r="D1737" s="1"/>
      <c r="F1737" s="7"/>
      <c r="G1737" s="1"/>
      <c r="H1737" s="1"/>
      <c r="I1737" s="1"/>
    </row>
    <row r="1738" spans="1:9" x14ac:dyDescent="0.25">
      <c r="A1738" s="7"/>
      <c r="B1738" s="1"/>
      <c r="C1738" s="1"/>
      <c r="D1738" s="1"/>
      <c r="F1738" s="7"/>
      <c r="G1738" s="1"/>
      <c r="H1738" s="1"/>
      <c r="I1738" s="1"/>
    </row>
    <row r="1739" spans="1:9" x14ac:dyDescent="0.25">
      <c r="A1739" s="7"/>
      <c r="B1739" s="1"/>
      <c r="C1739" s="1"/>
      <c r="D1739" s="1"/>
      <c r="F1739" s="7"/>
      <c r="G1739" s="1"/>
      <c r="H1739" s="1"/>
      <c r="I1739" s="1"/>
    </row>
    <row r="1740" spans="1:9" x14ac:dyDescent="0.25">
      <c r="A1740" s="7"/>
      <c r="B1740" s="1"/>
      <c r="C1740" s="1"/>
      <c r="D1740" s="1"/>
      <c r="F1740" s="7"/>
      <c r="G1740" s="1"/>
      <c r="H1740" s="1"/>
      <c r="I1740" s="1"/>
    </row>
    <row r="1741" spans="1:9" x14ac:dyDescent="0.25">
      <c r="A1741" s="7"/>
      <c r="B1741" s="1"/>
      <c r="C1741" s="1"/>
      <c r="D1741" s="1"/>
      <c r="F1741" s="7"/>
      <c r="G1741" s="1"/>
      <c r="H1741" s="1"/>
      <c r="I1741" s="1"/>
    </row>
    <row r="1742" spans="1:9" x14ac:dyDescent="0.25">
      <c r="A1742" s="7"/>
      <c r="B1742" s="1"/>
      <c r="C1742" s="1"/>
      <c r="D1742" s="1"/>
      <c r="F1742" s="7"/>
      <c r="G1742" s="1"/>
      <c r="H1742" s="1"/>
      <c r="I1742" s="1"/>
    </row>
    <row r="1743" spans="1:9" x14ac:dyDescent="0.25">
      <c r="A1743" s="7"/>
      <c r="B1743" s="1"/>
      <c r="C1743" s="1"/>
      <c r="D1743" s="1"/>
      <c r="F1743" s="7"/>
      <c r="G1743" s="1"/>
      <c r="H1743" s="1"/>
      <c r="I1743" s="1"/>
    </row>
    <row r="1744" spans="1:9" x14ac:dyDescent="0.25">
      <c r="A1744" s="7"/>
      <c r="B1744" s="1"/>
      <c r="C1744" s="1"/>
      <c r="D1744" s="1"/>
      <c r="F1744" s="7"/>
      <c r="G1744" s="1"/>
      <c r="H1744" s="1"/>
      <c r="I1744" s="1"/>
    </row>
    <row r="1745" spans="1:9" x14ac:dyDescent="0.25">
      <c r="A1745" s="7"/>
      <c r="B1745" s="1"/>
      <c r="C1745" s="1"/>
      <c r="D1745" s="1"/>
      <c r="F1745" s="7"/>
      <c r="G1745" s="1"/>
      <c r="H1745" s="1"/>
      <c r="I1745" s="1"/>
    </row>
    <row r="1746" spans="1:9" x14ac:dyDescent="0.25">
      <c r="A1746" s="7"/>
      <c r="B1746" s="1"/>
      <c r="C1746" s="1"/>
      <c r="D1746" s="1"/>
      <c r="F1746" s="7"/>
      <c r="G1746" s="1"/>
      <c r="H1746" s="1"/>
      <c r="I1746" s="1"/>
    </row>
    <row r="1747" spans="1:9" x14ac:dyDescent="0.25">
      <c r="A1747" s="7"/>
      <c r="B1747" s="1"/>
      <c r="C1747" s="1"/>
      <c r="D1747" s="1"/>
      <c r="F1747" s="7"/>
      <c r="G1747" s="1"/>
      <c r="H1747" s="1"/>
      <c r="I1747" s="1"/>
    </row>
    <row r="1748" spans="1:9" x14ac:dyDescent="0.25">
      <c r="A1748" s="7"/>
      <c r="B1748" s="1"/>
      <c r="C1748" s="1"/>
      <c r="D1748" s="1"/>
      <c r="F1748" s="7"/>
      <c r="G1748" s="1"/>
      <c r="H1748" s="1"/>
      <c r="I1748" s="1"/>
    </row>
    <row r="1749" spans="1:9" x14ac:dyDescent="0.25">
      <c r="A1749" s="7"/>
      <c r="B1749" s="1"/>
      <c r="C1749" s="1"/>
      <c r="D1749" s="1"/>
      <c r="F1749" s="7"/>
      <c r="G1749" s="1"/>
      <c r="H1749" s="1"/>
      <c r="I1749" s="1"/>
    </row>
    <row r="1750" spans="1:9" x14ac:dyDescent="0.25">
      <c r="A1750" s="7"/>
      <c r="B1750" s="1"/>
      <c r="C1750" s="1"/>
      <c r="D1750" s="1"/>
      <c r="F1750" s="7"/>
      <c r="G1750" s="1"/>
      <c r="H1750" s="1"/>
      <c r="I1750" s="1"/>
    </row>
    <row r="1751" spans="1:9" x14ac:dyDescent="0.25">
      <c r="A1751" s="7"/>
      <c r="B1751" s="1"/>
      <c r="C1751" s="1"/>
      <c r="D1751" s="1"/>
      <c r="F1751" s="7"/>
      <c r="G1751" s="1"/>
      <c r="H1751" s="1"/>
      <c r="I1751" s="1"/>
    </row>
    <row r="1752" spans="1:9" x14ac:dyDescent="0.25">
      <c r="A1752" s="7"/>
      <c r="B1752" s="1"/>
      <c r="C1752" s="1"/>
      <c r="D1752" s="1"/>
      <c r="F1752" s="7"/>
      <c r="G1752" s="1"/>
      <c r="H1752" s="1"/>
      <c r="I1752" s="1"/>
    </row>
    <row r="1753" spans="1:9" x14ac:dyDescent="0.25">
      <c r="A1753" s="7"/>
      <c r="B1753" s="1"/>
      <c r="C1753" s="1"/>
      <c r="D1753" s="1"/>
      <c r="F1753" s="7"/>
      <c r="G1753" s="1"/>
      <c r="H1753" s="1"/>
      <c r="I1753" s="1"/>
    </row>
    <row r="1754" spans="1:9" x14ac:dyDescent="0.25">
      <c r="A1754" s="7"/>
      <c r="B1754" s="1"/>
      <c r="C1754" s="1"/>
      <c r="D1754" s="1"/>
      <c r="F1754" s="7"/>
      <c r="G1754" s="1"/>
      <c r="H1754" s="1"/>
      <c r="I1754" s="1"/>
    </row>
    <row r="1755" spans="1:9" x14ac:dyDescent="0.25">
      <c r="A1755" s="7"/>
      <c r="B1755" s="1"/>
      <c r="C1755" s="1"/>
      <c r="D1755" s="1"/>
      <c r="F1755" s="7"/>
      <c r="G1755" s="1"/>
      <c r="H1755" s="1"/>
      <c r="I1755" s="1"/>
    </row>
    <row r="1756" spans="1:9" x14ac:dyDescent="0.25">
      <c r="A1756" s="7"/>
      <c r="B1756" s="1"/>
      <c r="C1756" s="1"/>
      <c r="D1756" s="1"/>
      <c r="F1756" s="7"/>
      <c r="G1756" s="1"/>
      <c r="H1756" s="1"/>
      <c r="I1756" s="1"/>
    </row>
    <row r="1757" spans="1:9" x14ac:dyDescent="0.25">
      <c r="A1757" s="7"/>
      <c r="B1757" s="1"/>
      <c r="C1757" s="1"/>
      <c r="D1757" s="1"/>
      <c r="F1757" s="7"/>
      <c r="G1757" s="1"/>
      <c r="H1757" s="1"/>
      <c r="I1757" s="1"/>
    </row>
    <row r="1758" spans="1:9" x14ac:dyDescent="0.25">
      <c r="A1758" s="7"/>
      <c r="B1758" s="1"/>
      <c r="C1758" s="1"/>
      <c r="D1758" s="1"/>
      <c r="F1758" s="7"/>
      <c r="G1758" s="1"/>
      <c r="H1758" s="1"/>
      <c r="I1758" s="1"/>
    </row>
    <row r="1759" spans="1:9" x14ac:dyDescent="0.25">
      <c r="A1759" s="7"/>
      <c r="B1759" s="1"/>
      <c r="C1759" s="1"/>
      <c r="D1759" s="1"/>
      <c r="F1759" s="7"/>
      <c r="G1759" s="1"/>
      <c r="H1759" s="1"/>
      <c r="I1759" s="1"/>
    </row>
    <row r="1760" spans="1:9" x14ac:dyDescent="0.25">
      <c r="A1760" s="7"/>
      <c r="B1760" s="1"/>
      <c r="C1760" s="1"/>
      <c r="D1760" s="1"/>
      <c r="F1760" s="7"/>
      <c r="G1760" s="1"/>
      <c r="H1760" s="1"/>
      <c r="I1760" s="1"/>
    </row>
    <row r="1761" spans="1:9" x14ac:dyDescent="0.25">
      <c r="A1761" s="7"/>
      <c r="B1761" s="1"/>
      <c r="C1761" s="1"/>
      <c r="D1761" s="1"/>
      <c r="F1761" s="7"/>
      <c r="G1761" s="1"/>
      <c r="H1761" s="1"/>
      <c r="I1761" s="1"/>
    </row>
    <row r="1762" spans="1:9" x14ac:dyDescent="0.25">
      <c r="A1762" s="7"/>
      <c r="B1762" s="1"/>
      <c r="C1762" s="1"/>
      <c r="D1762" s="1"/>
      <c r="F1762" s="7"/>
      <c r="G1762" s="1"/>
      <c r="H1762" s="1"/>
      <c r="I1762" s="1"/>
    </row>
    <row r="1763" spans="1:9" x14ac:dyDescent="0.25">
      <c r="A1763" s="7"/>
      <c r="B1763" s="1"/>
      <c r="C1763" s="1"/>
      <c r="D1763" s="1"/>
      <c r="F1763" s="7"/>
      <c r="G1763" s="1"/>
      <c r="H1763" s="1"/>
      <c r="I1763" s="1"/>
    </row>
    <row r="1764" spans="1:9" x14ac:dyDescent="0.25">
      <c r="A1764" s="7"/>
      <c r="B1764" s="1"/>
      <c r="C1764" s="1"/>
      <c r="D1764" s="1"/>
      <c r="F1764" s="7"/>
      <c r="G1764" s="1"/>
      <c r="H1764" s="1"/>
      <c r="I1764" s="1"/>
    </row>
    <row r="1765" spans="1:9" x14ac:dyDescent="0.25">
      <c r="A1765" s="7"/>
      <c r="B1765" s="1"/>
      <c r="C1765" s="1"/>
      <c r="D1765" s="1"/>
      <c r="F1765" s="7"/>
      <c r="G1765" s="1"/>
      <c r="H1765" s="1"/>
      <c r="I1765" s="1"/>
    </row>
    <row r="1766" spans="1:9" x14ac:dyDescent="0.25">
      <c r="A1766" s="7"/>
      <c r="B1766" s="1"/>
      <c r="C1766" s="1"/>
      <c r="D1766" s="1"/>
      <c r="F1766" s="7"/>
      <c r="G1766" s="1"/>
      <c r="H1766" s="1"/>
      <c r="I1766" s="1"/>
    </row>
    <row r="1767" spans="1:9" x14ac:dyDescent="0.25">
      <c r="A1767" s="7"/>
      <c r="B1767" s="1"/>
      <c r="C1767" s="1"/>
      <c r="D1767" s="1"/>
      <c r="F1767" s="7"/>
      <c r="G1767" s="1"/>
      <c r="H1767" s="1"/>
      <c r="I1767" s="1"/>
    </row>
    <row r="1768" spans="1:9" x14ac:dyDescent="0.25">
      <c r="A1768" s="7"/>
      <c r="B1768" s="1"/>
      <c r="C1768" s="1"/>
      <c r="D1768" s="1"/>
      <c r="F1768" s="7"/>
      <c r="G1768" s="1"/>
      <c r="H1768" s="1"/>
      <c r="I1768" s="1"/>
    </row>
    <row r="1769" spans="1:9" x14ac:dyDescent="0.25">
      <c r="A1769" s="7"/>
      <c r="B1769" s="1"/>
      <c r="C1769" s="1"/>
      <c r="D1769" s="1"/>
      <c r="F1769" s="7"/>
      <c r="G1769" s="1"/>
      <c r="H1769" s="1"/>
      <c r="I1769" s="1"/>
    </row>
    <row r="1770" spans="1:9" x14ac:dyDescent="0.25">
      <c r="A1770" s="7"/>
      <c r="B1770" s="1"/>
      <c r="C1770" s="1"/>
      <c r="D1770" s="1"/>
      <c r="F1770" s="7"/>
      <c r="G1770" s="1"/>
      <c r="H1770" s="1"/>
      <c r="I1770" s="1"/>
    </row>
    <row r="1771" spans="1:9" x14ac:dyDescent="0.25">
      <c r="A1771" s="7"/>
      <c r="B1771" s="1"/>
      <c r="C1771" s="1"/>
      <c r="D1771" s="1"/>
      <c r="F1771" s="7"/>
      <c r="G1771" s="1"/>
      <c r="H1771" s="1"/>
      <c r="I1771" s="1"/>
    </row>
    <row r="1772" spans="1:9" x14ac:dyDescent="0.25">
      <c r="A1772" s="7"/>
      <c r="B1772" s="1"/>
      <c r="C1772" s="1"/>
      <c r="D1772" s="1"/>
      <c r="F1772" s="7"/>
      <c r="G1772" s="1"/>
      <c r="H1772" s="1"/>
      <c r="I1772" s="1"/>
    </row>
    <row r="1773" spans="1:9" x14ac:dyDescent="0.25">
      <c r="A1773" s="7"/>
      <c r="B1773" s="1"/>
      <c r="C1773" s="1"/>
      <c r="D1773" s="1"/>
      <c r="F1773" s="7"/>
      <c r="G1773" s="1"/>
      <c r="H1773" s="1"/>
      <c r="I1773" s="1"/>
    </row>
    <row r="1774" spans="1:9" x14ac:dyDescent="0.25">
      <c r="A1774" s="7"/>
      <c r="B1774" s="1"/>
      <c r="C1774" s="1"/>
      <c r="D1774" s="1"/>
      <c r="F1774" s="7"/>
      <c r="G1774" s="1"/>
      <c r="H1774" s="1"/>
      <c r="I1774" s="1"/>
    </row>
    <row r="1775" spans="1:9" x14ac:dyDescent="0.25">
      <c r="A1775" s="7"/>
      <c r="B1775" s="1"/>
      <c r="C1775" s="1"/>
      <c r="D1775" s="1"/>
      <c r="F1775" s="7"/>
      <c r="G1775" s="1"/>
      <c r="H1775" s="1"/>
      <c r="I1775" s="1"/>
    </row>
    <row r="1776" spans="1:9" x14ac:dyDescent="0.25">
      <c r="A1776" s="7"/>
      <c r="B1776" s="1"/>
      <c r="C1776" s="1"/>
      <c r="D1776" s="1"/>
      <c r="F1776" s="7"/>
      <c r="G1776" s="1"/>
      <c r="H1776" s="1"/>
      <c r="I1776" s="1"/>
    </row>
    <row r="1777" spans="1:9" x14ac:dyDescent="0.25">
      <c r="A1777" s="7"/>
      <c r="B1777" s="1"/>
      <c r="C1777" s="1"/>
      <c r="D1777" s="1"/>
      <c r="F1777" s="7"/>
      <c r="G1777" s="1"/>
      <c r="H1777" s="1"/>
      <c r="I1777" s="1"/>
    </row>
    <row r="1778" spans="1:9" x14ac:dyDescent="0.25">
      <c r="A1778" s="7"/>
      <c r="B1778" s="1"/>
      <c r="C1778" s="1"/>
      <c r="D1778" s="1"/>
      <c r="F1778" s="7"/>
      <c r="G1778" s="1"/>
      <c r="H1778" s="1"/>
      <c r="I1778" s="1"/>
    </row>
    <row r="1779" spans="1:9" x14ac:dyDescent="0.25">
      <c r="A1779" s="7"/>
      <c r="B1779" s="1"/>
      <c r="C1779" s="1"/>
      <c r="D1779" s="1"/>
      <c r="F1779" s="7"/>
      <c r="G1779" s="1"/>
      <c r="H1779" s="1"/>
      <c r="I1779" s="1"/>
    </row>
    <row r="1780" spans="1:9" x14ac:dyDescent="0.25">
      <c r="A1780" s="7"/>
      <c r="B1780" s="1"/>
      <c r="C1780" s="1"/>
      <c r="D1780" s="1"/>
      <c r="F1780" s="7"/>
      <c r="G1780" s="1"/>
      <c r="H1780" s="1"/>
      <c r="I1780" s="1"/>
    </row>
    <row r="1781" spans="1:9" x14ac:dyDescent="0.25">
      <c r="A1781" s="7"/>
      <c r="B1781" s="1"/>
      <c r="C1781" s="1"/>
      <c r="D1781" s="1"/>
      <c r="F1781" s="7"/>
      <c r="G1781" s="1"/>
      <c r="H1781" s="1"/>
      <c r="I1781" s="1"/>
    </row>
    <row r="1782" spans="1:9" x14ac:dyDescent="0.25">
      <c r="A1782" s="7"/>
      <c r="B1782" s="1"/>
      <c r="C1782" s="1"/>
      <c r="D1782" s="1"/>
      <c r="F1782" s="7"/>
      <c r="G1782" s="1"/>
      <c r="H1782" s="1"/>
      <c r="I1782" s="1"/>
    </row>
    <row r="1783" spans="1:9" x14ac:dyDescent="0.25">
      <c r="A1783" s="7"/>
      <c r="B1783" s="1"/>
      <c r="C1783" s="1"/>
      <c r="D1783" s="1"/>
      <c r="F1783" s="7"/>
      <c r="G1783" s="1"/>
      <c r="H1783" s="1"/>
      <c r="I1783" s="1"/>
    </row>
    <row r="1784" spans="1:9" x14ac:dyDescent="0.25">
      <c r="A1784" s="7"/>
      <c r="B1784" s="1"/>
      <c r="C1784" s="1"/>
      <c r="D1784" s="1"/>
      <c r="F1784" s="7"/>
      <c r="G1784" s="1"/>
      <c r="H1784" s="1"/>
      <c r="I1784" s="1"/>
    </row>
    <row r="1785" spans="1:9" x14ac:dyDescent="0.25">
      <c r="A1785" s="7"/>
      <c r="B1785" s="1"/>
      <c r="C1785" s="1"/>
      <c r="D1785" s="1"/>
      <c r="F1785" s="7"/>
      <c r="G1785" s="1"/>
      <c r="H1785" s="1"/>
      <c r="I1785" s="1"/>
    </row>
    <row r="1786" spans="1:9" x14ac:dyDescent="0.25">
      <c r="A1786" s="7"/>
      <c r="B1786" s="1"/>
      <c r="C1786" s="1"/>
      <c r="D1786" s="1"/>
      <c r="F1786" s="7"/>
      <c r="G1786" s="1"/>
      <c r="H1786" s="1"/>
      <c r="I1786" s="1"/>
    </row>
    <row r="1787" spans="1:9" x14ac:dyDescent="0.25">
      <c r="A1787" s="7"/>
      <c r="B1787" s="1"/>
      <c r="C1787" s="1"/>
      <c r="D1787" s="1"/>
      <c r="F1787" s="7"/>
      <c r="G1787" s="1"/>
      <c r="H1787" s="1"/>
      <c r="I1787" s="1"/>
    </row>
    <row r="1788" spans="1:9" x14ac:dyDescent="0.25">
      <c r="A1788" s="7"/>
      <c r="B1788" s="1"/>
      <c r="C1788" s="1"/>
      <c r="D1788" s="1"/>
      <c r="F1788" s="7"/>
      <c r="G1788" s="1"/>
      <c r="H1788" s="1"/>
      <c r="I1788" s="1"/>
    </row>
    <row r="1789" spans="1:9" x14ac:dyDescent="0.25">
      <c r="A1789" s="7"/>
      <c r="B1789" s="1"/>
      <c r="C1789" s="1"/>
      <c r="D1789" s="1"/>
      <c r="F1789" s="7"/>
      <c r="G1789" s="1"/>
      <c r="H1789" s="1"/>
      <c r="I1789" s="1"/>
    </row>
    <row r="1790" spans="1:9" x14ac:dyDescent="0.25">
      <c r="A1790" s="7"/>
      <c r="B1790" s="1"/>
      <c r="C1790" s="1"/>
      <c r="D1790" s="1"/>
      <c r="F1790" s="7"/>
      <c r="G1790" s="1"/>
      <c r="H1790" s="1"/>
      <c r="I1790" s="1"/>
    </row>
    <row r="1791" spans="1:9" x14ac:dyDescent="0.25">
      <c r="A1791" s="7"/>
      <c r="B1791" s="1"/>
      <c r="C1791" s="1"/>
      <c r="D1791" s="1"/>
      <c r="F1791" s="7"/>
      <c r="G1791" s="1"/>
      <c r="H1791" s="1"/>
      <c r="I1791" s="1"/>
    </row>
    <row r="1792" spans="1:9" x14ac:dyDescent="0.25">
      <c r="A1792" s="7"/>
      <c r="B1792" s="1"/>
      <c r="C1792" s="1"/>
      <c r="D1792" s="1"/>
      <c r="F1792" s="7"/>
      <c r="G1792" s="1"/>
      <c r="H1792" s="1"/>
      <c r="I1792" s="1"/>
    </row>
    <row r="1793" spans="1:9" x14ac:dyDescent="0.25">
      <c r="A1793" s="7"/>
      <c r="B1793" s="1"/>
      <c r="C1793" s="1"/>
      <c r="D1793" s="1"/>
      <c r="F1793" s="7"/>
      <c r="G1793" s="1"/>
      <c r="H1793" s="1"/>
      <c r="I1793" s="1"/>
    </row>
    <row r="1794" spans="1:9" x14ac:dyDescent="0.25">
      <c r="A1794" s="7"/>
      <c r="B1794" s="1"/>
      <c r="C1794" s="1"/>
      <c r="D1794" s="1"/>
      <c r="F1794" s="7"/>
      <c r="G1794" s="1"/>
      <c r="H1794" s="1"/>
      <c r="I1794" s="1"/>
    </row>
    <row r="1795" spans="1:9" x14ac:dyDescent="0.25">
      <c r="A1795" s="7"/>
      <c r="B1795" s="1"/>
      <c r="C1795" s="1"/>
      <c r="D1795" s="1"/>
      <c r="F1795" s="7"/>
      <c r="G1795" s="1"/>
      <c r="H1795" s="1"/>
      <c r="I1795" s="1"/>
    </row>
    <row r="1796" spans="1:9" x14ac:dyDescent="0.25">
      <c r="A1796" s="7"/>
      <c r="B1796" s="1"/>
      <c r="C1796" s="1"/>
      <c r="D1796" s="1"/>
      <c r="F1796" s="7"/>
      <c r="G1796" s="1"/>
      <c r="H1796" s="1"/>
      <c r="I1796" s="1"/>
    </row>
    <row r="1797" spans="1:9" x14ac:dyDescent="0.25">
      <c r="A1797" s="7"/>
      <c r="B1797" s="1"/>
      <c r="C1797" s="1"/>
      <c r="D1797" s="1"/>
      <c r="F1797" s="7"/>
      <c r="G1797" s="1"/>
      <c r="H1797" s="1"/>
      <c r="I1797" s="1"/>
    </row>
    <row r="1798" spans="1:9" x14ac:dyDescent="0.25">
      <c r="A1798" s="7"/>
      <c r="B1798" s="1"/>
      <c r="C1798" s="1"/>
      <c r="D1798" s="1"/>
      <c r="F1798" s="7"/>
      <c r="G1798" s="1"/>
      <c r="H1798" s="1"/>
      <c r="I1798" s="1"/>
    </row>
    <row r="1799" spans="1:9" x14ac:dyDescent="0.25">
      <c r="A1799" s="7"/>
      <c r="B1799" s="1"/>
      <c r="C1799" s="1"/>
      <c r="D1799" s="1"/>
      <c r="F1799" s="7"/>
      <c r="G1799" s="1"/>
      <c r="H1799" s="1"/>
      <c r="I1799" s="1"/>
    </row>
    <row r="1800" spans="1:9" x14ac:dyDescent="0.25">
      <c r="A1800" s="7"/>
      <c r="B1800" s="1"/>
      <c r="C1800" s="1"/>
      <c r="D1800" s="1"/>
      <c r="F1800" s="7"/>
      <c r="G1800" s="1"/>
      <c r="H1800" s="1"/>
      <c r="I1800" s="1"/>
    </row>
    <row r="1801" spans="1:9" x14ac:dyDescent="0.25">
      <c r="A1801" s="7"/>
      <c r="B1801" s="1"/>
      <c r="C1801" s="1"/>
      <c r="D1801" s="1"/>
      <c r="F1801" s="7"/>
      <c r="G1801" s="1"/>
      <c r="H1801" s="1"/>
      <c r="I1801" s="1"/>
    </row>
    <row r="1802" spans="1:9" x14ac:dyDescent="0.25">
      <c r="A1802" s="7"/>
      <c r="B1802" s="1"/>
      <c r="C1802" s="1"/>
      <c r="D1802" s="1"/>
      <c r="F1802" s="7"/>
      <c r="G1802" s="1"/>
      <c r="H1802" s="1"/>
      <c r="I1802" s="1"/>
    </row>
    <row r="1803" spans="1:9" x14ac:dyDescent="0.25">
      <c r="A1803" s="7"/>
      <c r="B1803" s="1"/>
      <c r="C1803" s="1"/>
      <c r="D1803" s="1"/>
      <c r="F1803" s="7"/>
      <c r="G1803" s="1"/>
      <c r="H1803" s="1"/>
      <c r="I1803" s="1"/>
    </row>
    <row r="1804" spans="1:9" x14ac:dyDescent="0.25">
      <c r="A1804" s="7"/>
      <c r="B1804" s="1"/>
      <c r="C1804" s="1"/>
      <c r="D1804" s="1"/>
      <c r="F1804" s="7"/>
      <c r="G1804" s="1"/>
      <c r="H1804" s="1"/>
      <c r="I1804" s="1"/>
    </row>
    <row r="1805" spans="1:9" x14ac:dyDescent="0.25">
      <c r="A1805" s="7"/>
      <c r="B1805" s="1"/>
      <c r="C1805" s="1"/>
      <c r="D1805" s="1"/>
      <c r="F1805" s="7"/>
      <c r="G1805" s="1"/>
      <c r="H1805" s="1"/>
      <c r="I1805" s="1"/>
    </row>
    <row r="1806" spans="1:9" x14ac:dyDescent="0.25">
      <c r="A1806" s="7"/>
      <c r="B1806" s="1"/>
      <c r="C1806" s="1"/>
      <c r="D1806" s="1"/>
      <c r="F1806" s="7"/>
      <c r="G1806" s="1"/>
      <c r="H1806" s="1"/>
      <c r="I1806" s="1"/>
    </row>
    <row r="1807" spans="1:9" x14ac:dyDescent="0.25">
      <c r="A1807" s="7"/>
      <c r="B1807" s="1"/>
      <c r="C1807" s="1"/>
      <c r="D1807" s="1"/>
      <c r="F1807" s="7"/>
      <c r="G1807" s="1"/>
      <c r="H1807" s="1"/>
      <c r="I1807" s="1"/>
    </row>
    <row r="1808" spans="1:9" x14ac:dyDescent="0.25">
      <c r="A1808" s="7"/>
      <c r="B1808" s="1"/>
      <c r="C1808" s="1"/>
      <c r="D1808" s="1"/>
      <c r="F1808" s="7"/>
      <c r="G1808" s="1"/>
      <c r="H1808" s="1"/>
      <c r="I1808" s="1"/>
    </row>
    <row r="1809" spans="1:9" x14ac:dyDescent="0.25">
      <c r="A1809" s="7"/>
      <c r="B1809" s="1"/>
      <c r="C1809" s="1"/>
      <c r="D1809" s="1"/>
      <c r="F1809" s="7"/>
      <c r="G1809" s="1"/>
      <c r="H1809" s="1"/>
      <c r="I1809" s="1"/>
    </row>
    <row r="1810" spans="1:9" x14ac:dyDescent="0.25">
      <c r="A1810" s="7"/>
      <c r="B1810" s="1"/>
      <c r="C1810" s="1"/>
      <c r="D1810" s="1"/>
      <c r="F1810" s="7"/>
      <c r="G1810" s="1"/>
      <c r="H1810" s="1"/>
      <c r="I1810" s="1"/>
    </row>
    <row r="1811" spans="1:9" x14ac:dyDescent="0.25">
      <c r="A1811" s="7"/>
      <c r="B1811" s="1"/>
      <c r="C1811" s="1"/>
      <c r="D1811" s="1"/>
      <c r="F1811" s="7"/>
      <c r="G1811" s="1"/>
      <c r="H1811" s="1"/>
      <c r="I1811" s="1"/>
    </row>
    <row r="1812" spans="1:9" x14ac:dyDescent="0.25">
      <c r="A1812" s="7"/>
      <c r="B1812" s="1"/>
      <c r="C1812" s="1"/>
      <c r="D1812" s="1"/>
      <c r="F1812" s="7"/>
      <c r="G1812" s="1"/>
      <c r="H1812" s="1"/>
      <c r="I1812" s="1"/>
    </row>
    <row r="1813" spans="1:9" x14ac:dyDescent="0.25">
      <c r="A1813" s="7"/>
      <c r="B1813" s="1"/>
      <c r="C1813" s="1"/>
      <c r="D1813" s="1"/>
      <c r="F1813" s="7"/>
      <c r="G1813" s="1"/>
      <c r="H1813" s="1"/>
      <c r="I1813" s="1"/>
    </row>
    <row r="1814" spans="1:9" x14ac:dyDescent="0.25">
      <c r="A1814" s="7"/>
      <c r="B1814" s="1"/>
      <c r="C1814" s="1"/>
      <c r="D1814" s="1"/>
      <c r="F1814" s="7"/>
      <c r="G1814" s="1"/>
      <c r="H1814" s="1"/>
      <c r="I1814" s="1"/>
    </row>
    <row r="1815" spans="1:9" x14ac:dyDescent="0.25">
      <c r="A1815" s="7"/>
      <c r="B1815" s="1"/>
      <c r="C1815" s="1"/>
      <c r="D1815" s="1"/>
      <c r="F1815" s="7"/>
      <c r="G1815" s="1"/>
      <c r="H1815" s="1"/>
      <c r="I1815" s="1"/>
    </row>
    <row r="1816" spans="1:9" x14ac:dyDescent="0.25">
      <c r="A1816" s="7"/>
      <c r="B1816" s="1"/>
      <c r="C1816" s="1"/>
      <c r="D1816" s="1"/>
      <c r="F1816" s="7"/>
      <c r="G1816" s="1"/>
      <c r="H1816" s="1"/>
      <c r="I1816" s="1"/>
    </row>
    <row r="1817" spans="1:9" x14ac:dyDescent="0.25">
      <c r="A1817" s="7"/>
      <c r="B1817" s="1"/>
      <c r="C1817" s="1"/>
      <c r="D1817" s="1"/>
      <c r="F1817" s="7"/>
      <c r="G1817" s="1"/>
      <c r="H1817" s="1"/>
      <c r="I1817" s="1"/>
    </row>
    <row r="1818" spans="1:9" x14ac:dyDescent="0.25">
      <c r="A1818" s="7"/>
      <c r="B1818" s="1"/>
      <c r="C1818" s="1"/>
      <c r="D1818" s="1"/>
      <c r="F1818" s="7"/>
      <c r="G1818" s="1"/>
      <c r="H1818" s="1"/>
      <c r="I1818" s="1"/>
    </row>
    <row r="1819" spans="1:9" x14ac:dyDescent="0.25">
      <c r="A1819" s="7"/>
      <c r="B1819" s="1"/>
      <c r="C1819" s="1"/>
      <c r="D1819" s="1"/>
      <c r="F1819" s="7"/>
      <c r="G1819" s="1"/>
      <c r="H1819" s="1"/>
      <c r="I1819" s="1"/>
    </row>
    <row r="1820" spans="1:9" x14ac:dyDescent="0.25">
      <c r="A1820" s="7"/>
      <c r="B1820" s="1"/>
      <c r="C1820" s="1"/>
      <c r="D1820" s="1"/>
      <c r="F1820" s="7"/>
      <c r="G1820" s="1"/>
      <c r="H1820" s="1"/>
      <c r="I1820" s="1"/>
    </row>
    <row r="1821" spans="1:9" x14ac:dyDescent="0.25">
      <c r="A1821" s="7"/>
      <c r="B1821" s="1"/>
      <c r="C1821" s="1"/>
      <c r="D1821" s="1"/>
      <c r="F1821" s="7"/>
      <c r="G1821" s="1"/>
      <c r="H1821" s="1"/>
      <c r="I1821" s="1"/>
    </row>
    <row r="1822" spans="1:9" x14ac:dyDescent="0.25">
      <c r="A1822" s="7"/>
      <c r="B1822" s="1"/>
      <c r="C1822" s="1"/>
      <c r="D1822" s="1"/>
      <c r="F1822" s="7"/>
      <c r="G1822" s="1"/>
      <c r="H1822" s="1"/>
      <c r="I1822" s="1"/>
    </row>
    <row r="1823" spans="1:9" x14ac:dyDescent="0.25">
      <c r="A1823" s="7"/>
      <c r="B1823" s="1"/>
      <c r="C1823" s="1"/>
      <c r="D1823" s="1"/>
      <c r="F1823" s="7"/>
      <c r="G1823" s="1"/>
      <c r="H1823" s="1"/>
      <c r="I1823" s="1"/>
    </row>
    <row r="1824" spans="1:9" x14ac:dyDescent="0.25">
      <c r="A1824" s="7"/>
      <c r="B1824" s="1"/>
      <c r="C1824" s="1"/>
      <c r="D1824" s="1"/>
      <c r="F1824" s="7"/>
      <c r="G1824" s="1"/>
      <c r="H1824" s="1"/>
      <c r="I1824" s="1"/>
    </row>
    <row r="1825" spans="1:9" x14ac:dyDescent="0.25">
      <c r="A1825" s="7"/>
      <c r="B1825" s="1"/>
      <c r="C1825" s="1"/>
      <c r="D1825" s="1"/>
      <c r="F1825" s="7"/>
      <c r="G1825" s="1"/>
      <c r="H1825" s="1"/>
      <c r="I1825" s="1"/>
    </row>
    <row r="1826" spans="1:9" x14ac:dyDescent="0.25">
      <c r="A1826" s="7"/>
      <c r="B1826" s="1"/>
      <c r="C1826" s="1"/>
      <c r="D1826" s="1"/>
      <c r="F1826" s="7"/>
      <c r="G1826" s="1"/>
      <c r="H1826" s="1"/>
      <c r="I1826" s="1"/>
    </row>
    <row r="1827" spans="1:9" x14ac:dyDescent="0.25">
      <c r="A1827" s="7"/>
      <c r="B1827" s="1"/>
      <c r="C1827" s="1"/>
      <c r="D1827" s="1"/>
      <c r="F1827" s="7"/>
      <c r="G1827" s="1"/>
      <c r="H1827" s="1"/>
      <c r="I1827" s="1"/>
    </row>
    <row r="1828" spans="1:9" x14ac:dyDescent="0.25">
      <c r="A1828" s="7"/>
      <c r="B1828" s="1"/>
      <c r="C1828" s="1"/>
      <c r="D1828" s="1"/>
      <c r="F1828" s="7"/>
      <c r="G1828" s="1"/>
      <c r="H1828" s="1"/>
      <c r="I1828" s="1"/>
    </row>
    <row r="1829" spans="1:9" x14ac:dyDescent="0.25">
      <c r="A1829" s="7"/>
      <c r="B1829" s="1"/>
      <c r="C1829" s="1"/>
      <c r="D1829" s="1"/>
      <c r="F1829" s="7"/>
      <c r="G1829" s="1"/>
      <c r="H1829" s="1"/>
      <c r="I1829" s="1"/>
    </row>
    <row r="1830" spans="1:9" x14ac:dyDescent="0.25">
      <c r="A1830" s="7"/>
      <c r="B1830" s="1"/>
      <c r="C1830" s="1"/>
      <c r="D1830" s="1"/>
      <c r="F1830" s="7"/>
      <c r="G1830" s="1"/>
      <c r="H1830" s="1"/>
      <c r="I1830" s="1"/>
    </row>
    <row r="1831" spans="1:9" x14ac:dyDescent="0.25">
      <c r="A1831" s="7"/>
      <c r="B1831" s="1"/>
      <c r="C1831" s="1"/>
      <c r="D1831" s="1"/>
      <c r="F1831" s="7"/>
      <c r="G1831" s="1"/>
      <c r="H1831" s="1"/>
      <c r="I1831" s="1"/>
    </row>
    <row r="1832" spans="1:9" x14ac:dyDescent="0.25">
      <c r="A1832" s="7"/>
      <c r="B1832" s="1"/>
      <c r="C1832" s="1"/>
      <c r="D1832" s="1"/>
      <c r="F1832" s="7"/>
      <c r="G1832" s="1"/>
      <c r="H1832" s="1"/>
      <c r="I1832" s="1"/>
    </row>
    <row r="1833" spans="1:9" x14ac:dyDescent="0.25">
      <c r="A1833" s="7"/>
      <c r="B1833" s="1"/>
      <c r="C1833" s="1"/>
      <c r="D1833" s="1"/>
      <c r="F1833" s="7"/>
      <c r="G1833" s="1"/>
      <c r="H1833" s="1"/>
      <c r="I1833" s="1"/>
    </row>
    <row r="1834" spans="1:9" x14ac:dyDescent="0.25">
      <c r="A1834" s="7"/>
      <c r="B1834" s="1"/>
      <c r="C1834" s="1"/>
      <c r="D1834" s="1"/>
      <c r="F1834" s="7"/>
      <c r="G1834" s="1"/>
      <c r="H1834" s="1"/>
      <c r="I1834" s="1"/>
    </row>
    <row r="1835" spans="1:9" x14ac:dyDescent="0.25">
      <c r="A1835" s="7"/>
      <c r="B1835" s="1"/>
      <c r="C1835" s="1"/>
      <c r="D1835" s="1"/>
      <c r="F1835" s="7"/>
      <c r="G1835" s="1"/>
      <c r="H1835" s="1"/>
      <c r="I1835" s="1"/>
    </row>
    <row r="1836" spans="1:9" x14ac:dyDescent="0.25">
      <c r="A1836" s="7"/>
      <c r="B1836" s="1"/>
      <c r="C1836" s="1"/>
      <c r="D1836" s="1"/>
      <c r="F1836" s="7"/>
      <c r="G1836" s="1"/>
      <c r="H1836" s="1"/>
      <c r="I1836" s="1"/>
    </row>
    <row r="1837" spans="1:9" x14ac:dyDescent="0.25">
      <c r="A1837" s="7"/>
      <c r="B1837" s="1"/>
      <c r="C1837" s="1"/>
      <c r="D1837" s="1"/>
      <c r="F1837" s="7"/>
      <c r="G1837" s="1"/>
      <c r="H1837" s="1"/>
      <c r="I1837" s="1"/>
    </row>
    <row r="1838" spans="1:9" x14ac:dyDescent="0.25">
      <c r="A1838" s="7"/>
      <c r="B1838" s="1"/>
      <c r="C1838" s="1"/>
      <c r="D1838" s="1"/>
      <c r="F1838" s="7"/>
      <c r="G1838" s="1"/>
      <c r="H1838" s="1"/>
      <c r="I1838" s="1"/>
    </row>
    <row r="1839" spans="1:9" x14ac:dyDescent="0.25">
      <c r="A1839" s="7"/>
      <c r="B1839" s="1"/>
      <c r="C1839" s="1"/>
      <c r="D1839" s="1"/>
      <c r="F1839" s="7"/>
      <c r="G1839" s="1"/>
      <c r="H1839" s="1"/>
      <c r="I1839" s="1"/>
    </row>
    <row r="1840" spans="1:9" x14ac:dyDescent="0.25">
      <c r="A1840" s="7"/>
      <c r="B1840" s="1"/>
      <c r="C1840" s="1"/>
      <c r="D1840" s="1"/>
      <c r="F1840" s="7"/>
      <c r="G1840" s="1"/>
      <c r="H1840" s="1"/>
      <c r="I1840" s="1"/>
    </row>
    <row r="1841" spans="1:9" x14ac:dyDescent="0.25">
      <c r="A1841" s="7"/>
      <c r="B1841" s="1"/>
      <c r="C1841" s="1"/>
      <c r="D1841" s="1"/>
      <c r="F1841" s="7"/>
      <c r="G1841" s="1"/>
      <c r="H1841" s="1"/>
      <c r="I1841" s="1"/>
    </row>
    <row r="1842" spans="1:9" x14ac:dyDescent="0.25">
      <c r="A1842" s="7"/>
      <c r="B1842" s="1"/>
      <c r="C1842" s="1"/>
      <c r="D1842" s="1"/>
      <c r="F1842" s="7"/>
      <c r="G1842" s="1"/>
      <c r="H1842" s="1"/>
      <c r="I1842" s="1"/>
    </row>
    <row r="1843" spans="1:9" x14ac:dyDescent="0.25">
      <c r="A1843" s="7"/>
      <c r="B1843" s="1"/>
      <c r="C1843" s="1"/>
      <c r="D1843" s="1"/>
      <c r="F1843" s="7"/>
      <c r="G1843" s="1"/>
      <c r="H1843" s="1"/>
      <c r="I1843" s="1"/>
    </row>
    <row r="1844" spans="1:9" x14ac:dyDescent="0.25">
      <c r="A1844" s="7"/>
      <c r="B1844" s="1"/>
      <c r="C1844" s="1"/>
      <c r="D1844" s="1"/>
      <c r="F1844" s="7"/>
      <c r="G1844" s="1"/>
      <c r="H1844" s="1"/>
      <c r="I1844" s="1"/>
    </row>
    <row r="1845" spans="1:9" x14ac:dyDescent="0.25">
      <c r="A1845" s="7"/>
      <c r="B1845" s="1"/>
      <c r="C1845" s="1"/>
      <c r="D1845" s="1"/>
      <c r="F1845" s="7"/>
      <c r="G1845" s="1"/>
      <c r="H1845" s="1"/>
      <c r="I1845" s="1"/>
    </row>
    <row r="1846" spans="1:9" x14ac:dyDescent="0.25">
      <c r="A1846" s="7"/>
      <c r="B1846" s="1"/>
      <c r="C1846" s="1"/>
      <c r="D1846" s="1"/>
      <c r="F1846" s="7"/>
      <c r="G1846" s="1"/>
      <c r="H1846" s="1"/>
      <c r="I1846" s="1"/>
    </row>
    <row r="1847" spans="1:9" x14ac:dyDescent="0.25">
      <c r="A1847" s="7"/>
      <c r="B1847" s="1"/>
      <c r="C1847" s="1"/>
      <c r="D1847" s="1"/>
      <c r="F1847" s="7"/>
      <c r="G1847" s="1"/>
      <c r="H1847" s="1"/>
      <c r="I1847" s="1"/>
    </row>
    <row r="1848" spans="1:9" x14ac:dyDescent="0.25">
      <c r="A1848" s="7"/>
      <c r="B1848" s="1"/>
      <c r="C1848" s="1"/>
      <c r="D1848" s="1"/>
      <c r="F1848" s="7"/>
      <c r="G1848" s="1"/>
      <c r="H1848" s="1"/>
      <c r="I1848" s="1"/>
    </row>
    <row r="1849" spans="1:9" x14ac:dyDescent="0.25">
      <c r="A1849" s="7"/>
      <c r="B1849" s="1"/>
      <c r="C1849" s="1"/>
      <c r="D1849" s="1"/>
      <c r="F1849" s="7"/>
      <c r="G1849" s="1"/>
      <c r="H1849" s="1"/>
      <c r="I1849" s="1"/>
    </row>
    <row r="1850" spans="1:9" x14ac:dyDescent="0.25">
      <c r="A1850" s="7"/>
      <c r="B1850" s="1"/>
      <c r="C1850" s="1"/>
      <c r="D1850" s="1"/>
      <c r="F1850" s="7"/>
      <c r="G1850" s="1"/>
      <c r="H1850" s="1"/>
      <c r="I1850" s="1"/>
    </row>
    <row r="1851" spans="1:9" x14ac:dyDescent="0.25">
      <c r="A1851" s="7"/>
      <c r="B1851" s="1"/>
      <c r="C1851" s="1"/>
      <c r="D1851" s="1"/>
      <c r="F1851" s="7"/>
      <c r="G1851" s="1"/>
      <c r="H1851" s="1"/>
      <c r="I1851" s="1"/>
    </row>
    <row r="1852" spans="1:9" x14ac:dyDescent="0.25">
      <c r="A1852" s="7"/>
      <c r="B1852" s="1"/>
      <c r="C1852" s="1"/>
      <c r="D1852" s="1"/>
      <c r="F1852" s="7"/>
      <c r="G1852" s="1"/>
      <c r="H1852" s="1"/>
      <c r="I1852" s="1"/>
    </row>
    <row r="1853" spans="1:9" x14ac:dyDescent="0.25">
      <c r="A1853" s="7"/>
      <c r="B1853" s="1"/>
      <c r="C1853" s="1"/>
      <c r="D1853" s="1"/>
      <c r="F1853" s="7"/>
      <c r="G1853" s="1"/>
      <c r="H1853" s="1"/>
      <c r="I1853" s="1"/>
    </row>
    <row r="1854" spans="1:9" x14ac:dyDescent="0.25">
      <c r="A1854" s="7"/>
      <c r="B1854" s="1"/>
      <c r="C1854" s="1"/>
      <c r="D1854" s="1"/>
      <c r="F1854" s="7"/>
      <c r="G1854" s="1"/>
      <c r="H1854" s="1"/>
      <c r="I1854" s="1"/>
    </row>
    <row r="1855" spans="1:9" x14ac:dyDescent="0.25">
      <c r="A1855" s="7"/>
      <c r="B1855" s="1"/>
      <c r="C1855" s="1"/>
      <c r="D1855" s="1"/>
      <c r="F1855" s="7"/>
      <c r="G1855" s="1"/>
      <c r="H1855" s="1"/>
      <c r="I1855" s="1"/>
    </row>
    <row r="1856" spans="1:9" x14ac:dyDescent="0.25">
      <c r="A1856" s="7"/>
      <c r="B1856" s="1"/>
      <c r="C1856" s="1"/>
      <c r="D1856" s="1"/>
      <c r="F1856" s="7"/>
      <c r="G1856" s="1"/>
      <c r="H1856" s="1"/>
      <c r="I1856" s="1"/>
    </row>
    <row r="1857" spans="1:9" x14ac:dyDescent="0.25">
      <c r="A1857" s="7"/>
      <c r="B1857" s="1"/>
      <c r="C1857" s="1"/>
      <c r="D1857" s="1"/>
      <c r="F1857" s="7"/>
      <c r="G1857" s="1"/>
      <c r="H1857" s="1"/>
      <c r="I1857" s="1"/>
    </row>
    <row r="1858" spans="1:9" x14ac:dyDescent="0.25">
      <c r="A1858" s="7"/>
      <c r="B1858" s="1"/>
      <c r="C1858" s="1"/>
      <c r="D1858" s="1"/>
      <c r="F1858" s="7"/>
      <c r="G1858" s="1"/>
      <c r="H1858" s="1"/>
      <c r="I1858" s="1"/>
    </row>
    <row r="1859" spans="1:9" x14ac:dyDescent="0.25">
      <c r="A1859" s="7"/>
      <c r="B1859" s="1"/>
      <c r="C1859" s="1"/>
      <c r="D1859" s="1"/>
      <c r="F1859" s="7"/>
      <c r="G1859" s="1"/>
      <c r="H1859" s="1"/>
      <c r="I1859" s="1"/>
    </row>
    <row r="1860" spans="1:9" x14ac:dyDescent="0.25">
      <c r="A1860" s="7"/>
      <c r="B1860" s="1"/>
      <c r="C1860" s="1"/>
      <c r="D1860" s="1"/>
      <c r="F1860" s="7"/>
      <c r="G1860" s="1"/>
      <c r="H1860" s="1"/>
      <c r="I1860" s="1"/>
    </row>
    <row r="1861" spans="1:9" x14ac:dyDescent="0.25">
      <c r="A1861" s="7"/>
      <c r="B1861" s="1"/>
      <c r="C1861" s="1"/>
      <c r="D1861" s="1"/>
      <c r="F1861" s="7"/>
      <c r="G1861" s="1"/>
      <c r="H1861" s="1"/>
      <c r="I1861" s="1"/>
    </row>
    <row r="1862" spans="1:9" x14ac:dyDescent="0.25">
      <c r="A1862" s="7"/>
      <c r="B1862" s="1"/>
      <c r="C1862" s="1"/>
      <c r="D1862" s="1"/>
      <c r="F1862" s="7"/>
      <c r="G1862" s="1"/>
      <c r="H1862" s="1"/>
      <c r="I1862" s="1"/>
    </row>
    <row r="1863" spans="1:9" x14ac:dyDescent="0.25">
      <c r="A1863" s="7"/>
      <c r="B1863" s="1"/>
      <c r="C1863" s="1"/>
      <c r="D1863" s="1"/>
      <c r="F1863" s="7"/>
      <c r="G1863" s="1"/>
      <c r="H1863" s="1"/>
      <c r="I1863" s="1"/>
    </row>
    <row r="1864" spans="1:9" x14ac:dyDescent="0.25">
      <c r="A1864" s="7"/>
      <c r="B1864" s="1"/>
      <c r="C1864" s="1"/>
      <c r="D1864" s="1"/>
      <c r="F1864" s="7"/>
      <c r="G1864" s="1"/>
      <c r="H1864" s="1"/>
      <c r="I1864" s="1"/>
    </row>
    <row r="1865" spans="1:9" x14ac:dyDescent="0.25">
      <c r="A1865" s="7"/>
      <c r="B1865" s="1"/>
      <c r="C1865" s="1"/>
      <c r="D1865" s="1"/>
      <c r="F1865" s="7"/>
      <c r="G1865" s="1"/>
      <c r="H1865" s="1"/>
      <c r="I1865" s="1"/>
    </row>
    <row r="1866" spans="1:9" x14ac:dyDescent="0.25">
      <c r="A1866" s="7"/>
      <c r="B1866" s="1"/>
      <c r="C1866" s="1"/>
      <c r="D1866" s="1"/>
      <c r="F1866" s="7"/>
      <c r="G1866" s="1"/>
      <c r="H1866" s="1"/>
      <c r="I1866" s="1"/>
    </row>
    <row r="1867" spans="1:9" x14ac:dyDescent="0.25">
      <c r="A1867" s="7"/>
      <c r="B1867" s="1"/>
      <c r="C1867" s="1"/>
      <c r="D1867" s="1"/>
      <c r="F1867" s="7"/>
      <c r="G1867" s="1"/>
      <c r="H1867" s="1"/>
      <c r="I1867" s="1"/>
    </row>
    <row r="1868" spans="1:9" x14ac:dyDescent="0.25">
      <c r="A1868" s="7"/>
      <c r="B1868" s="1"/>
      <c r="C1868" s="1"/>
      <c r="D1868" s="1"/>
      <c r="F1868" s="7"/>
      <c r="G1868" s="1"/>
      <c r="H1868" s="1"/>
      <c r="I1868" s="1"/>
    </row>
    <row r="1869" spans="1:9" x14ac:dyDescent="0.25">
      <c r="A1869" s="7"/>
      <c r="B1869" s="1"/>
      <c r="C1869" s="1"/>
      <c r="D1869" s="1"/>
      <c r="F1869" s="7"/>
      <c r="G1869" s="1"/>
      <c r="H1869" s="1"/>
      <c r="I1869" s="1"/>
    </row>
    <row r="1870" spans="1:9" x14ac:dyDescent="0.25">
      <c r="A1870" s="7"/>
      <c r="B1870" s="1"/>
      <c r="C1870" s="1"/>
      <c r="D1870" s="1"/>
      <c r="F1870" s="7"/>
      <c r="G1870" s="1"/>
      <c r="H1870" s="1"/>
      <c r="I1870" s="1"/>
    </row>
    <row r="1871" spans="1:9" x14ac:dyDescent="0.25">
      <c r="A1871" s="7"/>
      <c r="B1871" s="1"/>
      <c r="C1871" s="1"/>
      <c r="D1871" s="1"/>
      <c r="F1871" s="7"/>
      <c r="G1871" s="1"/>
      <c r="H1871" s="1"/>
      <c r="I1871" s="1"/>
    </row>
    <row r="1872" spans="1:9" x14ac:dyDescent="0.25">
      <c r="A1872" s="7"/>
      <c r="B1872" s="1"/>
      <c r="C1872" s="1"/>
      <c r="D1872" s="1"/>
      <c r="F1872" s="7"/>
      <c r="G1872" s="1"/>
      <c r="H1872" s="1"/>
      <c r="I1872" s="1"/>
    </row>
    <row r="1873" spans="1:9" x14ac:dyDescent="0.25">
      <c r="A1873" s="7"/>
      <c r="B1873" s="1"/>
      <c r="C1873" s="1"/>
      <c r="D1873" s="1"/>
      <c r="F1873" s="7"/>
      <c r="G1873" s="1"/>
      <c r="H1873" s="1"/>
      <c r="I1873" s="1"/>
    </row>
    <row r="1874" spans="1:9" x14ac:dyDescent="0.25">
      <c r="A1874" s="7"/>
      <c r="B1874" s="1"/>
      <c r="C1874" s="1"/>
      <c r="D1874" s="1"/>
      <c r="F1874" s="7"/>
      <c r="G1874" s="1"/>
      <c r="H1874" s="1"/>
      <c r="I1874" s="1"/>
    </row>
    <row r="1875" spans="1:9" x14ac:dyDescent="0.25">
      <c r="A1875" s="7"/>
      <c r="B1875" s="1"/>
      <c r="C1875" s="1"/>
      <c r="D1875" s="1"/>
      <c r="F1875" s="7"/>
      <c r="G1875" s="1"/>
      <c r="H1875" s="1"/>
      <c r="I1875" s="1"/>
    </row>
    <row r="1876" spans="1:9" x14ac:dyDescent="0.25">
      <c r="A1876" s="7"/>
      <c r="B1876" s="1"/>
      <c r="C1876" s="1"/>
      <c r="D1876" s="1"/>
      <c r="F1876" s="7"/>
      <c r="G1876" s="1"/>
      <c r="H1876" s="1"/>
      <c r="I1876" s="1"/>
    </row>
    <row r="1877" spans="1:9" x14ac:dyDescent="0.25">
      <c r="A1877" s="7"/>
      <c r="B1877" s="1"/>
      <c r="C1877" s="1"/>
      <c r="D1877" s="1"/>
      <c r="F1877" s="7"/>
      <c r="G1877" s="1"/>
      <c r="H1877" s="1"/>
      <c r="I1877" s="1"/>
    </row>
    <row r="1878" spans="1:9" x14ac:dyDescent="0.25">
      <c r="A1878" s="7"/>
      <c r="B1878" s="1"/>
      <c r="C1878" s="1"/>
      <c r="D1878" s="1"/>
      <c r="F1878" s="7"/>
      <c r="G1878" s="1"/>
      <c r="H1878" s="1"/>
      <c r="I1878" s="1"/>
    </row>
    <row r="1879" spans="1:9" x14ac:dyDescent="0.25">
      <c r="A1879" s="7"/>
      <c r="B1879" s="1"/>
      <c r="C1879" s="1"/>
      <c r="D1879" s="1"/>
      <c r="F1879" s="7"/>
      <c r="G1879" s="1"/>
      <c r="H1879" s="1"/>
      <c r="I1879" s="1"/>
    </row>
    <row r="1880" spans="1:9" x14ac:dyDescent="0.25">
      <c r="A1880" s="7"/>
      <c r="B1880" s="1"/>
      <c r="C1880" s="1"/>
      <c r="D1880" s="1"/>
      <c r="F1880" s="7"/>
      <c r="G1880" s="1"/>
      <c r="H1880" s="1"/>
      <c r="I1880" s="1"/>
    </row>
    <row r="1881" spans="1:9" x14ac:dyDescent="0.25">
      <c r="A1881" s="7"/>
      <c r="B1881" s="1"/>
      <c r="C1881" s="1"/>
      <c r="D1881" s="1"/>
      <c r="F1881" s="7"/>
      <c r="G1881" s="1"/>
      <c r="H1881" s="1"/>
      <c r="I1881" s="1"/>
    </row>
    <row r="1882" spans="1:9" x14ac:dyDescent="0.25">
      <c r="A1882" s="7"/>
      <c r="B1882" s="1"/>
      <c r="C1882" s="1"/>
      <c r="D1882" s="1"/>
      <c r="F1882" s="7"/>
      <c r="G1882" s="1"/>
      <c r="H1882" s="1"/>
      <c r="I1882" s="1"/>
    </row>
    <row r="1883" spans="1:9" x14ac:dyDescent="0.25">
      <c r="A1883" s="7"/>
      <c r="B1883" s="1"/>
      <c r="C1883" s="1"/>
      <c r="D1883" s="1"/>
      <c r="F1883" s="7"/>
      <c r="G1883" s="1"/>
      <c r="H1883" s="1"/>
      <c r="I1883" s="1"/>
    </row>
    <row r="1884" spans="1:9" x14ac:dyDescent="0.25">
      <c r="A1884" s="7"/>
      <c r="B1884" s="1"/>
      <c r="C1884" s="1"/>
      <c r="D1884" s="1"/>
      <c r="F1884" s="7"/>
      <c r="G1884" s="1"/>
      <c r="H1884" s="1"/>
      <c r="I1884" s="1"/>
    </row>
    <row r="1885" spans="1:9" x14ac:dyDescent="0.25">
      <c r="A1885" s="7"/>
      <c r="B1885" s="1"/>
      <c r="C1885" s="1"/>
      <c r="D1885" s="1"/>
      <c r="F1885" s="7"/>
      <c r="G1885" s="1"/>
      <c r="H1885" s="1"/>
      <c r="I1885" s="1"/>
    </row>
    <row r="1886" spans="1:9" x14ac:dyDescent="0.25">
      <c r="A1886" s="7"/>
      <c r="B1886" s="1"/>
      <c r="C1886" s="1"/>
      <c r="D1886" s="1"/>
      <c r="F1886" s="7"/>
      <c r="G1886" s="1"/>
      <c r="H1886" s="1"/>
      <c r="I1886" s="1"/>
    </row>
    <row r="1887" spans="1:9" x14ac:dyDescent="0.25">
      <c r="A1887" s="7"/>
      <c r="B1887" s="1"/>
      <c r="C1887" s="1"/>
      <c r="D1887" s="1"/>
      <c r="F1887" s="7"/>
      <c r="G1887" s="1"/>
      <c r="H1887" s="1"/>
      <c r="I1887" s="1"/>
    </row>
    <row r="1888" spans="1:9" x14ac:dyDescent="0.25">
      <c r="A1888" s="7"/>
      <c r="B1888" s="1"/>
      <c r="C1888" s="1"/>
      <c r="D1888" s="1"/>
      <c r="F1888" s="7"/>
      <c r="G1888" s="1"/>
      <c r="H1888" s="1"/>
      <c r="I1888" s="1"/>
    </row>
    <row r="1889" spans="1:9" x14ac:dyDescent="0.25">
      <c r="A1889" s="7"/>
      <c r="B1889" s="1"/>
      <c r="C1889" s="1"/>
      <c r="D1889" s="1"/>
      <c r="F1889" s="7"/>
      <c r="G1889" s="1"/>
      <c r="H1889" s="1"/>
      <c r="I1889" s="1"/>
    </row>
    <row r="1890" spans="1:9" x14ac:dyDescent="0.25">
      <c r="A1890" s="7"/>
      <c r="B1890" s="1"/>
      <c r="C1890" s="1"/>
      <c r="D1890" s="1"/>
      <c r="F1890" s="7"/>
      <c r="G1890" s="1"/>
      <c r="H1890" s="1"/>
      <c r="I1890" s="1"/>
    </row>
    <row r="1891" spans="1:9" x14ac:dyDescent="0.25">
      <c r="A1891" s="7"/>
      <c r="B1891" s="1"/>
      <c r="C1891" s="1"/>
      <c r="D1891" s="1"/>
      <c r="F1891" s="7"/>
      <c r="G1891" s="1"/>
      <c r="H1891" s="1"/>
      <c r="I1891" s="1"/>
    </row>
    <row r="1892" spans="1:9" x14ac:dyDescent="0.25">
      <c r="A1892" s="7"/>
      <c r="B1892" s="1"/>
      <c r="C1892" s="1"/>
      <c r="D1892" s="1"/>
      <c r="F1892" s="7"/>
      <c r="G1892" s="1"/>
      <c r="H1892" s="1"/>
      <c r="I1892" s="1"/>
    </row>
    <row r="1893" spans="1:9" x14ac:dyDescent="0.25">
      <c r="A1893" s="7"/>
      <c r="B1893" s="1"/>
      <c r="C1893" s="1"/>
      <c r="D1893" s="1"/>
      <c r="F1893" s="7"/>
      <c r="G1893" s="1"/>
      <c r="H1893" s="1"/>
      <c r="I1893" s="1"/>
    </row>
    <row r="1894" spans="1:9" x14ac:dyDescent="0.25">
      <c r="A1894" s="7"/>
      <c r="B1894" s="1"/>
      <c r="C1894" s="1"/>
      <c r="D1894" s="1"/>
      <c r="F1894" s="7"/>
      <c r="G1894" s="1"/>
      <c r="H1894" s="1"/>
      <c r="I1894" s="1"/>
    </row>
    <row r="1895" spans="1:9" x14ac:dyDescent="0.25">
      <c r="A1895" s="7"/>
      <c r="B1895" s="1"/>
      <c r="C1895" s="1"/>
      <c r="D1895" s="1"/>
      <c r="F1895" s="7"/>
      <c r="G1895" s="1"/>
      <c r="H1895" s="1"/>
      <c r="I1895" s="1"/>
    </row>
    <row r="1896" spans="1:9" x14ac:dyDescent="0.25">
      <c r="A1896" s="7"/>
      <c r="B1896" s="1"/>
      <c r="C1896" s="1"/>
      <c r="D1896" s="1"/>
      <c r="F1896" s="7"/>
      <c r="G1896" s="1"/>
      <c r="H1896" s="1"/>
      <c r="I1896" s="1"/>
    </row>
    <row r="1897" spans="1:9" x14ac:dyDescent="0.25">
      <c r="A1897" s="7"/>
      <c r="B1897" s="1"/>
      <c r="C1897" s="1"/>
      <c r="D1897" s="1"/>
      <c r="F1897" s="7"/>
      <c r="G1897" s="1"/>
      <c r="H1897" s="1"/>
      <c r="I1897" s="1"/>
    </row>
    <row r="1898" spans="1:9" x14ac:dyDescent="0.25">
      <c r="A1898" s="7"/>
      <c r="B1898" s="1"/>
      <c r="C1898" s="1"/>
      <c r="D1898" s="1"/>
      <c r="F1898" s="7"/>
      <c r="G1898" s="1"/>
      <c r="H1898" s="1"/>
      <c r="I1898" s="1"/>
    </row>
    <row r="1899" spans="1:9" x14ac:dyDescent="0.25">
      <c r="A1899" s="7"/>
      <c r="B1899" s="1"/>
      <c r="C1899" s="1"/>
      <c r="D1899" s="1"/>
      <c r="F1899" s="7"/>
      <c r="G1899" s="1"/>
      <c r="H1899" s="1"/>
      <c r="I1899" s="1"/>
    </row>
    <row r="1900" spans="1:9" x14ac:dyDescent="0.25">
      <c r="A1900" s="7"/>
      <c r="B1900" s="1"/>
      <c r="C1900" s="1"/>
      <c r="D1900" s="1"/>
      <c r="F1900" s="7"/>
      <c r="G1900" s="1"/>
      <c r="H1900" s="1"/>
      <c r="I1900" s="1"/>
    </row>
    <row r="1901" spans="1:9" x14ac:dyDescent="0.25">
      <c r="A1901" s="7"/>
      <c r="B1901" s="1"/>
      <c r="C1901" s="1"/>
      <c r="D1901" s="1"/>
      <c r="F1901" s="7"/>
      <c r="G1901" s="1"/>
      <c r="H1901" s="1"/>
      <c r="I1901" s="1"/>
    </row>
    <row r="1902" spans="1:9" x14ac:dyDescent="0.25">
      <c r="A1902" s="7"/>
      <c r="B1902" s="1"/>
      <c r="C1902" s="1"/>
      <c r="D1902" s="1"/>
      <c r="F1902" s="7"/>
      <c r="G1902" s="1"/>
      <c r="H1902" s="1"/>
      <c r="I1902" s="1"/>
    </row>
    <row r="1903" spans="1:9" x14ac:dyDescent="0.25">
      <c r="A1903" s="7"/>
      <c r="B1903" s="1"/>
      <c r="C1903" s="1"/>
      <c r="D1903" s="1"/>
      <c r="F1903" s="7"/>
      <c r="G1903" s="1"/>
      <c r="H1903" s="1"/>
      <c r="I1903" s="1"/>
    </row>
    <row r="1904" spans="1:9" x14ac:dyDescent="0.25">
      <c r="A1904" s="7"/>
      <c r="B1904" s="1"/>
      <c r="C1904" s="1"/>
      <c r="D1904" s="1"/>
      <c r="F1904" s="7"/>
      <c r="G1904" s="1"/>
      <c r="H1904" s="1"/>
      <c r="I1904" s="1"/>
    </row>
    <row r="1905" spans="1:9" x14ac:dyDescent="0.25">
      <c r="A1905" s="7"/>
      <c r="B1905" s="1"/>
      <c r="C1905" s="1"/>
      <c r="D1905" s="1"/>
      <c r="F1905" s="7"/>
      <c r="G1905" s="1"/>
      <c r="H1905" s="1"/>
      <c r="I1905" s="1"/>
    </row>
    <row r="1906" spans="1:9" x14ac:dyDescent="0.25">
      <c r="A1906" s="7"/>
      <c r="B1906" s="1"/>
      <c r="C1906" s="1"/>
      <c r="D1906" s="1"/>
      <c r="F1906" s="7"/>
      <c r="G1906" s="1"/>
      <c r="H1906" s="1"/>
      <c r="I1906" s="1"/>
    </row>
    <row r="1907" spans="1:9" x14ac:dyDescent="0.25">
      <c r="A1907" s="7"/>
      <c r="B1907" s="1"/>
      <c r="C1907" s="1"/>
      <c r="D1907" s="1"/>
      <c r="F1907" s="7"/>
      <c r="G1907" s="1"/>
      <c r="H1907" s="1"/>
      <c r="I1907" s="1"/>
    </row>
    <row r="1908" spans="1:9" x14ac:dyDescent="0.25">
      <c r="A1908" s="7"/>
      <c r="B1908" s="1"/>
      <c r="C1908" s="1"/>
      <c r="D1908" s="1"/>
      <c r="F1908" s="7"/>
      <c r="G1908" s="1"/>
      <c r="H1908" s="1"/>
      <c r="I1908" s="1"/>
    </row>
    <row r="1909" spans="1:9" x14ac:dyDescent="0.25">
      <c r="A1909" s="7"/>
      <c r="B1909" s="1"/>
      <c r="C1909" s="1"/>
      <c r="D1909" s="1"/>
      <c r="F1909" s="7"/>
      <c r="G1909" s="1"/>
      <c r="H1909" s="1"/>
      <c r="I1909" s="1"/>
    </row>
    <row r="1910" spans="1:9" x14ac:dyDescent="0.25">
      <c r="A1910" s="7"/>
      <c r="B1910" s="1"/>
      <c r="C1910" s="1"/>
      <c r="D1910" s="1"/>
      <c r="F1910" s="7"/>
      <c r="G1910" s="1"/>
      <c r="H1910" s="1"/>
      <c r="I1910" s="1"/>
    </row>
    <row r="1911" spans="1:9" x14ac:dyDescent="0.25">
      <c r="A1911" s="7"/>
      <c r="B1911" s="1"/>
      <c r="C1911" s="1"/>
      <c r="D1911" s="1"/>
      <c r="F1911" s="7"/>
      <c r="G1911" s="1"/>
      <c r="H1911" s="1"/>
      <c r="I1911" s="1"/>
    </row>
    <row r="1912" spans="1:9" x14ac:dyDescent="0.25">
      <c r="A1912" s="7"/>
      <c r="B1912" s="1"/>
      <c r="C1912" s="1"/>
      <c r="D1912" s="1"/>
      <c r="F1912" s="7"/>
      <c r="G1912" s="1"/>
      <c r="H1912" s="1"/>
      <c r="I1912" s="1"/>
    </row>
    <row r="1913" spans="1:9" x14ac:dyDescent="0.25">
      <c r="A1913" s="7"/>
      <c r="B1913" s="1"/>
      <c r="C1913" s="1"/>
      <c r="D1913" s="1"/>
      <c r="F1913" s="7"/>
      <c r="G1913" s="1"/>
      <c r="H1913" s="1"/>
      <c r="I1913" s="1"/>
    </row>
    <row r="1914" spans="1:9" x14ac:dyDescent="0.25">
      <c r="A1914" s="7"/>
      <c r="B1914" s="1"/>
      <c r="C1914" s="1"/>
      <c r="D1914" s="1"/>
      <c r="F1914" s="7"/>
      <c r="G1914" s="1"/>
      <c r="H1914" s="1"/>
      <c r="I1914" s="1"/>
    </row>
    <row r="1915" spans="1:9" x14ac:dyDescent="0.25">
      <c r="A1915" s="7"/>
      <c r="B1915" s="1"/>
      <c r="C1915" s="1"/>
      <c r="D1915" s="1"/>
      <c r="F1915" s="7"/>
      <c r="G1915" s="1"/>
      <c r="H1915" s="1"/>
      <c r="I1915" s="1"/>
    </row>
    <row r="1916" spans="1:9" x14ac:dyDescent="0.25">
      <c r="A1916" s="7"/>
      <c r="B1916" s="1"/>
      <c r="C1916" s="1"/>
      <c r="D1916" s="1"/>
      <c r="F1916" s="7"/>
      <c r="G1916" s="1"/>
      <c r="H1916" s="1"/>
      <c r="I1916" s="1"/>
    </row>
    <row r="1917" spans="1:9" x14ac:dyDescent="0.25">
      <c r="A1917" s="7"/>
      <c r="B1917" s="1"/>
      <c r="C1917" s="1"/>
      <c r="D1917" s="1"/>
      <c r="F1917" s="7"/>
      <c r="G1917" s="1"/>
      <c r="H1917" s="1"/>
      <c r="I1917" s="1"/>
    </row>
    <row r="1918" spans="1:9" x14ac:dyDescent="0.25">
      <c r="A1918" s="7"/>
      <c r="B1918" s="1"/>
      <c r="C1918" s="1"/>
      <c r="D1918" s="1"/>
      <c r="F1918" s="7"/>
      <c r="G1918" s="1"/>
      <c r="H1918" s="1"/>
      <c r="I1918" s="1"/>
    </row>
    <row r="1919" spans="1:9" x14ac:dyDescent="0.25">
      <c r="A1919" s="7"/>
      <c r="B1919" s="1"/>
      <c r="C1919" s="1"/>
      <c r="D1919" s="1"/>
      <c r="F1919" s="7"/>
      <c r="G1919" s="1"/>
      <c r="H1919" s="1"/>
      <c r="I1919" s="1"/>
    </row>
    <row r="1920" spans="1:9" x14ac:dyDescent="0.25">
      <c r="A1920" s="7"/>
      <c r="B1920" s="1"/>
      <c r="C1920" s="1"/>
      <c r="D1920" s="1"/>
      <c r="F1920" s="7"/>
      <c r="G1920" s="1"/>
      <c r="H1920" s="1"/>
      <c r="I1920" s="1"/>
    </row>
    <row r="1921" spans="1:9" x14ac:dyDescent="0.25">
      <c r="A1921" s="7"/>
      <c r="B1921" s="1"/>
      <c r="C1921" s="1"/>
      <c r="D1921" s="1"/>
      <c r="F1921" s="7"/>
      <c r="G1921" s="1"/>
      <c r="H1921" s="1"/>
      <c r="I1921" s="1"/>
    </row>
    <row r="1922" spans="1:9" x14ac:dyDescent="0.25">
      <c r="A1922" s="7"/>
      <c r="B1922" s="1"/>
      <c r="C1922" s="1"/>
      <c r="D1922" s="1"/>
      <c r="F1922" s="7"/>
      <c r="G1922" s="1"/>
      <c r="H1922" s="1"/>
      <c r="I1922" s="1"/>
    </row>
    <row r="1923" spans="1:9" x14ac:dyDescent="0.25">
      <c r="A1923" s="7"/>
      <c r="B1923" s="1"/>
      <c r="C1923" s="1"/>
      <c r="D1923" s="1"/>
      <c r="F1923" s="7"/>
      <c r="G1923" s="1"/>
      <c r="H1923" s="1"/>
      <c r="I1923" s="1"/>
    </row>
    <row r="1924" spans="1:9" x14ac:dyDescent="0.25">
      <c r="A1924" s="7"/>
      <c r="B1924" s="1"/>
      <c r="C1924" s="1"/>
      <c r="D1924" s="1"/>
      <c r="F1924" s="7"/>
      <c r="G1924" s="1"/>
      <c r="H1924" s="1"/>
      <c r="I1924" s="1"/>
    </row>
    <row r="1925" spans="1:9" x14ac:dyDescent="0.25">
      <c r="A1925" s="7"/>
      <c r="B1925" s="1"/>
      <c r="C1925" s="1"/>
      <c r="D1925" s="1"/>
      <c r="F1925" s="7"/>
      <c r="G1925" s="1"/>
      <c r="H1925" s="1"/>
      <c r="I1925" s="1"/>
    </row>
    <row r="1926" spans="1:9" x14ac:dyDescent="0.25">
      <c r="A1926" s="7"/>
      <c r="B1926" s="1"/>
      <c r="C1926" s="1"/>
      <c r="D1926" s="1"/>
      <c r="F1926" s="7"/>
      <c r="G1926" s="1"/>
      <c r="H1926" s="1"/>
      <c r="I1926" s="1"/>
    </row>
    <row r="1927" spans="1:9" x14ac:dyDescent="0.25">
      <c r="A1927" s="7"/>
      <c r="B1927" s="1"/>
      <c r="C1927" s="1"/>
      <c r="D1927" s="1"/>
      <c r="F1927" s="7"/>
      <c r="G1927" s="1"/>
      <c r="H1927" s="1"/>
      <c r="I1927" s="1"/>
    </row>
    <row r="1928" spans="1:9" x14ac:dyDescent="0.25">
      <c r="A1928" s="7"/>
      <c r="B1928" s="1"/>
      <c r="C1928" s="1"/>
      <c r="D1928" s="1"/>
      <c r="F1928" s="7"/>
      <c r="G1928" s="1"/>
      <c r="H1928" s="1"/>
      <c r="I1928" s="1"/>
    </row>
    <row r="1929" spans="1:9" x14ac:dyDescent="0.25">
      <c r="A1929" s="7"/>
      <c r="B1929" s="1"/>
      <c r="C1929" s="1"/>
      <c r="D1929" s="1"/>
      <c r="F1929" s="7"/>
      <c r="G1929" s="1"/>
      <c r="H1929" s="1"/>
      <c r="I1929" s="1"/>
    </row>
    <row r="1930" spans="1:9" x14ac:dyDescent="0.25">
      <c r="A1930" s="7"/>
      <c r="B1930" s="1"/>
      <c r="C1930" s="1"/>
      <c r="D1930" s="1"/>
      <c r="F1930" s="7"/>
      <c r="G1930" s="1"/>
      <c r="H1930" s="1"/>
      <c r="I1930" s="1"/>
    </row>
    <row r="1931" spans="1:9" x14ac:dyDescent="0.25">
      <c r="A1931" s="7"/>
      <c r="B1931" s="1"/>
      <c r="C1931" s="1"/>
      <c r="D1931" s="1"/>
      <c r="F1931" s="7"/>
      <c r="G1931" s="1"/>
      <c r="H1931" s="1"/>
      <c r="I1931" s="1"/>
    </row>
    <row r="1932" spans="1:9" x14ac:dyDescent="0.25">
      <c r="A1932" s="7"/>
      <c r="B1932" s="1"/>
      <c r="C1932" s="1"/>
      <c r="D1932" s="1"/>
      <c r="F1932" s="7"/>
      <c r="G1932" s="1"/>
      <c r="H1932" s="1"/>
      <c r="I1932" s="1"/>
    </row>
    <row r="1933" spans="1:9" x14ac:dyDescent="0.25">
      <c r="A1933" s="7"/>
      <c r="B1933" s="1"/>
      <c r="C1933" s="1"/>
      <c r="D1933" s="1"/>
      <c r="F1933" s="7"/>
      <c r="G1933" s="1"/>
      <c r="H1933" s="1"/>
      <c r="I1933" s="1"/>
    </row>
    <row r="1934" spans="1:9" x14ac:dyDescent="0.25">
      <c r="A1934" s="7"/>
      <c r="B1934" s="1"/>
      <c r="C1934" s="1"/>
      <c r="D1934" s="1"/>
      <c r="F1934" s="7"/>
      <c r="G1934" s="1"/>
      <c r="H1934" s="1"/>
      <c r="I1934" s="1"/>
    </row>
    <row r="1935" spans="1:9" x14ac:dyDescent="0.25">
      <c r="A1935" s="7"/>
      <c r="B1935" s="1"/>
      <c r="C1935" s="1"/>
      <c r="D1935" s="1"/>
      <c r="F1935" s="7"/>
      <c r="G1935" s="1"/>
      <c r="H1935" s="1"/>
      <c r="I1935" s="1"/>
    </row>
    <row r="1936" spans="1:9" x14ac:dyDescent="0.25">
      <c r="A1936" s="7"/>
      <c r="B1936" s="1"/>
      <c r="C1936" s="1"/>
      <c r="D1936" s="1"/>
      <c r="F1936" s="7"/>
      <c r="G1936" s="1"/>
      <c r="H1936" s="1"/>
      <c r="I1936" s="1"/>
    </row>
    <row r="1937" spans="1:9" x14ac:dyDescent="0.25">
      <c r="A1937" s="7"/>
      <c r="B1937" s="1"/>
      <c r="C1937" s="1"/>
      <c r="D1937" s="1"/>
      <c r="F1937" s="7"/>
      <c r="G1937" s="1"/>
      <c r="H1937" s="1"/>
      <c r="I1937" s="1"/>
    </row>
    <row r="1938" spans="1:9" x14ac:dyDescent="0.25">
      <c r="A1938" s="7"/>
      <c r="B1938" s="1"/>
      <c r="C1938" s="1"/>
      <c r="D1938" s="1"/>
      <c r="F1938" s="7"/>
      <c r="G1938" s="1"/>
      <c r="H1938" s="1"/>
      <c r="I1938" s="1"/>
    </row>
    <row r="1939" spans="1:9" x14ac:dyDescent="0.25">
      <c r="A1939" s="7"/>
      <c r="B1939" s="1"/>
      <c r="C1939" s="1"/>
      <c r="D1939" s="1"/>
      <c r="F1939" s="7"/>
      <c r="G1939" s="1"/>
      <c r="H1939" s="1"/>
      <c r="I1939" s="1"/>
    </row>
    <row r="1940" spans="1:9" x14ac:dyDescent="0.25">
      <c r="A1940" s="7"/>
      <c r="B1940" s="1"/>
      <c r="C1940" s="1"/>
      <c r="D1940" s="1"/>
      <c r="F1940" s="7"/>
      <c r="G1940" s="1"/>
      <c r="H1940" s="1"/>
      <c r="I1940" s="1"/>
    </row>
    <row r="1941" spans="1:9" x14ac:dyDescent="0.25">
      <c r="A1941" s="7"/>
      <c r="B1941" s="1"/>
      <c r="C1941" s="1"/>
      <c r="D1941" s="1"/>
      <c r="F1941" s="7"/>
      <c r="G1941" s="1"/>
      <c r="H1941" s="1"/>
      <c r="I1941" s="1"/>
    </row>
    <row r="1942" spans="1:9" x14ac:dyDescent="0.25">
      <c r="A1942" s="7"/>
      <c r="B1942" s="1"/>
      <c r="C1942" s="1"/>
      <c r="D1942" s="1"/>
      <c r="F1942" s="7"/>
      <c r="G1942" s="1"/>
      <c r="H1942" s="1"/>
      <c r="I1942" s="1"/>
    </row>
    <row r="1943" spans="1:9" x14ac:dyDescent="0.25">
      <c r="A1943" s="7"/>
      <c r="B1943" s="1"/>
      <c r="C1943" s="1"/>
      <c r="D1943" s="1"/>
      <c r="F1943" s="7"/>
      <c r="G1943" s="1"/>
      <c r="H1943" s="1"/>
      <c r="I1943" s="1"/>
    </row>
    <row r="1944" spans="1:9" x14ac:dyDescent="0.25">
      <c r="A1944" s="7"/>
      <c r="B1944" s="1"/>
      <c r="C1944" s="1"/>
      <c r="D1944" s="1"/>
      <c r="F1944" s="7"/>
      <c r="G1944" s="1"/>
      <c r="H1944" s="1"/>
      <c r="I1944" s="1"/>
    </row>
    <row r="1945" spans="1:9" x14ac:dyDescent="0.25">
      <c r="A1945" s="7"/>
      <c r="B1945" s="1"/>
      <c r="C1945" s="1"/>
      <c r="D1945" s="1"/>
      <c r="F1945" s="7"/>
      <c r="G1945" s="1"/>
      <c r="H1945" s="1"/>
      <c r="I1945" s="1"/>
    </row>
    <row r="1946" spans="1:9" x14ac:dyDescent="0.25">
      <c r="A1946" s="7"/>
      <c r="B1946" s="1"/>
      <c r="C1946" s="1"/>
      <c r="D1946" s="1"/>
      <c r="F1946" s="7"/>
      <c r="G1946" s="1"/>
      <c r="H1946" s="1"/>
      <c r="I1946" s="1"/>
    </row>
    <row r="1947" spans="1:9" x14ac:dyDescent="0.25">
      <c r="A1947" s="7"/>
      <c r="B1947" s="1"/>
      <c r="C1947" s="1"/>
      <c r="D1947" s="1"/>
      <c r="F1947" s="7"/>
      <c r="G1947" s="1"/>
      <c r="H1947" s="1"/>
      <c r="I1947" s="1"/>
    </row>
    <row r="1948" spans="1:9" x14ac:dyDescent="0.25">
      <c r="A1948" s="7"/>
      <c r="B1948" s="1"/>
      <c r="C1948" s="1"/>
      <c r="D1948" s="1"/>
      <c r="F1948" s="7"/>
      <c r="G1948" s="1"/>
      <c r="H1948" s="1"/>
      <c r="I1948" s="1"/>
    </row>
    <row r="1949" spans="1:9" x14ac:dyDescent="0.25">
      <c r="A1949" s="7"/>
      <c r="B1949" s="1"/>
      <c r="C1949" s="1"/>
      <c r="D1949" s="1"/>
      <c r="F1949" s="7"/>
      <c r="G1949" s="1"/>
      <c r="H1949" s="1"/>
      <c r="I1949" s="1"/>
    </row>
    <row r="1950" spans="1:9" x14ac:dyDescent="0.25">
      <c r="A1950" s="7"/>
      <c r="B1950" s="1"/>
      <c r="C1950" s="1"/>
      <c r="D1950" s="1"/>
      <c r="F1950" s="7"/>
      <c r="G1950" s="1"/>
      <c r="H1950" s="1"/>
      <c r="I1950" s="1"/>
    </row>
    <row r="1951" spans="1:9" x14ac:dyDescent="0.25">
      <c r="A1951" s="7"/>
      <c r="B1951" s="1"/>
      <c r="C1951" s="1"/>
      <c r="D1951" s="1"/>
      <c r="F1951" s="7"/>
      <c r="G1951" s="1"/>
      <c r="H1951" s="1"/>
      <c r="I1951" s="1"/>
    </row>
    <row r="1952" spans="1:9" x14ac:dyDescent="0.25">
      <c r="A1952" s="7"/>
      <c r="B1952" s="1"/>
      <c r="C1952" s="1"/>
      <c r="D1952" s="1"/>
      <c r="F1952" s="7"/>
      <c r="G1952" s="1"/>
      <c r="H1952" s="1"/>
      <c r="I1952" s="1"/>
    </row>
    <row r="1953" spans="1:9" x14ac:dyDescent="0.25">
      <c r="A1953" s="7"/>
      <c r="B1953" s="1"/>
      <c r="C1953" s="1"/>
      <c r="D1953" s="1"/>
      <c r="F1953" s="7"/>
      <c r="G1953" s="1"/>
      <c r="H1953" s="1"/>
      <c r="I1953" s="1"/>
    </row>
    <row r="1954" spans="1:9" x14ac:dyDescent="0.25">
      <c r="A1954" s="7"/>
      <c r="B1954" s="1"/>
      <c r="C1954" s="1"/>
      <c r="D1954" s="1"/>
      <c r="F1954" s="7"/>
      <c r="G1954" s="1"/>
      <c r="H1954" s="1"/>
      <c r="I1954" s="1"/>
    </row>
    <row r="1955" spans="1:9" x14ac:dyDescent="0.25">
      <c r="A1955" s="7"/>
      <c r="B1955" s="1"/>
      <c r="C1955" s="1"/>
      <c r="D1955" s="1"/>
      <c r="F1955" s="7"/>
      <c r="G1955" s="1"/>
      <c r="H1955" s="1"/>
      <c r="I1955" s="1"/>
    </row>
    <row r="1956" spans="1:9" x14ac:dyDescent="0.25">
      <c r="A1956" s="7"/>
      <c r="B1956" s="1"/>
      <c r="C1956" s="1"/>
      <c r="D1956" s="1"/>
      <c r="F1956" s="7"/>
      <c r="G1956" s="1"/>
      <c r="H1956" s="1"/>
      <c r="I1956" s="1"/>
    </row>
    <row r="1957" spans="1:9" x14ac:dyDescent="0.25">
      <c r="A1957" s="7"/>
      <c r="B1957" s="1"/>
      <c r="C1957" s="1"/>
      <c r="D1957" s="1"/>
      <c r="F1957" s="7"/>
      <c r="G1957" s="1"/>
      <c r="H1957" s="1"/>
      <c r="I1957" s="1"/>
    </row>
    <row r="1958" spans="1:9" x14ac:dyDescent="0.25">
      <c r="A1958" s="7"/>
      <c r="B1958" s="1"/>
      <c r="C1958" s="1"/>
      <c r="D1958" s="1"/>
      <c r="F1958" s="7"/>
      <c r="G1958" s="1"/>
      <c r="H1958" s="1"/>
      <c r="I1958" s="1"/>
    </row>
    <row r="1959" spans="1:9" x14ac:dyDescent="0.25">
      <c r="A1959" s="7"/>
      <c r="B1959" s="1"/>
      <c r="C1959" s="1"/>
      <c r="D1959" s="1"/>
      <c r="F1959" s="7"/>
      <c r="G1959" s="1"/>
      <c r="H1959" s="1"/>
      <c r="I1959" s="1"/>
    </row>
    <row r="1960" spans="1:9" x14ac:dyDescent="0.25">
      <c r="A1960" s="7"/>
      <c r="B1960" s="1"/>
      <c r="C1960" s="1"/>
      <c r="D1960" s="1"/>
      <c r="F1960" s="7"/>
      <c r="G1960" s="1"/>
      <c r="H1960" s="1"/>
      <c r="I1960" s="1"/>
    </row>
    <row r="1961" spans="1:9" x14ac:dyDescent="0.25">
      <c r="A1961" s="7"/>
      <c r="B1961" s="1"/>
      <c r="C1961" s="1"/>
      <c r="D1961" s="1"/>
      <c r="F1961" s="7"/>
      <c r="G1961" s="1"/>
      <c r="H1961" s="1"/>
      <c r="I1961" s="1"/>
    </row>
    <row r="1962" spans="1:9" x14ac:dyDescent="0.25">
      <c r="A1962" s="7"/>
      <c r="B1962" s="1"/>
      <c r="C1962" s="1"/>
      <c r="D1962" s="1"/>
      <c r="F1962" s="7"/>
      <c r="G1962" s="1"/>
      <c r="H1962" s="1"/>
      <c r="I1962" s="1"/>
    </row>
    <row r="1963" spans="1:9" x14ac:dyDescent="0.25">
      <c r="A1963" s="7"/>
      <c r="B1963" s="1"/>
      <c r="C1963" s="1"/>
      <c r="D1963" s="1"/>
      <c r="F1963" s="7"/>
      <c r="G1963" s="1"/>
      <c r="H1963" s="1"/>
      <c r="I1963" s="1"/>
    </row>
    <row r="1964" spans="1:9" x14ac:dyDescent="0.25">
      <c r="A1964" s="7"/>
      <c r="B1964" s="1"/>
      <c r="C1964" s="1"/>
      <c r="D1964" s="1"/>
      <c r="F1964" s="7"/>
      <c r="G1964" s="1"/>
      <c r="H1964" s="1"/>
      <c r="I1964" s="1"/>
    </row>
    <row r="1965" spans="1:9" x14ac:dyDescent="0.25">
      <c r="A1965" s="7"/>
      <c r="B1965" s="1"/>
      <c r="C1965" s="1"/>
      <c r="D1965" s="1"/>
      <c r="F1965" s="7"/>
      <c r="G1965" s="1"/>
      <c r="H1965" s="1"/>
      <c r="I1965" s="1"/>
    </row>
    <row r="1966" spans="1:9" x14ac:dyDescent="0.25">
      <c r="A1966" s="7"/>
      <c r="B1966" s="1"/>
      <c r="C1966" s="1"/>
      <c r="D1966" s="1"/>
      <c r="F1966" s="7"/>
      <c r="G1966" s="1"/>
      <c r="H1966" s="1"/>
      <c r="I1966" s="1"/>
    </row>
    <row r="1967" spans="1:9" x14ac:dyDescent="0.25">
      <c r="A1967" s="7"/>
      <c r="B1967" s="1"/>
      <c r="C1967" s="1"/>
      <c r="D1967" s="1"/>
      <c r="F1967" s="7"/>
      <c r="G1967" s="1"/>
      <c r="H1967" s="1"/>
      <c r="I1967" s="1"/>
    </row>
    <row r="1968" spans="1:9" x14ac:dyDescent="0.25">
      <c r="A1968" s="7"/>
      <c r="B1968" s="1"/>
      <c r="C1968" s="1"/>
      <c r="D1968" s="1"/>
      <c r="F1968" s="7"/>
      <c r="G1968" s="1"/>
      <c r="H1968" s="1"/>
      <c r="I1968" s="1"/>
    </row>
    <row r="1969" spans="1:9" x14ac:dyDescent="0.25">
      <c r="A1969" s="7"/>
      <c r="B1969" s="1"/>
      <c r="C1969" s="1"/>
      <c r="D1969" s="1"/>
      <c r="F1969" s="7"/>
      <c r="G1969" s="1"/>
      <c r="H1969" s="1"/>
      <c r="I1969" s="1"/>
    </row>
    <row r="1970" spans="1:9" x14ac:dyDescent="0.25">
      <c r="A1970" s="7"/>
      <c r="B1970" s="1"/>
      <c r="C1970" s="1"/>
      <c r="D1970" s="1"/>
      <c r="F1970" s="7"/>
      <c r="G1970" s="1"/>
      <c r="H1970" s="1"/>
      <c r="I1970" s="1"/>
    </row>
    <row r="1971" spans="1:9" x14ac:dyDescent="0.25">
      <c r="A1971" s="7"/>
      <c r="B1971" s="1"/>
      <c r="C1971" s="1"/>
      <c r="D1971" s="1"/>
      <c r="F1971" s="7"/>
      <c r="G1971" s="1"/>
      <c r="H1971" s="1"/>
      <c r="I1971" s="1"/>
    </row>
    <row r="1972" spans="1:9" x14ac:dyDescent="0.25">
      <c r="A1972" s="7"/>
      <c r="B1972" s="1"/>
      <c r="C1972" s="1"/>
      <c r="D1972" s="1"/>
      <c r="F1972" s="7"/>
      <c r="G1972" s="1"/>
      <c r="H1972" s="1"/>
      <c r="I1972" s="1"/>
    </row>
    <row r="1973" spans="1:9" x14ac:dyDescent="0.25">
      <c r="A1973" s="7"/>
      <c r="B1973" s="1"/>
      <c r="C1973" s="1"/>
      <c r="D1973" s="1"/>
      <c r="F1973" s="7"/>
      <c r="G1973" s="1"/>
      <c r="H1973" s="1"/>
      <c r="I1973" s="1"/>
    </row>
    <row r="1974" spans="1:9" x14ac:dyDescent="0.25">
      <c r="A1974" s="7"/>
      <c r="B1974" s="1"/>
      <c r="C1974" s="1"/>
      <c r="D1974" s="1"/>
      <c r="F1974" s="7"/>
      <c r="G1974" s="1"/>
      <c r="H1974" s="1"/>
      <c r="I1974" s="1"/>
    </row>
    <row r="1975" spans="1:9" x14ac:dyDescent="0.25">
      <c r="A1975" s="7"/>
      <c r="B1975" s="1"/>
      <c r="C1975" s="1"/>
      <c r="D1975" s="1"/>
      <c r="F1975" s="7"/>
      <c r="G1975" s="1"/>
      <c r="H1975" s="1"/>
      <c r="I1975" s="1"/>
    </row>
    <row r="1976" spans="1:9" x14ac:dyDescent="0.25">
      <c r="A1976" s="7"/>
      <c r="B1976" s="1"/>
      <c r="C1976" s="1"/>
      <c r="D1976" s="1"/>
      <c r="F1976" s="7"/>
      <c r="G1976" s="1"/>
      <c r="H1976" s="1"/>
      <c r="I1976" s="1"/>
    </row>
    <row r="1977" spans="1:9" x14ac:dyDescent="0.25">
      <c r="A1977" s="7"/>
      <c r="B1977" s="1"/>
      <c r="C1977" s="1"/>
      <c r="D1977" s="1"/>
      <c r="F1977" s="7"/>
      <c r="G1977" s="1"/>
      <c r="H1977" s="1"/>
      <c r="I1977" s="1"/>
    </row>
    <row r="1978" spans="1:9" x14ac:dyDescent="0.25">
      <c r="A1978" s="7"/>
      <c r="B1978" s="1"/>
      <c r="C1978" s="1"/>
      <c r="D1978" s="1"/>
      <c r="F1978" s="7"/>
      <c r="G1978" s="1"/>
      <c r="H1978" s="1"/>
      <c r="I1978" s="1"/>
    </row>
    <row r="1979" spans="1:9" x14ac:dyDescent="0.25">
      <c r="A1979" s="7"/>
      <c r="B1979" s="1"/>
      <c r="C1979" s="1"/>
      <c r="D1979" s="1"/>
      <c r="F1979" s="7"/>
      <c r="G1979" s="1"/>
      <c r="H1979" s="1"/>
      <c r="I1979" s="1"/>
    </row>
    <row r="1980" spans="1:9" x14ac:dyDescent="0.25">
      <c r="A1980" s="7"/>
      <c r="B1980" s="1"/>
      <c r="C1980" s="1"/>
      <c r="D1980" s="1"/>
      <c r="F1980" s="7"/>
      <c r="G1980" s="1"/>
      <c r="H1980" s="1"/>
      <c r="I1980" s="1"/>
    </row>
    <row r="1981" spans="1:9" x14ac:dyDescent="0.25">
      <c r="A1981" s="7"/>
      <c r="B1981" s="1"/>
      <c r="C1981" s="1"/>
      <c r="D1981" s="1"/>
      <c r="F1981" s="7"/>
      <c r="G1981" s="1"/>
      <c r="H1981" s="1"/>
      <c r="I1981" s="1"/>
    </row>
    <row r="1982" spans="1:9" x14ac:dyDescent="0.25">
      <c r="A1982" s="7"/>
      <c r="B1982" s="1"/>
      <c r="C1982" s="1"/>
      <c r="D1982" s="1"/>
      <c r="F1982" s="7"/>
      <c r="G1982" s="1"/>
      <c r="H1982" s="1"/>
      <c r="I1982" s="1"/>
    </row>
    <row r="1983" spans="1:9" x14ac:dyDescent="0.25">
      <c r="A1983" s="7"/>
      <c r="B1983" s="1"/>
      <c r="C1983" s="1"/>
      <c r="D1983" s="1"/>
      <c r="F1983" s="7"/>
      <c r="G1983" s="1"/>
      <c r="H1983" s="1"/>
      <c r="I1983" s="1"/>
    </row>
    <row r="1984" spans="1:9" x14ac:dyDescent="0.25">
      <c r="A1984" s="7"/>
      <c r="B1984" s="1"/>
      <c r="C1984" s="1"/>
      <c r="D1984" s="1"/>
      <c r="F1984" s="7"/>
      <c r="G1984" s="1"/>
      <c r="H1984" s="1"/>
      <c r="I1984" s="1"/>
    </row>
    <row r="1985" spans="1:9" x14ac:dyDescent="0.25">
      <c r="A1985" s="7"/>
      <c r="B1985" s="1"/>
      <c r="C1985" s="1"/>
      <c r="D1985" s="1"/>
      <c r="F1985" s="7"/>
      <c r="G1985" s="1"/>
      <c r="H1985" s="1"/>
      <c r="I1985" s="1"/>
    </row>
    <row r="1986" spans="1:9" x14ac:dyDescent="0.25">
      <c r="A1986" s="7"/>
      <c r="B1986" s="1"/>
      <c r="C1986" s="1"/>
      <c r="D1986" s="1"/>
      <c r="F1986" s="7"/>
      <c r="G1986" s="1"/>
      <c r="H1986" s="1"/>
      <c r="I1986" s="1"/>
    </row>
    <row r="1987" spans="1:9" x14ac:dyDescent="0.25">
      <c r="A1987" s="7"/>
      <c r="B1987" s="1"/>
      <c r="C1987" s="1"/>
      <c r="D1987" s="1"/>
      <c r="F1987" s="7"/>
      <c r="G1987" s="1"/>
      <c r="H1987" s="1"/>
      <c r="I1987" s="1"/>
    </row>
    <row r="1988" spans="1:9" x14ac:dyDescent="0.25">
      <c r="A1988" s="7"/>
      <c r="B1988" s="1"/>
      <c r="C1988" s="1"/>
      <c r="D1988" s="1"/>
      <c r="F1988" s="7"/>
      <c r="G1988" s="1"/>
      <c r="H1988" s="1"/>
      <c r="I1988" s="1"/>
    </row>
    <row r="1989" spans="1:9" x14ac:dyDescent="0.25">
      <c r="A1989" s="7"/>
      <c r="B1989" s="1"/>
      <c r="C1989" s="1"/>
      <c r="D1989" s="1"/>
      <c r="F1989" s="7"/>
      <c r="G1989" s="1"/>
      <c r="H1989" s="1"/>
      <c r="I1989" s="1"/>
    </row>
    <row r="1990" spans="1:9" x14ac:dyDescent="0.25">
      <c r="A1990" s="7"/>
      <c r="B1990" s="1"/>
      <c r="C1990" s="1"/>
      <c r="D1990" s="1"/>
      <c r="F1990" s="7"/>
      <c r="G1990" s="1"/>
      <c r="H1990" s="1"/>
      <c r="I1990" s="1"/>
    </row>
    <row r="1991" spans="1:9" x14ac:dyDescent="0.25">
      <c r="A1991" s="7"/>
      <c r="B1991" s="1"/>
      <c r="C1991" s="1"/>
      <c r="D1991" s="1"/>
      <c r="F1991" s="7"/>
      <c r="G1991" s="1"/>
      <c r="H1991" s="1"/>
      <c r="I1991" s="1"/>
    </row>
    <row r="1992" spans="1:9" x14ac:dyDescent="0.25">
      <c r="A1992" s="7"/>
      <c r="B1992" s="1"/>
      <c r="C1992" s="1"/>
      <c r="D1992" s="1"/>
      <c r="F1992" s="7"/>
      <c r="G1992" s="1"/>
      <c r="H1992" s="1"/>
      <c r="I1992" s="1"/>
    </row>
    <row r="1993" spans="1:9" x14ac:dyDescent="0.25">
      <c r="A1993" s="7"/>
      <c r="B1993" s="1"/>
      <c r="C1993" s="1"/>
      <c r="D1993" s="1"/>
      <c r="F1993" s="7"/>
      <c r="G1993" s="1"/>
      <c r="H1993" s="1"/>
      <c r="I1993" s="1"/>
    </row>
    <row r="1994" spans="1:9" x14ac:dyDescent="0.25">
      <c r="A1994" s="7"/>
      <c r="B1994" s="1"/>
      <c r="C1994" s="1"/>
      <c r="D1994" s="1"/>
      <c r="F1994" s="7"/>
      <c r="G1994" s="1"/>
      <c r="H1994" s="1"/>
      <c r="I1994" s="1"/>
    </row>
    <row r="1995" spans="1:9" x14ac:dyDescent="0.25">
      <c r="A1995" s="7"/>
      <c r="B1995" s="1"/>
      <c r="C1995" s="1"/>
      <c r="D1995" s="1"/>
      <c r="F1995" s="7"/>
      <c r="G1995" s="1"/>
      <c r="H1995" s="1"/>
      <c r="I1995" s="1"/>
    </row>
    <row r="1996" spans="1:9" x14ac:dyDescent="0.25">
      <c r="A1996" s="7"/>
      <c r="B1996" s="1"/>
      <c r="C1996" s="1"/>
      <c r="D1996" s="1"/>
      <c r="F1996" s="7"/>
      <c r="G1996" s="1"/>
      <c r="H1996" s="1"/>
      <c r="I1996" s="1"/>
    </row>
    <row r="1997" spans="1:9" x14ac:dyDescent="0.25">
      <c r="A1997" s="7"/>
      <c r="B1997" s="1"/>
      <c r="C1997" s="1"/>
      <c r="D1997" s="1"/>
      <c r="F1997" s="7"/>
      <c r="G1997" s="1"/>
      <c r="H1997" s="1"/>
      <c r="I1997" s="1"/>
    </row>
    <row r="1998" spans="1:9" x14ac:dyDescent="0.25">
      <c r="A1998" s="7"/>
      <c r="B1998" s="1"/>
      <c r="C1998" s="1"/>
      <c r="D1998" s="1"/>
      <c r="F1998" s="7"/>
      <c r="G1998" s="1"/>
      <c r="H1998" s="1"/>
      <c r="I1998" s="1"/>
    </row>
    <row r="1999" spans="1:9" x14ac:dyDescent="0.25">
      <c r="A1999" s="7"/>
      <c r="B1999" s="1"/>
      <c r="C1999" s="1"/>
      <c r="D1999" s="1"/>
      <c r="F1999" s="7"/>
      <c r="G1999" s="1"/>
      <c r="H1999" s="1"/>
      <c r="I1999" s="1"/>
    </row>
    <row r="2000" spans="1:9" x14ac:dyDescent="0.25">
      <c r="A2000" s="7"/>
      <c r="B2000" s="1"/>
      <c r="C2000" s="1"/>
      <c r="D2000" s="1"/>
      <c r="F2000" s="7"/>
      <c r="G2000" s="1"/>
      <c r="H2000" s="1"/>
      <c r="I2000" s="1"/>
    </row>
    <row r="2001" spans="1:9" x14ac:dyDescent="0.25">
      <c r="A2001" s="7"/>
      <c r="B2001" s="1"/>
      <c r="C2001" s="1"/>
      <c r="D2001" s="1"/>
      <c r="F2001" s="7"/>
      <c r="G2001" s="1"/>
      <c r="H2001" s="1"/>
      <c r="I2001" s="1"/>
    </row>
    <row r="2002" spans="1:9" x14ac:dyDescent="0.25">
      <c r="A2002" s="7"/>
      <c r="B2002" s="1"/>
      <c r="C2002" s="1"/>
      <c r="D2002" s="1"/>
      <c r="F2002" s="7"/>
      <c r="G2002" s="1"/>
      <c r="H2002" s="1"/>
      <c r="I2002" s="1"/>
    </row>
    <row r="2003" spans="1:9" x14ac:dyDescent="0.25">
      <c r="A2003" s="7"/>
      <c r="B2003" s="1"/>
      <c r="C2003" s="1"/>
      <c r="D2003" s="1"/>
      <c r="F2003" s="7"/>
      <c r="G2003" s="1"/>
      <c r="H2003" s="1"/>
      <c r="I2003" s="1"/>
    </row>
    <row r="2004" spans="1:9" x14ac:dyDescent="0.25">
      <c r="A2004" s="7"/>
      <c r="B2004" s="1"/>
      <c r="C2004" s="1"/>
      <c r="D2004" s="1"/>
      <c r="F2004" s="7"/>
      <c r="G2004" s="1"/>
      <c r="H2004" s="1"/>
      <c r="I2004" s="1"/>
    </row>
    <row r="2005" spans="1:9" x14ac:dyDescent="0.25">
      <c r="A2005" s="7"/>
      <c r="B2005" s="1"/>
      <c r="C2005" s="1"/>
      <c r="D2005" s="1"/>
      <c r="F2005" s="7"/>
      <c r="G2005" s="1"/>
      <c r="H2005" s="1"/>
      <c r="I2005" s="1"/>
    </row>
    <row r="2006" spans="1:9" x14ac:dyDescent="0.25">
      <c r="A2006" s="7"/>
      <c r="B2006" s="1"/>
      <c r="C2006" s="1"/>
      <c r="D2006" s="1"/>
      <c r="F2006" s="7"/>
      <c r="G2006" s="1"/>
      <c r="H2006" s="1"/>
      <c r="I2006" s="1"/>
    </row>
    <row r="2007" spans="1:9" x14ac:dyDescent="0.25">
      <c r="A2007" s="7"/>
      <c r="B2007" s="1"/>
      <c r="C2007" s="1"/>
      <c r="D2007" s="1"/>
      <c r="F2007" s="7"/>
      <c r="G2007" s="1"/>
      <c r="H2007" s="1"/>
      <c r="I2007" s="1"/>
    </row>
    <row r="2008" spans="1:9" x14ac:dyDescent="0.25">
      <c r="A2008" s="7"/>
      <c r="B2008" s="1"/>
      <c r="C2008" s="1"/>
      <c r="D2008" s="1"/>
      <c r="F2008" s="7"/>
      <c r="G2008" s="1"/>
      <c r="H2008" s="1"/>
      <c r="I2008" s="1"/>
    </row>
    <row r="2009" spans="1:9" x14ac:dyDescent="0.25">
      <c r="A2009" s="7"/>
      <c r="B2009" s="1"/>
      <c r="C2009" s="1"/>
      <c r="D2009" s="1"/>
      <c r="F2009" s="7"/>
      <c r="G2009" s="1"/>
      <c r="H2009" s="1"/>
      <c r="I2009" s="1"/>
    </row>
    <row r="2010" spans="1:9" x14ac:dyDescent="0.25">
      <c r="A2010" s="7"/>
      <c r="B2010" s="1"/>
      <c r="C2010" s="1"/>
      <c r="D2010" s="1"/>
      <c r="F2010" s="7"/>
      <c r="G2010" s="1"/>
      <c r="H2010" s="1"/>
      <c r="I2010" s="1"/>
    </row>
    <row r="2011" spans="1:9" x14ac:dyDescent="0.25">
      <c r="A2011" s="7"/>
      <c r="B2011" s="1"/>
      <c r="C2011" s="1"/>
      <c r="D2011" s="1"/>
      <c r="F2011" s="7"/>
      <c r="G2011" s="1"/>
      <c r="H2011" s="1"/>
      <c r="I2011" s="1"/>
    </row>
    <row r="2012" spans="1:9" x14ac:dyDescent="0.25">
      <c r="A2012" s="7"/>
      <c r="B2012" s="1"/>
      <c r="C2012" s="1"/>
      <c r="D2012" s="1"/>
      <c r="F2012" s="7"/>
      <c r="G2012" s="1"/>
      <c r="H2012" s="1"/>
      <c r="I2012" s="1"/>
    </row>
    <row r="2013" spans="1:9" x14ac:dyDescent="0.25">
      <c r="A2013" s="7"/>
      <c r="B2013" s="1"/>
      <c r="C2013" s="1"/>
      <c r="D2013" s="1"/>
      <c r="F2013" s="7"/>
      <c r="G2013" s="1"/>
      <c r="H2013" s="1"/>
      <c r="I2013" s="1"/>
    </row>
    <row r="2014" spans="1:9" x14ac:dyDescent="0.25">
      <c r="A2014" s="7"/>
      <c r="B2014" s="1"/>
      <c r="C2014" s="1"/>
      <c r="D2014" s="1"/>
      <c r="F2014" s="7"/>
      <c r="G2014" s="1"/>
      <c r="H2014" s="1"/>
      <c r="I2014" s="1"/>
    </row>
    <row r="2015" spans="1:9" x14ac:dyDescent="0.25">
      <c r="A2015" s="7"/>
      <c r="B2015" s="1"/>
      <c r="C2015" s="1"/>
      <c r="D2015" s="1"/>
      <c r="F2015" s="7"/>
      <c r="G2015" s="1"/>
      <c r="H2015" s="1"/>
      <c r="I2015" s="1"/>
    </row>
    <row r="2016" spans="1:9" x14ac:dyDescent="0.25">
      <c r="A2016" s="7"/>
      <c r="B2016" s="1"/>
      <c r="C2016" s="1"/>
      <c r="D2016" s="1"/>
      <c r="F2016" s="7"/>
      <c r="G2016" s="1"/>
      <c r="H2016" s="1"/>
      <c r="I2016" s="1"/>
    </row>
    <row r="2017" spans="1:9" x14ac:dyDescent="0.25">
      <c r="A2017" s="7"/>
      <c r="B2017" s="1"/>
      <c r="C2017" s="1"/>
      <c r="D2017" s="1"/>
      <c r="F2017" s="7"/>
      <c r="G2017" s="1"/>
      <c r="H2017" s="1"/>
      <c r="I2017" s="1"/>
    </row>
    <row r="2018" spans="1:9" x14ac:dyDescent="0.25">
      <c r="A2018" s="7"/>
      <c r="B2018" s="1"/>
      <c r="C2018" s="1"/>
      <c r="D2018" s="1"/>
      <c r="F2018" s="7"/>
      <c r="G2018" s="1"/>
      <c r="H2018" s="1"/>
      <c r="I2018" s="1"/>
    </row>
    <row r="2019" spans="1:9" x14ac:dyDescent="0.25">
      <c r="A2019" s="7"/>
      <c r="B2019" s="1"/>
      <c r="C2019" s="1"/>
      <c r="D2019" s="1"/>
      <c r="F2019" s="7"/>
      <c r="G2019" s="1"/>
      <c r="H2019" s="1"/>
      <c r="I2019" s="1"/>
    </row>
    <row r="2020" spans="1:9" x14ac:dyDescent="0.25">
      <c r="A2020" s="7"/>
      <c r="B2020" s="1"/>
      <c r="C2020" s="1"/>
      <c r="D2020" s="1"/>
      <c r="F2020" s="7"/>
      <c r="G2020" s="1"/>
      <c r="H2020" s="1"/>
      <c r="I2020" s="1"/>
    </row>
    <row r="2021" spans="1:9" x14ac:dyDescent="0.25">
      <c r="A2021" s="7"/>
      <c r="B2021" s="1"/>
      <c r="C2021" s="1"/>
      <c r="D2021" s="1"/>
      <c r="F2021" s="7"/>
      <c r="G2021" s="1"/>
      <c r="H2021" s="1"/>
      <c r="I2021" s="1"/>
    </row>
    <row r="2022" spans="1:9" x14ac:dyDescent="0.25">
      <c r="A2022" s="7"/>
      <c r="B2022" s="1"/>
      <c r="C2022" s="1"/>
      <c r="D2022" s="1"/>
      <c r="F2022" s="7"/>
      <c r="G2022" s="1"/>
      <c r="H2022" s="1"/>
      <c r="I2022" s="1"/>
    </row>
    <row r="2023" spans="1:9" x14ac:dyDescent="0.25">
      <c r="A2023" s="7"/>
      <c r="B2023" s="1"/>
      <c r="C2023" s="1"/>
      <c r="D2023" s="1"/>
      <c r="F2023" s="7"/>
      <c r="G2023" s="1"/>
      <c r="H2023" s="1"/>
      <c r="I2023" s="1"/>
    </row>
    <row r="2024" spans="1:9" x14ac:dyDescent="0.25">
      <c r="A2024" s="7"/>
      <c r="B2024" s="1"/>
      <c r="C2024" s="1"/>
      <c r="D2024" s="1"/>
      <c r="F2024" s="7"/>
      <c r="G2024" s="1"/>
      <c r="H2024" s="1"/>
      <c r="I2024" s="1"/>
    </row>
    <row r="2025" spans="1:9" x14ac:dyDescent="0.25">
      <c r="A2025" s="7"/>
      <c r="B2025" s="1"/>
      <c r="C2025" s="1"/>
      <c r="D2025" s="1"/>
      <c r="F2025" s="7"/>
      <c r="G2025" s="1"/>
      <c r="H2025" s="1"/>
      <c r="I2025" s="1"/>
    </row>
    <row r="2026" spans="1:9" x14ac:dyDescent="0.25">
      <c r="A2026" s="7"/>
      <c r="B2026" s="1"/>
      <c r="C2026" s="1"/>
      <c r="D2026" s="1"/>
      <c r="F2026" s="7"/>
      <c r="G2026" s="1"/>
      <c r="H2026" s="1"/>
      <c r="I2026" s="1"/>
    </row>
    <row r="2027" spans="1:9" x14ac:dyDescent="0.25">
      <c r="A2027" s="7"/>
      <c r="B2027" s="1"/>
      <c r="C2027" s="1"/>
      <c r="D2027" s="1"/>
      <c r="F2027" s="7"/>
      <c r="G2027" s="1"/>
      <c r="H2027" s="1"/>
      <c r="I2027" s="1"/>
    </row>
    <row r="2028" spans="1:9" x14ac:dyDescent="0.25">
      <c r="A2028" s="7"/>
      <c r="B2028" s="1"/>
      <c r="C2028" s="1"/>
      <c r="D2028" s="1"/>
      <c r="F2028" s="7"/>
      <c r="G2028" s="1"/>
      <c r="H2028" s="1"/>
      <c r="I2028" s="1"/>
    </row>
    <row r="2029" spans="1:9" x14ac:dyDescent="0.25">
      <c r="A2029" s="7"/>
      <c r="B2029" s="1"/>
      <c r="C2029" s="1"/>
      <c r="D2029" s="1"/>
      <c r="F2029" s="7"/>
      <c r="G2029" s="1"/>
      <c r="H2029" s="1"/>
      <c r="I2029" s="1"/>
    </row>
    <row r="2030" spans="1:9" x14ac:dyDescent="0.25">
      <c r="A2030" s="7"/>
      <c r="B2030" s="1"/>
      <c r="C2030" s="1"/>
      <c r="D2030" s="1"/>
      <c r="F2030" s="7"/>
      <c r="G2030" s="1"/>
      <c r="H2030" s="1"/>
      <c r="I2030" s="1"/>
    </row>
    <row r="2031" spans="1:9" x14ac:dyDescent="0.25">
      <c r="A2031" s="7"/>
      <c r="B2031" s="1"/>
      <c r="C2031" s="1"/>
      <c r="D2031" s="1"/>
      <c r="F2031" s="7"/>
      <c r="G2031" s="1"/>
      <c r="H2031" s="1"/>
      <c r="I2031" s="1"/>
    </row>
    <row r="2032" spans="1:9" x14ac:dyDescent="0.25">
      <c r="A2032" s="7"/>
      <c r="B2032" s="1"/>
      <c r="C2032" s="1"/>
      <c r="D2032" s="1"/>
      <c r="F2032" s="7"/>
      <c r="G2032" s="1"/>
      <c r="H2032" s="1"/>
      <c r="I2032" s="1"/>
    </row>
    <row r="2033" spans="1:9" x14ac:dyDescent="0.25">
      <c r="A2033" s="7"/>
      <c r="B2033" s="1"/>
      <c r="C2033" s="1"/>
      <c r="D2033" s="1"/>
      <c r="F2033" s="7"/>
      <c r="G2033" s="1"/>
      <c r="H2033" s="1"/>
      <c r="I2033" s="1"/>
    </row>
    <row r="2034" spans="1:9" x14ac:dyDescent="0.25">
      <c r="A2034" s="7"/>
      <c r="B2034" s="1"/>
      <c r="C2034" s="1"/>
      <c r="D2034" s="1"/>
      <c r="F2034" s="7"/>
      <c r="G2034" s="1"/>
      <c r="H2034" s="1"/>
      <c r="I2034" s="1"/>
    </row>
    <row r="2035" spans="1:9" x14ac:dyDescent="0.25">
      <c r="A2035" s="7"/>
      <c r="B2035" s="1"/>
      <c r="C2035" s="1"/>
      <c r="D2035" s="1"/>
      <c r="F2035" s="7"/>
      <c r="G2035" s="1"/>
      <c r="H2035" s="1"/>
      <c r="I2035" s="1"/>
    </row>
    <row r="2036" spans="1:9" x14ac:dyDescent="0.25">
      <c r="A2036" s="7"/>
      <c r="B2036" s="1"/>
      <c r="C2036" s="1"/>
      <c r="D2036" s="1"/>
      <c r="F2036" s="7"/>
      <c r="G2036" s="1"/>
      <c r="H2036" s="1"/>
      <c r="I2036" s="1"/>
    </row>
    <row r="2037" spans="1:9" x14ac:dyDescent="0.25">
      <c r="A2037" s="7"/>
      <c r="B2037" s="1"/>
      <c r="C2037" s="1"/>
      <c r="D2037" s="1"/>
      <c r="F2037" s="7"/>
      <c r="G2037" s="1"/>
      <c r="H2037" s="1"/>
      <c r="I2037" s="1"/>
    </row>
    <row r="2038" spans="1:9" x14ac:dyDescent="0.25">
      <c r="A2038" s="7"/>
      <c r="B2038" s="1"/>
      <c r="C2038" s="1"/>
      <c r="D2038" s="1"/>
      <c r="F2038" s="7"/>
      <c r="G2038" s="1"/>
      <c r="H2038" s="1"/>
      <c r="I2038" s="1"/>
    </row>
    <row r="2039" spans="1:9" x14ac:dyDescent="0.25">
      <c r="A2039" s="7"/>
      <c r="B2039" s="1"/>
      <c r="C2039" s="1"/>
      <c r="D2039" s="1"/>
      <c r="F2039" s="7"/>
      <c r="G2039" s="1"/>
      <c r="H2039" s="1"/>
      <c r="I2039" s="1"/>
    </row>
    <row r="2040" spans="1:9" x14ac:dyDescent="0.25">
      <c r="A2040" s="7"/>
      <c r="B2040" s="1"/>
      <c r="C2040" s="1"/>
      <c r="D2040" s="1"/>
      <c r="F2040" s="7"/>
      <c r="G2040" s="1"/>
      <c r="H2040" s="1"/>
      <c r="I2040" s="1"/>
    </row>
    <row r="2041" spans="1:9" x14ac:dyDescent="0.25">
      <c r="A2041" s="7"/>
      <c r="B2041" s="1"/>
      <c r="C2041" s="1"/>
      <c r="D2041" s="1"/>
      <c r="F2041" s="7"/>
      <c r="G2041" s="1"/>
      <c r="H2041" s="1"/>
      <c r="I2041" s="1"/>
    </row>
    <row r="2042" spans="1:9" x14ac:dyDescent="0.25">
      <c r="A2042" s="7"/>
      <c r="B2042" s="1"/>
      <c r="C2042" s="1"/>
      <c r="D2042" s="1"/>
      <c r="F2042" s="7"/>
      <c r="G2042" s="1"/>
      <c r="H2042" s="1"/>
      <c r="I2042" s="1"/>
    </row>
    <row r="2043" spans="1:9" x14ac:dyDescent="0.25">
      <c r="A2043" s="7"/>
      <c r="B2043" s="1"/>
      <c r="C2043" s="1"/>
      <c r="D2043" s="1"/>
      <c r="F2043" s="7"/>
      <c r="G2043" s="1"/>
      <c r="H2043" s="1"/>
      <c r="I2043" s="1"/>
    </row>
    <row r="2044" spans="1:9" x14ac:dyDescent="0.25">
      <c r="A2044" s="7"/>
      <c r="B2044" s="1"/>
      <c r="C2044" s="1"/>
      <c r="D2044" s="1"/>
      <c r="F2044" s="7"/>
      <c r="G2044" s="1"/>
      <c r="H2044" s="1"/>
      <c r="I2044" s="1"/>
    </row>
    <row r="2045" spans="1:9" x14ac:dyDescent="0.25">
      <c r="A2045" s="7"/>
      <c r="B2045" s="1"/>
      <c r="C2045" s="1"/>
      <c r="D2045" s="1"/>
      <c r="F2045" s="7"/>
      <c r="G2045" s="1"/>
      <c r="H2045" s="1"/>
      <c r="I2045" s="1"/>
    </row>
    <row r="2046" spans="1:9" x14ac:dyDescent="0.25">
      <c r="A2046" s="7"/>
      <c r="B2046" s="1"/>
      <c r="C2046" s="1"/>
      <c r="D2046" s="1"/>
      <c r="F2046" s="7"/>
      <c r="G2046" s="1"/>
      <c r="H2046" s="1"/>
      <c r="I2046" s="1"/>
    </row>
    <row r="2047" spans="1:9" x14ac:dyDescent="0.25">
      <c r="A2047" s="7"/>
      <c r="B2047" s="1"/>
      <c r="C2047" s="1"/>
      <c r="D2047" s="1"/>
      <c r="F2047" s="7"/>
      <c r="G2047" s="1"/>
      <c r="H2047" s="1"/>
      <c r="I2047" s="1"/>
    </row>
    <row r="2048" spans="1:9" x14ac:dyDescent="0.25">
      <c r="A2048" s="7"/>
      <c r="B2048" s="1"/>
      <c r="C2048" s="1"/>
      <c r="D2048" s="1"/>
      <c r="F2048" s="7"/>
      <c r="G2048" s="1"/>
      <c r="H2048" s="1"/>
      <c r="I2048" s="1"/>
    </row>
    <row r="2049" spans="1:9" x14ac:dyDescent="0.25">
      <c r="A2049" s="7"/>
      <c r="B2049" s="1"/>
      <c r="C2049" s="1"/>
      <c r="D2049" s="1"/>
      <c r="F2049" s="7"/>
      <c r="G2049" s="1"/>
      <c r="H2049" s="1"/>
      <c r="I2049" s="1"/>
    </row>
    <row r="2050" spans="1:9" x14ac:dyDescent="0.25">
      <c r="A2050" s="7"/>
      <c r="B2050" s="1"/>
      <c r="C2050" s="1"/>
      <c r="D2050" s="1"/>
      <c r="F2050" s="7"/>
      <c r="G2050" s="1"/>
      <c r="H2050" s="1"/>
      <c r="I2050" s="1"/>
    </row>
    <row r="2051" spans="1:9" x14ac:dyDescent="0.25">
      <c r="A2051" s="7"/>
      <c r="B2051" s="1"/>
      <c r="C2051" s="1"/>
      <c r="D2051" s="1"/>
      <c r="F2051" s="7"/>
      <c r="G2051" s="1"/>
      <c r="H2051" s="1"/>
      <c r="I2051" s="1"/>
    </row>
    <row r="2052" spans="1:9" x14ac:dyDescent="0.25">
      <c r="A2052" s="7"/>
      <c r="B2052" s="1"/>
      <c r="C2052" s="1"/>
      <c r="D2052" s="1"/>
      <c r="F2052" s="7"/>
      <c r="G2052" s="1"/>
      <c r="H2052" s="1"/>
      <c r="I2052" s="1"/>
    </row>
    <row r="2053" spans="1:9" x14ac:dyDescent="0.25">
      <c r="A2053" s="7"/>
      <c r="B2053" s="1"/>
      <c r="C2053" s="1"/>
      <c r="D2053" s="1"/>
      <c r="F2053" s="7"/>
      <c r="G2053" s="1"/>
      <c r="H2053" s="1"/>
      <c r="I2053" s="1"/>
    </row>
    <row r="2054" spans="1:9" x14ac:dyDescent="0.25">
      <c r="A2054" s="7"/>
      <c r="B2054" s="1"/>
      <c r="C2054" s="1"/>
      <c r="D2054" s="1"/>
      <c r="F2054" s="7"/>
      <c r="G2054" s="1"/>
      <c r="H2054" s="1"/>
      <c r="I2054" s="1"/>
    </row>
    <row r="2055" spans="1:9" x14ac:dyDescent="0.25">
      <c r="A2055" s="7"/>
      <c r="B2055" s="1"/>
      <c r="C2055" s="1"/>
      <c r="D2055" s="1"/>
      <c r="F2055" s="7"/>
      <c r="G2055" s="1"/>
      <c r="H2055" s="1"/>
      <c r="I2055" s="1"/>
    </row>
    <row r="2056" spans="1:9" x14ac:dyDescent="0.25">
      <c r="A2056" s="7"/>
      <c r="B2056" s="1"/>
      <c r="C2056" s="1"/>
      <c r="D2056" s="1"/>
      <c r="F2056" s="7"/>
      <c r="G2056" s="1"/>
      <c r="H2056" s="1"/>
      <c r="I2056" s="1"/>
    </row>
    <row r="2057" spans="1:9" x14ac:dyDescent="0.25">
      <c r="A2057" s="7"/>
      <c r="B2057" s="1"/>
      <c r="C2057" s="1"/>
      <c r="D2057" s="1"/>
      <c r="F2057" s="7"/>
      <c r="G2057" s="1"/>
      <c r="H2057" s="1"/>
      <c r="I2057" s="1"/>
    </row>
    <row r="2058" spans="1:9" x14ac:dyDescent="0.25">
      <c r="A2058" s="7"/>
      <c r="B2058" s="1"/>
      <c r="C2058" s="1"/>
      <c r="D2058" s="1"/>
      <c r="F2058" s="7"/>
      <c r="G2058" s="1"/>
      <c r="H2058" s="1"/>
      <c r="I2058" s="1"/>
    </row>
    <row r="2059" spans="1:9" x14ac:dyDescent="0.25">
      <c r="A2059" s="7"/>
      <c r="B2059" s="1"/>
      <c r="C2059" s="1"/>
      <c r="D2059" s="1"/>
      <c r="F2059" s="7"/>
      <c r="G2059" s="1"/>
      <c r="H2059" s="1"/>
      <c r="I2059" s="1"/>
    </row>
    <row r="2060" spans="1:9" x14ac:dyDescent="0.25">
      <c r="A2060" s="7"/>
      <c r="B2060" s="1"/>
      <c r="C2060" s="1"/>
      <c r="D2060" s="1"/>
      <c r="F2060" s="7"/>
      <c r="G2060" s="1"/>
      <c r="H2060" s="1"/>
      <c r="I2060" s="1"/>
    </row>
    <row r="2061" spans="1:9" x14ac:dyDescent="0.25">
      <c r="A2061" s="7"/>
      <c r="B2061" s="1"/>
      <c r="C2061" s="1"/>
      <c r="D2061" s="1"/>
      <c r="F2061" s="7"/>
      <c r="G2061" s="1"/>
      <c r="H2061" s="1"/>
      <c r="I2061" s="1"/>
    </row>
    <row r="2062" spans="1:9" x14ac:dyDescent="0.25">
      <c r="A2062" s="7"/>
      <c r="B2062" s="1"/>
      <c r="C2062" s="1"/>
      <c r="D2062" s="1"/>
      <c r="F2062" s="7"/>
      <c r="G2062" s="1"/>
      <c r="H2062" s="1"/>
      <c r="I2062" s="1"/>
    </row>
    <row r="2063" spans="1:9" x14ac:dyDescent="0.25">
      <c r="A2063" s="7"/>
      <c r="B2063" s="1"/>
      <c r="C2063" s="1"/>
      <c r="D2063" s="1"/>
      <c r="F2063" s="7"/>
      <c r="G2063" s="1"/>
      <c r="H2063" s="1"/>
      <c r="I2063" s="1"/>
    </row>
    <row r="2064" spans="1:9" x14ac:dyDescent="0.25">
      <c r="A2064" s="7"/>
      <c r="B2064" s="1"/>
      <c r="C2064" s="1"/>
      <c r="D2064" s="1"/>
      <c r="F2064" s="7"/>
      <c r="G2064" s="1"/>
      <c r="H2064" s="1"/>
      <c r="I2064" s="1"/>
    </row>
    <row r="2065" spans="1:9" x14ac:dyDescent="0.25">
      <c r="A2065" s="7"/>
      <c r="B2065" s="1"/>
      <c r="C2065" s="1"/>
      <c r="D2065" s="1"/>
      <c r="F2065" s="7"/>
      <c r="G2065" s="1"/>
      <c r="H2065" s="1"/>
      <c r="I2065" s="1"/>
    </row>
    <row r="2066" spans="1:9" x14ac:dyDescent="0.25">
      <c r="A2066" s="7"/>
      <c r="B2066" s="1"/>
      <c r="C2066" s="1"/>
      <c r="D2066" s="1"/>
      <c r="F2066" s="7"/>
      <c r="G2066" s="1"/>
      <c r="H2066" s="1"/>
      <c r="I2066" s="1"/>
    </row>
    <row r="2067" spans="1:9" x14ac:dyDescent="0.25">
      <c r="A2067" s="7"/>
      <c r="B2067" s="1"/>
      <c r="C2067" s="1"/>
      <c r="D2067" s="1"/>
      <c r="F2067" s="7"/>
      <c r="G2067" s="1"/>
      <c r="H2067" s="1"/>
      <c r="I2067" s="1"/>
    </row>
    <row r="2068" spans="1:9" x14ac:dyDescent="0.25">
      <c r="A2068" s="7"/>
      <c r="B2068" s="1"/>
      <c r="C2068" s="1"/>
      <c r="D2068" s="1"/>
      <c r="F2068" s="7"/>
      <c r="G2068" s="1"/>
      <c r="H2068" s="1"/>
      <c r="I2068" s="1"/>
    </row>
    <row r="2069" spans="1:9" x14ac:dyDescent="0.25">
      <c r="A2069" s="7"/>
      <c r="B2069" s="1"/>
      <c r="C2069" s="1"/>
      <c r="D2069" s="1"/>
      <c r="F2069" s="7"/>
      <c r="G2069" s="1"/>
      <c r="H2069" s="1"/>
      <c r="I2069" s="1"/>
    </row>
    <row r="2070" spans="1:9" x14ac:dyDescent="0.25">
      <c r="A2070" s="7"/>
      <c r="B2070" s="1"/>
      <c r="C2070" s="1"/>
      <c r="D2070" s="1"/>
      <c r="F2070" s="7"/>
      <c r="G2070" s="1"/>
      <c r="H2070" s="1"/>
      <c r="I2070" s="1"/>
    </row>
    <row r="2071" spans="1:9" x14ac:dyDescent="0.25">
      <c r="A2071" s="7"/>
      <c r="B2071" s="1"/>
      <c r="C2071" s="1"/>
      <c r="D2071" s="1"/>
      <c r="F2071" s="7"/>
      <c r="G2071" s="1"/>
      <c r="H2071" s="1"/>
      <c r="I2071" s="1"/>
    </row>
    <row r="2072" spans="1:9" x14ac:dyDescent="0.25">
      <c r="A2072" s="7"/>
      <c r="B2072" s="1"/>
      <c r="C2072" s="1"/>
      <c r="D2072" s="1"/>
      <c r="F2072" s="7"/>
      <c r="G2072" s="1"/>
      <c r="H2072" s="1"/>
      <c r="I2072" s="1"/>
    </row>
    <row r="2073" spans="1:9" x14ac:dyDescent="0.25">
      <c r="A2073" s="7"/>
      <c r="B2073" s="1"/>
      <c r="C2073" s="1"/>
      <c r="D2073" s="1"/>
      <c r="F2073" s="7"/>
      <c r="G2073" s="1"/>
      <c r="H2073" s="1"/>
      <c r="I2073" s="1"/>
    </row>
    <row r="2074" spans="1:9" x14ac:dyDescent="0.25">
      <c r="A2074" s="7"/>
      <c r="B2074" s="1"/>
      <c r="C2074" s="1"/>
      <c r="D2074" s="1"/>
      <c r="F2074" s="7"/>
      <c r="G2074" s="1"/>
      <c r="H2074" s="1"/>
      <c r="I2074" s="1"/>
    </row>
    <row r="2075" spans="1:9" x14ac:dyDescent="0.25">
      <c r="A2075" s="7"/>
      <c r="B2075" s="1"/>
      <c r="C2075" s="1"/>
      <c r="D2075" s="1"/>
      <c r="F2075" s="7"/>
      <c r="G2075" s="1"/>
      <c r="H2075" s="1"/>
      <c r="I2075" s="1"/>
    </row>
    <row r="2076" spans="1:9" x14ac:dyDescent="0.25">
      <c r="A2076" s="7"/>
      <c r="B2076" s="1"/>
      <c r="C2076" s="1"/>
      <c r="D2076" s="1"/>
      <c r="F2076" s="7"/>
      <c r="G2076" s="1"/>
      <c r="H2076" s="1"/>
      <c r="I2076" s="1"/>
    </row>
    <row r="2077" spans="1:9" x14ac:dyDescent="0.25">
      <c r="A2077" s="7"/>
      <c r="B2077" s="1"/>
      <c r="C2077" s="1"/>
      <c r="D2077" s="1"/>
      <c r="F2077" s="7"/>
      <c r="G2077" s="1"/>
      <c r="H2077" s="1"/>
      <c r="I2077" s="1"/>
    </row>
    <row r="2078" spans="1:9" x14ac:dyDescent="0.25">
      <c r="A2078" s="7"/>
      <c r="B2078" s="1"/>
      <c r="C2078" s="1"/>
      <c r="D2078" s="1"/>
      <c r="F2078" s="7"/>
      <c r="G2078" s="1"/>
      <c r="H2078" s="1"/>
      <c r="I2078" s="1"/>
    </row>
    <row r="2079" spans="1:9" x14ac:dyDescent="0.25">
      <c r="A2079" s="7"/>
      <c r="B2079" s="1"/>
      <c r="C2079" s="1"/>
      <c r="D2079" s="1"/>
      <c r="F2079" s="7"/>
      <c r="G2079" s="1"/>
      <c r="H2079" s="1"/>
      <c r="I2079" s="1"/>
    </row>
    <row r="2080" spans="1:9" x14ac:dyDescent="0.25">
      <c r="A2080" s="7"/>
      <c r="B2080" s="1"/>
      <c r="C2080" s="1"/>
      <c r="D2080" s="1"/>
      <c r="F2080" s="7"/>
      <c r="G2080" s="1"/>
      <c r="H2080" s="1"/>
      <c r="I2080" s="1"/>
    </row>
    <row r="2081" spans="1:9" x14ac:dyDescent="0.25">
      <c r="A2081" s="7"/>
      <c r="B2081" s="1"/>
      <c r="C2081" s="1"/>
      <c r="D2081" s="1"/>
      <c r="F2081" s="7"/>
      <c r="G2081" s="1"/>
      <c r="H2081" s="1"/>
      <c r="I2081" s="1"/>
    </row>
    <row r="2082" spans="1:9" x14ac:dyDescent="0.25">
      <c r="A2082" s="7"/>
      <c r="B2082" s="1"/>
      <c r="C2082" s="1"/>
      <c r="D2082" s="1"/>
      <c r="F2082" s="7"/>
      <c r="G2082" s="1"/>
      <c r="H2082" s="1"/>
      <c r="I2082" s="1"/>
    </row>
    <row r="2083" spans="1:9" x14ac:dyDescent="0.25">
      <c r="A2083" s="7"/>
      <c r="B2083" s="1"/>
      <c r="C2083" s="1"/>
      <c r="D2083" s="1"/>
      <c r="F2083" s="7"/>
      <c r="G2083" s="1"/>
      <c r="H2083" s="1"/>
      <c r="I2083" s="1"/>
    </row>
    <row r="2084" spans="1:9" x14ac:dyDescent="0.25">
      <c r="A2084" s="7"/>
      <c r="B2084" s="1"/>
      <c r="C2084" s="1"/>
      <c r="D2084" s="1"/>
      <c r="F2084" s="7"/>
      <c r="G2084" s="1"/>
      <c r="H2084" s="1"/>
      <c r="I2084" s="1"/>
    </row>
    <row r="2085" spans="1:9" x14ac:dyDescent="0.25">
      <c r="A2085" s="7"/>
      <c r="B2085" s="1"/>
      <c r="C2085" s="1"/>
      <c r="D2085" s="1"/>
      <c r="F2085" s="7"/>
      <c r="G2085" s="1"/>
      <c r="H2085" s="1"/>
      <c r="I2085" s="1"/>
    </row>
    <row r="2086" spans="1:9" x14ac:dyDescent="0.25">
      <c r="A2086" s="7"/>
      <c r="B2086" s="1"/>
      <c r="C2086" s="1"/>
      <c r="D2086" s="1"/>
      <c r="F2086" s="7"/>
      <c r="G2086" s="1"/>
      <c r="H2086" s="1"/>
      <c r="I2086" s="1"/>
    </row>
    <row r="2087" spans="1:9" x14ac:dyDescent="0.25">
      <c r="A2087" s="7"/>
      <c r="B2087" s="1"/>
      <c r="C2087" s="1"/>
      <c r="D2087" s="1"/>
      <c r="F2087" s="7"/>
      <c r="G2087" s="1"/>
      <c r="H2087" s="1"/>
      <c r="I2087" s="1"/>
    </row>
    <row r="2088" spans="1:9" x14ac:dyDescent="0.25">
      <c r="A2088" s="7"/>
      <c r="B2088" s="1"/>
      <c r="C2088" s="1"/>
      <c r="D2088" s="1"/>
      <c r="F2088" s="7"/>
      <c r="G2088" s="1"/>
      <c r="H2088" s="1"/>
      <c r="I2088" s="1"/>
    </row>
    <row r="2089" spans="1:9" x14ac:dyDescent="0.25">
      <c r="A2089" s="7"/>
      <c r="B2089" s="1"/>
      <c r="C2089" s="1"/>
      <c r="D2089" s="1"/>
      <c r="F2089" s="7"/>
      <c r="G2089" s="1"/>
      <c r="H2089" s="1"/>
      <c r="I2089" s="1"/>
    </row>
    <row r="2090" spans="1:9" x14ac:dyDescent="0.25">
      <c r="A2090" s="7"/>
      <c r="B2090" s="1"/>
      <c r="C2090" s="1"/>
      <c r="D2090" s="1"/>
      <c r="F2090" s="7"/>
      <c r="G2090" s="1"/>
      <c r="H2090" s="1"/>
      <c r="I2090" s="1"/>
    </row>
    <row r="2091" spans="1:9" x14ac:dyDescent="0.25">
      <c r="A2091" s="7"/>
      <c r="B2091" s="1"/>
      <c r="C2091" s="1"/>
      <c r="D2091" s="1"/>
      <c r="F2091" s="7"/>
      <c r="G2091" s="1"/>
      <c r="H2091" s="1"/>
      <c r="I2091" s="1"/>
    </row>
    <row r="2092" spans="1:9" x14ac:dyDescent="0.25">
      <c r="A2092" s="7"/>
      <c r="B2092" s="1"/>
      <c r="C2092" s="1"/>
      <c r="D2092" s="1"/>
      <c r="F2092" s="7"/>
      <c r="G2092" s="1"/>
      <c r="H2092" s="1"/>
      <c r="I2092" s="1"/>
    </row>
    <row r="2093" spans="1:9" x14ac:dyDescent="0.25">
      <c r="A2093" s="7"/>
      <c r="B2093" s="1"/>
      <c r="C2093" s="1"/>
      <c r="D2093" s="1"/>
      <c r="F2093" s="7"/>
      <c r="G2093" s="1"/>
      <c r="H2093" s="1"/>
      <c r="I2093" s="1"/>
    </row>
    <row r="2094" spans="1:9" x14ac:dyDescent="0.25">
      <c r="A2094" s="7"/>
      <c r="B2094" s="1"/>
      <c r="C2094" s="1"/>
      <c r="D2094" s="1"/>
      <c r="F2094" s="7"/>
      <c r="G2094" s="1"/>
      <c r="H2094" s="1"/>
      <c r="I2094" s="1"/>
    </row>
    <row r="2095" spans="1:9" x14ac:dyDescent="0.25">
      <c r="A2095" s="7"/>
      <c r="B2095" s="1"/>
      <c r="C2095" s="1"/>
      <c r="D2095" s="1"/>
      <c r="F2095" s="7"/>
      <c r="G2095" s="1"/>
      <c r="H2095" s="1"/>
      <c r="I2095" s="1"/>
    </row>
    <row r="2096" spans="1:9" x14ac:dyDescent="0.25">
      <c r="A2096" s="7"/>
      <c r="B2096" s="1"/>
      <c r="C2096" s="1"/>
      <c r="D2096" s="1"/>
      <c r="F2096" s="7"/>
      <c r="G2096" s="1"/>
      <c r="H2096" s="1"/>
      <c r="I2096" s="1"/>
    </row>
    <row r="2097" spans="1:9" x14ac:dyDescent="0.25">
      <c r="A2097" s="7"/>
      <c r="B2097" s="1"/>
      <c r="C2097" s="1"/>
      <c r="D2097" s="1"/>
      <c r="F2097" s="7"/>
      <c r="G2097" s="1"/>
      <c r="H2097" s="1"/>
      <c r="I2097" s="1"/>
    </row>
    <row r="2098" spans="1:9" x14ac:dyDescent="0.25">
      <c r="A2098" s="7"/>
      <c r="B2098" s="1"/>
      <c r="C2098" s="1"/>
      <c r="D2098" s="1"/>
      <c r="F2098" s="7"/>
      <c r="G2098" s="1"/>
      <c r="H2098" s="1"/>
      <c r="I2098" s="1"/>
    </row>
    <row r="2099" spans="1:9" x14ac:dyDescent="0.25">
      <c r="A2099" s="7"/>
      <c r="B2099" s="1"/>
      <c r="C2099" s="1"/>
      <c r="D2099" s="1"/>
      <c r="F2099" s="7"/>
      <c r="G2099" s="1"/>
      <c r="H2099" s="1"/>
      <c r="I2099" s="1"/>
    </row>
    <row r="2100" spans="1:9" x14ac:dyDescent="0.25">
      <c r="A2100" s="7"/>
      <c r="B2100" s="1"/>
      <c r="C2100" s="1"/>
      <c r="D2100" s="1"/>
      <c r="F2100" s="7"/>
      <c r="G2100" s="1"/>
      <c r="H2100" s="1"/>
      <c r="I2100" s="1"/>
    </row>
    <row r="2101" spans="1:9" x14ac:dyDescent="0.25">
      <c r="A2101" s="7"/>
      <c r="B2101" s="1"/>
      <c r="C2101" s="1"/>
      <c r="D2101" s="1"/>
      <c r="F2101" s="7"/>
      <c r="G2101" s="1"/>
      <c r="H2101" s="1"/>
      <c r="I2101" s="1"/>
    </row>
    <row r="2102" spans="1:9" x14ac:dyDescent="0.25">
      <c r="A2102" s="7"/>
      <c r="B2102" s="1"/>
      <c r="C2102" s="1"/>
      <c r="D2102" s="1"/>
      <c r="F2102" s="7"/>
      <c r="G2102" s="1"/>
      <c r="H2102" s="1"/>
      <c r="I2102" s="1"/>
    </row>
    <row r="2103" spans="1:9" x14ac:dyDescent="0.25">
      <c r="A2103" s="7"/>
      <c r="B2103" s="1"/>
      <c r="C2103" s="1"/>
      <c r="D2103" s="1"/>
      <c r="F2103" s="7"/>
      <c r="G2103" s="1"/>
      <c r="H2103" s="1"/>
      <c r="I2103" s="1"/>
    </row>
    <row r="2104" spans="1:9" x14ac:dyDescent="0.25">
      <c r="A2104" s="7"/>
      <c r="B2104" s="1"/>
      <c r="C2104" s="1"/>
      <c r="D2104" s="1"/>
      <c r="F2104" s="7"/>
      <c r="G2104" s="1"/>
      <c r="H2104" s="1"/>
      <c r="I2104" s="1"/>
    </row>
    <row r="2105" spans="1:9" x14ac:dyDescent="0.25">
      <c r="A2105" s="7"/>
      <c r="B2105" s="1"/>
      <c r="C2105" s="1"/>
      <c r="D2105" s="1"/>
      <c r="F2105" s="7"/>
      <c r="G2105" s="1"/>
      <c r="H2105" s="1"/>
      <c r="I2105" s="1"/>
    </row>
    <row r="2106" spans="1:9" x14ac:dyDescent="0.25">
      <c r="A2106" s="7"/>
      <c r="B2106" s="1"/>
      <c r="C2106" s="1"/>
      <c r="D2106" s="1"/>
      <c r="F2106" s="7"/>
      <c r="G2106" s="1"/>
      <c r="H2106" s="1"/>
      <c r="I2106" s="1"/>
    </row>
    <row r="2107" spans="1:9" x14ac:dyDescent="0.25">
      <c r="A2107" s="7"/>
      <c r="B2107" s="1"/>
      <c r="C2107" s="1"/>
      <c r="D2107" s="1"/>
      <c r="F2107" s="7"/>
      <c r="G2107" s="1"/>
      <c r="H2107" s="1"/>
      <c r="I2107" s="1"/>
    </row>
    <row r="2108" spans="1:9" x14ac:dyDescent="0.25">
      <c r="A2108" s="7"/>
      <c r="B2108" s="1"/>
      <c r="C2108" s="1"/>
      <c r="D2108" s="1"/>
      <c r="F2108" s="7"/>
      <c r="G2108" s="1"/>
      <c r="H2108" s="1"/>
      <c r="I2108" s="1"/>
    </row>
    <row r="2109" spans="1:9" x14ac:dyDescent="0.25">
      <c r="A2109" s="7"/>
      <c r="B2109" s="1"/>
      <c r="C2109" s="1"/>
      <c r="D2109" s="1"/>
      <c r="F2109" s="7"/>
      <c r="G2109" s="1"/>
      <c r="H2109" s="1"/>
      <c r="I2109" s="1"/>
    </row>
    <row r="2110" spans="1:9" x14ac:dyDescent="0.25">
      <c r="A2110" s="7"/>
      <c r="B2110" s="1"/>
      <c r="C2110" s="1"/>
      <c r="D2110" s="1"/>
      <c r="F2110" s="7"/>
      <c r="G2110" s="1"/>
      <c r="H2110" s="1"/>
      <c r="I2110" s="1"/>
    </row>
    <row r="2111" spans="1:9" x14ac:dyDescent="0.25">
      <c r="A2111" s="7"/>
      <c r="B2111" s="1"/>
      <c r="C2111" s="1"/>
      <c r="D2111" s="1"/>
      <c r="F2111" s="7"/>
      <c r="G2111" s="1"/>
      <c r="H2111" s="1"/>
      <c r="I2111" s="1"/>
    </row>
    <row r="2112" spans="1:9" x14ac:dyDescent="0.25">
      <c r="A2112" s="7"/>
      <c r="B2112" s="1"/>
      <c r="C2112" s="1"/>
      <c r="D2112" s="1"/>
      <c r="F2112" s="7"/>
      <c r="G2112" s="1"/>
      <c r="H2112" s="1"/>
      <c r="I2112" s="1"/>
    </row>
    <row r="2113" spans="1:9" x14ac:dyDescent="0.25">
      <c r="A2113" s="7"/>
      <c r="B2113" s="1"/>
      <c r="C2113" s="1"/>
      <c r="D2113" s="1"/>
      <c r="F2113" s="7"/>
      <c r="G2113" s="1"/>
      <c r="H2113" s="1"/>
      <c r="I2113" s="1"/>
    </row>
    <row r="2114" spans="1:9" x14ac:dyDescent="0.25">
      <c r="A2114" s="7"/>
      <c r="B2114" s="1"/>
      <c r="C2114" s="1"/>
      <c r="D2114" s="1"/>
      <c r="F2114" s="7"/>
      <c r="G2114" s="1"/>
      <c r="H2114" s="1"/>
      <c r="I2114" s="1"/>
    </row>
    <row r="2115" spans="1:9" x14ac:dyDescent="0.25">
      <c r="A2115" s="7"/>
      <c r="B2115" s="1"/>
      <c r="C2115" s="1"/>
      <c r="D2115" s="1"/>
      <c r="F2115" s="7"/>
      <c r="G2115" s="1"/>
      <c r="H2115" s="1"/>
      <c r="I2115" s="1"/>
    </row>
    <row r="2116" spans="1:9" x14ac:dyDescent="0.25">
      <c r="A2116" s="7"/>
      <c r="B2116" s="1"/>
      <c r="C2116" s="1"/>
      <c r="D2116" s="1"/>
      <c r="F2116" s="7"/>
      <c r="G2116" s="1"/>
      <c r="H2116" s="1"/>
      <c r="I2116" s="1"/>
    </row>
    <row r="2117" spans="1:9" x14ac:dyDescent="0.25">
      <c r="A2117" s="7"/>
      <c r="B2117" s="1"/>
      <c r="C2117" s="1"/>
      <c r="D2117" s="1"/>
      <c r="F2117" s="7"/>
      <c r="G2117" s="1"/>
      <c r="H2117" s="1"/>
      <c r="I2117" s="1"/>
    </row>
    <row r="2118" spans="1:9" x14ac:dyDescent="0.25">
      <c r="A2118" s="7"/>
      <c r="B2118" s="1"/>
      <c r="C2118" s="1"/>
      <c r="D2118" s="1"/>
      <c r="F2118" s="7"/>
      <c r="G2118" s="1"/>
      <c r="H2118" s="1"/>
      <c r="I2118" s="1"/>
    </row>
    <row r="2119" spans="1:9" x14ac:dyDescent="0.25">
      <c r="A2119" s="7"/>
      <c r="B2119" s="1"/>
      <c r="C2119" s="1"/>
      <c r="D2119" s="1"/>
      <c r="F2119" s="7"/>
      <c r="G2119" s="1"/>
      <c r="H2119" s="1"/>
      <c r="I2119" s="1"/>
    </row>
    <row r="2120" spans="1:9" x14ac:dyDescent="0.25">
      <c r="A2120" s="7"/>
      <c r="B2120" s="1"/>
      <c r="C2120" s="1"/>
      <c r="D2120" s="1"/>
      <c r="F2120" s="7"/>
      <c r="G2120" s="1"/>
      <c r="H2120" s="1"/>
      <c r="I2120" s="1"/>
    </row>
    <row r="2121" spans="1:9" x14ac:dyDescent="0.25">
      <c r="A2121" s="7"/>
      <c r="B2121" s="1"/>
      <c r="C2121" s="1"/>
      <c r="D2121" s="1"/>
      <c r="F2121" s="7"/>
      <c r="G2121" s="1"/>
      <c r="H2121" s="1"/>
      <c r="I2121" s="1"/>
    </row>
    <row r="2122" spans="1:9" x14ac:dyDescent="0.25">
      <c r="A2122" s="7"/>
      <c r="B2122" s="1"/>
      <c r="C2122" s="1"/>
      <c r="D2122" s="1"/>
      <c r="F2122" s="7"/>
      <c r="G2122" s="1"/>
      <c r="H2122" s="1"/>
      <c r="I2122" s="1"/>
    </row>
    <row r="2123" spans="1:9" x14ac:dyDescent="0.25">
      <c r="A2123" s="7"/>
      <c r="B2123" s="1"/>
      <c r="C2123" s="1"/>
      <c r="D2123" s="1"/>
      <c r="F2123" s="7"/>
      <c r="G2123" s="1"/>
      <c r="H2123" s="1"/>
      <c r="I2123" s="1"/>
    </row>
    <row r="2124" spans="1:9" x14ac:dyDescent="0.25">
      <c r="A2124" s="7"/>
      <c r="B2124" s="1"/>
      <c r="C2124" s="1"/>
      <c r="D2124" s="1"/>
      <c r="F2124" s="7"/>
      <c r="G2124" s="1"/>
      <c r="H2124" s="1"/>
      <c r="I2124" s="1"/>
    </row>
    <row r="2125" spans="1:9" x14ac:dyDescent="0.25">
      <c r="A2125" s="7"/>
      <c r="B2125" s="1"/>
      <c r="C2125" s="1"/>
      <c r="D2125" s="1"/>
      <c r="F2125" s="7"/>
      <c r="G2125" s="1"/>
      <c r="H2125" s="1"/>
      <c r="I2125" s="1"/>
    </row>
    <row r="2126" spans="1:9" x14ac:dyDescent="0.25">
      <c r="A2126" s="7"/>
      <c r="B2126" s="1"/>
      <c r="C2126" s="1"/>
      <c r="D2126" s="1"/>
      <c r="F2126" s="7"/>
      <c r="G2126" s="1"/>
      <c r="H2126" s="1"/>
      <c r="I2126" s="1"/>
    </row>
    <row r="2127" spans="1:9" x14ac:dyDescent="0.25">
      <c r="A2127" s="7"/>
      <c r="B2127" s="1"/>
      <c r="C2127" s="1"/>
      <c r="D2127" s="1"/>
      <c r="F2127" s="7"/>
      <c r="G2127" s="1"/>
      <c r="H2127" s="1"/>
      <c r="I2127" s="1"/>
    </row>
    <row r="2128" spans="1:9" x14ac:dyDescent="0.25">
      <c r="A2128" s="7"/>
      <c r="B2128" s="1"/>
      <c r="C2128" s="1"/>
      <c r="D2128" s="1"/>
      <c r="F2128" s="7"/>
      <c r="G2128" s="1"/>
      <c r="H2128" s="1"/>
      <c r="I2128" s="1"/>
    </row>
    <row r="2129" spans="1:9" x14ac:dyDescent="0.25">
      <c r="A2129" s="7"/>
      <c r="B2129" s="1"/>
      <c r="C2129" s="1"/>
      <c r="D2129" s="1"/>
      <c r="F2129" s="7"/>
      <c r="G2129" s="1"/>
      <c r="H2129" s="1"/>
      <c r="I2129" s="1"/>
    </row>
    <row r="2130" spans="1:9" x14ac:dyDescent="0.25">
      <c r="A2130" s="7"/>
      <c r="B2130" s="1"/>
      <c r="C2130" s="1"/>
      <c r="D2130" s="1"/>
      <c r="F2130" s="7"/>
      <c r="G2130" s="1"/>
      <c r="H2130" s="1"/>
      <c r="I2130" s="1"/>
    </row>
    <row r="2131" spans="1:9" x14ac:dyDescent="0.25">
      <c r="A2131" s="7"/>
      <c r="B2131" s="1"/>
      <c r="C2131" s="1"/>
      <c r="D2131" s="1"/>
      <c r="F2131" s="7"/>
      <c r="G2131" s="1"/>
      <c r="H2131" s="1"/>
      <c r="I2131" s="1"/>
    </row>
    <row r="2132" spans="1:9" x14ac:dyDescent="0.25">
      <c r="A2132" s="7"/>
      <c r="B2132" s="1"/>
      <c r="C2132" s="1"/>
      <c r="D2132" s="1"/>
      <c r="F2132" s="7"/>
      <c r="G2132" s="1"/>
      <c r="H2132" s="1"/>
      <c r="I2132" s="1"/>
    </row>
    <row r="2133" spans="1:9" x14ac:dyDescent="0.25">
      <c r="A2133" s="7"/>
      <c r="B2133" s="1"/>
      <c r="C2133" s="1"/>
      <c r="D2133" s="1"/>
      <c r="F2133" s="7"/>
      <c r="G2133" s="1"/>
      <c r="H2133" s="1"/>
      <c r="I2133" s="1"/>
    </row>
    <row r="2134" spans="1:9" x14ac:dyDescent="0.25">
      <c r="A2134" s="7"/>
      <c r="B2134" s="1"/>
      <c r="C2134" s="1"/>
      <c r="D2134" s="1"/>
      <c r="F2134" s="7"/>
      <c r="G2134" s="1"/>
      <c r="H2134" s="1"/>
      <c r="I2134" s="1"/>
    </row>
    <row r="2135" spans="1:9" x14ac:dyDescent="0.25">
      <c r="A2135" s="7"/>
      <c r="B2135" s="1"/>
      <c r="C2135" s="1"/>
      <c r="D2135" s="1"/>
      <c r="F2135" s="7"/>
      <c r="G2135" s="1"/>
      <c r="H2135" s="1"/>
      <c r="I2135" s="1"/>
    </row>
    <row r="2136" spans="1:9" x14ac:dyDescent="0.25">
      <c r="A2136" s="7"/>
      <c r="B2136" s="1"/>
      <c r="C2136" s="1"/>
      <c r="D2136" s="1"/>
      <c r="F2136" s="7"/>
      <c r="G2136" s="1"/>
      <c r="H2136" s="1"/>
      <c r="I2136" s="1"/>
    </row>
    <row r="2137" spans="1:9" x14ac:dyDescent="0.25">
      <c r="A2137" s="7"/>
      <c r="B2137" s="1"/>
      <c r="C2137" s="1"/>
      <c r="D2137" s="1"/>
      <c r="F2137" s="7"/>
      <c r="G2137" s="1"/>
      <c r="H2137" s="1"/>
      <c r="I2137" s="1"/>
    </row>
    <row r="2138" spans="1:9" x14ac:dyDescent="0.25">
      <c r="A2138" s="7"/>
      <c r="B2138" s="1"/>
      <c r="C2138" s="1"/>
      <c r="D2138" s="1"/>
      <c r="F2138" s="7"/>
      <c r="G2138" s="1"/>
      <c r="H2138" s="1"/>
      <c r="I2138" s="1"/>
    </row>
    <row r="2139" spans="1:9" x14ac:dyDescent="0.25">
      <c r="A2139" s="7"/>
      <c r="B2139" s="1"/>
      <c r="C2139" s="1"/>
      <c r="D2139" s="1"/>
      <c r="F2139" s="7"/>
      <c r="G2139" s="1"/>
      <c r="H2139" s="1"/>
      <c r="I2139" s="1"/>
    </row>
    <row r="2140" spans="1:9" x14ac:dyDescent="0.25">
      <c r="A2140" s="7"/>
      <c r="B2140" s="1"/>
      <c r="C2140" s="1"/>
      <c r="D2140" s="1"/>
      <c r="F2140" s="7"/>
      <c r="G2140" s="1"/>
      <c r="H2140" s="1"/>
      <c r="I2140" s="1"/>
    </row>
    <row r="2141" spans="1:9" x14ac:dyDescent="0.25">
      <c r="A2141" s="7"/>
      <c r="B2141" s="1"/>
      <c r="C2141" s="1"/>
      <c r="D2141" s="1"/>
      <c r="F2141" s="7"/>
      <c r="G2141" s="1"/>
      <c r="H2141" s="1"/>
      <c r="I2141" s="1"/>
    </row>
    <row r="2142" spans="1:9" x14ac:dyDescent="0.25">
      <c r="A2142" s="7"/>
      <c r="B2142" s="1"/>
      <c r="C2142" s="1"/>
      <c r="D2142" s="1"/>
      <c r="F2142" s="7"/>
      <c r="G2142" s="1"/>
      <c r="H2142" s="1"/>
      <c r="I2142" s="1"/>
    </row>
    <row r="2143" spans="1:9" x14ac:dyDescent="0.25">
      <c r="A2143" s="7"/>
      <c r="B2143" s="1"/>
      <c r="C2143" s="1"/>
      <c r="D2143" s="1"/>
      <c r="F2143" s="7"/>
      <c r="G2143" s="1"/>
      <c r="H2143" s="1"/>
      <c r="I2143" s="1"/>
    </row>
    <row r="2144" spans="1:9" x14ac:dyDescent="0.25">
      <c r="A2144" s="7"/>
      <c r="B2144" s="1"/>
      <c r="C2144" s="1"/>
      <c r="D2144" s="1"/>
      <c r="F2144" s="7"/>
      <c r="G2144" s="1"/>
      <c r="H2144" s="1"/>
      <c r="I2144" s="1"/>
    </row>
    <row r="2145" spans="1:9" x14ac:dyDescent="0.25">
      <c r="A2145" s="7"/>
      <c r="B2145" s="1"/>
      <c r="C2145" s="1"/>
      <c r="D2145" s="1"/>
      <c r="F2145" s="7"/>
      <c r="G2145" s="1"/>
      <c r="H2145" s="1"/>
      <c r="I2145" s="1"/>
    </row>
    <row r="2146" spans="1:9" x14ac:dyDescent="0.25">
      <c r="A2146" s="7"/>
      <c r="B2146" s="1"/>
      <c r="C2146" s="1"/>
      <c r="D2146" s="1"/>
      <c r="F2146" s="7"/>
      <c r="G2146" s="1"/>
      <c r="H2146" s="1"/>
      <c r="I2146" s="1"/>
    </row>
    <row r="2147" spans="1:9" x14ac:dyDescent="0.25">
      <c r="A2147" s="7"/>
      <c r="B2147" s="1"/>
      <c r="C2147" s="1"/>
      <c r="D2147" s="1"/>
      <c r="F2147" s="7"/>
      <c r="G2147" s="1"/>
      <c r="H2147" s="1"/>
      <c r="I2147" s="1"/>
    </row>
    <row r="2148" spans="1:9" x14ac:dyDescent="0.25">
      <c r="A2148" s="7"/>
      <c r="B2148" s="1"/>
      <c r="C2148" s="1"/>
      <c r="D2148" s="1"/>
      <c r="F2148" s="7"/>
      <c r="G2148" s="1"/>
      <c r="H2148" s="1"/>
      <c r="I2148" s="1"/>
    </row>
    <row r="2149" spans="1:9" x14ac:dyDescent="0.25">
      <c r="A2149" s="7"/>
      <c r="B2149" s="1"/>
      <c r="C2149" s="1"/>
      <c r="D2149" s="1"/>
      <c r="F2149" s="7"/>
      <c r="G2149" s="1"/>
      <c r="H2149" s="1"/>
      <c r="I2149" s="1"/>
    </row>
    <row r="2150" spans="1:9" x14ac:dyDescent="0.25">
      <c r="A2150" s="7"/>
      <c r="B2150" s="1"/>
      <c r="C2150" s="1"/>
      <c r="D2150" s="1"/>
      <c r="F2150" s="7"/>
      <c r="G2150" s="1"/>
      <c r="H2150" s="1"/>
      <c r="I2150" s="1"/>
    </row>
    <row r="2151" spans="1:9" x14ac:dyDescent="0.25">
      <c r="A2151" s="7"/>
      <c r="B2151" s="1"/>
      <c r="C2151" s="1"/>
      <c r="D2151" s="1"/>
      <c r="F2151" s="7"/>
      <c r="G2151" s="1"/>
      <c r="H2151" s="1"/>
      <c r="I2151" s="1"/>
    </row>
    <row r="2152" spans="1:9" x14ac:dyDescent="0.25">
      <c r="A2152" s="7"/>
      <c r="B2152" s="1"/>
      <c r="C2152" s="1"/>
      <c r="D2152" s="1"/>
      <c r="F2152" s="7"/>
      <c r="G2152" s="1"/>
      <c r="H2152" s="1"/>
      <c r="I2152" s="1"/>
    </row>
    <row r="2153" spans="1:9" x14ac:dyDescent="0.25">
      <c r="A2153" s="7"/>
      <c r="B2153" s="1"/>
      <c r="C2153" s="1"/>
      <c r="D2153" s="1"/>
      <c r="F2153" s="7"/>
      <c r="G2153" s="1"/>
      <c r="H2153" s="1"/>
      <c r="I2153" s="1"/>
    </row>
    <row r="2154" spans="1:9" x14ac:dyDescent="0.25">
      <c r="A2154" s="7"/>
      <c r="B2154" s="1"/>
      <c r="C2154" s="1"/>
      <c r="D2154" s="1"/>
      <c r="F2154" s="7"/>
      <c r="G2154" s="1"/>
      <c r="H2154" s="1"/>
      <c r="I2154" s="1"/>
    </row>
    <row r="2155" spans="1:9" x14ac:dyDescent="0.25">
      <c r="A2155" s="7"/>
      <c r="B2155" s="1"/>
      <c r="C2155" s="1"/>
      <c r="D2155" s="1"/>
      <c r="F2155" s="7"/>
      <c r="G2155" s="1"/>
      <c r="H2155" s="1"/>
      <c r="I2155" s="1"/>
    </row>
    <row r="2156" spans="1:9" x14ac:dyDescent="0.25">
      <c r="A2156" s="7"/>
      <c r="B2156" s="1"/>
      <c r="C2156" s="1"/>
      <c r="D2156" s="1"/>
      <c r="F2156" s="7"/>
      <c r="G2156" s="1"/>
      <c r="H2156" s="1"/>
      <c r="I2156" s="1"/>
    </row>
    <row r="2157" spans="1:9" x14ac:dyDescent="0.25">
      <c r="A2157" s="7"/>
      <c r="B2157" s="1"/>
      <c r="C2157" s="1"/>
      <c r="D2157" s="1"/>
      <c r="F2157" s="7"/>
      <c r="G2157" s="1"/>
      <c r="H2157" s="1"/>
      <c r="I2157" s="1"/>
    </row>
    <row r="2158" spans="1:9" x14ac:dyDescent="0.25">
      <c r="A2158" s="7"/>
      <c r="B2158" s="1"/>
      <c r="C2158" s="1"/>
      <c r="D2158" s="1"/>
      <c r="F2158" s="7"/>
      <c r="G2158" s="1"/>
      <c r="H2158" s="1"/>
      <c r="I2158" s="1"/>
    </row>
    <row r="2159" spans="1:9" x14ac:dyDescent="0.25">
      <c r="A2159" s="7"/>
      <c r="B2159" s="1"/>
      <c r="C2159" s="1"/>
      <c r="D2159" s="1"/>
      <c r="F2159" s="7"/>
      <c r="G2159" s="1"/>
      <c r="H2159" s="1"/>
      <c r="I2159" s="1"/>
    </row>
    <row r="2160" spans="1:9" x14ac:dyDescent="0.25">
      <c r="A2160" s="7"/>
      <c r="B2160" s="1"/>
      <c r="C2160" s="1"/>
      <c r="D2160" s="1"/>
      <c r="F2160" s="7"/>
      <c r="G2160" s="1"/>
      <c r="H2160" s="1"/>
      <c r="I2160" s="1"/>
    </row>
    <row r="2161" spans="1:9" x14ac:dyDescent="0.25">
      <c r="A2161" s="7"/>
      <c r="B2161" s="1"/>
      <c r="C2161" s="1"/>
      <c r="D2161" s="1"/>
      <c r="F2161" s="7"/>
      <c r="G2161" s="1"/>
      <c r="H2161" s="1"/>
      <c r="I2161" s="1"/>
    </row>
    <row r="2162" spans="1:9" x14ac:dyDescent="0.25">
      <c r="A2162" s="7"/>
      <c r="B2162" s="1"/>
      <c r="C2162" s="1"/>
      <c r="D2162" s="1"/>
      <c r="F2162" s="7"/>
      <c r="G2162" s="1"/>
      <c r="H2162" s="1"/>
      <c r="I2162" s="1"/>
    </row>
    <row r="2163" spans="1:9" x14ac:dyDescent="0.25">
      <c r="A2163" s="7"/>
      <c r="B2163" s="1"/>
      <c r="C2163" s="1"/>
      <c r="D2163" s="1"/>
      <c r="F2163" s="7"/>
      <c r="G2163" s="1"/>
      <c r="H2163" s="1"/>
      <c r="I2163" s="1"/>
    </row>
    <row r="2164" spans="1:9" x14ac:dyDescent="0.25">
      <c r="A2164" s="7"/>
      <c r="B2164" s="1"/>
      <c r="C2164" s="1"/>
      <c r="D2164" s="1"/>
      <c r="F2164" s="7"/>
      <c r="G2164" s="1"/>
      <c r="H2164" s="1"/>
      <c r="I2164" s="1"/>
    </row>
    <row r="2165" spans="1:9" x14ac:dyDescent="0.25">
      <c r="A2165" s="7"/>
      <c r="B2165" s="1"/>
      <c r="C2165" s="1"/>
      <c r="D2165" s="1"/>
      <c r="F2165" s="7"/>
      <c r="G2165" s="1"/>
      <c r="H2165" s="1"/>
      <c r="I2165" s="1"/>
    </row>
    <row r="2166" spans="1:9" x14ac:dyDescent="0.25">
      <c r="A2166" s="7"/>
      <c r="B2166" s="1"/>
      <c r="C2166" s="1"/>
      <c r="D2166" s="1"/>
      <c r="F2166" s="7"/>
      <c r="G2166" s="1"/>
      <c r="H2166" s="1"/>
      <c r="I2166" s="1"/>
    </row>
    <row r="2167" spans="1:9" x14ac:dyDescent="0.25">
      <c r="A2167" s="7"/>
      <c r="B2167" s="1"/>
      <c r="C2167" s="1"/>
      <c r="D2167" s="1"/>
      <c r="F2167" s="7"/>
      <c r="G2167" s="1"/>
      <c r="H2167" s="1"/>
      <c r="I2167" s="1"/>
    </row>
    <row r="2168" spans="1:9" x14ac:dyDescent="0.25">
      <c r="A2168" s="7"/>
      <c r="B2168" s="1"/>
      <c r="C2168" s="1"/>
      <c r="D2168" s="1"/>
      <c r="F2168" s="7"/>
      <c r="G2168" s="1"/>
      <c r="H2168" s="1"/>
      <c r="I2168" s="1"/>
    </row>
    <row r="2169" spans="1:9" x14ac:dyDescent="0.25">
      <c r="A2169" s="7"/>
      <c r="B2169" s="1"/>
      <c r="C2169" s="1"/>
      <c r="D2169" s="1"/>
      <c r="F2169" s="7"/>
      <c r="G2169" s="1"/>
      <c r="H2169" s="1"/>
      <c r="I2169" s="1"/>
    </row>
    <row r="2170" spans="1:9" x14ac:dyDescent="0.25">
      <c r="A2170" s="7"/>
      <c r="B2170" s="1"/>
      <c r="C2170" s="1"/>
      <c r="D2170" s="1"/>
      <c r="F2170" s="7"/>
      <c r="G2170" s="1"/>
      <c r="H2170" s="1"/>
      <c r="I2170" s="1"/>
    </row>
    <row r="2171" spans="1:9" x14ac:dyDescent="0.25">
      <c r="A2171" s="7"/>
      <c r="B2171" s="1"/>
      <c r="C2171" s="1"/>
      <c r="D2171" s="1"/>
      <c r="F2171" s="7"/>
      <c r="G2171" s="1"/>
      <c r="H2171" s="1"/>
      <c r="I2171" s="1"/>
    </row>
    <row r="2172" spans="1:9" x14ac:dyDescent="0.25">
      <c r="A2172" s="7"/>
      <c r="B2172" s="1"/>
      <c r="C2172" s="1"/>
      <c r="D2172" s="1"/>
      <c r="F2172" s="7"/>
      <c r="G2172" s="1"/>
      <c r="H2172" s="1"/>
      <c r="I2172" s="1"/>
    </row>
    <row r="2173" spans="1:9" x14ac:dyDescent="0.25">
      <c r="A2173" s="7"/>
      <c r="B2173" s="1"/>
      <c r="C2173" s="1"/>
      <c r="D2173" s="1"/>
      <c r="F2173" s="7"/>
      <c r="G2173" s="1"/>
      <c r="H2173" s="1"/>
      <c r="I2173" s="1"/>
    </row>
    <row r="2174" spans="1:9" x14ac:dyDescent="0.25">
      <c r="A2174" s="7"/>
      <c r="B2174" s="1"/>
      <c r="C2174" s="1"/>
      <c r="D2174" s="1"/>
      <c r="F2174" s="7"/>
      <c r="G2174" s="1"/>
      <c r="H2174" s="1"/>
      <c r="I2174" s="1"/>
    </row>
    <row r="2175" spans="1:9" x14ac:dyDescent="0.25">
      <c r="A2175" s="7"/>
      <c r="B2175" s="1"/>
      <c r="C2175" s="1"/>
      <c r="D2175" s="1"/>
      <c r="F2175" s="7"/>
      <c r="G2175" s="1"/>
      <c r="H2175" s="1"/>
      <c r="I2175" s="1"/>
    </row>
    <row r="2176" spans="1:9" x14ac:dyDescent="0.25">
      <c r="A2176" s="7"/>
      <c r="B2176" s="1"/>
      <c r="C2176" s="1"/>
      <c r="D2176" s="1"/>
      <c r="F2176" s="7"/>
      <c r="G2176" s="1"/>
      <c r="H2176" s="1"/>
      <c r="I2176" s="1"/>
    </row>
    <row r="2177" spans="1:9" x14ac:dyDescent="0.25">
      <c r="A2177" s="7"/>
      <c r="B2177" s="1"/>
      <c r="C2177" s="1"/>
      <c r="D2177" s="1"/>
      <c r="F2177" s="7"/>
      <c r="G2177" s="1"/>
      <c r="H2177" s="1"/>
      <c r="I2177" s="1"/>
    </row>
    <row r="2178" spans="1:9" x14ac:dyDescent="0.25">
      <c r="A2178" s="7"/>
      <c r="B2178" s="1"/>
      <c r="C2178" s="1"/>
      <c r="D2178" s="1"/>
      <c r="F2178" s="7"/>
      <c r="G2178" s="1"/>
      <c r="H2178" s="1"/>
      <c r="I2178" s="1"/>
    </row>
    <row r="2179" spans="1:9" x14ac:dyDescent="0.25">
      <c r="A2179" s="7"/>
      <c r="B2179" s="1"/>
      <c r="C2179" s="1"/>
      <c r="D2179" s="1"/>
      <c r="F2179" s="7"/>
      <c r="G2179" s="1"/>
      <c r="H2179" s="1"/>
      <c r="I2179" s="1"/>
    </row>
    <row r="2180" spans="1:9" x14ac:dyDescent="0.25">
      <c r="A2180" s="7"/>
      <c r="B2180" s="1"/>
      <c r="C2180" s="1"/>
      <c r="D2180" s="1"/>
      <c r="F2180" s="7"/>
      <c r="G2180" s="1"/>
      <c r="H2180" s="1"/>
      <c r="I2180" s="1"/>
    </row>
    <row r="2181" spans="1:9" x14ac:dyDescent="0.25">
      <c r="A2181" s="7"/>
      <c r="B2181" s="1"/>
      <c r="C2181" s="1"/>
      <c r="D2181" s="1"/>
      <c r="F2181" s="7"/>
      <c r="G2181" s="1"/>
      <c r="H2181" s="1"/>
      <c r="I2181" s="1"/>
    </row>
    <row r="2182" spans="1:9" x14ac:dyDescent="0.25">
      <c r="A2182" s="7"/>
      <c r="B2182" s="1"/>
      <c r="C2182" s="1"/>
      <c r="D2182" s="1"/>
      <c r="F2182" s="7"/>
      <c r="G2182" s="1"/>
      <c r="H2182" s="1"/>
      <c r="I2182" s="1"/>
    </row>
    <row r="2183" spans="1:9" x14ac:dyDescent="0.25">
      <c r="A2183" s="7"/>
      <c r="B2183" s="1"/>
      <c r="C2183" s="1"/>
      <c r="D2183" s="1"/>
      <c r="F2183" s="7"/>
      <c r="G2183" s="1"/>
      <c r="H2183" s="1"/>
      <c r="I2183" s="1"/>
    </row>
    <row r="2184" spans="1:9" x14ac:dyDescent="0.25">
      <c r="A2184" s="7"/>
      <c r="B2184" s="1"/>
      <c r="C2184" s="1"/>
      <c r="D2184" s="1"/>
      <c r="F2184" s="7"/>
      <c r="G2184" s="1"/>
      <c r="H2184" s="1"/>
      <c r="I2184" s="1"/>
    </row>
    <row r="2185" spans="1:9" x14ac:dyDescent="0.25">
      <c r="A2185" s="7"/>
      <c r="B2185" s="1"/>
      <c r="C2185" s="1"/>
      <c r="D2185" s="1"/>
      <c r="F2185" s="7"/>
      <c r="G2185" s="1"/>
      <c r="H2185" s="1"/>
      <c r="I2185" s="1"/>
    </row>
    <row r="2186" spans="1:9" x14ac:dyDescent="0.25">
      <c r="A2186" s="7"/>
      <c r="B2186" s="1"/>
      <c r="C2186" s="1"/>
      <c r="D2186" s="1"/>
      <c r="F2186" s="7"/>
      <c r="G2186" s="1"/>
      <c r="H2186" s="1"/>
      <c r="I2186" s="1"/>
    </row>
    <row r="2187" spans="1:9" x14ac:dyDescent="0.25">
      <c r="A2187" s="7"/>
      <c r="B2187" s="1"/>
      <c r="C2187" s="1"/>
      <c r="D2187" s="1"/>
      <c r="F2187" s="7"/>
      <c r="G2187" s="1"/>
      <c r="H2187" s="1"/>
      <c r="I2187" s="1"/>
    </row>
    <row r="2188" spans="1:9" x14ac:dyDescent="0.25">
      <c r="A2188" s="7"/>
      <c r="B2188" s="1"/>
      <c r="C2188" s="1"/>
      <c r="D2188" s="1"/>
      <c r="F2188" s="7"/>
      <c r="G2188" s="1"/>
      <c r="H2188" s="1"/>
      <c r="I2188" s="1"/>
    </row>
    <row r="2189" spans="1:9" x14ac:dyDescent="0.25">
      <c r="A2189" s="7"/>
      <c r="B2189" s="1"/>
      <c r="C2189" s="1"/>
      <c r="D2189" s="1"/>
      <c r="F2189" s="7"/>
      <c r="G2189" s="1"/>
      <c r="H2189" s="1"/>
      <c r="I2189" s="1"/>
    </row>
    <row r="2190" spans="1:9" x14ac:dyDescent="0.25">
      <c r="A2190" s="7"/>
      <c r="B2190" s="1"/>
      <c r="C2190" s="1"/>
      <c r="D2190" s="1"/>
      <c r="F2190" s="7"/>
      <c r="G2190" s="1"/>
      <c r="H2190" s="1"/>
      <c r="I2190" s="1"/>
    </row>
    <row r="2191" spans="1:9" x14ac:dyDescent="0.25">
      <c r="A2191" s="7"/>
      <c r="B2191" s="1"/>
      <c r="C2191" s="1"/>
      <c r="D2191" s="1"/>
      <c r="F2191" s="7"/>
      <c r="G2191" s="1"/>
      <c r="H2191" s="1"/>
      <c r="I2191" s="1"/>
    </row>
    <row r="2192" spans="1:9" x14ac:dyDescent="0.25">
      <c r="A2192" s="7"/>
      <c r="B2192" s="1"/>
      <c r="C2192" s="1"/>
      <c r="D2192" s="1"/>
      <c r="F2192" s="7"/>
      <c r="G2192" s="1"/>
      <c r="H2192" s="1"/>
      <c r="I2192" s="1"/>
    </row>
    <row r="2193" spans="1:9" x14ac:dyDescent="0.25">
      <c r="A2193" s="7"/>
      <c r="B2193" s="1"/>
      <c r="C2193" s="1"/>
      <c r="D2193" s="1"/>
      <c r="F2193" s="7"/>
      <c r="G2193" s="1"/>
      <c r="H2193" s="1"/>
      <c r="I2193" s="1"/>
    </row>
    <row r="2194" spans="1:9" x14ac:dyDescent="0.25">
      <c r="A2194" s="7"/>
      <c r="B2194" s="1"/>
      <c r="C2194" s="1"/>
      <c r="D2194" s="1"/>
      <c r="F2194" s="7"/>
      <c r="G2194" s="1"/>
      <c r="H2194" s="1"/>
      <c r="I2194" s="1"/>
    </row>
    <row r="2195" spans="1:9" x14ac:dyDescent="0.25">
      <c r="A2195" s="7"/>
      <c r="B2195" s="1"/>
      <c r="C2195" s="1"/>
      <c r="D2195" s="1"/>
      <c r="F2195" s="7"/>
      <c r="G2195" s="1"/>
      <c r="H2195" s="1"/>
      <c r="I2195" s="1"/>
    </row>
    <row r="2196" spans="1:9" x14ac:dyDescent="0.25">
      <c r="A2196" s="7"/>
      <c r="B2196" s="1"/>
      <c r="C2196" s="1"/>
      <c r="D2196" s="1"/>
      <c r="F2196" s="7"/>
      <c r="G2196" s="1"/>
      <c r="H2196" s="1"/>
      <c r="I2196" s="1"/>
    </row>
    <row r="2197" spans="1:9" x14ac:dyDescent="0.25">
      <c r="A2197" s="7"/>
      <c r="B2197" s="1"/>
      <c r="C2197" s="1"/>
      <c r="D2197" s="1"/>
      <c r="F2197" s="7"/>
      <c r="G2197" s="1"/>
      <c r="H2197" s="1"/>
      <c r="I2197" s="1"/>
    </row>
    <row r="2198" spans="1:9" x14ac:dyDescent="0.25">
      <c r="A2198" s="7"/>
      <c r="B2198" s="1"/>
      <c r="C2198" s="1"/>
      <c r="D2198" s="1"/>
      <c r="F2198" s="7"/>
      <c r="G2198" s="1"/>
      <c r="H2198" s="1"/>
      <c r="I2198" s="1"/>
    </row>
    <row r="2199" spans="1:9" x14ac:dyDescent="0.25">
      <c r="A2199" s="7"/>
      <c r="B2199" s="1"/>
      <c r="C2199" s="1"/>
      <c r="D2199" s="1"/>
      <c r="F2199" s="7"/>
      <c r="G2199" s="1"/>
      <c r="H2199" s="1"/>
      <c r="I2199" s="1"/>
    </row>
    <row r="2200" spans="1:9" x14ac:dyDescent="0.25">
      <c r="A2200" s="7"/>
      <c r="B2200" s="1"/>
      <c r="C2200" s="1"/>
      <c r="D2200" s="1"/>
      <c r="F2200" s="7"/>
      <c r="G2200" s="1"/>
      <c r="H2200" s="1"/>
      <c r="I2200" s="1"/>
    </row>
    <row r="2201" spans="1:9" x14ac:dyDescent="0.25">
      <c r="A2201" s="7"/>
      <c r="B2201" s="1"/>
      <c r="C2201" s="1"/>
      <c r="D2201" s="1"/>
      <c r="F2201" s="7"/>
      <c r="G2201" s="1"/>
      <c r="H2201" s="1"/>
      <c r="I2201" s="1"/>
    </row>
    <row r="2202" spans="1:9" x14ac:dyDescent="0.25">
      <c r="A2202" s="7"/>
      <c r="B2202" s="1"/>
      <c r="C2202" s="1"/>
      <c r="D2202" s="1"/>
      <c r="F2202" s="7"/>
      <c r="G2202" s="1"/>
      <c r="H2202" s="1"/>
      <c r="I2202" s="1"/>
    </row>
    <row r="2203" spans="1:9" x14ac:dyDescent="0.25">
      <c r="A2203" s="7"/>
      <c r="B2203" s="1"/>
      <c r="C2203" s="1"/>
      <c r="D2203" s="1"/>
      <c r="F2203" s="7"/>
      <c r="G2203" s="1"/>
      <c r="H2203" s="1"/>
      <c r="I2203" s="1"/>
    </row>
    <row r="2204" spans="1:9" x14ac:dyDescent="0.25">
      <c r="A2204" s="7"/>
      <c r="B2204" s="1"/>
      <c r="C2204" s="1"/>
      <c r="D2204" s="1"/>
      <c r="F2204" s="7"/>
      <c r="G2204" s="1"/>
      <c r="H2204" s="1"/>
      <c r="I2204" s="1"/>
    </row>
    <row r="2205" spans="1:9" x14ac:dyDescent="0.25">
      <c r="A2205" s="7"/>
      <c r="B2205" s="1"/>
      <c r="C2205" s="1"/>
      <c r="D2205" s="1"/>
      <c r="F2205" s="7"/>
      <c r="G2205" s="1"/>
      <c r="H2205" s="1"/>
      <c r="I2205" s="1"/>
    </row>
    <row r="2206" spans="1:9" x14ac:dyDescent="0.25">
      <c r="A2206" s="7"/>
      <c r="B2206" s="1"/>
      <c r="C2206" s="1"/>
      <c r="D2206" s="1"/>
      <c r="F2206" s="7"/>
      <c r="G2206" s="1"/>
      <c r="H2206" s="1"/>
      <c r="I2206" s="1"/>
    </row>
    <row r="2207" spans="1:9" x14ac:dyDescent="0.25">
      <c r="A2207" s="7"/>
      <c r="B2207" s="1"/>
      <c r="C2207" s="1"/>
      <c r="D2207" s="1"/>
      <c r="F2207" s="7"/>
      <c r="G2207" s="1"/>
      <c r="H2207" s="1"/>
      <c r="I2207" s="1"/>
    </row>
    <row r="2208" spans="1:9" x14ac:dyDescent="0.25">
      <c r="A2208" s="7"/>
      <c r="B2208" s="1"/>
      <c r="C2208" s="1"/>
      <c r="D2208" s="1"/>
      <c r="F2208" s="7"/>
      <c r="G2208" s="1"/>
      <c r="H2208" s="1"/>
      <c r="I2208" s="1"/>
    </row>
    <row r="2209" spans="1:9" x14ac:dyDescent="0.25">
      <c r="A2209" s="7"/>
      <c r="B2209" s="1"/>
      <c r="C2209" s="1"/>
      <c r="D2209" s="1"/>
      <c r="F2209" s="7"/>
      <c r="G2209" s="1"/>
      <c r="H2209" s="1"/>
      <c r="I2209" s="1"/>
    </row>
    <row r="2210" spans="1:9" x14ac:dyDescent="0.25">
      <c r="A2210" s="7"/>
      <c r="B2210" s="1"/>
      <c r="C2210" s="1"/>
      <c r="D2210" s="1"/>
      <c r="F2210" s="7"/>
      <c r="G2210" s="1"/>
      <c r="H2210" s="1"/>
      <c r="I2210" s="1"/>
    </row>
    <row r="2211" spans="1:9" x14ac:dyDescent="0.25">
      <c r="A2211" s="7"/>
      <c r="B2211" s="1"/>
      <c r="C2211" s="1"/>
      <c r="D2211" s="1"/>
      <c r="F2211" s="7"/>
      <c r="G2211" s="1"/>
      <c r="H2211" s="1"/>
      <c r="I2211" s="1"/>
    </row>
    <row r="2212" spans="1:9" x14ac:dyDescent="0.25">
      <c r="A2212" s="7"/>
      <c r="B2212" s="1"/>
      <c r="C2212" s="1"/>
      <c r="D2212" s="1"/>
      <c r="F2212" s="7"/>
      <c r="G2212" s="1"/>
      <c r="H2212" s="1"/>
      <c r="I2212" s="1"/>
    </row>
    <row r="2213" spans="1:9" x14ac:dyDescent="0.25">
      <c r="A2213" s="7"/>
      <c r="B2213" s="1"/>
      <c r="C2213" s="1"/>
      <c r="D2213" s="1"/>
      <c r="F2213" s="7"/>
      <c r="G2213" s="1"/>
      <c r="H2213" s="1"/>
      <c r="I2213" s="1"/>
    </row>
    <row r="2214" spans="1:9" x14ac:dyDescent="0.25">
      <c r="A2214" s="7"/>
      <c r="B2214" s="1"/>
      <c r="C2214" s="1"/>
      <c r="D2214" s="1"/>
      <c r="F2214" s="7"/>
      <c r="G2214" s="1"/>
      <c r="H2214" s="1"/>
      <c r="I2214" s="1"/>
    </row>
    <row r="2215" spans="1:9" x14ac:dyDescent="0.25">
      <c r="A2215" s="7"/>
      <c r="B2215" s="1"/>
      <c r="C2215" s="1"/>
      <c r="D2215" s="1"/>
      <c r="F2215" s="7"/>
      <c r="G2215" s="1"/>
      <c r="H2215" s="1"/>
      <c r="I2215" s="1"/>
    </row>
    <row r="2216" spans="1:9" x14ac:dyDescent="0.25">
      <c r="A2216" s="7"/>
      <c r="B2216" s="1"/>
      <c r="C2216" s="1"/>
      <c r="D2216" s="1"/>
      <c r="F2216" s="7"/>
      <c r="G2216" s="1"/>
      <c r="H2216" s="1"/>
      <c r="I2216" s="1"/>
    </row>
    <row r="2217" spans="1:9" x14ac:dyDescent="0.25">
      <c r="A2217" s="7"/>
      <c r="B2217" s="1"/>
      <c r="C2217" s="1"/>
      <c r="D2217" s="1"/>
      <c r="F2217" s="7"/>
      <c r="G2217" s="1"/>
      <c r="H2217" s="1"/>
      <c r="I2217" s="1"/>
    </row>
    <row r="2218" spans="1:9" x14ac:dyDescent="0.25">
      <c r="A2218" s="7"/>
      <c r="B2218" s="1"/>
      <c r="C2218" s="1"/>
      <c r="D2218" s="1"/>
      <c r="F2218" s="7"/>
      <c r="G2218" s="1"/>
      <c r="H2218" s="1"/>
      <c r="I2218" s="1"/>
    </row>
    <row r="2219" spans="1:9" x14ac:dyDescent="0.25">
      <c r="A2219" s="7"/>
      <c r="B2219" s="1"/>
      <c r="C2219" s="1"/>
      <c r="D2219" s="1"/>
      <c r="F2219" s="7"/>
      <c r="G2219" s="1"/>
      <c r="H2219" s="1"/>
      <c r="I2219" s="1"/>
    </row>
    <row r="2220" spans="1:9" x14ac:dyDescent="0.25">
      <c r="A2220" s="7"/>
      <c r="B2220" s="1"/>
      <c r="C2220" s="1"/>
      <c r="D2220" s="1"/>
      <c r="F2220" s="7"/>
      <c r="G2220" s="1"/>
      <c r="H2220" s="1"/>
      <c r="I2220" s="1"/>
    </row>
    <row r="2221" spans="1:9" x14ac:dyDescent="0.25">
      <c r="A2221" s="7"/>
      <c r="B2221" s="1"/>
      <c r="C2221" s="1"/>
      <c r="D2221" s="1"/>
      <c r="F2221" s="7"/>
      <c r="G2221" s="1"/>
      <c r="H2221" s="1"/>
      <c r="I2221" s="1"/>
    </row>
    <row r="2222" spans="1:9" x14ac:dyDescent="0.25">
      <c r="A2222" s="7"/>
      <c r="B2222" s="1"/>
      <c r="C2222" s="1"/>
      <c r="D2222" s="1"/>
      <c r="F2222" s="7"/>
      <c r="G2222" s="1"/>
      <c r="H2222" s="1"/>
      <c r="I2222" s="1"/>
    </row>
    <row r="2223" spans="1:9" x14ac:dyDescent="0.25">
      <c r="A2223" s="7"/>
      <c r="B2223" s="1"/>
      <c r="C2223" s="1"/>
      <c r="D2223" s="1"/>
      <c r="F2223" s="7"/>
      <c r="G2223" s="1"/>
      <c r="H2223" s="1"/>
      <c r="I2223" s="1"/>
    </row>
    <row r="2224" spans="1:9" x14ac:dyDescent="0.25">
      <c r="A2224" s="7"/>
      <c r="B2224" s="1"/>
      <c r="C2224" s="1"/>
      <c r="D2224" s="1"/>
      <c r="F2224" s="7"/>
      <c r="G2224" s="1"/>
      <c r="H2224" s="1"/>
      <c r="I2224" s="1"/>
    </row>
    <row r="2225" spans="1:9" x14ac:dyDescent="0.25">
      <c r="A2225" s="7"/>
      <c r="B2225" s="1"/>
      <c r="C2225" s="1"/>
      <c r="D2225" s="1"/>
      <c r="F2225" s="7"/>
      <c r="G2225" s="1"/>
      <c r="H2225" s="1"/>
      <c r="I2225" s="1"/>
    </row>
    <row r="2226" spans="1:9" x14ac:dyDescent="0.25">
      <c r="A2226" s="7"/>
      <c r="B2226" s="1"/>
      <c r="C2226" s="1"/>
      <c r="D2226" s="1"/>
      <c r="F2226" s="7"/>
      <c r="G2226" s="1"/>
      <c r="H2226" s="1"/>
      <c r="I2226" s="1"/>
    </row>
    <row r="2227" spans="1:9" x14ac:dyDescent="0.25">
      <c r="A2227" s="7"/>
      <c r="B2227" s="1"/>
      <c r="C2227" s="1"/>
      <c r="D2227" s="1"/>
      <c r="F2227" s="7"/>
      <c r="G2227" s="1"/>
      <c r="H2227" s="1"/>
      <c r="I2227" s="1"/>
    </row>
    <row r="2228" spans="1:9" x14ac:dyDescent="0.25">
      <c r="A2228" s="7"/>
      <c r="B2228" s="1"/>
      <c r="C2228" s="1"/>
      <c r="D2228" s="1"/>
      <c r="F2228" s="7"/>
      <c r="G2228" s="1"/>
      <c r="H2228" s="1"/>
      <c r="I2228" s="1"/>
    </row>
    <row r="2229" spans="1:9" x14ac:dyDescent="0.25">
      <c r="A2229" s="7"/>
      <c r="B2229" s="1"/>
      <c r="C2229" s="1"/>
      <c r="D2229" s="1"/>
      <c r="F2229" s="7"/>
      <c r="G2229" s="1"/>
      <c r="H2229" s="1"/>
      <c r="I2229" s="1"/>
    </row>
    <row r="2230" spans="1:9" x14ac:dyDescent="0.25">
      <c r="A2230" s="7"/>
      <c r="B2230" s="1"/>
      <c r="C2230" s="1"/>
      <c r="D2230" s="1"/>
      <c r="F2230" s="7"/>
      <c r="G2230" s="1"/>
      <c r="H2230" s="1"/>
      <c r="I2230" s="1"/>
    </row>
    <row r="2231" spans="1:9" x14ac:dyDescent="0.25">
      <c r="A2231" s="7"/>
      <c r="B2231" s="1"/>
      <c r="C2231" s="1"/>
      <c r="D2231" s="1"/>
      <c r="F2231" s="7"/>
      <c r="G2231" s="1"/>
      <c r="H2231" s="1"/>
      <c r="I2231" s="1"/>
    </row>
    <row r="2232" spans="1:9" x14ac:dyDescent="0.25">
      <c r="A2232" s="7"/>
      <c r="B2232" s="1"/>
      <c r="C2232" s="1"/>
      <c r="D2232" s="1"/>
      <c r="F2232" s="7"/>
      <c r="G2232" s="1"/>
      <c r="H2232" s="1"/>
      <c r="I2232" s="1"/>
    </row>
    <row r="2233" spans="1:9" x14ac:dyDescent="0.25">
      <c r="A2233" s="7"/>
      <c r="B2233" s="1"/>
      <c r="C2233" s="1"/>
      <c r="D2233" s="1"/>
      <c r="F2233" s="7"/>
      <c r="G2233" s="1"/>
      <c r="H2233" s="1"/>
      <c r="I2233" s="1"/>
    </row>
    <row r="2234" spans="1:9" x14ac:dyDescent="0.25">
      <c r="A2234" s="7"/>
      <c r="B2234" s="1"/>
      <c r="C2234" s="1"/>
      <c r="D2234" s="1"/>
      <c r="F2234" s="7"/>
      <c r="G2234" s="1"/>
      <c r="H2234" s="1"/>
      <c r="I2234" s="1"/>
    </row>
    <row r="2235" spans="1:9" x14ac:dyDescent="0.25">
      <c r="A2235" s="7"/>
      <c r="B2235" s="1"/>
      <c r="C2235" s="1"/>
      <c r="D2235" s="1"/>
      <c r="F2235" s="7"/>
      <c r="G2235" s="1"/>
      <c r="H2235" s="1"/>
      <c r="I2235" s="1"/>
    </row>
    <row r="2236" spans="1:9" x14ac:dyDescent="0.25">
      <c r="A2236" s="7"/>
      <c r="B2236" s="1"/>
      <c r="C2236" s="1"/>
      <c r="D2236" s="1"/>
      <c r="F2236" s="7"/>
      <c r="G2236" s="1"/>
      <c r="H2236" s="1"/>
      <c r="I2236" s="1"/>
    </row>
    <row r="2237" spans="1:9" x14ac:dyDescent="0.25">
      <c r="A2237" s="7"/>
      <c r="B2237" s="1"/>
      <c r="C2237" s="1"/>
      <c r="D2237" s="1"/>
      <c r="F2237" s="7"/>
      <c r="G2237" s="1"/>
      <c r="H2237" s="1"/>
      <c r="I2237" s="1"/>
    </row>
    <row r="2238" spans="1:9" x14ac:dyDescent="0.25">
      <c r="A2238" s="7"/>
      <c r="B2238" s="1"/>
      <c r="C2238" s="1"/>
      <c r="D2238" s="1"/>
      <c r="F2238" s="7"/>
      <c r="G2238" s="1"/>
      <c r="H2238" s="1"/>
      <c r="I2238" s="1"/>
    </row>
    <row r="2239" spans="1:9" x14ac:dyDescent="0.25">
      <c r="A2239" s="7"/>
      <c r="B2239" s="1"/>
      <c r="C2239" s="1"/>
      <c r="D2239" s="1"/>
      <c r="F2239" s="7"/>
      <c r="G2239" s="1"/>
      <c r="H2239" s="1"/>
      <c r="I2239" s="1"/>
    </row>
    <row r="2240" spans="1:9" x14ac:dyDescent="0.25">
      <c r="A2240" s="7"/>
      <c r="B2240" s="1"/>
      <c r="C2240" s="1"/>
      <c r="D2240" s="1"/>
      <c r="F2240" s="7"/>
      <c r="G2240" s="1"/>
      <c r="H2240" s="1"/>
      <c r="I2240" s="1"/>
    </row>
    <row r="2241" spans="1:9" x14ac:dyDescent="0.25">
      <c r="A2241" s="7"/>
      <c r="B2241" s="1"/>
      <c r="C2241" s="1"/>
      <c r="D2241" s="1"/>
      <c r="F2241" s="7"/>
      <c r="G2241" s="1"/>
      <c r="H2241" s="1"/>
      <c r="I2241" s="1"/>
    </row>
    <row r="2242" spans="1:9" x14ac:dyDescent="0.25">
      <c r="A2242" s="7"/>
      <c r="B2242" s="1"/>
      <c r="C2242" s="1"/>
      <c r="D2242" s="1"/>
      <c r="F2242" s="7"/>
      <c r="G2242" s="1"/>
      <c r="H2242" s="1"/>
      <c r="I2242" s="1"/>
    </row>
    <row r="2243" spans="1:9" x14ac:dyDescent="0.25">
      <c r="A2243" s="7"/>
      <c r="B2243" s="1"/>
      <c r="C2243" s="1"/>
      <c r="D2243" s="1"/>
      <c r="F2243" s="7"/>
      <c r="G2243" s="1"/>
      <c r="H2243" s="1"/>
      <c r="I2243" s="1"/>
    </row>
    <row r="2244" spans="1:9" x14ac:dyDescent="0.25">
      <c r="A2244" s="7"/>
      <c r="B2244" s="1"/>
      <c r="C2244" s="1"/>
      <c r="D2244" s="1"/>
      <c r="F2244" s="7"/>
      <c r="G2244" s="1"/>
      <c r="H2244" s="1"/>
      <c r="I2244" s="1"/>
    </row>
    <row r="2245" spans="1:9" x14ac:dyDescent="0.25">
      <c r="A2245" s="7"/>
      <c r="B2245" s="1"/>
      <c r="C2245" s="1"/>
      <c r="D2245" s="1"/>
      <c r="F2245" s="7"/>
      <c r="G2245" s="1"/>
      <c r="H2245" s="1"/>
      <c r="I2245" s="1"/>
    </row>
    <row r="2246" spans="1:9" x14ac:dyDescent="0.25">
      <c r="A2246" s="7"/>
      <c r="B2246" s="1"/>
      <c r="C2246" s="1"/>
      <c r="D2246" s="1"/>
      <c r="F2246" s="7"/>
      <c r="G2246" s="1"/>
      <c r="H2246" s="1"/>
      <c r="I2246" s="1"/>
    </row>
    <row r="2247" spans="1:9" x14ac:dyDescent="0.25">
      <c r="A2247" s="7"/>
      <c r="B2247" s="1"/>
      <c r="C2247" s="1"/>
      <c r="D2247" s="1"/>
      <c r="F2247" s="7"/>
      <c r="G2247" s="1"/>
      <c r="H2247" s="1"/>
      <c r="I2247" s="1"/>
    </row>
    <row r="2248" spans="1:9" x14ac:dyDescent="0.25">
      <c r="A2248" s="7"/>
      <c r="B2248" s="1"/>
      <c r="C2248" s="1"/>
      <c r="D2248" s="1"/>
      <c r="F2248" s="7"/>
      <c r="G2248" s="1"/>
      <c r="H2248" s="1"/>
      <c r="I2248" s="1"/>
    </row>
    <row r="2249" spans="1:9" x14ac:dyDescent="0.25">
      <c r="A2249" s="7"/>
      <c r="B2249" s="1"/>
      <c r="C2249" s="1"/>
      <c r="D2249" s="1"/>
      <c r="F2249" s="7"/>
      <c r="G2249" s="1"/>
      <c r="H2249" s="1"/>
      <c r="I2249" s="1"/>
    </row>
    <row r="2250" spans="1:9" x14ac:dyDescent="0.25">
      <c r="A2250" s="7"/>
      <c r="B2250" s="1"/>
      <c r="C2250" s="1"/>
      <c r="D2250" s="1"/>
      <c r="F2250" s="7"/>
      <c r="G2250" s="1"/>
      <c r="H2250" s="1"/>
      <c r="I2250" s="1"/>
    </row>
    <row r="2251" spans="1:9" x14ac:dyDescent="0.25">
      <c r="A2251" s="7"/>
      <c r="B2251" s="1"/>
      <c r="C2251" s="1"/>
      <c r="D2251" s="1"/>
      <c r="F2251" s="7"/>
      <c r="G2251" s="1"/>
      <c r="H2251" s="1"/>
      <c r="I2251" s="1"/>
    </row>
    <row r="2252" spans="1:9" x14ac:dyDescent="0.25">
      <c r="A2252" s="7"/>
      <c r="B2252" s="1"/>
      <c r="C2252" s="1"/>
      <c r="D2252" s="1"/>
      <c r="F2252" s="7"/>
      <c r="G2252" s="1"/>
      <c r="H2252" s="1"/>
      <c r="I2252" s="1"/>
    </row>
    <row r="2253" spans="1:9" x14ac:dyDescent="0.25">
      <c r="A2253" s="7"/>
      <c r="B2253" s="1"/>
      <c r="C2253" s="1"/>
      <c r="D2253" s="1"/>
      <c r="F2253" s="7"/>
      <c r="G2253" s="1"/>
      <c r="H2253" s="1"/>
      <c r="I2253" s="1"/>
    </row>
    <row r="2254" spans="1:9" x14ac:dyDescent="0.25">
      <c r="A2254" s="7"/>
      <c r="B2254" s="1"/>
      <c r="C2254" s="1"/>
      <c r="D2254" s="1"/>
      <c r="F2254" s="7"/>
      <c r="G2254" s="1"/>
      <c r="H2254" s="1"/>
      <c r="I2254" s="1"/>
    </row>
    <row r="2255" spans="1:9" x14ac:dyDescent="0.25">
      <c r="A2255" s="7"/>
      <c r="B2255" s="1"/>
      <c r="C2255" s="1"/>
      <c r="D2255" s="1"/>
      <c r="F2255" s="7"/>
      <c r="G2255" s="1"/>
      <c r="H2255" s="1"/>
      <c r="I2255" s="1"/>
    </row>
    <row r="2256" spans="1:9" x14ac:dyDescent="0.25">
      <c r="A2256" s="7"/>
      <c r="B2256" s="1"/>
      <c r="C2256" s="1"/>
      <c r="D2256" s="1"/>
      <c r="F2256" s="7"/>
      <c r="G2256" s="1"/>
      <c r="H2256" s="1"/>
      <c r="I2256" s="1"/>
    </row>
    <row r="2257" spans="1:9" x14ac:dyDescent="0.25">
      <c r="A2257" s="7"/>
      <c r="B2257" s="1"/>
      <c r="C2257" s="1"/>
      <c r="D2257" s="1"/>
      <c r="F2257" s="7"/>
      <c r="G2257" s="1"/>
      <c r="H2257" s="1"/>
      <c r="I2257" s="1"/>
    </row>
    <row r="2258" spans="1:9" x14ac:dyDescent="0.25">
      <c r="A2258" s="7"/>
      <c r="B2258" s="1"/>
      <c r="C2258" s="1"/>
      <c r="D2258" s="1"/>
      <c r="F2258" s="7"/>
      <c r="G2258" s="1"/>
      <c r="H2258" s="1"/>
      <c r="I2258" s="1"/>
    </row>
    <row r="2259" spans="1:9" x14ac:dyDescent="0.25">
      <c r="A2259" s="7"/>
      <c r="B2259" s="1"/>
      <c r="C2259" s="1"/>
      <c r="D2259" s="1"/>
      <c r="F2259" s="7"/>
      <c r="G2259" s="1"/>
      <c r="H2259" s="1"/>
      <c r="I2259" s="1"/>
    </row>
    <row r="2260" spans="1:9" x14ac:dyDescent="0.25">
      <c r="A2260" s="7"/>
      <c r="B2260" s="1"/>
      <c r="C2260" s="1"/>
      <c r="D2260" s="1"/>
      <c r="F2260" s="7"/>
      <c r="G2260" s="1"/>
      <c r="H2260" s="1"/>
      <c r="I2260" s="1"/>
    </row>
    <row r="2261" spans="1:9" x14ac:dyDescent="0.25">
      <c r="A2261" s="7"/>
      <c r="B2261" s="1"/>
      <c r="C2261" s="1"/>
      <c r="D2261" s="1"/>
      <c r="F2261" s="7"/>
      <c r="G2261" s="1"/>
      <c r="H2261" s="1"/>
      <c r="I2261" s="1"/>
    </row>
    <row r="2262" spans="1:9" x14ac:dyDescent="0.25">
      <c r="A2262" s="7"/>
      <c r="B2262" s="1"/>
      <c r="C2262" s="1"/>
      <c r="D2262" s="1"/>
      <c r="F2262" s="7"/>
      <c r="G2262" s="1"/>
      <c r="H2262" s="1"/>
      <c r="I2262" s="1"/>
    </row>
    <row r="2263" spans="1:9" x14ac:dyDescent="0.25">
      <c r="A2263" s="7"/>
      <c r="B2263" s="1"/>
      <c r="C2263" s="1"/>
      <c r="D2263" s="1"/>
      <c r="F2263" s="7"/>
      <c r="G2263" s="1"/>
      <c r="H2263" s="1"/>
      <c r="I2263" s="1"/>
    </row>
    <row r="2264" spans="1:9" x14ac:dyDescent="0.25">
      <c r="A2264" s="7"/>
      <c r="B2264" s="1"/>
      <c r="C2264" s="1"/>
      <c r="D2264" s="1"/>
      <c r="F2264" s="7"/>
      <c r="G2264" s="1"/>
      <c r="H2264" s="1"/>
      <c r="I2264" s="1"/>
    </row>
    <row r="2265" spans="1:9" x14ac:dyDescent="0.25">
      <c r="A2265" s="7"/>
      <c r="B2265" s="1"/>
      <c r="C2265" s="1"/>
      <c r="D2265" s="1"/>
      <c r="F2265" s="7"/>
      <c r="G2265" s="1"/>
      <c r="H2265" s="1"/>
      <c r="I2265" s="1"/>
    </row>
    <row r="2266" spans="1:9" x14ac:dyDescent="0.25">
      <c r="A2266" s="7"/>
      <c r="B2266" s="1"/>
      <c r="C2266" s="1"/>
      <c r="D2266" s="1"/>
      <c r="F2266" s="7"/>
      <c r="G2266" s="1"/>
      <c r="H2266" s="1"/>
      <c r="I2266" s="1"/>
    </row>
    <row r="2267" spans="1:9" x14ac:dyDescent="0.25">
      <c r="A2267" s="7"/>
      <c r="B2267" s="1"/>
      <c r="C2267" s="1"/>
      <c r="D2267" s="1"/>
      <c r="F2267" s="7"/>
      <c r="G2267" s="1"/>
      <c r="H2267" s="1"/>
      <c r="I2267" s="1"/>
    </row>
    <row r="2268" spans="1:9" x14ac:dyDescent="0.25">
      <c r="A2268" s="7"/>
      <c r="B2268" s="1"/>
      <c r="C2268" s="1"/>
      <c r="D2268" s="1"/>
      <c r="F2268" s="7"/>
      <c r="G2268" s="1"/>
      <c r="H2268" s="1"/>
      <c r="I2268" s="1"/>
    </row>
    <row r="2269" spans="1:9" x14ac:dyDescent="0.25">
      <c r="A2269" s="7"/>
      <c r="B2269" s="1"/>
      <c r="C2269" s="1"/>
      <c r="D2269" s="1"/>
      <c r="F2269" s="7"/>
      <c r="G2269" s="1"/>
      <c r="H2269" s="1"/>
      <c r="I2269" s="1"/>
    </row>
    <row r="2270" spans="1:9" x14ac:dyDescent="0.25">
      <c r="A2270" s="7"/>
      <c r="B2270" s="1"/>
      <c r="C2270" s="1"/>
      <c r="D2270" s="1"/>
      <c r="F2270" s="7"/>
      <c r="G2270" s="1"/>
      <c r="H2270" s="1"/>
      <c r="I2270" s="1"/>
    </row>
    <row r="2271" spans="1:9" x14ac:dyDescent="0.25">
      <c r="A2271" s="7"/>
      <c r="B2271" s="1"/>
      <c r="C2271" s="1"/>
      <c r="D2271" s="1"/>
      <c r="F2271" s="7"/>
      <c r="G2271" s="1"/>
      <c r="H2271" s="1"/>
      <c r="I2271" s="1"/>
    </row>
    <row r="2272" spans="1:9" x14ac:dyDescent="0.25">
      <c r="A2272" s="7"/>
      <c r="B2272" s="1"/>
      <c r="C2272" s="1"/>
      <c r="D2272" s="1"/>
      <c r="F2272" s="7"/>
      <c r="G2272" s="1"/>
      <c r="H2272" s="1"/>
      <c r="I2272" s="1"/>
    </row>
    <row r="2273" spans="1:9" x14ac:dyDescent="0.25">
      <c r="A2273" s="7"/>
      <c r="B2273" s="1"/>
      <c r="C2273" s="1"/>
      <c r="D2273" s="1"/>
      <c r="F2273" s="7"/>
      <c r="G2273" s="1"/>
      <c r="H2273" s="1"/>
      <c r="I2273" s="1"/>
    </row>
    <row r="2274" spans="1:9" x14ac:dyDescent="0.25">
      <c r="A2274" s="7"/>
      <c r="B2274" s="1"/>
      <c r="C2274" s="1"/>
      <c r="D2274" s="1"/>
      <c r="F2274" s="7"/>
      <c r="G2274" s="1"/>
      <c r="H2274" s="1"/>
      <c r="I2274" s="1"/>
    </row>
    <row r="2275" spans="1:9" x14ac:dyDescent="0.25">
      <c r="A2275" s="7"/>
      <c r="B2275" s="1"/>
      <c r="C2275" s="1"/>
      <c r="D2275" s="1"/>
      <c r="F2275" s="7"/>
      <c r="G2275" s="1"/>
      <c r="H2275" s="1"/>
      <c r="I2275" s="1"/>
    </row>
    <row r="2276" spans="1:9" x14ac:dyDescent="0.25">
      <c r="A2276" s="7"/>
      <c r="B2276" s="1"/>
      <c r="C2276" s="1"/>
      <c r="D2276" s="1"/>
      <c r="F2276" s="7"/>
      <c r="G2276" s="1"/>
      <c r="H2276" s="1"/>
      <c r="I2276" s="1"/>
    </row>
    <row r="2277" spans="1:9" x14ac:dyDescent="0.25">
      <c r="A2277" s="7"/>
      <c r="B2277" s="1"/>
      <c r="C2277" s="1"/>
      <c r="D2277" s="1"/>
      <c r="F2277" s="7"/>
      <c r="G2277" s="1"/>
      <c r="H2277" s="1"/>
      <c r="I2277" s="1"/>
    </row>
    <row r="2278" spans="1:9" x14ac:dyDescent="0.25">
      <c r="A2278" s="7"/>
      <c r="B2278" s="1"/>
      <c r="C2278" s="1"/>
      <c r="D2278" s="1"/>
      <c r="F2278" s="7"/>
      <c r="G2278" s="1"/>
      <c r="H2278" s="1"/>
      <c r="I2278" s="1"/>
    </row>
    <row r="2279" spans="1:9" x14ac:dyDescent="0.25">
      <c r="A2279" s="7"/>
      <c r="B2279" s="1"/>
      <c r="C2279" s="1"/>
      <c r="D2279" s="1"/>
      <c r="F2279" s="7"/>
      <c r="G2279" s="1"/>
      <c r="H2279" s="1"/>
      <c r="I2279" s="1"/>
    </row>
    <row r="2280" spans="1:9" x14ac:dyDescent="0.25">
      <c r="A2280" s="7"/>
      <c r="B2280" s="1"/>
      <c r="C2280" s="1"/>
      <c r="D2280" s="1"/>
      <c r="F2280" s="7"/>
      <c r="G2280" s="1"/>
      <c r="H2280" s="1"/>
      <c r="I2280" s="1"/>
    </row>
    <row r="2281" spans="1:9" x14ac:dyDescent="0.25">
      <c r="A2281" s="7"/>
      <c r="B2281" s="1"/>
      <c r="C2281" s="1"/>
      <c r="D2281" s="1"/>
      <c r="F2281" s="7"/>
      <c r="G2281" s="1"/>
      <c r="H2281" s="1"/>
      <c r="I2281" s="1"/>
    </row>
    <row r="2282" spans="1:9" x14ac:dyDescent="0.25">
      <c r="A2282" s="7"/>
      <c r="B2282" s="1"/>
      <c r="C2282" s="1"/>
      <c r="D2282" s="1"/>
      <c r="F2282" s="7"/>
      <c r="G2282" s="1"/>
      <c r="H2282" s="1"/>
      <c r="I2282" s="1"/>
    </row>
    <row r="2283" spans="1:9" x14ac:dyDescent="0.25">
      <c r="A2283" s="7"/>
      <c r="B2283" s="1"/>
      <c r="C2283" s="1"/>
      <c r="D2283" s="1"/>
      <c r="F2283" s="7"/>
      <c r="G2283" s="1"/>
      <c r="H2283" s="1"/>
      <c r="I2283" s="1"/>
    </row>
    <row r="2284" spans="1:9" x14ac:dyDescent="0.25">
      <c r="A2284" s="7"/>
      <c r="B2284" s="1"/>
      <c r="C2284" s="1"/>
      <c r="D2284" s="1"/>
      <c r="F2284" s="7"/>
      <c r="G2284" s="1"/>
      <c r="H2284" s="1"/>
      <c r="I2284" s="1"/>
    </row>
    <row r="2285" spans="1:9" x14ac:dyDescent="0.25">
      <c r="A2285" s="7"/>
      <c r="B2285" s="1"/>
      <c r="C2285" s="1"/>
      <c r="D2285" s="1"/>
      <c r="F2285" s="7"/>
      <c r="G2285" s="1"/>
      <c r="H2285" s="1"/>
      <c r="I2285" s="1"/>
    </row>
    <row r="2286" spans="1:9" x14ac:dyDescent="0.25">
      <c r="A2286" s="7"/>
      <c r="B2286" s="1"/>
      <c r="C2286" s="1"/>
      <c r="D2286" s="1"/>
      <c r="F2286" s="7"/>
      <c r="G2286" s="1"/>
      <c r="H2286" s="1"/>
      <c r="I2286" s="1"/>
    </row>
    <row r="2287" spans="1:9" x14ac:dyDescent="0.25">
      <c r="A2287" s="7"/>
      <c r="B2287" s="1"/>
      <c r="C2287" s="1"/>
      <c r="D2287" s="1"/>
      <c r="F2287" s="7"/>
      <c r="G2287" s="1"/>
      <c r="H2287" s="1"/>
      <c r="I2287" s="1"/>
    </row>
    <row r="2288" spans="1:9" x14ac:dyDescent="0.25">
      <c r="A2288" s="7"/>
      <c r="B2288" s="1"/>
      <c r="C2288" s="1"/>
      <c r="D2288" s="1"/>
      <c r="F2288" s="7"/>
      <c r="G2288" s="1"/>
      <c r="H2288" s="1"/>
      <c r="I2288" s="1"/>
    </row>
    <row r="2289" spans="1:9" x14ac:dyDescent="0.25">
      <c r="A2289" s="7"/>
      <c r="B2289" s="1"/>
      <c r="C2289" s="1"/>
      <c r="D2289" s="1"/>
      <c r="F2289" s="7"/>
      <c r="G2289" s="1"/>
      <c r="H2289" s="1"/>
      <c r="I2289" s="1"/>
    </row>
  </sheetData>
  <dataConsolidate/>
  <pageMargins left="0.7" right="0.7" top="0.75" bottom="0.75" header="0.3" footer="0.3"/>
  <pageSetup paperSize="0" orientation="portrait" horizontalDpi="0" verticalDpi="0" copie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Graph_CS</vt:lpstr>
      <vt:lpstr>Graph_PS</vt:lpstr>
      <vt:lpstr>Data</vt:lpstr>
      <vt:lpstr>Old_data</vt:lpstr>
      <vt:lpstr>Age</vt:lpstr>
      <vt:lpstr>Trend</vt:lpstr>
      <vt:lpstr>KT</vt:lpstr>
      <vt:lpstr>GZ</vt:lpstr>
      <vt:lpstr>EC_USN</vt:lpstr>
      <vt:lpstr>GZ_USN</vt:lpstr>
      <vt:lpstr>MO</vt:lpstr>
      <vt:lpstr>MT</vt:lpstr>
      <vt:lpstr>Customize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2021-05-14T08:26:09Z</dcterms:modified>
</cp:coreProperties>
</file>